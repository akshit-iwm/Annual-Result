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qib\Downloads\"/>
    </mc:Choice>
  </mc:AlternateContent>
  <xr:revisionPtr revIDLastSave="0" documentId="13_ncr:1_{9EA495FA-C1F3-4C1E-8F0E-B96AC0517DE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37" i="1" l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Q37" i="1"/>
  <c r="CH130" i="1"/>
  <c r="CL239" i="1"/>
  <c r="CN114" i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FG2" i="4" l="1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E56" i="2"/>
  <c r="AC55" i="2"/>
  <c r="AD60" i="2"/>
  <c r="AF22" i="2"/>
  <c r="AB13" i="2"/>
  <c r="AD92" i="2"/>
  <c r="AE24" i="2"/>
  <c r="AB89" i="2"/>
  <c r="AD41" i="2"/>
  <c r="AD84" i="2"/>
  <c r="AC106" i="2"/>
  <c r="AE83" i="2"/>
  <c r="AD52" i="2"/>
  <c r="AC56" i="2"/>
  <c r="AB79" i="2"/>
  <c r="AE104" i="2"/>
  <c r="AD30" i="2"/>
  <c r="AB66" i="2"/>
  <c r="AF43" i="2"/>
  <c r="AB22" i="2"/>
  <c r="AC66" i="2"/>
  <c r="AC75" i="2"/>
  <c r="AB8" i="2"/>
  <c r="AE53" i="2"/>
  <c r="AE18" i="2"/>
  <c r="AF73" i="2"/>
  <c r="AC91" i="2"/>
  <c r="AD94" i="2"/>
  <c r="AB92" i="2"/>
  <c r="AE25" i="2"/>
  <c r="AE107" i="2"/>
  <c r="AF56" i="2"/>
  <c r="AF49" i="2"/>
  <c r="AC107" i="2"/>
  <c r="AB46" i="2"/>
  <c r="AE16" i="2"/>
  <c r="AB45" i="2"/>
  <c r="AF76" i="2"/>
  <c r="AC99" i="2"/>
  <c r="AB97" i="2"/>
  <c r="AC82" i="2"/>
  <c r="AB83" i="2"/>
  <c r="AD74" i="2"/>
  <c r="AD40" i="2"/>
  <c r="AC12" i="2"/>
  <c r="AB88" i="2"/>
  <c r="AE84" i="2"/>
  <c r="AD10" i="2"/>
  <c r="AB51" i="2"/>
  <c r="AF9" i="2"/>
  <c r="AD17" i="2"/>
  <c r="AB108" i="2"/>
  <c r="AD50" i="2"/>
  <c r="AC16" i="2"/>
  <c r="AB48" i="2"/>
  <c r="AC33" i="2"/>
  <c r="AB19" i="2"/>
  <c r="AC7" i="2"/>
  <c r="AB43" i="2"/>
  <c r="AE87" i="2"/>
  <c r="AC58" i="2"/>
  <c r="AD72" i="2"/>
  <c r="AE44" i="2"/>
  <c r="AB96" i="2"/>
  <c r="AE109" i="2"/>
  <c r="AC93" i="2"/>
  <c r="AC8" i="2"/>
  <c r="AF59" i="2"/>
  <c r="AD65" i="2"/>
  <c r="AC36" i="2"/>
  <c r="AE58" i="2"/>
  <c r="AF72" i="2"/>
  <c r="AB15" i="2"/>
  <c r="AC34" i="2"/>
  <c r="AB26" i="2"/>
  <c r="AF91" i="2"/>
  <c r="AE28" i="2"/>
  <c r="AE17" i="2"/>
  <c r="AC5" i="2"/>
  <c r="AD18" i="2"/>
  <c r="AC42" i="2"/>
  <c r="AD83" i="2"/>
  <c r="AB62" i="2"/>
  <c r="AE70" i="2"/>
  <c r="AC24" i="2"/>
  <c r="AF48" i="2"/>
  <c r="AD106" i="2"/>
  <c r="AB5" i="2"/>
  <c r="AF90" i="2"/>
  <c r="AD9" i="2"/>
  <c r="AD71" i="2"/>
  <c r="AC105" i="2"/>
  <c r="AE13" i="2"/>
  <c r="AF74" i="2"/>
  <c r="AC90" i="2"/>
  <c r="AE76" i="2"/>
  <c r="AC63" i="2"/>
  <c r="AD12" i="2"/>
  <c r="AE41" i="2"/>
  <c r="AE36" i="2"/>
  <c r="AD63" i="2"/>
  <c r="AB90" i="2"/>
  <c r="AF20" i="2"/>
  <c r="AE59" i="2"/>
  <c r="AE80" i="2"/>
  <c r="AB87" i="2"/>
  <c r="AD29" i="2"/>
  <c r="AF41" i="2"/>
  <c r="AD47" i="2"/>
  <c r="AD48" i="2"/>
  <c r="AD27" i="2"/>
  <c r="AF104" i="2"/>
  <c r="AF64" i="2"/>
  <c r="AB23" i="2"/>
  <c r="AE40" i="2"/>
  <c r="AE95" i="2"/>
  <c r="AF108" i="2"/>
  <c r="AF70" i="2"/>
  <c r="AF55" i="2"/>
  <c r="AE50" i="2"/>
  <c r="AB58" i="2"/>
  <c r="AF42" i="2"/>
  <c r="AF69" i="2"/>
  <c r="AD70" i="2"/>
  <c r="AD78" i="2"/>
  <c r="AF14" i="2"/>
  <c r="AF46" i="2"/>
  <c r="AB35" i="2"/>
  <c r="AD91" i="2"/>
  <c r="AE34" i="2"/>
  <c r="AC21" i="2"/>
  <c r="AC95" i="2"/>
  <c r="AD58" i="2"/>
  <c r="AC45" i="2"/>
  <c r="AD57" i="2"/>
  <c r="AB61" i="2"/>
  <c r="AB98" i="2"/>
  <c r="AC85" i="2"/>
  <c r="AB21" i="2"/>
  <c r="AC22" i="2"/>
  <c r="AD6" i="2"/>
  <c r="AE10" i="2"/>
  <c r="AE105" i="2"/>
  <c r="AF83" i="2"/>
  <c r="AC65" i="2"/>
  <c r="AF40" i="2"/>
  <c r="AE27" i="2"/>
  <c r="AC110" i="2"/>
  <c r="AD62" i="2"/>
  <c r="AE60" i="2"/>
  <c r="AE65" i="2"/>
  <c r="AE72" i="2"/>
  <c r="AE9" i="2"/>
  <c r="AF30" i="2"/>
  <c r="AC19" i="2"/>
  <c r="AD108" i="2"/>
  <c r="AB16" i="2"/>
  <c r="AE71" i="2"/>
  <c r="AF19" i="2"/>
  <c r="AB55" i="2"/>
  <c r="AE64" i="2"/>
  <c r="AB107" i="2"/>
  <c r="AD35" i="2"/>
  <c r="AF23" i="2"/>
  <c r="AF67" i="2"/>
  <c r="AE7" i="2"/>
  <c r="AF10" i="2"/>
  <c r="AD46" i="2"/>
  <c r="AC25" i="2"/>
  <c r="AB14" i="2"/>
  <c r="AD20" i="2"/>
  <c r="AE89" i="2"/>
  <c r="AC17" i="2"/>
  <c r="AD61" i="2"/>
  <c r="AF50" i="2"/>
  <c r="AC61" i="2"/>
  <c r="AC26" i="2"/>
  <c r="AE85" i="2"/>
  <c r="AB94" i="2"/>
  <c r="AF54" i="2"/>
  <c r="AB60" i="2"/>
  <c r="AE110" i="2"/>
  <c r="AF16" i="2"/>
  <c r="AD69" i="2"/>
  <c r="AB57" i="2"/>
  <c r="AF32" i="2"/>
  <c r="AD43" i="2"/>
  <c r="AB9" i="2"/>
  <c r="AB6" i="2"/>
  <c r="AF84" i="2"/>
  <c r="AD89" i="2"/>
  <c r="AE35" i="2"/>
  <c r="AE106" i="2"/>
  <c r="AC20" i="2"/>
  <c r="AE6" i="2"/>
  <c r="AB44" i="2"/>
  <c r="AD66" i="2"/>
  <c r="AF94" i="2"/>
  <c r="AF65" i="2"/>
  <c r="AB86" i="2"/>
  <c r="AC23" i="2"/>
  <c r="AC28" i="2"/>
  <c r="AC9" i="2"/>
  <c r="AB34" i="2"/>
  <c r="AE108" i="2"/>
  <c r="AF106" i="2"/>
  <c r="AE79" i="2"/>
  <c r="AF17" i="2"/>
  <c r="AD45" i="2"/>
  <c r="AF77" i="2"/>
  <c r="AD85" i="2"/>
  <c r="AD96" i="2"/>
  <c r="AB110" i="2"/>
  <c r="AD107" i="2"/>
  <c r="AC35" i="2"/>
  <c r="AF85" i="2"/>
  <c r="AB78" i="2"/>
  <c r="AD44" i="2"/>
  <c r="AB28" i="2"/>
  <c r="AF5" i="2"/>
  <c r="AF113" i="2" s="1"/>
  <c r="AE21" i="2"/>
  <c r="AF92" i="2"/>
  <c r="AC54" i="2"/>
  <c r="AE32" i="2"/>
  <c r="AE82" i="2"/>
  <c r="AE20" i="2"/>
  <c r="AF93" i="2"/>
  <c r="AC74" i="2"/>
  <c r="AB50" i="2"/>
  <c r="AB105" i="2"/>
  <c r="AF75" i="2"/>
  <c r="AF34" i="2"/>
  <c r="AD77" i="2"/>
  <c r="AD88" i="2"/>
  <c r="AE90" i="2"/>
  <c r="AE77" i="2"/>
  <c r="AD104" i="2"/>
  <c r="AB106" i="2"/>
  <c r="AF87" i="2"/>
  <c r="AC41" i="2"/>
  <c r="AF109" i="2"/>
  <c r="AC88" i="2"/>
  <c r="AF26" i="2"/>
  <c r="AB12" i="2"/>
  <c r="AF28" i="2"/>
  <c r="AE86" i="2"/>
  <c r="AD55" i="2"/>
  <c r="AD105" i="2"/>
  <c r="AC48" i="2"/>
  <c r="AF27" i="2"/>
  <c r="AC96" i="2"/>
  <c r="AE23" i="2"/>
  <c r="AC10" i="2"/>
  <c r="AB80" i="2"/>
  <c r="AC67" i="2"/>
  <c r="AC80" i="2"/>
  <c r="AD42" i="2"/>
  <c r="AD59" i="2"/>
  <c r="AF24" i="2"/>
  <c r="AF15" i="2"/>
  <c r="AF18" i="2"/>
  <c r="AD110" i="2"/>
  <c r="AF7" i="2"/>
  <c r="AB24" i="2"/>
  <c r="AD81" i="2"/>
  <c r="AB77" i="2"/>
  <c r="AC92" i="2"/>
  <c r="AC50" i="2"/>
  <c r="AE74" i="2"/>
  <c r="AE48" i="2"/>
  <c r="AE46" i="2"/>
  <c r="AE68" i="2"/>
  <c r="AD87" i="2"/>
  <c r="AD28" i="2"/>
  <c r="AC60" i="2"/>
  <c r="AF44" i="2"/>
  <c r="AF71" i="2"/>
  <c r="AF97" i="2"/>
  <c r="AF96" i="2"/>
  <c r="AB82" i="2"/>
  <c r="AD73" i="2"/>
  <c r="AB41" i="2"/>
  <c r="AB71" i="2"/>
  <c r="AC31" i="2"/>
  <c r="AF107" i="2"/>
  <c r="AC47" i="2"/>
  <c r="AB33" i="2"/>
  <c r="AC108" i="2"/>
  <c r="AD8" i="2"/>
  <c r="AF63" i="2"/>
  <c r="AD93" i="2"/>
  <c r="AB81" i="2"/>
  <c r="AE88" i="2"/>
  <c r="AD54" i="2"/>
  <c r="AD24" i="2"/>
  <c r="AF58" i="2"/>
  <c r="AC29" i="2"/>
  <c r="AC53" i="2"/>
  <c r="AE99" i="2"/>
  <c r="AF62" i="2"/>
  <c r="AF8" i="2"/>
  <c r="AE52" i="2"/>
  <c r="AC32" i="2"/>
  <c r="AC40" i="2"/>
  <c r="AD16" i="2"/>
  <c r="AD25" i="2"/>
  <c r="AD109" i="2"/>
  <c r="AB93" i="2"/>
  <c r="AE8" i="2"/>
  <c r="AD80" i="2"/>
  <c r="AE81" i="2"/>
  <c r="AB56" i="2"/>
  <c r="AF80" i="2"/>
  <c r="AF52" i="2"/>
  <c r="AD33" i="2"/>
  <c r="AB67" i="2"/>
  <c r="AC84" i="2"/>
  <c r="AC44" i="2"/>
  <c r="AF12" i="2"/>
  <c r="AE73" i="2"/>
  <c r="AD56" i="2"/>
  <c r="AB69" i="2"/>
  <c r="AD36" i="2"/>
  <c r="AF89" i="2"/>
  <c r="AE62" i="2"/>
  <c r="AB53" i="2"/>
  <c r="AB109" i="2"/>
  <c r="AD26" i="2"/>
  <c r="AD68" i="2"/>
  <c r="AD15" i="2"/>
  <c r="AD79" i="2"/>
  <c r="AC52" i="2"/>
  <c r="AC83" i="2"/>
  <c r="AB36" i="2"/>
  <c r="AB91" i="2"/>
  <c r="AD95" i="2"/>
  <c r="AC59" i="2"/>
  <c r="AB47" i="2"/>
  <c r="AE33" i="2"/>
  <c r="AD31" i="2"/>
  <c r="AD11" i="2"/>
  <c r="AF98" i="2"/>
  <c r="AD21" i="2"/>
  <c r="AC70" i="2"/>
  <c r="AB68" i="2"/>
  <c r="AF61" i="2"/>
  <c r="AC43" i="2"/>
  <c r="AF31" i="2"/>
  <c r="AE91" i="2"/>
  <c r="AF110" i="2"/>
  <c r="AC69" i="2"/>
  <c r="AE22" i="2"/>
  <c r="AC78" i="2"/>
  <c r="AC72" i="2"/>
  <c r="AC68" i="2"/>
  <c r="AE30" i="2"/>
  <c r="AC79" i="2"/>
  <c r="AE75" i="2"/>
  <c r="AB70" i="2"/>
  <c r="AD32" i="2"/>
  <c r="AC71" i="2"/>
  <c r="AE69" i="2"/>
  <c r="AE66" i="2"/>
  <c r="AB42" i="2"/>
  <c r="AB11" i="2"/>
  <c r="AB73" i="2"/>
  <c r="AC57" i="2"/>
  <c r="AD67" i="2"/>
  <c r="AF68" i="2"/>
  <c r="AE19" i="2"/>
  <c r="AE54" i="2"/>
  <c r="AF57" i="2"/>
  <c r="AB75" i="2"/>
  <c r="AF111" i="2"/>
  <c r="AF66" i="2"/>
  <c r="AB25" i="2"/>
  <c r="AC104" i="2"/>
  <c r="AC15" i="2"/>
  <c r="AE63" i="2"/>
  <c r="AE14" i="2"/>
  <c r="AB31" i="2"/>
  <c r="AE43" i="2"/>
  <c r="AB32" i="2"/>
  <c r="AE92" i="2"/>
  <c r="AB27" i="2"/>
  <c r="AE61" i="2"/>
  <c r="AE49" i="2"/>
  <c r="AC77" i="2"/>
  <c r="AD90" i="2"/>
  <c r="AF51" i="2"/>
  <c r="AB104" i="2"/>
  <c r="AF78" i="2"/>
  <c r="AB64" i="2"/>
  <c r="AB74" i="2"/>
  <c r="AB59" i="2"/>
  <c r="AC94" i="2"/>
  <c r="AD64" i="2"/>
  <c r="AD23" i="2"/>
  <c r="AE97" i="2"/>
  <c r="AD49" i="2"/>
  <c r="AC97" i="2"/>
  <c r="AD5" i="2"/>
  <c r="AF53" i="2"/>
  <c r="AD97" i="2"/>
  <c r="AE15" i="2"/>
  <c r="AC87" i="2"/>
  <c r="AF99" i="2"/>
  <c r="AF60" i="2"/>
  <c r="AB29" i="2"/>
  <c r="AE5" i="2"/>
  <c r="AC64" i="2"/>
  <c r="AC76" i="2"/>
  <c r="AE57" i="2"/>
  <c r="AF36" i="2"/>
  <c r="AF45" i="2"/>
  <c r="AC109" i="2"/>
  <c r="AB72" i="2"/>
  <c r="AF105" i="2"/>
  <c r="AC86" i="2"/>
  <c r="AE55" i="2"/>
  <c r="AC73" i="2"/>
  <c r="AB40" i="2"/>
  <c r="AC62" i="2"/>
  <c r="AE98" i="2"/>
  <c r="AD82" i="2"/>
  <c r="AC30" i="2"/>
  <c r="AC49" i="2"/>
  <c r="AF11" i="2"/>
  <c r="AE26" i="2"/>
  <c r="AD7" i="2"/>
  <c r="AB95" i="2"/>
  <c r="AD34" i="2"/>
  <c r="AF82" i="2"/>
  <c r="AB7" i="2"/>
  <c r="AB49" i="2"/>
  <c r="AF88" i="2"/>
  <c r="AD14" i="2"/>
  <c r="AB84" i="2"/>
  <c r="AD86" i="2"/>
  <c r="AC46" i="2"/>
  <c r="AF79" i="2"/>
  <c r="AE12" i="2"/>
  <c r="AC81" i="2"/>
  <c r="AB99" i="2"/>
  <c r="AE42" i="2"/>
  <c r="AD13" i="2"/>
  <c r="AD22" i="2"/>
  <c r="AF25" i="2"/>
  <c r="AF6" i="2"/>
  <c r="AB10" i="2"/>
  <c r="AF29" i="2"/>
  <c r="AB17" i="2"/>
  <c r="AE11" i="2"/>
  <c r="AC98" i="2"/>
  <c r="AC27" i="2"/>
  <c r="AC89" i="2"/>
  <c r="AB63" i="2"/>
  <c r="AC6" i="2"/>
  <c r="AE31" i="2"/>
  <c r="AD76" i="2"/>
  <c r="AE93" i="2"/>
  <c r="AF33" i="2"/>
  <c r="AB85" i="2"/>
  <c r="AF13" i="2"/>
  <c r="AF86" i="2"/>
  <c r="AC51" i="2"/>
  <c r="AF112" i="2"/>
  <c r="AD19" i="2"/>
  <c r="AF81" i="2"/>
  <c r="AF95" i="2"/>
  <c r="AB18" i="2"/>
  <c r="AB76" i="2"/>
  <c r="AC13" i="2"/>
  <c r="AE47" i="2"/>
  <c r="AE96" i="2"/>
  <c r="AE94" i="2"/>
  <c r="AB30" i="2"/>
  <c r="AC14" i="2"/>
  <c r="AF21" i="2"/>
  <c r="AD75" i="2"/>
  <c r="AE45" i="2"/>
  <c r="AE67" i="2"/>
  <c r="AE29" i="2"/>
  <c r="AB65" i="2"/>
  <c r="AF35" i="2"/>
  <c r="AC11" i="2"/>
  <c r="AD53" i="2"/>
  <c r="AE78" i="2"/>
  <c r="AB54" i="2"/>
  <c r="AE51" i="2"/>
  <c r="AB52" i="2"/>
  <c r="AD98" i="2"/>
  <c r="AD99" i="2"/>
  <c r="AF47" i="2"/>
  <c r="AD51" i="2"/>
  <c r="AB20" i="2"/>
  <c r="AC18" i="2"/>
  <c r="B1" i="9" l="1"/>
  <c r="AE112" i="2"/>
  <c r="AD113" i="2"/>
  <c r="L1" i="9"/>
  <c r="AB112" i="2"/>
  <c r="AD111" i="2"/>
  <c r="AE111" i="2"/>
  <c r="AC112" i="2"/>
  <c r="AD112" i="2"/>
  <c r="AC113" i="2"/>
  <c r="A1" i="9"/>
  <c r="AB111" i="2"/>
  <c r="AB113" i="2"/>
  <c r="AC111" i="2"/>
  <c r="AE113" i="2"/>
  <c r="DB239" i="1" l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CI239" i="1" l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AA173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l="1"/>
  <c r="Z1" i="1" s="1"/>
  <c r="AA1" i="1" l="1"/>
  <c r="AB1" i="1" s="1"/>
  <c r="AC1" i="1" s="1"/>
  <c r="AD1" i="1" s="1"/>
  <c r="AE1" i="1" s="1"/>
  <c r="A1" i="3" l="1"/>
  <c r="A1" i="6" l="1"/>
  <c r="A1" i="4"/>
  <c r="AB35" i="1" l="1"/>
  <c r="AC35" i="1" l="1"/>
  <c r="AD35" i="1" l="1"/>
  <c r="BR10" i="3"/>
  <c r="BB36" i="3"/>
  <c r="BJ7" i="3"/>
  <c r="Z51" i="2"/>
  <c r="BL14" i="3"/>
  <c r="Z41" i="2"/>
  <c r="BG9" i="3"/>
  <c r="BE7" i="3"/>
  <c r="BV45" i="3"/>
  <c r="BH5" i="3"/>
  <c r="BV13" i="3"/>
  <c r="BF32" i="3"/>
  <c r="BO23" i="3"/>
  <c r="BK12" i="3"/>
  <c r="BV30" i="3"/>
  <c r="BL46" i="3"/>
  <c r="AA93" i="2"/>
  <c r="Z48" i="2"/>
  <c r="BI7" i="3"/>
  <c r="BA35" i="3"/>
  <c r="FB13" i="4" a="1"/>
  <c r="FC14" i="4" a="1"/>
  <c r="BJ30" i="3"/>
  <c r="Z40" i="2"/>
  <c r="BP26" i="3"/>
  <c r="AA9" i="2"/>
  <c r="BM25" i="3"/>
  <c r="BJ25" i="3"/>
  <c r="FF16" i="4" a="1"/>
  <c r="FA5" i="4" a="1"/>
  <c r="Z33" i="2"/>
  <c r="AA81" i="2"/>
  <c r="BU39" i="3"/>
  <c r="BB42" i="3"/>
  <c r="BH29" i="3"/>
  <c r="Z31" i="2"/>
  <c r="Y49" i="2"/>
  <c r="BO10" i="3"/>
  <c r="BR28" i="3"/>
  <c r="FD11" i="4" a="1"/>
  <c r="BQ30" i="3"/>
  <c r="BD11" i="3"/>
  <c r="AA66" i="2"/>
  <c r="EZ15" i="4" a="1"/>
  <c r="BL23" i="3"/>
  <c r="BN46" i="3"/>
  <c r="AA97" i="2"/>
  <c r="BP17" i="3"/>
  <c r="FW13" i="4" a="1"/>
  <c r="BR8" i="3"/>
  <c r="Z36" i="2"/>
  <c r="BE10" i="3"/>
  <c r="BC37" i="3"/>
  <c r="BF42" i="3"/>
  <c r="BD26" i="3"/>
  <c r="BH18" i="3"/>
  <c r="BS36" i="3"/>
  <c r="BO45" i="3"/>
  <c r="BQ15" i="3"/>
  <c r="AA31" i="2"/>
  <c r="BV23" i="3"/>
  <c r="BU23" i="3"/>
  <c r="BN22" i="3"/>
  <c r="BA27" i="3"/>
  <c r="AA54" i="2"/>
  <c r="BB46" i="3"/>
  <c r="Y13" i="2"/>
  <c r="BV39" i="3"/>
  <c r="BQ14" i="3"/>
  <c r="BU33" i="3"/>
  <c r="FF14" i="4" a="1"/>
  <c r="Z92" i="2"/>
  <c r="BM8" i="3"/>
  <c r="BB11" i="3"/>
  <c r="BQ19" i="3"/>
  <c r="Z16" i="2"/>
  <c r="AA27" i="2"/>
  <c r="BN19" i="3"/>
  <c r="BO37" i="3"/>
  <c r="BU14" i="3"/>
  <c r="BR40" i="3"/>
  <c r="AA23" i="2"/>
  <c r="Y45" i="2"/>
  <c r="FA9" i="4" a="1"/>
  <c r="AA26" i="2"/>
  <c r="BL45" i="3"/>
  <c r="FE16" i="4" a="1"/>
  <c r="BG41" i="3"/>
  <c r="Y20" i="2"/>
  <c r="BT42" i="3"/>
  <c r="Z70" i="2"/>
  <c r="BL8" i="3"/>
  <c r="Z80" i="2"/>
  <c r="BF16" i="3"/>
  <c r="BR14" i="3"/>
  <c r="BV17" i="3"/>
  <c r="BT41" i="3"/>
  <c r="Z7" i="2"/>
  <c r="BS31" i="3"/>
  <c r="BR5" i="3"/>
  <c r="BA24" i="3"/>
  <c r="FC16" i="4" a="1"/>
  <c r="Z46" i="2"/>
  <c r="BH20" i="3"/>
  <c r="BM15" i="3"/>
  <c r="BV34" i="3"/>
  <c r="EY13" i="4" a="1"/>
  <c r="BC32" i="3"/>
  <c r="BH41" i="3"/>
  <c r="BA45" i="3"/>
  <c r="BE17" i="3"/>
  <c r="AA35" i="2"/>
  <c r="BO33" i="3"/>
  <c r="FC15" i="4" a="1"/>
  <c r="BC18" i="3"/>
  <c r="BR32" i="3"/>
  <c r="BK20" i="3"/>
  <c r="BV40" i="3"/>
  <c r="BG22" i="3"/>
  <c r="BV42" i="3"/>
  <c r="FB9" i="4" a="1"/>
  <c r="BA31" i="3"/>
  <c r="BC25" i="3"/>
  <c r="Z67" i="2"/>
  <c r="BH10" i="3"/>
  <c r="BH32" i="3"/>
  <c r="BP27" i="3"/>
  <c r="BH45" i="3"/>
  <c r="BG12" i="3"/>
  <c r="BH23" i="3"/>
  <c r="BT20" i="3"/>
  <c r="BU7" i="3"/>
  <c r="BQ11" i="3"/>
  <c r="BC27" i="3"/>
  <c r="AA108" i="2"/>
  <c r="BT26" i="3"/>
  <c r="Z17" i="2"/>
  <c r="BF14" i="3"/>
  <c r="FF5" i="4" a="1"/>
  <c r="BV35" i="3"/>
  <c r="BQ10" i="3"/>
  <c r="BV37" i="3"/>
  <c r="BQ12" i="3"/>
  <c r="Z10" i="2"/>
  <c r="BJ28" i="3"/>
  <c r="BJ46" i="3"/>
  <c r="BK40" i="3"/>
  <c r="BS10" i="3"/>
  <c r="BI30" i="3"/>
  <c r="BI13" i="3"/>
  <c r="BB22" i="3"/>
  <c r="BL12" i="3"/>
  <c r="BU34" i="3"/>
  <c r="Z77" i="2"/>
  <c r="AA62" i="2"/>
  <c r="BT19" i="3"/>
  <c r="BI42" i="3"/>
  <c r="Y86" i="2"/>
  <c r="BQ25" i="3"/>
  <c r="BN16" i="3"/>
  <c r="BI21" i="3"/>
  <c r="AA14" i="2"/>
  <c r="BN11" i="3"/>
  <c r="Z104" i="2"/>
  <c r="BM13" i="3"/>
  <c r="BU31" i="3"/>
  <c r="BQ35" i="3"/>
  <c r="AA79" i="2"/>
  <c r="Y77" i="2"/>
  <c r="BK13" i="3"/>
  <c r="EX5" i="4" a="1"/>
  <c r="Z21" i="2"/>
  <c r="BD16" i="3"/>
  <c r="Z25" i="2"/>
  <c r="BF27" i="3"/>
  <c r="BO40" i="3"/>
  <c r="BR11" i="3"/>
  <c r="Z88" i="2"/>
  <c r="Y96" i="2"/>
  <c r="EX11" i="4" a="1"/>
  <c r="BF6" i="3"/>
  <c r="BL19" i="3"/>
  <c r="BF25" i="3"/>
  <c r="BU18" i="3"/>
  <c r="BC21" i="3"/>
  <c r="BH70" i="3"/>
  <c r="BH92" i="3"/>
  <c r="EY15" i="4" a="1"/>
  <c r="BH22" i="3"/>
  <c r="Z91" i="2"/>
  <c r="BI6" i="3"/>
  <c r="Y71" i="2"/>
  <c r="BG11" i="3"/>
  <c r="BV15" i="3"/>
  <c r="EX15" i="4" a="1"/>
  <c r="BU9" i="3"/>
  <c r="Z69" i="2"/>
  <c r="BD8" i="3"/>
  <c r="BE39" i="3"/>
  <c r="BA20" i="3"/>
  <c r="BF30" i="3"/>
  <c r="Z20" i="2"/>
  <c r="BL17" i="3"/>
  <c r="Y9" i="2"/>
  <c r="BL29" i="3"/>
  <c r="BF21" i="3"/>
  <c r="BN31" i="3"/>
  <c r="BQ39" i="3"/>
  <c r="Z28" i="2"/>
  <c r="BS7" i="3"/>
  <c r="BQ22" i="3"/>
  <c r="AA65" i="2"/>
  <c r="Y53" i="2"/>
  <c r="BA42" i="3"/>
  <c r="BG14" i="3"/>
  <c r="BT40" i="3"/>
  <c r="BN38" i="3"/>
  <c r="Z42" i="2"/>
  <c r="BK21" i="3"/>
  <c r="BO26" i="3"/>
  <c r="BJ34" i="3"/>
  <c r="BG5" i="3"/>
  <c r="BD18" i="3"/>
  <c r="BR25" i="3"/>
  <c r="Z90" i="2"/>
  <c r="BV6" i="3"/>
  <c r="AA72" i="2"/>
  <c r="AA64" i="2"/>
  <c r="Z54" i="2"/>
  <c r="AA46" i="2"/>
  <c r="Y72" i="2"/>
  <c r="BS23" i="3"/>
  <c r="BQ38" i="3"/>
  <c r="BS40" i="3"/>
  <c r="BU13" i="3"/>
  <c r="X6" i="2"/>
  <c r="BR22" i="3"/>
  <c r="EY5" i="4" a="1"/>
  <c r="BQ45" i="3"/>
  <c r="Y95" i="2"/>
  <c r="AA107" i="2"/>
  <c r="BL37" i="3"/>
  <c r="BF29" i="3"/>
  <c r="BU38" i="3"/>
  <c r="BM14" i="3"/>
  <c r="Y18" i="2"/>
  <c r="BD25" i="3"/>
  <c r="FE5" i="4" a="1"/>
  <c r="AA99" i="2"/>
  <c r="BL30" i="3"/>
  <c r="FE13" i="4" a="1"/>
  <c r="BK23" i="3"/>
  <c r="BH50" i="3"/>
  <c r="BT21" i="3"/>
  <c r="BS37" i="3"/>
  <c r="BI8" i="3"/>
  <c r="BU46" i="3"/>
  <c r="BE16" i="3"/>
  <c r="BV5" i="3"/>
  <c r="Z29" i="2"/>
  <c r="BM16" i="3"/>
  <c r="BE35" i="3"/>
  <c r="BG30" i="3"/>
  <c r="BP10" i="3"/>
  <c r="BC40" i="3"/>
  <c r="BH9" i="3"/>
  <c r="AY29" i="3"/>
  <c r="BJ36" i="3"/>
  <c r="BD22" i="3"/>
  <c r="BN42" i="3"/>
  <c r="BO39" i="3"/>
  <c r="BA30" i="3"/>
  <c r="AA95" i="2"/>
  <c r="Z58" i="2"/>
  <c r="BD29" i="3"/>
  <c r="BU15" i="3"/>
  <c r="BD41" i="3"/>
  <c r="BN23" i="3"/>
  <c r="BD10" i="3"/>
  <c r="Y60" i="2"/>
  <c r="BR26" i="3"/>
  <c r="BK29" i="3"/>
  <c r="FA6" i="4" a="1"/>
  <c r="BQ6" i="3"/>
  <c r="Y17" i="2"/>
  <c r="BT9" i="3"/>
  <c r="BU25" i="3"/>
  <c r="BS19" i="3"/>
  <c r="BQ34" i="3"/>
  <c r="BS21" i="3"/>
  <c r="BQ36" i="3"/>
  <c r="BA12" i="3"/>
  <c r="BT30" i="3"/>
  <c r="BE29" i="3"/>
  <c r="BI40" i="3"/>
  <c r="BS34" i="3"/>
  <c r="Z55" i="2"/>
  <c r="BL16" i="3"/>
  <c r="AA16" i="2"/>
  <c r="BF12" i="3"/>
  <c r="BS42" i="3"/>
  <c r="BC39" i="3"/>
  <c r="AA11" i="2"/>
  <c r="BL28" i="3"/>
  <c r="Y75" i="2"/>
  <c r="FA8" i="4" a="1"/>
  <c r="AA43" i="2"/>
  <c r="EY12" i="4" a="1"/>
  <c r="BJ19" i="3"/>
  <c r="BV24" i="3"/>
  <c r="BD46" i="3"/>
  <c r="BS8" i="3"/>
  <c r="GF11" i="4" a="1"/>
  <c r="GL12" i="4" a="1"/>
  <c r="BJ24" i="3"/>
  <c r="EZ16" i="4" a="1"/>
  <c r="BR34" i="3"/>
  <c r="FB5" i="4" a="1"/>
  <c r="BR36" i="3"/>
  <c r="FE7" i="4" a="1"/>
  <c r="Z22" i="2"/>
  <c r="BE30" i="3"/>
  <c r="BG36" i="3"/>
  <c r="BE27" i="3"/>
  <c r="BN32" i="3"/>
  <c r="BJ40" i="3"/>
  <c r="BM41" i="3"/>
  <c r="BE14" i="3"/>
  <c r="BH28" i="3"/>
  <c r="BI20" i="3"/>
  <c r="BJ35" i="3"/>
  <c r="BA46" i="3"/>
  <c r="BK45" i="3"/>
  <c r="Y14" i="2"/>
  <c r="BK38" i="3"/>
  <c r="BI46" i="3"/>
  <c r="BC11" i="3"/>
  <c r="BL9" i="3"/>
  <c r="AA67" i="2"/>
  <c r="BI45" i="3"/>
  <c r="BR17" i="3"/>
  <c r="Y74" i="2"/>
  <c r="C5" i="2"/>
  <c r="Y21" i="2"/>
  <c r="BD13" i="3"/>
  <c r="BU36" i="3"/>
  <c r="EZ7" i="4" a="1"/>
  <c r="FB7" i="4" a="1"/>
  <c r="Y62" i="2"/>
  <c r="BN20" i="3"/>
  <c r="EY11" i="4" a="1"/>
  <c r="BI41" i="3"/>
  <c r="BS17" i="3"/>
  <c r="BQ32" i="3"/>
  <c r="BT27" i="3"/>
  <c r="BU20" i="3"/>
  <c r="BT22" i="3"/>
  <c r="BU22" i="3"/>
  <c r="Y58" i="2"/>
  <c r="BE31" i="3"/>
  <c r="BM7" i="3"/>
  <c r="BJ6" i="3"/>
  <c r="BO21" i="3"/>
  <c r="AA78" i="2"/>
  <c r="BM21" i="3"/>
  <c r="BN9" i="3"/>
  <c r="BT32" i="3"/>
  <c r="Y64" i="2"/>
  <c r="BV32" i="3"/>
  <c r="BA36" i="3"/>
  <c r="BG32" i="3"/>
  <c r="BU28" i="3"/>
  <c r="Y19" i="2"/>
  <c r="Y5" i="2"/>
  <c r="BH14" i="3"/>
  <c r="BB28" i="3"/>
  <c r="BQ18" i="3"/>
  <c r="BI37" i="3"/>
  <c r="BO36" i="3"/>
  <c r="AA29" i="2"/>
  <c r="BJ32" i="3"/>
  <c r="Y85" i="2"/>
  <c r="BN17" i="3"/>
  <c r="BS14" i="3"/>
  <c r="BK30" i="3"/>
  <c r="Z86" i="2"/>
  <c r="BA15" i="3"/>
  <c r="BT10" i="3"/>
  <c r="BA13" i="3"/>
  <c r="BJ21" i="3"/>
  <c r="BO18" i="3"/>
  <c r="BC16" i="3"/>
  <c r="BR37" i="3"/>
  <c r="BL38" i="3"/>
  <c r="BH19" i="3"/>
  <c r="BG17" i="3"/>
  <c r="Y46" i="2"/>
  <c r="BP45" i="3"/>
  <c r="AA44" i="2"/>
  <c r="BF13" i="3"/>
  <c r="BA11" i="3"/>
  <c r="BF37" i="3"/>
  <c r="Z62" i="2"/>
  <c r="GX13" i="4" a="1"/>
  <c r="BD32" i="3"/>
  <c r="BC8" i="3"/>
  <c r="BB25" i="3"/>
  <c r="BT29" i="3"/>
  <c r="BU37" i="3"/>
  <c r="BC19" i="3"/>
  <c r="BI38" i="3"/>
  <c r="BC14" i="3"/>
  <c r="BJ14" i="3"/>
  <c r="BO25" i="3"/>
  <c r="BD15" i="3"/>
  <c r="BB6" i="3"/>
  <c r="AA106" i="2"/>
  <c r="BB5" i="3"/>
  <c r="BR45" i="3"/>
  <c r="BG19" i="3"/>
  <c r="BV11" i="3"/>
  <c r="Y59" i="2"/>
  <c r="Z12" i="2"/>
  <c r="BC9" i="3"/>
  <c r="BA28" i="3"/>
  <c r="GZ9" i="4" a="1"/>
  <c r="GR14" i="4" a="1"/>
  <c r="BM6" i="3"/>
  <c r="BL22" i="3"/>
  <c r="BP33" i="3"/>
  <c r="BP46" i="3"/>
  <c r="BP15" i="3"/>
  <c r="BM31" i="3"/>
  <c r="Z73" i="2"/>
  <c r="Z76" i="2"/>
  <c r="BK33" i="3"/>
  <c r="BK15" i="3"/>
  <c r="BM18" i="3"/>
  <c r="Z5" i="2"/>
  <c r="BR30" i="3"/>
  <c r="Y98" i="2"/>
  <c r="Y40" i="2"/>
  <c r="Y25" i="2"/>
  <c r="Y105" i="2"/>
  <c r="Y78" i="2"/>
  <c r="BP23" i="3"/>
  <c r="BV20" i="3"/>
  <c r="BQ13" i="3"/>
  <c r="BN39" i="3"/>
  <c r="Y97" i="2"/>
  <c r="BH6" i="3"/>
  <c r="BU32" i="3"/>
  <c r="BV25" i="3"/>
  <c r="EY16" i="4" a="1"/>
  <c r="Z18" i="2"/>
  <c r="Y108" i="2"/>
  <c r="BS13" i="3"/>
  <c r="BC6" i="3"/>
  <c r="FE12" i="4" a="1"/>
  <c r="BK28" i="3"/>
  <c r="BK34" i="3"/>
  <c r="BN29" i="3"/>
  <c r="Z32" i="2"/>
  <c r="AA51" i="2"/>
  <c r="FL14" i="4" a="1"/>
  <c r="BS41" i="3"/>
  <c r="BF39" i="3"/>
  <c r="Y24" i="2"/>
  <c r="FD16" i="4" a="1"/>
  <c r="BN12" i="3"/>
  <c r="Y94" i="2"/>
  <c r="BG45" i="3"/>
  <c r="EX12" i="4" a="1"/>
  <c r="Y82" i="2"/>
  <c r="BM42" i="3"/>
  <c r="BV18" i="3"/>
  <c r="BG25" i="3"/>
  <c r="FD13" i="4" a="1"/>
  <c r="BD28" i="3"/>
  <c r="BU42" i="3"/>
  <c r="FC11" i="4" a="1"/>
  <c r="BV31" i="3"/>
  <c r="BL40" i="3"/>
  <c r="BI34" i="3"/>
  <c r="BN13" i="3"/>
  <c r="BV41" i="3"/>
  <c r="FD15" i="4" a="1"/>
  <c r="BO6" i="3"/>
  <c r="EZ6" i="4" a="1"/>
  <c r="BP24" i="3"/>
  <c r="AA59" i="2"/>
  <c r="EZ14" i="4" a="1"/>
  <c r="BI11" i="3"/>
  <c r="BT12" i="3"/>
  <c r="BT35" i="3"/>
  <c r="BB32" i="3"/>
  <c r="FD12" i="4" a="1"/>
  <c r="BC35" i="3"/>
  <c r="FA13" i="4" a="1"/>
  <c r="BU11" i="3"/>
  <c r="Y28" i="2"/>
  <c r="BJ33" i="3"/>
  <c r="C4" i="2"/>
  <c r="GG16" i="4" a="1"/>
  <c r="BR82" i="3"/>
  <c r="BS15" i="3"/>
  <c r="BD35" i="3"/>
  <c r="Z66" i="2"/>
  <c r="Z94" i="2"/>
  <c r="Y51" i="2"/>
  <c r="Y55" i="2"/>
  <c r="BE40" i="3"/>
  <c r="BO22" i="3"/>
  <c r="BS25" i="3"/>
  <c r="BV21" i="3"/>
  <c r="EY9" i="4" a="1"/>
  <c r="BL5" i="3"/>
  <c r="BG31" i="3"/>
  <c r="BP37" i="3"/>
  <c r="BV14" i="3"/>
  <c r="BM17" i="3"/>
  <c r="BE26" i="3"/>
  <c r="BI19" i="3"/>
  <c r="BM32" i="3"/>
  <c r="Y57" i="2"/>
  <c r="Y99" i="2"/>
  <c r="BL25" i="3"/>
  <c r="AA55" i="2"/>
  <c r="BP39" i="3"/>
  <c r="BC13" i="3"/>
  <c r="BP8" i="3"/>
  <c r="Z64" i="2"/>
  <c r="BJ29" i="3"/>
  <c r="BQ23" i="3"/>
  <c r="BC33" i="3"/>
  <c r="Z50" i="2"/>
  <c r="BT39" i="3"/>
  <c r="BS32" i="3"/>
  <c r="FC6" i="4" a="1"/>
  <c r="Z44" i="2"/>
  <c r="BT7" i="3"/>
  <c r="BT45" i="3"/>
  <c r="BT36" i="3"/>
  <c r="FM9" i="4" a="1"/>
  <c r="BR64" i="3"/>
  <c r="HE6" i="4" a="1"/>
  <c r="BE19" i="3"/>
  <c r="BV38" i="3"/>
  <c r="BH34" i="3"/>
  <c r="BR27" i="3"/>
  <c r="BF41" i="3"/>
  <c r="BR29" i="3"/>
  <c r="BC23" i="3"/>
  <c r="BA16" i="3"/>
  <c r="BI33" i="3"/>
  <c r="Z109" i="2"/>
  <c r="BG20" i="3"/>
  <c r="AA20" i="2"/>
  <c r="BH42" i="3"/>
  <c r="BB15" i="3"/>
  <c r="BH35" i="3"/>
  <c r="BK26" i="3"/>
  <c r="BR6" i="3"/>
  <c r="Z8" i="2"/>
  <c r="BA29" i="3"/>
  <c r="BP21" i="3"/>
  <c r="BK46" i="3"/>
  <c r="BV7" i="3"/>
  <c r="AA96" i="2"/>
  <c r="BR19" i="3"/>
  <c r="Y32" i="2"/>
  <c r="BL24" i="3"/>
  <c r="FP8" i="4" a="1"/>
  <c r="BV92" i="3"/>
  <c r="GB14" i="4" a="1"/>
  <c r="BV75" i="3"/>
  <c r="BO41" i="3"/>
  <c r="Y11" i="2"/>
  <c r="FB16" i="4" a="1"/>
  <c r="Z105" i="2"/>
  <c r="BQ28" i="3"/>
  <c r="BN5" i="3"/>
  <c r="BF20" i="3"/>
  <c r="BS27" i="3"/>
  <c r="BP36" i="3"/>
  <c r="BA22" i="3"/>
  <c r="Y90" i="2"/>
  <c r="BE5" i="3"/>
  <c r="BE63" i="3" s="1"/>
  <c r="BH26" i="3"/>
  <c r="BP16" i="3"/>
  <c r="BI14" i="3"/>
  <c r="BV33" i="3"/>
  <c r="BO20" i="3"/>
  <c r="BK41" i="3"/>
  <c r="BP35" i="3"/>
  <c r="BK42" i="3"/>
  <c r="BN34" i="3"/>
  <c r="Z45" i="2"/>
  <c r="BP11" i="3"/>
  <c r="BB34" i="3"/>
  <c r="BM11" i="3"/>
  <c r="BE42" i="3"/>
  <c r="BA26" i="3"/>
  <c r="FB15" i="4" a="1"/>
  <c r="BD21" i="3"/>
  <c r="BM33" i="3"/>
  <c r="BD7" i="3"/>
  <c r="BA33" i="3"/>
  <c r="BP42" i="3"/>
  <c r="BL26" i="3"/>
  <c r="BC34" i="3"/>
  <c r="BD39" i="3"/>
  <c r="BK11" i="3"/>
  <c r="BK35" i="3"/>
  <c r="BE15" i="3"/>
  <c r="BB45" i="3"/>
  <c r="BS16" i="3"/>
  <c r="Y47" i="2"/>
  <c r="BE18" i="3"/>
  <c r="BL10" i="3"/>
  <c r="Z93" i="2"/>
  <c r="BD31" i="3"/>
  <c r="BN6" i="3"/>
  <c r="FB12" i="4" a="1"/>
  <c r="BV36" i="3"/>
  <c r="BR31" i="3"/>
  <c r="BG90" i="3"/>
  <c r="BE76" i="3"/>
  <c r="GT13" i="4" a="1"/>
  <c r="Z107" i="2"/>
  <c r="BO16" i="3"/>
  <c r="BE6" i="3"/>
  <c r="BS24" i="3"/>
  <c r="BG13" i="3"/>
  <c r="BS26" i="3"/>
  <c r="FF12" i="4" a="1"/>
  <c r="Y42" i="2"/>
  <c r="Z14" i="2"/>
  <c r="Y12" i="2"/>
  <c r="BF34" i="3"/>
  <c r="Z75" i="2"/>
  <c r="BS46" i="3"/>
  <c r="AA12" i="2"/>
  <c r="BQ5" i="3"/>
  <c r="AV10" i="3"/>
  <c r="BQ7" i="3"/>
  <c r="BB27" i="3"/>
  <c r="Z89" i="2"/>
  <c r="BP22" i="3"/>
  <c r="BI29" i="3"/>
  <c r="BS5" i="3"/>
  <c r="BQ20" i="3"/>
  <c r="BE11" i="3"/>
  <c r="BV28" i="3"/>
  <c r="FF15" i="4" a="1"/>
  <c r="BT34" i="3"/>
  <c r="BA38" i="3"/>
  <c r="BJ15" i="3"/>
  <c r="BH11" i="3"/>
  <c r="BK9" i="3"/>
  <c r="BK14" i="3"/>
  <c r="BS30" i="3"/>
  <c r="BH16" i="3"/>
  <c r="Y81" i="2"/>
  <c r="Y83" i="2"/>
  <c r="Z71" i="2"/>
  <c r="BE46" i="3"/>
  <c r="Z60" i="2"/>
  <c r="BH82" i="3"/>
  <c r="BV59" i="3"/>
  <c r="GR9" i="4" a="1"/>
  <c r="BJ41" i="3"/>
  <c r="BA7" i="3"/>
  <c r="BQ29" i="3"/>
  <c r="BA10" i="3"/>
  <c r="BQ31" i="3"/>
  <c r="BD12" i="3"/>
  <c r="BB20" i="3"/>
  <c r="BM22" i="3"/>
  <c r="BM34" i="3"/>
  <c r="BS29" i="3"/>
  <c r="BQ46" i="3"/>
  <c r="BL6" i="3"/>
  <c r="BS12" i="3"/>
  <c r="EX6" i="4" a="1"/>
  <c r="BG15" i="3"/>
  <c r="FD14" i="4" a="1"/>
  <c r="BM40" i="3"/>
  <c r="BL20" i="3"/>
  <c r="BP41" i="3"/>
  <c r="BN21" i="3"/>
  <c r="BG38" i="3"/>
  <c r="BT38" i="3"/>
  <c r="BC22" i="3"/>
  <c r="BA17" i="3"/>
  <c r="BU35" i="3"/>
  <c r="BH36" i="3"/>
  <c r="BR18" i="3"/>
  <c r="BE80" i="3"/>
  <c r="GV9" i="4" a="1"/>
  <c r="BL93" i="3"/>
  <c r="GI13" i="4" a="1"/>
  <c r="BJ39" i="3"/>
  <c r="BS22" i="3"/>
  <c r="BL15" i="3"/>
  <c r="BO11" i="3"/>
  <c r="BF22" i="3"/>
  <c r="BO13" i="3"/>
  <c r="BD24" i="3"/>
  <c r="Y80" i="2"/>
  <c r="BK19" i="3"/>
  <c r="BA9" i="3"/>
  <c r="BH46" i="3"/>
  <c r="AA32" i="2"/>
  <c r="AA109" i="2"/>
  <c r="AA86" i="2"/>
  <c r="BD33" i="3"/>
  <c r="AA92" i="2"/>
  <c r="FF13" i="4" a="1"/>
  <c r="FB8" i="4" a="1"/>
  <c r="BK6" i="3"/>
  <c r="BJ13" i="3"/>
  <c r="AA47" i="2"/>
  <c r="BM36" i="3"/>
  <c r="BB17" i="3"/>
  <c r="BV8" i="3"/>
  <c r="BT5" i="3"/>
  <c r="BF8" i="3"/>
  <c r="BQ8" i="3"/>
  <c r="EY8" i="4" a="1"/>
  <c r="BI28" i="3"/>
  <c r="BF24" i="3"/>
  <c r="AA50" i="2"/>
  <c r="Y65" i="2"/>
  <c r="Y29" i="2"/>
  <c r="BV16" i="3"/>
  <c r="Y68" i="2"/>
  <c r="AA91" i="2"/>
  <c r="BR41" i="3"/>
  <c r="Y91" i="2"/>
  <c r="BD19" i="3"/>
  <c r="AA71" i="2"/>
  <c r="Z95" i="2"/>
  <c r="BC42" i="3"/>
  <c r="BB21" i="3"/>
  <c r="BR38" i="3"/>
  <c r="BG7" i="3"/>
  <c r="BF11" i="3"/>
  <c r="BM29" i="3"/>
  <c r="BD17" i="3"/>
  <c r="BU17" i="3"/>
  <c r="BA14" i="3"/>
  <c r="BF36" i="3"/>
  <c r="BN25" i="3"/>
  <c r="BS18" i="3"/>
  <c r="FE11" i="4" a="1"/>
  <c r="BA18" i="3"/>
  <c r="AA48" i="2"/>
  <c r="AA30" i="2"/>
  <c r="BJ12" i="3"/>
  <c r="BC45" i="3"/>
  <c r="BJ26" i="3"/>
  <c r="BJ9" i="3"/>
  <c r="GL15" i="4" a="1"/>
  <c r="FP5" i="4" a="1"/>
  <c r="BH68" i="3"/>
  <c r="BI36" i="3"/>
  <c r="Z47" i="2"/>
  <c r="Y70" i="2"/>
  <c r="AA10" i="2"/>
  <c r="Z27" i="2"/>
  <c r="AA8" i="2"/>
  <c r="BK27" i="3"/>
  <c r="BN41" i="3"/>
  <c r="BR16" i="3"/>
  <c r="BT23" i="3"/>
  <c r="BA25" i="3"/>
  <c r="BO30" i="3"/>
  <c r="AA63" i="2"/>
  <c r="BP5" i="3"/>
  <c r="BP84" i="3" s="1"/>
  <c r="BN26" i="3"/>
  <c r="BG26" i="3"/>
  <c r="BH33" i="3"/>
  <c r="BE33" i="3"/>
  <c r="AA89" i="2"/>
  <c r="Y15" i="2"/>
  <c r="Z15" i="2"/>
  <c r="BD37" i="3"/>
  <c r="BM46" i="3"/>
  <c r="AA60" i="2"/>
  <c r="BC20" i="3"/>
  <c r="EZ13" i="4" a="1"/>
  <c r="BI26" i="3"/>
  <c r="BI32" i="3"/>
  <c r="FF9" i="4" a="1"/>
  <c r="BC24" i="3"/>
  <c r="BB18" i="3"/>
  <c r="BB13" i="3"/>
  <c r="BM5" i="3"/>
  <c r="BM94" i="3" s="1"/>
  <c r="BN15" i="3"/>
  <c r="BO19" i="3"/>
  <c r="BG29" i="3"/>
  <c r="BD40" i="3"/>
  <c r="BU24" i="3"/>
  <c r="Y110" i="2"/>
  <c r="FO16" i="4" a="1"/>
  <c r="FK13" i="4" a="1"/>
  <c r="BB96" i="3"/>
  <c r="BC29" i="3"/>
  <c r="BN45" i="3"/>
  <c r="BT18" i="3"/>
  <c r="BM30" i="3"/>
  <c r="BP14" i="3"/>
  <c r="BK37" i="3"/>
  <c r="Y67" i="2"/>
  <c r="BD45" i="3"/>
  <c r="Y16" i="2"/>
  <c r="Z49" i="2"/>
  <c r="BF7" i="3"/>
  <c r="Z84" i="2"/>
  <c r="BD36" i="3"/>
  <c r="BQ26" i="3"/>
  <c r="Y76" i="2"/>
  <c r="BI23" i="3"/>
  <c r="BU19" i="3"/>
  <c r="FB14" i="4" a="1"/>
  <c r="Z74" i="2"/>
  <c r="BB31" i="3"/>
  <c r="BM24" i="3"/>
  <c r="BK10" i="3"/>
  <c r="BI12" i="3"/>
  <c r="BK5" i="3"/>
  <c r="EX7" i="4" a="1"/>
  <c r="BC12" i="3"/>
  <c r="EX8" i="4" a="1"/>
  <c r="BL27" i="3"/>
  <c r="BO7" i="3"/>
  <c r="Z61" i="2"/>
  <c r="BH63" i="3"/>
  <c r="EZ12" i="4" a="1"/>
  <c r="BM23" i="3"/>
  <c r="FE8" i="4" a="1"/>
  <c r="BQ24" i="3"/>
  <c r="BO5" i="3"/>
  <c r="BL35" i="3"/>
  <c r="AA85" i="2"/>
  <c r="BP89" i="3"/>
  <c r="HC16" i="4" a="1"/>
  <c r="BT46" i="3"/>
  <c r="BP29" i="3"/>
  <c r="BU5" i="3"/>
  <c r="Y6" i="2"/>
  <c r="AA84" i="2"/>
  <c r="BT15" i="3"/>
  <c r="BP38" i="3"/>
  <c r="Z97" i="2"/>
  <c r="BH24" i="3"/>
  <c r="BR24" i="3"/>
  <c r="FE6" i="4" a="1"/>
  <c r="Y36" i="2"/>
  <c r="BJ16" i="3"/>
  <c r="BG18" i="3"/>
  <c r="BJ42" i="3"/>
  <c r="BE22" i="3"/>
  <c r="BL42" i="3"/>
  <c r="Y41" i="2"/>
  <c r="Z53" i="2"/>
  <c r="BP13" i="3"/>
  <c r="AA80" i="2"/>
  <c r="BG24" i="3"/>
  <c r="HE12" i="4" a="1"/>
  <c r="FH9" i="4" a="1"/>
  <c r="BI17" i="3"/>
  <c r="AA75" i="2"/>
  <c r="BH12" i="3"/>
  <c r="FC12" i="4" a="1"/>
  <c r="BF19" i="3"/>
  <c r="EY14" i="4" a="1"/>
  <c r="AA6" i="2"/>
  <c r="BE21" i="3"/>
  <c r="BI25" i="3"/>
  <c r="BF26" i="3"/>
  <c r="BI24" i="3"/>
  <c r="BL33" i="3"/>
  <c r="BF31" i="3"/>
  <c r="BI18" i="3"/>
  <c r="BO8" i="3"/>
  <c r="EY6" i="4" a="1"/>
  <c r="BC38" i="3"/>
  <c r="AA53" i="2"/>
  <c r="BN35" i="3"/>
  <c r="BN28" i="3"/>
  <c r="BD23" i="3"/>
  <c r="BF28" i="3"/>
  <c r="FE9" i="4" a="1"/>
  <c r="BA5" i="3"/>
  <c r="AA40" i="2"/>
  <c r="BT31" i="3"/>
  <c r="BE24" i="3"/>
  <c r="BJ27" i="3"/>
  <c r="BF23" i="3"/>
  <c r="BN33" i="3"/>
  <c r="BF33" i="3"/>
  <c r="EX16" i="4" a="1"/>
  <c r="AA42" i="2"/>
  <c r="AA105" i="2"/>
  <c r="Z68" i="2"/>
  <c r="BQ41" i="3"/>
  <c r="Y52" i="2"/>
  <c r="BC41" i="3"/>
  <c r="Y8" i="2"/>
  <c r="AA77" i="2"/>
  <c r="BS11" i="3"/>
  <c r="BV29" i="3"/>
  <c r="FA14" i="4" a="1"/>
  <c r="BG21" i="3"/>
  <c r="BF9" i="3"/>
  <c r="BI15" i="3"/>
  <c r="BP31" i="3"/>
  <c r="BA74" i="3"/>
  <c r="GP11" i="4" a="1"/>
  <c r="FH16" i="4" a="1"/>
  <c r="BU80" i="3"/>
  <c r="FN7" i="4" a="1"/>
  <c r="BN70" i="3"/>
  <c r="FW8" i="4" a="1"/>
  <c r="BM80" i="3"/>
  <c r="BQ61" i="3"/>
  <c r="FQ9" i="4" a="1"/>
  <c r="BS72" i="3"/>
  <c r="BM60" i="3"/>
  <c r="BO64" i="3"/>
  <c r="FG5" i="4" a="1"/>
  <c r="BQ55" i="3"/>
  <c r="BK78" i="3"/>
  <c r="BS88" i="3"/>
  <c r="BP56" i="3"/>
  <c r="BA21" i="3"/>
  <c r="BG34" i="3"/>
  <c r="Y10" i="2"/>
  <c r="Z110" i="2"/>
  <c r="FW6" i="4" a="1"/>
  <c r="BK82" i="3"/>
  <c r="BF15" i="3"/>
  <c r="BP57" i="3"/>
  <c r="Z108" i="2"/>
  <c r="BN64" i="3"/>
  <c r="AA73" i="2"/>
  <c r="BV46" i="3"/>
  <c r="BN30" i="3"/>
  <c r="AA52" i="2"/>
  <c r="BS20" i="3"/>
  <c r="AA56" i="2"/>
  <c r="FM5" i="4" a="1"/>
  <c r="BH77" i="3"/>
  <c r="BP25" i="3"/>
  <c r="BR12" i="3"/>
  <c r="AA70" i="2"/>
  <c r="Z78" i="2"/>
  <c r="Z52" i="2"/>
  <c r="BS28" i="3"/>
  <c r="BE45" i="3"/>
  <c r="BG33" i="3"/>
  <c r="BG8" i="3"/>
  <c r="BP7" i="3"/>
  <c r="AA94" i="2"/>
  <c r="BF38" i="3"/>
  <c r="BU45" i="3"/>
  <c r="BU21" i="3"/>
  <c r="BB26" i="3"/>
  <c r="BC26" i="3"/>
  <c r="BT25" i="3"/>
  <c r="BN14" i="3"/>
  <c r="BN18" i="3"/>
  <c r="AA88" i="2"/>
  <c r="BU16" i="3"/>
  <c r="Z35" i="2"/>
  <c r="BU26" i="3"/>
  <c r="BM57" i="3"/>
  <c r="BA8" i="3"/>
  <c r="BG16" i="3"/>
  <c r="BN40" i="3"/>
  <c r="BE23" i="3"/>
  <c r="AB39" i="3"/>
  <c r="BK24" i="3"/>
  <c r="BQ9" i="3"/>
  <c r="BB12" i="3"/>
  <c r="Y93" i="2"/>
  <c r="Y109" i="2"/>
  <c r="Y104" i="2"/>
  <c r="BD34" i="3"/>
  <c r="BD30" i="3"/>
  <c r="BT11" i="3"/>
  <c r="BB41" i="3"/>
  <c r="BP28" i="3"/>
  <c r="BP30" i="3"/>
  <c r="BQ62" i="3"/>
  <c r="BC30" i="3"/>
  <c r="BC46" i="3"/>
  <c r="BH13" i="3"/>
  <c r="BI27" i="3"/>
  <c r="AA110" i="2"/>
  <c r="FF8" i="4" a="1"/>
  <c r="BL32" i="3"/>
  <c r="FD7" i="4" a="1"/>
  <c r="BJ10" i="3"/>
  <c r="FE14" i="4" a="1"/>
  <c r="BH39" i="3"/>
  <c r="FF6" i="4" a="1"/>
  <c r="BA37" i="3"/>
  <c r="BE8" i="3"/>
  <c r="BM26" i="3"/>
  <c r="BI9" i="3"/>
  <c r="BV26" i="3"/>
  <c r="BM45" i="3"/>
  <c r="BT16" i="3"/>
  <c r="AA90" i="2"/>
  <c r="BO32" i="3"/>
  <c r="BU10" i="3"/>
  <c r="BC15" i="3"/>
  <c r="BD42" i="3"/>
  <c r="BH17" i="3"/>
  <c r="Y43" i="2"/>
  <c r="BB24" i="3"/>
  <c r="BP40" i="3"/>
  <c r="FC9" i="4" a="1"/>
  <c r="GQ9" i="4" a="1"/>
  <c r="BS69" i="3"/>
  <c r="BO65" i="3"/>
  <c r="FQ5" i="4" a="1"/>
  <c r="BT93" i="3"/>
  <c r="FH12" i="4" a="1"/>
  <c r="BG63" i="3"/>
  <c r="BR21" i="3"/>
  <c r="BM38" i="3"/>
  <c r="AA58" i="2"/>
  <c r="BO14" i="3"/>
  <c r="FA7" i="4" a="1"/>
  <c r="BQ37" i="3"/>
  <c r="BO38" i="3"/>
  <c r="BF40" i="3"/>
  <c r="BT8" i="3"/>
  <c r="Z23" i="2"/>
  <c r="BO75" i="3"/>
  <c r="Y111" i="2"/>
  <c r="AA98" i="2"/>
  <c r="BJ37" i="3"/>
  <c r="BS35" i="3"/>
  <c r="BI5" i="3"/>
  <c r="BE20" i="3"/>
  <c r="BG6" i="3"/>
  <c r="BA6" i="3"/>
  <c r="FF7" i="4" a="1"/>
  <c r="BS38" i="3"/>
  <c r="BF10" i="3"/>
  <c r="BR7" i="3"/>
  <c r="Z87" i="2"/>
  <c r="BJ5" i="3"/>
  <c r="BJ90" i="3" s="1"/>
  <c r="BN36" i="3"/>
  <c r="BO29" i="3"/>
  <c r="BM19" i="3"/>
  <c r="BA32" i="3"/>
  <c r="Y61" i="2"/>
  <c r="Z13" i="2"/>
  <c r="FB11" i="4" a="1"/>
  <c r="BB33" i="3"/>
  <c r="BQ40" i="3"/>
  <c r="BB8" i="3"/>
  <c r="BS91" i="3"/>
  <c r="BN77" i="3"/>
  <c r="BL36" i="3"/>
  <c r="BC31" i="3"/>
  <c r="BU27" i="3"/>
  <c r="Y56" i="2"/>
  <c r="BU29" i="3"/>
  <c r="Y7" i="2"/>
  <c r="BL39" i="3"/>
  <c r="BI39" i="3"/>
  <c r="BH38" i="3"/>
  <c r="BO28" i="3"/>
  <c r="BU6" i="3"/>
  <c r="BK36" i="3"/>
  <c r="BR15" i="3"/>
  <c r="BJ17" i="3"/>
  <c r="BI35" i="3"/>
  <c r="AA25" i="2"/>
  <c r="BK31" i="3"/>
  <c r="BJ11" i="3"/>
  <c r="BE41" i="3"/>
  <c r="BF35" i="3"/>
  <c r="Y66" i="2"/>
  <c r="EZ8" i="4" a="1"/>
  <c r="Y63" i="2"/>
  <c r="BV22" i="3"/>
  <c r="BD38" i="3"/>
  <c r="BN27" i="3"/>
  <c r="AA68" i="2"/>
  <c r="BI16" i="3"/>
  <c r="Y23" i="2"/>
  <c r="BG23" i="3"/>
  <c r="BQ33" i="3"/>
  <c r="Z24" i="2"/>
  <c r="AA69" i="2"/>
  <c r="Y34" i="2"/>
  <c r="Y35" i="2"/>
  <c r="FA12" i="4" a="1"/>
  <c r="Z106" i="2"/>
  <c r="BK16" i="3"/>
  <c r="Z11" i="2"/>
  <c r="BK7" i="3"/>
  <c r="BI22" i="3"/>
  <c r="BG28" i="3"/>
  <c r="Y89" i="2"/>
  <c r="Z79" i="2"/>
  <c r="FD5" i="4" a="1"/>
  <c r="BK17" i="3"/>
  <c r="EZ9" i="4" a="1"/>
  <c r="BJ63" i="3"/>
  <c r="BA50" i="3"/>
  <c r="GM11" i="4" a="1"/>
  <c r="BB50" i="3"/>
  <c r="HA6" i="4" a="1"/>
  <c r="BQ85" i="3"/>
  <c r="BS77" i="3"/>
  <c r="BR89" i="3"/>
  <c r="GI8" i="4" a="1"/>
  <c r="GS7" i="4" a="1"/>
  <c r="BU94" i="3"/>
  <c r="GS11" i="4" a="1"/>
  <c r="BE97" i="3"/>
  <c r="BS76" i="3"/>
  <c r="FI15" i="4" a="1"/>
  <c r="BN56" i="3"/>
  <c r="BO49" i="3"/>
  <c r="EX14" i="4" a="1"/>
  <c r="BT33" i="3"/>
  <c r="BE37" i="3"/>
  <c r="BD9" i="3"/>
  <c r="BR54" i="3"/>
  <c r="GO13" i="4" a="1"/>
  <c r="FK14" i="4" a="1"/>
  <c r="FW5" i="4" a="1"/>
  <c r="BS63" i="3"/>
  <c r="FQ11" i="4" a="1"/>
  <c r="BP73" i="3"/>
  <c r="BN81" i="3"/>
  <c r="BV90" i="3"/>
  <c r="BQ93" i="3"/>
  <c r="BM63" i="3"/>
  <c r="BL21" i="3"/>
  <c r="BR13" i="3"/>
  <c r="BM10" i="3"/>
  <c r="BR65" i="3"/>
  <c r="BA40" i="3"/>
  <c r="Z57" i="2"/>
  <c r="BR20" i="3"/>
  <c r="BS9" i="3"/>
  <c r="BH15" i="3"/>
  <c r="BP20" i="3"/>
  <c r="BC36" i="3"/>
  <c r="HF11" i="4" a="1"/>
  <c r="BK83" i="3"/>
  <c r="BA34" i="3"/>
  <c r="BD5" i="3"/>
  <c r="BF45" i="3"/>
  <c r="Y84" i="2"/>
  <c r="BP19" i="3"/>
  <c r="AA22" i="2"/>
  <c r="BR46" i="3"/>
  <c r="BH21" i="3"/>
  <c r="Z81" i="2"/>
  <c r="BS33" i="3"/>
  <c r="BL18" i="3"/>
  <c r="BG27" i="3"/>
  <c r="BK32" i="3"/>
  <c r="AA15" i="2"/>
  <c r="Y33" i="2"/>
  <c r="BN37" i="3"/>
  <c r="BE28" i="3"/>
  <c r="BK39" i="3"/>
  <c r="Z34" i="2"/>
  <c r="BO27" i="3"/>
  <c r="BA39" i="3"/>
  <c r="BH27" i="3"/>
  <c r="BG58" i="3"/>
  <c r="HC6" i="4" a="1"/>
  <c r="FL13" i="4" a="1"/>
  <c r="BJ20" i="3"/>
  <c r="BP32" i="3"/>
  <c r="BT13" i="3"/>
  <c r="BO35" i="3"/>
  <c r="BT37" i="3"/>
  <c r="BS39" i="3"/>
  <c r="Y54" i="2"/>
  <c r="BB16" i="3"/>
  <c r="AA61" i="2"/>
  <c r="AA36" i="2"/>
  <c r="BQ17" i="3"/>
  <c r="Z83" i="2"/>
  <c r="AA7" i="2"/>
  <c r="BC7" i="3"/>
  <c r="BJ8" i="3"/>
  <c r="BV27" i="3"/>
  <c r="BE34" i="3"/>
  <c r="FD6" i="4" a="1"/>
  <c r="BC17" i="3"/>
  <c r="BP6" i="3"/>
  <c r="Y44" i="2"/>
  <c r="BO15" i="3"/>
  <c r="FC5" i="4" a="1"/>
  <c r="BG39" i="3"/>
  <c r="BQ27" i="3"/>
  <c r="BB35" i="3"/>
  <c r="BV10" i="3"/>
  <c r="BB10" i="3"/>
  <c r="BV12" i="3"/>
  <c r="Y69" i="2"/>
  <c r="BP34" i="3"/>
  <c r="BL11" i="3"/>
  <c r="BV19" i="3"/>
  <c r="BM37" i="3"/>
  <c r="BU30" i="3"/>
  <c r="BG35" i="3"/>
  <c r="BR39" i="3"/>
  <c r="BH31" i="3"/>
  <c r="BE38" i="3"/>
  <c r="FD8" i="4" a="1"/>
  <c r="AA24" i="2"/>
  <c r="BG37" i="3"/>
  <c r="BF18" i="3"/>
  <c r="BO34" i="3"/>
  <c r="AA104" i="2"/>
  <c r="BQ16" i="3"/>
  <c r="BB38" i="3"/>
  <c r="BU79" i="3"/>
  <c r="BT59" i="3"/>
  <c r="BA93" i="3"/>
  <c r="BN61" i="3"/>
  <c r="BB74" i="3"/>
  <c r="BU84" i="3"/>
  <c r="FR6" i="4" a="1"/>
  <c r="GR8" i="4" a="1"/>
  <c r="BD85" i="3"/>
  <c r="BV81" i="3"/>
  <c r="BJ95" i="3"/>
  <c r="BM97" i="3"/>
  <c r="FU9" i="4" a="1"/>
  <c r="HB12" i="4" a="1"/>
  <c r="BR79" i="3"/>
  <c r="BP77" i="3"/>
  <c r="GN8" i="4" a="1"/>
  <c r="BM20" i="3"/>
  <c r="Y92" i="2"/>
  <c r="FC7" i="4" a="1"/>
  <c r="AA87" i="2"/>
  <c r="BH75" i="3"/>
  <c r="BA59" i="3"/>
  <c r="FY12" i="4" a="1"/>
  <c r="BH55" i="3"/>
  <c r="GT5" i="4" a="1"/>
  <c r="BM65" i="3"/>
  <c r="BU70" i="3"/>
  <c r="BO71" i="3"/>
  <c r="HA8" i="4" a="1"/>
  <c r="HD6" i="4" a="1"/>
  <c r="GR5" i="4" a="1"/>
  <c r="BN8" i="3"/>
  <c r="FA16" i="4" a="1"/>
  <c r="AA19" i="2"/>
  <c r="BD27" i="3"/>
  <c r="BP72" i="3"/>
  <c r="BG62" i="3"/>
  <c r="BE79" i="3"/>
  <c r="BB58" i="3"/>
  <c r="BP59" i="3"/>
  <c r="BP9" i="3"/>
  <c r="BL13" i="3"/>
  <c r="BT65" i="3"/>
  <c r="BT79" i="3"/>
  <c r="BK92" i="3"/>
  <c r="EZ11" i="4" a="1"/>
  <c r="BN48" i="3"/>
  <c r="BK84" i="3"/>
  <c r="GO8" i="4" a="1"/>
  <c r="BM73" i="3"/>
  <c r="BO79" i="3"/>
  <c r="BR9" i="3"/>
  <c r="BA41" i="3"/>
  <c r="Z30" i="2"/>
  <c r="BL77" i="3"/>
  <c r="BG65" i="3"/>
  <c r="BG81" i="3"/>
  <c r="AA17" i="2"/>
  <c r="Y31" i="2"/>
  <c r="BT14" i="3"/>
  <c r="EX9" i="4" a="1"/>
  <c r="BQ68" i="3"/>
  <c r="GH8" i="4" a="1"/>
  <c r="BV73" i="3"/>
  <c r="BN74" i="3"/>
  <c r="GY5" i="4" a="1"/>
  <c r="HF6" i="4" a="1"/>
  <c r="BM59" i="3"/>
  <c r="BH87" i="3"/>
  <c r="BN91" i="3"/>
  <c r="FT5" i="4" a="1"/>
  <c r="GA12" i="4" a="1"/>
  <c r="GJ16" i="4" a="1"/>
  <c r="BB39" i="3"/>
  <c r="FD9" i="4" a="1"/>
  <c r="BD20" i="3"/>
  <c r="BP18" i="3"/>
  <c r="BV63" i="3"/>
  <c r="GE16" i="4" a="1"/>
  <c r="BI73" i="3"/>
  <c r="FQ14" i="4" a="1"/>
  <c r="HH14" i="4" a="1"/>
  <c r="BT70" i="3"/>
  <c r="BK76" i="3"/>
  <c r="GF13" i="4" a="1"/>
  <c r="BH95" i="3"/>
  <c r="BD82" i="3"/>
  <c r="BD57" i="3"/>
  <c r="BT58" i="3"/>
  <c r="FU6" i="4" a="1"/>
  <c r="BI70" i="3"/>
  <c r="BH69" i="3"/>
  <c r="FG6" i="4" a="1"/>
  <c r="BT82" i="3"/>
  <c r="HC12" i="4" a="1"/>
  <c r="BO66" i="3"/>
  <c r="BQ78" i="3"/>
  <c r="FS7" i="4" a="1"/>
  <c r="BL7" i="3"/>
  <c r="BB19" i="3"/>
  <c r="BO31" i="3"/>
  <c r="BE12" i="3"/>
  <c r="BV97" i="3"/>
  <c r="GY13" i="4" a="1"/>
  <c r="GV15" i="4" a="1"/>
  <c r="FP16" i="4" a="1"/>
  <c r="BN47" i="3"/>
  <c r="FI6" i="4" a="1"/>
  <c r="HD16" i="4" a="1"/>
  <c r="BL48" i="3"/>
  <c r="BB77" i="3"/>
  <c r="BA58" i="3"/>
  <c r="BN90" i="3"/>
  <c r="FK9" i="4" a="1"/>
  <c r="BQ64" i="3"/>
  <c r="BQ74" i="3"/>
  <c r="BH62" i="3"/>
  <c r="GL5" i="4" a="1"/>
  <c r="FG9" i="4" a="1"/>
  <c r="FZ13" i="4" a="1"/>
  <c r="BS86" i="3"/>
  <c r="BN73" i="3"/>
  <c r="GG13" i="4" a="1"/>
  <c r="BL86" i="3"/>
  <c r="GA11" i="4" a="1"/>
  <c r="BN10" i="3"/>
  <c r="BO24" i="3"/>
  <c r="BU12" i="3"/>
  <c r="BB7" i="3"/>
  <c r="FS12" i="4" a="1"/>
  <c r="BE71" i="3"/>
  <c r="Z113" i="2"/>
  <c r="BD61" i="3"/>
  <c r="FY9" i="4" a="1"/>
  <c r="BL66" i="3"/>
  <c r="BH57" i="3"/>
  <c r="BM69" i="3"/>
  <c r="BP74" i="3"/>
  <c r="BS75" i="3"/>
  <c r="FK11" i="4" a="1"/>
  <c r="BD14" i="3"/>
  <c r="BI10" i="3"/>
  <c r="BB30" i="3"/>
  <c r="BD54" i="3"/>
  <c r="BH89" i="3"/>
  <c r="GL13" i="4" a="1"/>
  <c r="GG9" i="4" a="1"/>
  <c r="FX16" i="4" a="1"/>
  <c r="BQ77" i="3"/>
  <c r="FU15" i="4" a="1"/>
  <c r="BL59" i="3"/>
  <c r="BN71" i="3"/>
  <c r="FV8" i="4" a="1"/>
  <c r="BG59" i="3"/>
  <c r="BR90" i="3"/>
  <c r="BV50" i="3"/>
  <c r="BI61" i="3"/>
  <c r="BI49" i="3"/>
  <c r="BI65" i="3"/>
  <c r="BB72" i="3"/>
  <c r="BE55" i="3"/>
  <c r="FL11" i="4" a="1"/>
  <c r="BA78" i="3"/>
  <c r="BV65" i="3"/>
  <c r="Y30" i="2"/>
  <c r="BM28" i="3"/>
  <c r="BK18" i="3"/>
  <c r="BS45" i="3"/>
  <c r="BV78" i="3"/>
  <c r="GM13" i="4" a="1"/>
  <c r="GV14" i="4" a="1"/>
  <c r="BQ67" i="3"/>
  <c r="BO74" i="3"/>
  <c r="GD15" i="4" a="1"/>
  <c r="BM66" i="3"/>
  <c r="BL79" i="3"/>
  <c r="BA64" i="3"/>
  <c r="GB8" i="4" a="1"/>
  <c r="BO86" i="3"/>
  <c r="BO63" i="3"/>
  <c r="BV85" i="3"/>
  <c r="FZ5" i="4" a="1"/>
  <c r="BH61" i="3"/>
  <c r="BT56" i="3"/>
  <c r="GZ8" i="4" a="1"/>
  <c r="GO6" i="4" a="1"/>
  <c r="BN82" i="3"/>
  <c r="FQ13" i="4" a="1"/>
  <c r="HC7" i="4" a="1"/>
  <c r="BE86" i="3"/>
  <c r="BL95" i="3"/>
  <c r="Z82" i="2"/>
  <c r="AA49" i="2"/>
  <c r="AA45" i="2"/>
  <c r="AA83" i="2"/>
  <c r="FP11" i="4" a="1"/>
  <c r="BE84" i="3"/>
  <c r="BO82" i="3"/>
  <c r="BD60" i="3"/>
  <c r="BA96" i="3"/>
  <c r="BK66" i="3"/>
  <c r="FZ7" i="4" a="1"/>
  <c r="BA92" i="3"/>
  <c r="BS59" i="3"/>
  <c r="BB37" i="3"/>
  <c r="FA15" i="4" a="1"/>
  <c r="BO46" i="3"/>
  <c r="BB29" i="3"/>
  <c r="BF17" i="3"/>
  <c r="BI31" i="3"/>
  <c r="Z56" i="2"/>
  <c r="FY13" i="4" a="1"/>
  <c r="BR50" i="3"/>
  <c r="BR96" i="3"/>
  <c r="BA91" i="3"/>
  <c r="BG96" i="3"/>
  <c r="GX7" i="4" a="1"/>
  <c r="GK11" i="4" a="1"/>
  <c r="BM93" i="3"/>
  <c r="BV67" i="3"/>
  <c r="BS55" i="3"/>
  <c r="BH94" i="3"/>
  <c r="BI78" i="3"/>
  <c r="BA60" i="3"/>
  <c r="BN96" i="3"/>
  <c r="GK8" i="4" a="1"/>
  <c r="BI74" i="3"/>
  <c r="BD47" i="3"/>
  <c r="BQ83" i="3"/>
  <c r="BG86" i="3"/>
  <c r="BM55" i="3"/>
  <c r="BL69" i="3"/>
  <c r="BD48" i="3"/>
  <c r="BL56" i="3"/>
  <c r="GD7" i="4" a="1"/>
  <c r="BT74" i="3"/>
  <c r="GN14" i="4" a="1"/>
  <c r="GO14" i="4" a="1"/>
  <c r="FV5" i="4" a="1"/>
  <c r="BU81" i="3"/>
  <c r="FN8" i="4" a="1"/>
  <c r="FY16" i="4" a="1"/>
  <c r="BJ18" i="3"/>
  <c r="BG80" i="3"/>
  <c r="BG85" i="3"/>
  <c r="FT6" i="4" a="1"/>
  <c r="BI54" i="3"/>
  <c r="BJ97" i="3"/>
  <c r="BH7" i="3"/>
  <c r="BE36" i="3"/>
  <c r="EY7" i="4" a="1"/>
  <c r="GT15" i="4" a="1"/>
  <c r="BD90" i="3"/>
  <c r="BT77" i="3"/>
  <c r="BM27" i="3"/>
  <c r="BA23" i="3"/>
  <c r="FB6" i="4" a="1"/>
  <c r="BS57" i="3"/>
  <c r="HE11" i="4" a="1"/>
  <c r="BB65" i="3"/>
  <c r="GR13" i="4" a="1"/>
  <c r="GF9" i="4" a="1"/>
  <c r="BH76" i="3"/>
  <c r="BB88" i="3"/>
  <c r="BT62" i="3"/>
  <c r="BR48" i="3"/>
  <c r="GS12" i="4" a="1"/>
  <c r="BR69" i="3"/>
  <c r="GK7" i="4" a="1"/>
  <c r="BL62" i="3"/>
  <c r="Y79" i="2"/>
  <c r="BC5" i="3"/>
  <c r="BC88" i="3" s="1"/>
  <c r="BV9" i="3"/>
  <c r="BS6" i="3"/>
  <c r="BD76" i="3"/>
  <c r="GT14" i="4" a="1"/>
  <c r="HF7" i="4" a="1"/>
  <c r="BI72" i="3"/>
  <c r="BL47" i="3"/>
  <c r="FS11" i="4" a="1"/>
  <c r="BC54" i="3"/>
  <c r="BB78" i="3"/>
  <c r="BP94" i="3"/>
  <c r="BS87" i="3"/>
  <c r="BU69" i="3"/>
  <c r="BC50" i="3"/>
  <c r="BA77" i="3"/>
  <c r="FO8" i="4" a="1"/>
  <c r="GE14" i="4" a="1"/>
  <c r="BT80" i="3"/>
  <c r="BU88" i="3"/>
  <c r="BK75" i="3"/>
  <c r="BD70" i="3"/>
  <c r="FJ11" i="4" a="1"/>
  <c r="BI79" i="3"/>
  <c r="BU8" i="3"/>
  <c r="BJ45" i="3"/>
  <c r="Y107" i="2"/>
  <c r="BF5" i="3"/>
  <c r="BN67" i="3"/>
  <c r="BJ88" i="3"/>
  <c r="BC60" i="3"/>
  <c r="BD73" i="3"/>
  <c r="BE61" i="3"/>
  <c r="GT11" i="4" a="1"/>
  <c r="BP50" i="3"/>
  <c r="BD49" i="3"/>
  <c r="BM67" i="3"/>
  <c r="BI91" i="3"/>
  <c r="BR83" i="3"/>
  <c r="BG93" i="3"/>
  <c r="BH48" i="3"/>
  <c r="GE7" i="4" a="1"/>
  <c r="FX13" i="4" a="1"/>
  <c r="BS85" i="3"/>
  <c r="BN97" i="3"/>
  <c r="GX9" i="4" a="1"/>
  <c r="BB82" i="3"/>
  <c r="GT9" i="4" a="1"/>
  <c r="BK60" i="3"/>
  <c r="BD55" i="3"/>
  <c r="BV87" i="3"/>
  <c r="GU13" i="4" a="1"/>
  <c r="BB71" i="3"/>
  <c r="BB14" i="3"/>
  <c r="Y27" i="2"/>
  <c r="BM39" i="3"/>
  <c r="BH81" i="3"/>
  <c r="BN50" i="3"/>
  <c r="HH12" i="4" a="1"/>
  <c r="BL54" i="3"/>
  <c r="BJ60" i="3"/>
  <c r="BM96" i="3"/>
  <c r="BQ82" i="3"/>
  <c r="BJ48" i="3"/>
  <c r="GO11" i="4" a="1"/>
  <c r="FR13" i="4" a="1"/>
  <c r="BJ66" i="3"/>
  <c r="BL31" i="3"/>
  <c r="Y22" i="2"/>
  <c r="AA21" i="2"/>
  <c r="AA76" i="2"/>
  <c r="FX9" i="4" a="1"/>
  <c r="BD93" i="3"/>
  <c r="BQ63" i="3"/>
  <c r="FW14" i="4" a="1"/>
  <c r="BV47" i="3"/>
  <c r="BE92" i="3"/>
  <c r="BL65" i="3"/>
  <c r="BQ87" i="3"/>
  <c r="BI75" i="3"/>
  <c r="GL11" i="4" a="1"/>
  <c r="FN12" i="4" a="1"/>
  <c r="BS80" i="3"/>
  <c r="BS68" i="3"/>
  <c r="FR7" i="4" a="1"/>
  <c r="FM12" i="4" a="1"/>
  <c r="BM58" i="3"/>
  <c r="BH72" i="3"/>
  <c r="BP75" i="3"/>
  <c r="BH93" i="3"/>
  <c r="GC6" i="4" a="1"/>
  <c r="BF68" i="3"/>
  <c r="BC92" i="3"/>
  <c r="HA9" i="4" a="1"/>
  <c r="BT24" i="3"/>
  <c r="AA74" i="2"/>
  <c r="BH25" i="3"/>
  <c r="BR33" i="3"/>
  <c r="BC87" i="3"/>
  <c r="BO72" i="3"/>
  <c r="BP62" i="3"/>
  <c r="BI82" i="3"/>
  <c r="FU14" i="4" a="1"/>
  <c r="BG66" i="3"/>
  <c r="BI67" i="3"/>
  <c r="BK97" i="3"/>
  <c r="BM85" i="3"/>
  <c r="FH7" i="4" a="1"/>
  <c r="FY7" i="4" a="1"/>
  <c r="GM15" i="4" a="1"/>
  <c r="HB6" i="4" a="1"/>
  <c r="BP71" i="3"/>
  <c r="BU97" i="3"/>
  <c r="GE11" i="4" a="1"/>
  <c r="BL78" i="3"/>
  <c r="BD50" i="3"/>
  <c r="BK48" i="3"/>
  <c r="BD78" i="3"/>
  <c r="BI86" i="3"/>
  <c r="GH13" i="4" a="1"/>
  <c r="GX15" i="4" a="1"/>
  <c r="FF11" i="4" a="1"/>
  <c r="BR42" i="3"/>
  <c r="BB9" i="3"/>
  <c r="BM12" i="3"/>
  <c r="BT66" i="3"/>
  <c r="GF15" i="4" a="1"/>
  <c r="GE6" i="4" a="1"/>
  <c r="BT50" i="3"/>
  <c r="BU59" i="3"/>
  <c r="GY12" i="4" a="1"/>
  <c r="BM72" i="3"/>
  <c r="BF47" i="3"/>
  <c r="Z98" i="2"/>
  <c r="BT28" i="3"/>
  <c r="BU40" i="3"/>
  <c r="FC13" i="4" a="1"/>
  <c r="BJ23" i="3"/>
  <c r="Z6" i="2"/>
  <c r="BN24" i="3"/>
  <c r="Y50" i="2"/>
  <c r="BM87" i="3"/>
  <c r="GO16" i="4" a="1"/>
  <c r="FM8" i="4" a="1"/>
  <c r="BU86" i="3"/>
  <c r="BT68" i="3"/>
  <c r="BA82" i="3"/>
  <c r="BP48" i="3"/>
  <c r="BO59" i="3"/>
  <c r="BF61" i="3"/>
  <c r="GS8" i="4" a="1"/>
  <c r="BK85" i="3"/>
  <c r="BS74" i="3"/>
  <c r="BV57" i="3"/>
  <c r="GQ11" i="4" a="1"/>
  <c r="BM71" i="3"/>
  <c r="BE81" i="3"/>
  <c r="BV72" i="3"/>
  <c r="FT15" i="4" a="1"/>
  <c r="BL81" i="3"/>
  <c r="FV15" i="4" a="1"/>
  <c r="BE78" i="3"/>
  <c r="BB83" i="3"/>
  <c r="BM61" i="3"/>
  <c r="BB23" i="3"/>
  <c r="BR73" i="3"/>
  <c r="BO96" i="3"/>
  <c r="BB68" i="3"/>
  <c r="HF16" i="4" a="1"/>
  <c r="FU7" i="4" a="1"/>
  <c r="Z9" i="2"/>
  <c r="AA34" i="2"/>
  <c r="BO94" i="3"/>
  <c r="BG67" i="3"/>
  <c r="BR85" i="3"/>
  <c r="HE9" i="4" a="1"/>
  <c r="Y106" i="2"/>
  <c r="FE15" i="4" a="1"/>
  <c r="BK22" i="3"/>
  <c r="BM79" i="3"/>
  <c r="BM89" i="3"/>
  <c r="BJ82" i="3"/>
  <c r="BM81" i="3"/>
  <c r="BU50" i="3"/>
  <c r="BQ57" i="3"/>
  <c r="BN87" i="3"/>
  <c r="GE12" i="4" a="1"/>
  <c r="FJ6" i="4" a="1"/>
  <c r="BU91" i="3"/>
  <c r="GJ7" i="4" a="1"/>
  <c r="BD89" i="3"/>
  <c r="BK80" i="3"/>
  <c r="AA41" i="2"/>
  <c r="EZ5" i="4" a="1"/>
  <c r="BJ38" i="3"/>
  <c r="BQ42" i="3"/>
  <c r="GX12" i="4" a="1"/>
  <c r="BA88" i="3"/>
  <c r="BL88" i="3"/>
  <c r="BE90" i="3"/>
  <c r="BK77" i="3"/>
  <c r="BI83" i="3"/>
  <c r="BD75" i="3"/>
  <c r="BP69" i="3"/>
  <c r="BV74" i="3"/>
  <c r="HA13" i="4" a="1"/>
  <c r="FN5" i="4" a="1"/>
  <c r="FJ5" i="4" a="1"/>
  <c r="BJ89" i="3"/>
  <c r="BC70" i="3"/>
  <c r="BE48" i="3"/>
  <c r="GO5" i="4" a="1"/>
  <c r="GC9" i="4" a="1"/>
  <c r="BG70" i="3"/>
  <c r="BS97" i="3"/>
  <c r="BP81" i="3"/>
  <c r="BH66" i="3"/>
  <c r="BU41" i="3"/>
  <c r="BC10" i="3"/>
  <c r="BO17" i="3"/>
  <c r="BK8" i="3"/>
  <c r="BA54" i="3"/>
  <c r="GX11" i="4" a="1"/>
  <c r="GA5" i="4" a="1"/>
  <c r="BI95" i="3"/>
  <c r="GN6" i="4" a="1"/>
  <c r="BD92" i="3"/>
  <c r="BB61" i="3"/>
  <c r="BS54" i="3"/>
  <c r="BT97" i="3"/>
  <c r="BP93" i="3"/>
  <c r="FR5" i="4" a="1"/>
  <c r="GB13" i="4" a="1"/>
  <c r="BK90" i="3"/>
  <c r="BD71" i="3"/>
  <c r="BQ97" i="3"/>
  <c r="FO7" i="4" a="1"/>
  <c r="BD72" i="3"/>
  <c r="BF60" i="3"/>
  <c r="BV76" i="3"/>
  <c r="BP66" i="3"/>
  <c r="BG76" i="3"/>
  <c r="BR91" i="3"/>
  <c r="GR12" i="4" a="1"/>
  <c r="HA16" i="4" a="1"/>
  <c r="BK25" i="3"/>
  <c r="BE32" i="3"/>
  <c r="BF46" i="3"/>
  <c r="BA19" i="3"/>
  <c r="BF74" i="3"/>
  <c r="BG64" i="3"/>
  <c r="BE88" i="3"/>
  <c r="HG9" i="4" a="1"/>
  <c r="FM15" i="4" a="1"/>
  <c r="BO83" i="3"/>
  <c r="HG6" i="4" a="1"/>
  <c r="FR14" i="4" a="1"/>
  <c r="BI66" i="3"/>
  <c r="BH60" i="3"/>
  <c r="BR71" i="3"/>
  <c r="BG40" i="3"/>
  <c r="BR35" i="3"/>
  <c r="Z99" i="2"/>
  <c r="BD6" i="3"/>
  <c r="BR49" i="3"/>
  <c r="FZ9" i="4" a="1"/>
  <c r="FI7" i="4" a="1"/>
  <c r="BI62" i="3"/>
  <c r="FW15" i="4" a="1"/>
  <c r="BT84" i="3"/>
  <c r="BH58" i="3"/>
  <c r="BD83" i="3"/>
  <c r="FS5" i="4" a="1"/>
  <c r="BI69" i="3"/>
  <c r="BQ76" i="3"/>
  <c r="GF5" i="4" a="1"/>
  <c r="HD7" i="4" a="1"/>
  <c r="BG88" i="3"/>
  <c r="BG79" i="3"/>
  <c r="FH13" i="4" a="1"/>
  <c r="BV94" i="3"/>
  <c r="FX12" i="4" a="1"/>
  <c r="GP15" i="4" a="1"/>
  <c r="BB95" i="3"/>
  <c r="GP6" i="4" a="1"/>
  <c r="BI68" i="3"/>
  <c r="BD96" i="3"/>
  <c r="BO12" i="3"/>
  <c r="BN7" i="3"/>
  <c r="Z26" i="2"/>
  <c r="BA94" i="3"/>
  <c r="BF57" i="3"/>
  <c r="HB15" i="4" a="1"/>
  <c r="BK73" i="3"/>
  <c r="GY6" i="4" a="1"/>
  <c r="BQ48" i="3"/>
  <c r="BS73" i="3"/>
  <c r="HH7" i="4" a="1"/>
  <c r="BC89" i="3"/>
  <c r="GD14" i="4" a="1"/>
  <c r="GQ8" i="4" a="1"/>
  <c r="BC57" i="3"/>
  <c r="BO50" i="3"/>
  <c r="BA89" i="3"/>
  <c r="GA7" i="4" a="1"/>
  <c r="GF7" i="4" a="1"/>
  <c r="BF90" i="3"/>
  <c r="HD15" i="4" a="1"/>
  <c r="BJ65" i="3"/>
  <c r="BG50" i="3"/>
  <c r="BP55" i="3"/>
  <c r="BF64" i="3"/>
  <c r="GK5" i="4" a="1"/>
  <c r="BH80" i="3"/>
  <c r="BJ22" i="3"/>
  <c r="Z65" i="2"/>
  <c r="Y88" i="2"/>
  <c r="BT17" i="3"/>
  <c r="BL72" i="3"/>
  <c r="BU57" i="3"/>
  <c r="BA86" i="3"/>
  <c r="BQ92" i="3"/>
  <c r="GD13" i="4" a="1"/>
  <c r="BA55" i="3"/>
  <c r="BU78" i="3"/>
  <c r="GH9" i="4" a="1"/>
  <c r="BO42" i="3"/>
  <c r="BT6" i="3"/>
  <c r="EX13" i="4" a="1"/>
  <c r="Y26" i="2"/>
  <c r="Y87" i="2"/>
  <c r="W6" i="2"/>
  <c r="AA13" i="2"/>
  <c r="BJ76" i="3"/>
  <c r="BJ80" i="3"/>
  <c r="BH8" i="3"/>
  <c r="BA97" i="3"/>
  <c r="BO47" i="3"/>
  <c r="BV91" i="3"/>
  <c r="GB7" i="4" a="1"/>
  <c r="BT49" i="3"/>
  <c r="BH30" i="3"/>
  <c r="BO9" i="3"/>
  <c r="Z43" i="2"/>
  <c r="GG7" i="4" a="1"/>
  <c r="FX6" i="4" a="1"/>
  <c r="FL12" i="4" a="1"/>
  <c r="V6" i="2"/>
  <c r="BC28" i="3"/>
  <c r="BH37" i="3"/>
  <c r="Y48" i="2"/>
  <c r="FK8" i="4" a="1"/>
  <c r="BP68" i="3"/>
  <c r="BA56" i="3"/>
  <c r="BB97" i="3"/>
  <c r="BR68" i="3"/>
  <c r="BJ96" i="3"/>
  <c r="GN12" i="4" a="1"/>
  <c r="BB76" i="3"/>
  <c r="BB94" i="3"/>
  <c r="BO77" i="3"/>
  <c r="FI8" i="4" a="1"/>
  <c r="BI71" i="3"/>
  <c r="GQ15" i="4" a="1"/>
  <c r="BL34" i="3"/>
  <c r="Z72" i="2"/>
  <c r="BR23" i="3"/>
  <c r="FC8" i="4" a="1"/>
  <c r="BR95" i="3"/>
  <c r="HD14" i="4" a="1"/>
  <c r="BN54" i="3"/>
  <c r="BO60" i="3"/>
  <c r="BG54" i="3"/>
  <c r="BL82" i="3"/>
  <c r="BS81" i="3"/>
  <c r="HD12" i="4" a="1"/>
  <c r="FL7" i="4" a="1"/>
  <c r="BT78" i="3"/>
  <c r="BG83" i="3"/>
  <c r="BU63" i="3"/>
  <c r="FX15" i="4" a="1"/>
  <c r="BV88" i="3"/>
  <c r="GH6" i="4" a="1"/>
  <c r="FW16" i="4" a="1"/>
  <c r="FW7" i="4" a="1"/>
  <c r="BN57" i="3"/>
  <c r="GW16" i="4" a="1"/>
  <c r="BR86" i="3"/>
  <c r="BV70" i="3"/>
  <c r="Z96" i="2"/>
  <c r="FA11" i="4" a="1"/>
  <c r="Z19" i="2"/>
  <c r="BG10" i="3"/>
  <c r="FL15" i="4" a="1"/>
  <c r="BL49" i="3"/>
  <c r="BG69" i="3"/>
  <c r="BE91" i="3"/>
  <c r="BB59" i="3"/>
  <c r="BI57" i="3"/>
  <c r="BI87" i="3"/>
  <c r="FZ14" i="4" a="1"/>
  <c r="GU12" i="4" a="1"/>
  <c r="BS62" i="3"/>
  <c r="BB55" i="3"/>
  <c r="BE96" i="3"/>
  <c r="HE15" i="4" a="1"/>
  <c r="BT54" i="3"/>
  <c r="HC8" i="4" a="1"/>
  <c r="FP7" i="4" a="1"/>
  <c r="FZ15" i="4" a="1"/>
  <c r="BP82" i="3"/>
  <c r="BD63" i="3"/>
  <c r="BV61" i="3"/>
  <c r="BN59" i="3"/>
  <c r="BM75" i="3"/>
  <c r="BG94" i="3"/>
  <c r="BD94" i="3"/>
  <c r="BM9" i="3"/>
  <c r="BB40" i="3"/>
  <c r="BG42" i="3"/>
  <c r="BM35" i="3"/>
  <c r="BF59" i="3"/>
  <c r="GB11" i="4" a="1"/>
  <c r="GS9" i="4" a="1"/>
  <c r="BL60" i="3"/>
  <c r="BQ79" i="3"/>
  <c r="GT8" i="4" a="1"/>
  <c r="BP67" i="3"/>
  <c r="BB57" i="3"/>
  <c r="BB60" i="3"/>
  <c r="BJ55" i="3"/>
  <c r="BT96" i="3"/>
  <c r="BQ21" i="3"/>
  <c r="BP12" i="3"/>
  <c r="BE25" i="3"/>
  <c r="BG46" i="3"/>
  <c r="FY11" i="4" a="1"/>
  <c r="BV49" i="3"/>
  <c r="BG73" i="3"/>
  <c r="BL76" i="3"/>
  <c r="BE69" i="3"/>
  <c r="FK6" i="4" a="1"/>
  <c r="BJ92" i="3"/>
  <c r="HF14" i="4" a="1"/>
  <c r="BM70" i="3"/>
  <c r="BE47" i="3"/>
  <c r="HA7" i="4" a="1"/>
  <c r="GY11" i="4" a="1"/>
  <c r="BR56" i="3"/>
  <c r="GN7" i="4" a="1"/>
  <c r="GE5" i="4" a="1"/>
  <c r="BF54" i="3"/>
  <c r="FH11" i="4" a="1"/>
  <c r="HF8" i="4" a="1"/>
  <c r="BH88" i="3"/>
  <c r="FT14" i="4" a="1"/>
  <c r="FI11" i="4" a="1"/>
  <c r="GP16" i="4" a="1"/>
  <c r="AA28" i="2"/>
  <c r="Z59" i="2"/>
  <c r="AA57" i="2"/>
  <c r="AA5" i="2"/>
  <c r="GS5" i="4" a="1"/>
  <c r="BA66" i="3"/>
  <c r="BV60" i="3"/>
  <c r="HE16" i="4" a="1"/>
  <c r="Y113" i="2"/>
  <c r="BJ72" i="3"/>
  <c r="GP7" i="4" a="1"/>
  <c r="BK64" i="3"/>
  <c r="BN78" i="3"/>
  <c r="BF89" i="3"/>
  <c r="BB66" i="3"/>
  <c r="BJ74" i="3"/>
  <c r="GU15" i="4" a="1"/>
  <c r="BU83" i="3"/>
  <c r="BN58" i="3"/>
  <c r="BE62" i="3"/>
  <c r="GN15" i="4" a="1"/>
  <c r="BE82" i="3"/>
  <c r="GW11" i="4" a="1"/>
  <c r="BN79" i="3"/>
  <c r="BA49" i="3"/>
  <c r="HB8" i="4" a="1"/>
  <c r="BM92" i="3"/>
  <c r="BJ75" i="3"/>
  <c r="BE13" i="3"/>
  <c r="AA18" i="2"/>
  <c r="BE9" i="3"/>
  <c r="BA48" i="3"/>
  <c r="BJ85" i="3"/>
  <c r="FM13" i="4" a="1"/>
  <c r="GB5" i="4" a="1"/>
  <c r="HB5" i="4" a="1"/>
  <c r="BL70" i="3"/>
  <c r="BU90" i="3"/>
  <c r="FY6" i="4" a="1"/>
  <c r="BP61" i="3"/>
  <c r="Z85" i="2"/>
  <c r="Z63" i="2"/>
  <c r="AA33" i="2"/>
  <c r="BJ31" i="3"/>
  <c r="AA82" i="2"/>
  <c r="BH40" i="3"/>
  <c r="Y73" i="2"/>
  <c r="BF83" i="3"/>
  <c r="HC11" i="4" a="1"/>
  <c r="BD69" i="3"/>
  <c r="GB12" i="4" a="1"/>
  <c r="FY5" i="4" a="1"/>
  <c r="BQ66" i="3"/>
  <c r="BT55" i="3"/>
  <c r="GG8" i="4" a="1"/>
  <c r="BM82" i="3"/>
  <c r="BP80" i="3"/>
  <c r="GH12" i="4" a="1"/>
  <c r="BQ72" i="3"/>
  <c r="BS94" i="3"/>
  <c r="BB70" i="3"/>
  <c r="BJ69" i="3"/>
  <c r="GF12" i="4" a="1"/>
  <c r="BS48" i="3"/>
  <c r="BD97" i="3"/>
  <c r="GP9" i="4" a="1"/>
  <c r="BI89" i="3"/>
  <c r="BK63" i="3"/>
  <c r="GQ13" i="4" a="1"/>
  <c r="GG14" i="4" a="1"/>
  <c r="BR63" i="3"/>
  <c r="BO91" i="3"/>
  <c r="BR77" i="3"/>
  <c r="FV9" i="4" a="1"/>
  <c r="BF80" i="3"/>
  <c r="BG78" i="3"/>
  <c r="BU95" i="3"/>
  <c r="BQ60" i="3"/>
  <c r="BJ87" i="3"/>
  <c r="FI16" i="4" a="1"/>
  <c r="BC93" i="3"/>
  <c r="FR11" i="4" a="1"/>
  <c r="BF81" i="3"/>
  <c r="BG84" i="3"/>
  <c r="BF58" i="3"/>
  <c r="BF95" i="3"/>
  <c r="BC95" i="3"/>
  <c r="GC14" i="4" a="1"/>
  <c r="GA16" i="4" a="1"/>
  <c r="Z112" i="2"/>
  <c r="BQ49" i="3"/>
  <c r="BV58" i="3"/>
  <c r="BV95" i="3"/>
  <c r="FU13" i="4" a="1"/>
  <c r="GU6" i="4" a="1"/>
  <c r="GB16" i="4" a="1"/>
  <c r="BJ83" i="3"/>
  <c r="HG8" i="4" a="1"/>
  <c r="GG11" i="4" a="1"/>
  <c r="BS56" i="3"/>
  <c r="BO73" i="3"/>
  <c r="BP60" i="3"/>
  <c r="BT87" i="3"/>
  <c r="BS66" i="3"/>
  <c r="BI77" i="3"/>
  <c r="BE65" i="3"/>
  <c r="FR8" i="4" a="1"/>
  <c r="HC13" i="4" a="1"/>
  <c r="GN13" i="4" a="1"/>
  <c r="GO12" i="4" a="1"/>
  <c r="BP86" i="3"/>
  <c r="FI14" i="4" a="1"/>
  <c r="BR94" i="3"/>
  <c r="BD65" i="3"/>
  <c r="GK12" i="4" a="1"/>
  <c r="BR88" i="3"/>
  <c r="GJ12" i="4" a="1"/>
  <c r="BA69" i="3"/>
  <c r="BJ93" i="3"/>
  <c r="BO55" i="3"/>
  <c r="BC66" i="3"/>
  <c r="FW9" i="4" a="1"/>
  <c r="BA81" i="3"/>
  <c r="BH79" i="3"/>
  <c r="BL55" i="3"/>
  <c r="GM12" i="4" a="1"/>
  <c r="BC77" i="3"/>
  <c r="BP58" i="3"/>
  <c r="BP83" i="3"/>
  <c r="GY8" i="4" a="1"/>
  <c r="BL41" i="3"/>
  <c r="BO95" i="3"/>
  <c r="FV7" i="4" a="1"/>
  <c r="BH65" i="3"/>
  <c r="GD16" i="4" a="1"/>
  <c r="BE66" i="3"/>
  <c r="BI84" i="3"/>
  <c r="BL85" i="3"/>
  <c r="BN80" i="3"/>
  <c r="BO70" i="3"/>
  <c r="BO97" i="3"/>
  <c r="BT94" i="3"/>
  <c r="HC9" i="4" a="1"/>
  <c r="FQ8" i="4" a="1"/>
  <c r="BR75" i="3"/>
  <c r="BA67" i="3"/>
  <c r="BB56" i="3"/>
  <c r="GT7" i="4" a="1"/>
  <c r="BG57" i="3"/>
  <c r="BD58" i="3"/>
  <c r="BB91" i="3"/>
  <c r="FJ12" i="4" a="1"/>
  <c r="BT73" i="3"/>
  <c r="BM90" i="3"/>
  <c r="BK69" i="3"/>
  <c r="BV77" i="3"/>
  <c r="BN62" i="3"/>
  <c r="BL92" i="3"/>
  <c r="BI94" i="3"/>
  <c r="BT86" i="3"/>
  <c r="BR60" i="3"/>
  <c r="BL80" i="3"/>
  <c r="BS96" i="3"/>
  <c r="FT8" i="4" a="1"/>
  <c r="BF72" i="3"/>
  <c r="BE75" i="3"/>
  <c r="BR47" i="3"/>
  <c r="FN9" i="4" a="1"/>
  <c r="FS16" i="4" a="1"/>
  <c r="BV84" i="3"/>
  <c r="GW5" i="4" a="1"/>
  <c r="GG12" i="4" a="1"/>
  <c r="BS49" i="3"/>
  <c r="HH8" i="4" a="1"/>
  <c r="BG74" i="3"/>
  <c r="BN88" i="3"/>
  <c r="BB90" i="3"/>
  <c r="BT76" i="3"/>
  <c r="GG15" i="4" a="1"/>
  <c r="BP65" i="3"/>
  <c r="GG6" i="4" a="1"/>
  <c r="HH6" i="4" a="1"/>
  <c r="BJ91" i="3"/>
  <c r="BJ79" i="3"/>
  <c r="FG13" i="4" a="1"/>
  <c r="GI14" i="4" a="1"/>
  <c r="BE60" i="3"/>
  <c r="BM64" i="3"/>
  <c r="FO13" i="4" a="1"/>
  <c r="GY9" i="4" a="1"/>
  <c r="GP8" i="4" a="1"/>
  <c r="BO78" i="3"/>
  <c r="BA62" i="3"/>
  <c r="BS79" i="3"/>
  <c r="BM78" i="3"/>
  <c r="BF82" i="3"/>
  <c r="BP97" i="3"/>
  <c r="BI50" i="3"/>
  <c r="GC15" i="4" a="1"/>
  <c r="BG61" i="3"/>
  <c r="BE94" i="3"/>
  <c r="GU11" i="4" a="1"/>
  <c r="GI11" i="4" a="1"/>
  <c r="BA61" i="3"/>
  <c r="BB87" i="3"/>
  <c r="BM91" i="3"/>
  <c r="BQ50" i="3"/>
  <c r="BJ62" i="3"/>
  <c r="BC73" i="3"/>
  <c r="BG82" i="3"/>
  <c r="BH49" i="3"/>
  <c r="BA80" i="3"/>
  <c r="BU48" i="3"/>
  <c r="BS70" i="3"/>
  <c r="BG56" i="3"/>
  <c r="BJ84" i="3"/>
  <c r="BE57" i="3"/>
  <c r="BU93" i="3"/>
  <c r="BC79" i="3"/>
  <c r="HC5" i="4" a="1"/>
  <c r="BC67" i="3"/>
  <c r="BF62" i="3"/>
  <c r="BB63" i="3"/>
  <c r="GZ15" i="4" a="1"/>
  <c r="BJ58" i="3"/>
  <c r="FS8" i="4" a="1"/>
  <c r="BS47" i="3"/>
  <c r="BT89" i="3"/>
  <c r="BR55" i="3"/>
  <c r="BQ90" i="3"/>
  <c r="Z111" i="2"/>
  <c r="GK14" i="4" a="1"/>
  <c r="FU12" i="4" a="1"/>
  <c r="GJ9" i="4" a="1"/>
  <c r="GB6" i="4" a="1"/>
  <c r="BF66" i="3"/>
  <c r="BJ61" i="3"/>
  <c r="BC61" i="3"/>
  <c r="BQ59" i="3"/>
  <c r="FQ6" i="4" a="1"/>
  <c r="GI9" i="4" a="1"/>
  <c r="BF63" i="3"/>
  <c r="BU67" i="3"/>
  <c r="FN11" i="4" a="1"/>
  <c r="GN11" i="4" a="1"/>
  <c r="BG68" i="3"/>
  <c r="BL89" i="3"/>
  <c r="FT11" i="4" a="1"/>
  <c r="GC7" i="4" a="1"/>
  <c r="BT60" i="3"/>
  <c r="BA47" i="3"/>
  <c r="GJ15" i="4" a="1"/>
  <c r="FW12" i="4" a="1"/>
  <c r="GY14" i="4" a="1"/>
  <c r="BK71" i="3"/>
  <c r="BI63" i="3"/>
  <c r="BA70" i="3"/>
  <c r="FO11" i="4" a="1"/>
  <c r="BK62" i="3"/>
  <c r="BD91" i="3"/>
  <c r="HD9" i="4" a="1"/>
  <c r="GY7" i="4" a="1"/>
  <c r="GZ12" i="4" a="1"/>
  <c r="BK87" i="3"/>
  <c r="GI7" i="4" a="1"/>
  <c r="GK9" i="4" a="1"/>
  <c r="FS14" i="4" a="1"/>
  <c r="BE64" i="3"/>
  <c r="GL16" i="4" a="1"/>
  <c r="BQ69" i="3"/>
  <c r="BT85" i="3"/>
  <c r="GM16" i="4" a="1"/>
  <c r="BR76" i="3"/>
  <c r="FK5" i="4" a="1"/>
  <c r="BA85" i="3"/>
  <c r="FZ8" i="4" a="1"/>
  <c r="BG92" i="3"/>
  <c r="FK16" i="4" a="1"/>
  <c r="BI59" i="3"/>
  <c r="BL94" i="3"/>
  <c r="BR62" i="3"/>
  <c r="BO88" i="3"/>
  <c r="BF70" i="3"/>
  <c r="BN55" i="3"/>
  <c r="FO5" i="4" a="1"/>
  <c r="FU5" i="4" a="1"/>
  <c r="BJ78" i="3"/>
  <c r="BC59" i="3"/>
  <c r="HH9" i="4" a="1"/>
  <c r="BC84" i="3"/>
  <c r="FL9" i="4" a="1"/>
  <c r="FO6" i="4" a="1"/>
  <c r="HG5" i="4" a="1"/>
  <c r="BS58" i="3"/>
  <c r="HE8" i="4" a="1"/>
  <c r="GQ14" i="4" a="1"/>
  <c r="GP12" i="4" a="1"/>
  <c r="FT9" i="4" a="1"/>
  <c r="FS6" i="4" a="1"/>
  <c r="FN6" i="4" a="1"/>
  <c r="BQ65" i="3"/>
  <c r="BA65" i="3"/>
  <c r="BO87" i="3"/>
  <c r="FX11" i="4" a="1"/>
  <c r="FP15" i="4" a="1"/>
  <c r="BM54" i="3"/>
  <c r="BN86" i="3"/>
  <c r="BV96" i="3"/>
  <c r="BU73" i="3"/>
  <c r="BV71" i="3"/>
  <c r="GU5" i="4" a="1"/>
  <c r="BQ75" i="3"/>
  <c r="BP87" i="3"/>
  <c r="BL91" i="3"/>
  <c r="BU96" i="3"/>
  <c r="BD88" i="3"/>
  <c r="BQ47" i="3"/>
  <c r="BB69" i="3"/>
  <c r="BU55" i="3"/>
  <c r="BU74" i="3"/>
  <c r="BS64" i="3"/>
  <c r="BR66" i="3"/>
  <c r="GX14" i="4" a="1"/>
  <c r="BE49" i="3"/>
  <c r="FJ15" i="4" a="1"/>
  <c r="GZ7" i="4" a="1"/>
  <c r="BQ54" i="3"/>
  <c r="AX29" i="3"/>
  <c r="AZ11" i="3"/>
  <c r="AX39" i="3"/>
  <c r="AS39" i="3"/>
  <c r="EL5" i="4" a="1"/>
  <c r="AZ40" i="3"/>
  <c r="AY34" i="3"/>
  <c r="EL8" i="4" a="1"/>
  <c r="EP15" i="4" a="1"/>
  <c r="AW12" i="3"/>
  <c r="AT30" i="3"/>
  <c r="AX18" i="3"/>
  <c r="AR6" i="6" a="1"/>
  <c r="P5" i="6" a="1"/>
  <c r="EU5" i="4" a="1"/>
  <c r="EQ14" i="4" a="1"/>
  <c r="R6" i="6" a="1"/>
  <c r="AY12" i="3"/>
  <c r="EN15" i="4" a="1"/>
  <c r="AV20" i="3"/>
  <c r="AY46" i="3"/>
  <c r="AF37" i="3"/>
  <c r="AX23" i="3"/>
  <c r="ES13" i="4" a="1"/>
  <c r="AZ35" i="3"/>
  <c r="AT15" i="3"/>
  <c r="AF25" i="3"/>
  <c r="AO6" i="6" a="1"/>
  <c r="AV25" i="3"/>
  <c r="AZ13" i="3"/>
  <c r="AV33" i="3"/>
  <c r="AW22" i="3"/>
  <c r="AS23" i="3"/>
  <c r="AT14" i="3"/>
  <c r="AY15" i="3"/>
  <c r="AT42" i="3"/>
  <c r="AY32" i="3"/>
  <c r="C6" i="4" a="1"/>
  <c r="EV11" i="4" a="1"/>
  <c r="W6" i="6" a="1"/>
  <c r="AS30" i="3"/>
  <c r="AU5" i="6" a="1"/>
  <c r="AW28" i="3"/>
  <c r="AZ36" i="3"/>
  <c r="AT45" i="3"/>
  <c r="AY36" i="3"/>
  <c r="C5" i="6" a="1"/>
  <c r="BK72" i="3"/>
  <c r="FM14" i="4" a="1"/>
  <c r="FZ11" i="4" a="1"/>
  <c r="HH5" i="4" a="1"/>
  <c r="BR67" i="3"/>
  <c r="FZ16" i="4" a="1"/>
  <c r="GQ5" i="4" a="1"/>
  <c r="BO61" i="3"/>
  <c r="BI90" i="3"/>
  <c r="HA14" i="4" a="1"/>
  <c r="BB54" i="3"/>
  <c r="BU61" i="3"/>
  <c r="BS83" i="3"/>
  <c r="BR74" i="3"/>
  <c r="BH78" i="3"/>
  <c r="BD59" i="3"/>
  <c r="BJ49" i="3"/>
  <c r="BT92" i="3"/>
  <c r="GZ11" i="4" a="1"/>
  <c r="BU64" i="3"/>
  <c r="BN65" i="3"/>
  <c r="FO14" i="4" a="1"/>
  <c r="BH73" i="3"/>
  <c r="BK81" i="3"/>
  <c r="FP9" i="4" a="1"/>
  <c r="FQ7" i="4" a="1"/>
  <c r="GM7" i="4" a="1"/>
  <c r="GW13" i="4" a="1"/>
  <c r="BC80" i="3"/>
  <c r="BF79" i="3"/>
  <c r="BR87" i="3"/>
  <c r="GY15" i="4" a="1"/>
  <c r="BN49" i="3"/>
  <c r="BF48" i="3"/>
  <c r="BH96" i="3"/>
  <c r="BK94" i="3"/>
  <c r="GS6" i="4" a="1"/>
  <c r="BP49" i="3"/>
  <c r="BB48" i="3"/>
  <c r="GW8" i="4" a="1"/>
  <c r="BB81" i="3"/>
  <c r="BB73" i="3"/>
  <c r="BE58" i="3"/>
  <c r="FR16" i="4" a="1"/>
  <c r="BE93" i="3"/>
  <c r="BG87" i="3"/>
  <c r="BI76" i="3"/>
  <c r="HH16" i="4" a="1"/>
  <c r="FP14" i="4" a="1"/>
  <c r="BS71" i="3"/>
  <c r="BE59" i="3"/>
  <c r="BT64" i="3"/>
  <c r="BI47" i="3"/>
  <c r="BN72" i="3"/>
  <c r="BG47" i="3"/>
  <c r="BJ81" i="3"/>
  <c r="FJ7" i="4" a="1"/>
  <c r="GW15" i="4" a="1"/>
  <c r="BV68" i="3"/>
  <c r="BF84" i="3"/>
  <c r="GO7" i="4" a="1"/>
  <c r="BC72" i="3"/>
  <c r="BU65" i="3"/>
  <c r="BK67" i="3"/>
  <c r="BM74" i="3"/>
  <c r="BE77" i="3"/>
  <c r="FL6" i="4" a="1"/>
  <c r="FP6" i="4" a="1"/>
  <c r="FX14" i="4" a="1"/>
  <c r="BT69" i="3"/>
  <c r="GX5" i="4" a="1"/>
  <c r="HE5" i="4" a="1"/>
  <c r="BK56" i="3"/>
  <c r="GE9" i="4" a="1"/>
  <c r="GF14" i="4" a="1"/>
  <c r="BS92" i="3"/>
  <c r="GQ12" i="4" a="1"/>
  <c r="HC15" i="4" a="1"/>
  <c r="BS89" i="3"/>
  <c r="BH71" i="3"/>
  <c r="GE8" i="4" a="1"/>
  <c r="BV83" i="3"/>
  <c r="HF9" i="4" a="1"/>
  <c r="GR6" i="4" a="1"/>
  <c r="BH91" i="3"/>
  <c r="BE74" i="3"/>
  <c r="FY14" i="4" a="1"/>
  <c r="BN85" i="3"/>
  <c r="GN16" i="4" a="1"/>
  <c r="GW9" i="4" a="1"/>
  <c r="BL87" i="3"/>
  <c r="GJ11" i="4" a="1"/>
  <c r="BE89" i="3"/>
  <c r="BH90" i="3"/>
  <c r="HB16" i="4" a="1"/>
  <c r="BN92" i="3"/>
  <c r="GU14" i="4" a="1"/>
  <c r="BV48" i="3"/>
  <c r="BM77" i="3"/>
  <c r="FQ16" i="4" a="1"/>
  <c r="BR70" i="3"/>
  <c r="BJ47" i="3"/>
  <c r="GN5" i="4" a="1"/>
  <c r="GP13" i="4" a="1"/>
  <c r="BK96" i="3"/>
  <c r="BK68" i="3"/>
  <c r="GV16" i="4" a="1"/>
  <c r="FP12" i="4" a="1"/>
  <c r="FJ8" i="4" a="1"/>
  <c r="HB14" i="4" a="1"/>
  <c r="BL84" i="3"/>
  <c r="BJ56" i="3"/>
  <c r="BI96" i="3"/>
  <c r="BD84" i="3"/>
  <c r="BR58" i="3"/>
  <c r="FU8" i="4" a="1"/>
  <c r="BI92" i="3"/>
  <c r="FV12" i="4" a="1"/>
  <c r="GK13" i="4" a="1"/>
  <c r="GK15" i="4" a="1"/>
  <c r="BP76" i="3"/>
  <c r="BB75" i="3"/>
  <c r="GR7" i="4" a="1"/>
  <c r="BR80" i="3"/>
  <c r="BH86" i="3"/>
  <c r="BV80" i="3"/>
  <c r="GX6" i="4" a="1"/>
  <c r="HA15" i="4" a="1"/>
  <c r="BN94" i="3"/>
  <c r="GW7" i="4" a="1"/>
  <c r="BO68" i="3"/>
  <c r="BS82" i="3"/>
  <c r="BO89" i="3"/>
  <c r="BA71" i="3"/>
  <c r="BH56" i="3"/>
  <c r="GI5" i="4" a="1"/>
  <c r="BU56" i="3"/>
  <c r="GQ7" i="4" a="1"/>
  <c r="BR97" i="3"/>
  <c r="GE13" i="4" a="1"/>
  <c r="BC91" i="3"/>
  <c r="GM5" i="4" a="1"/>
  <c r="BS61" i="3"/>
  <c r="GP5" i="4" a="1"/>
  <c r="GF16" i="4" a="1"/>
  <c r="BL64" i="3"/>
  <c r="GL14" i="4" a="1"/>
  <c r="GQ6" i="4" a="1"/>
  <c r="BH47" i="3"/>
  <c r="GH15" i="4" a="1"/>
  <c r="HD13" i="4" a="1"/>
  <c r="FU11" i="4" a="1"/>
  <c r="GU7" i="4" a="1"/>
  <c r="HF15" i="4" a="1"/>
  <c r="BP88" i="3"/>
  <c r="BL90" i="3"/>
  <c r="BO92" i="3"/>
  <c r="BD95" i="3"/>
  <c r="FJ14" i="4" a="1"/>
  <c r="BK65" i="3"/>
  <c r="GM8" i="4" a="1"/>
  <c r="BV64" i="3"/>
  <c r="HH15" i="4" a="1"/>
  <c r="FN16" i="4" a="1"/>
  <c r="BK70" i="3"/>
  <c r="BM50" i="3"/>
  <c r="BB84" i="3"/>
  <c r="BQ88" i="3"/>
  <c r="FH14" i="4" a="1"/>
  <c r="GV5" i="4" a="1"/>
  <c r="BM84" i="3"/>
  <c r="BS84" i="3"/>
  <c r="BT75" i="3"/>
  <c r="BG75" i="3"/>
  <c r="BP95" i="3"/>
  <c r="BF55" i="3"/>
  <c r="FW11" i="4" a="1"/>
  <c r="GS16" i="4" a="1"/>
  <c r="BK50" i="3"/>
  <c r="FO15" i="4" a="1"/>
  <c r="FT7" i="4" a="1"/>
  <c r="GA8" i="4" a="1"/>
  <c r="GP14" i="4" a="1"/>
  <c r="GJ14" i="4" a="1"/>
  <c r="BM68" i="3"/>
  <c r="BU62" i="3"/>
  <c r="BG72" i="3"/>
  <c r="HG11" i="4" a="1"/>
  <c r="BL74" i="3"/>
  <c r="GQ16" i="4" a="1"/>
  <c r="BJ59" i="3"/>
  <c r="BD74" i="3"/>
  <c r="GL9" i="4" a="1"/>
  <c r="FN15" i="4" a="1"/>
  <c r="BA79" i="3"/>
  <c r="FS15" i="4" a="1"/>
  <c r="AV24" i="3"/>
  <c r="AS27" i="3"/>
  <c r="AW45" i="3"/>
  <c r="EQ15" i="4" a="1"/>
  <c r="AZ21" i="3"/>
  <c r="AZ42" i="3"/>
  <c r="EM5" i="4" a="1"/>
  <c r="EN12" i="4" a="1"/>
  <c r="AW27" i="3"/>
  <c r="F5" i="6" a="1"/>
  <c r="Y6" i="6" a="1"/>
  <c r="EP13" i="4" a="1"/>
  <c r="AF39" i="3"/>
  <c r="L6" i="6" a="1"/>
  <c r="EN5" i="4" a="1"/>
  <c r="AZ41" i="3"/>
  <c r="AV7" i="3"/>
  <c r="AX32" i="3"/>
  <c r="ER6" i="4" a="1"/>
  <c r="AT7" i="3"/>
  <c r="EP7" i="4" a="1"/>
  <c r="EW16" i="4" a="1"/>
  <c r="AW18" i="3"/>
  <c r="AT6" i="3"/>
  <c r="AT28" i="3"/>
  <c r="AW39" i="3"/>
  <c r="K6" i="6" a="1"/>
  <c r="EO6" i="4" a="1"/>
  <c r="AZ34" i="3"/>
  <c r="AZ6" i="3"/>
  <c r="EM11" i="4" a="1"/>
  <c r="AZ9" i="3"/>
  <c r="AY10" i="3"/>
  <c r="AU29" i="3"/>
  <c r="EL7" i="4" a="1"/>
  <c r="AU31" i="3"/>
  <c r="H6" i="6" a="1"/>
  <c r="AU20" i="3"/>
  <c r="AW31" i="3"/>
  <c r="AC6" i="6" a="1"/>
  <c r="AW8" i="3"/>
  <c r="AU28" i="3"/>
  <c r="AF5" i="3"/>
  <c r="EM12" i="4" a="1"/>
  <c r="AF5" i="6" a="1"/>
  <c r="AW21" i="3"/>
  <c r="EM6" i="4" a="1"/>
  <c r="AX22" i="3"/>
  <c r="AY17" i="3"/>
  <c r="C6" i="6" a="1"/>
  <c r="AY37" i="3"/>
  <c r="AF35" i="3"/>
  <c r="AG5" i="6" a="1"/>
  <c r="AW25" i="3"/>
  <c r="ER14" i="4" a="1"/>
  <c r="AY41" i="3"/>
  <c r="AT22" i="3"/>
  <c r="EO14" i="4" a="1"/>
  <c r="AX38" i="3"/>
  <c r="BL73" i="3"/>
  <c r="BE56" i="3"/>
  <c r="BB89" i="3"/>
  <c r="BL71" i="3"/>
  <c r="BQ96" i="3"/>
  <c r="BF71" i="3"/>
  <c r="HG16" i="4" a="1"/>
  <c r="BA68" i="3"/>
  <c r="GX16" i="4" a="1"/>
  <c r="FY8" i="4" a="1"/>
  <c r="BO69" i="3"/>
  <c r="BT83" i="3"/>
  <c r="BL96" i="3"/>
  <c r="BC97" i="3"/>
  <c r="GD8" i="4" a="1"/>
  <c r="BA84" i="3"/>
  <c r="GC11" i="4" a="1"/>
  <c r="BU60" i="3"/>
  <c r="HB11" i="4" a="1"/>
  <c r="HA12" i="4" a="1"/>
  <c r="BS90" i="3"/>
  <c r="BT48" i="3"/>
  <c r="BT81" i="3"/>
  <c r="BL57" i="3"/>
  <c r="BT67" i="3"/>
  <c r="BQ95" i="3"/>
  <c r="BC65" i="3"/>
  <c r="BE50" i="3"/>
  <c r="GD11" i="4" a="1"/>
  <c r="BV56" i="3"/>
  <c r="BQ80" i="3"/>
  <c r="BQ58" i="3"/>
  <c r="BF77" i="3"/>
  <c r="BP78" i="3"/>
  <c r="GE15" i="4" a="1"/>
  <c r="BK55" i="3"/>
  <c r="BU77" i="3"/>
  <c r="FS13" i="4" a="1"/>
  <c r="BP54" i="3"/>
  <c r="FY15" i="4" a="1"/>
  <c r="BV69" i="3"/>
  <c r="BJ50" i="3"/>
  <c r="HG7" i="4" a="1"/>
  <c r="BB86" i="3"/>
  <c r="FR15" i="4" a="1"/>
  <c r="FV13" i="4" a="1"/>
  <c r="FR9" i="4" a="1"/>
  <c r="FI13" i="4" a="1"/>
  <c r="BH64" i="3"/>
  <c r="BU58" i="3"/>
  <c r="GH7" i="4" a="1"/>
  <c r="BT90" i="3"/>
  <c r="BC75" i="3"/>
  <c r="BR78" i="3"/>
  <c r="BM86" i="3"/>
  <c r="BD68" i="3"/>
  <c r="BT57" i="3"/>
  <c r="BF65" i="3"/>
  <c r="FH15" i="4" a="1"/>
  <c r="FV11" i="4" a="1"/>
  <c r="BF75" i="3"/>
  <c r="BN60" i="3"/>
  <c r="FM16" i="4" a="1"/>
  <c r="BK95" i="3"/>
  <c r="GJ6" i="4" a="1"/>
  <c r="BA83" i="3"/>
  <c r="GV11" i="4" a="1"/>
  <c r="BP70" i="3"/>
  <c r="BQ94" i="3"/>
  <c r="BB92" i="3"/>
  <c r="BJ68" i="3"/>
  <c r="BE67" i="3"/>
  <c r="BQ81" i="3"/>
  <c r="BE73" i="3"/>
  <c r="FX5" i="4" a="1"/>
  <c r="FR12" i="4" a="1"/>
  <c r="GZ5" i="4" a="1"/>
  <c r="GC8" i="4" a="1"/>
  <c r="HB7" i="4" a="1"/>
  <c r="FM11" i="4" a="1"/>
  <c r="BD66" i="3"/>
  <c r="BG89" i="3"/>
  <c r="FG14" i="4" a="1"/>
  <c r="BL61" i="3"/>
  <c r="GZ13" i="4" a="1"/>
  <c r="BO56" i="3"/>
  <c r="BA76" i="3"/>
  <c r="BC48" i="3"/>
  <c r="GH5" i="4" a="1"/>
  <c r="HB9" i="4" a="1"/>
  <c r="FO9" i="4" a="1"/>
  <c r="BO81" i="3"/>
  <c r="GS13" i="4" a="1"/>
  <c r="BI93" i="3"/>
  <c r="GA6" i="4" a="1"/>
  <c r="BL75" i="3"/>
  <c r="BU82" i="3"/>
  <c r="GR11" i="4" a="1"/>
  <c r="FG12" i="4" a="1"/>
  <c r="FJ16" i="4" a="1"/>
  <c r="BR93" i="3"/>
  <c r="BD86" i="3"/>
  <c r="GB9" i="4" a="1"/>
  <c r="BR92" i="3"/>
  <c r="BI56" i="3"/>
  <c r="BI97" i="3"/>
  <c r="FT16" i="4" a="1"/>
  <c r="GF6" i="4" a="1"/>
  <c r="BN68" i="3"/>
  <c r="GC12" i="4" a="1"/>
  <c r="FT12" i="4" a="1"/>
  <c r="FH8" i="4" a="1"/>
  <c r="GW12" i="4" a="1"/>
  <c r="BT47" i="3"/>
  <c r="HB13" i="4" a="1"/>
  <c r="GF8" i="4" a="1"/>
  <c r="BB79" i="3"/>
  <c r="GW14" i="4" a="1"/>
  <c r="BQ70" i="3"/>
  <c r="BB67" i="3"/>
  <c r="FX8" i="4" a="1"/>
  <c r="GZ6" i="4" a="1"/>
  <c r="GA15" i="4" a="1"/>
  <c r="BV79" i="3"/>
  <c r="BT71" i="3"/>
  <c r="HA5" i="4" a="1"/>
  <c r="BM49" i="3"/>
  <c r="BU47" i="3"/>
  <c r="BE95" i="3"/>
  <c r="BI64" i="3"/>
  <c r="BR57" i="3"/>
  <c r="BO85" i="3"/>
  <c r="FT13" i="4" a="1"/>
  <c r="GV13" i="4" a="1"/>
  <c r="FL5" i="4" a="1"/>
  <c r="BB80" i="3"/>
  <c r="GX8" i="4" a="1"/>
  <c r="FJ9" i="4" a="1"/>
  <c r="BL68" i="3"/>
  <c r="BS78" i="3"/>
  <c r="BI60" i="3"/>
  <c r="BE54" i="3"/>
  <c r="Y112" i="2"/>
  <c r="HF12" i="4" a="1"/>
  <c r="GW6" i="4" a="1"/>
  <c r="BC78" i="3"/>
  <c r="BM88" i="3"/>
  <c r="BJ94" i="3"/>
  <c r="GJ8" i="4" a="1"/>
  <c r="BT95" i="3"/>
  <c r="BV86" i="3"/>
  <c r="BR72" i="3"/>
  <c r="BT61" i="3"/>
  <c r="BQ91" i="3"/>
  <c r="HD11" i="4" a="1"/>
  <c r="BV66" i="3"/>
  <c r="BG97" i="3"/>
  <c r="BJ54" i="3"/>
  <c r="GK16" i="4" a="1"/>
  <c r="BK57" i="3"/>
  <c r="GN9" i="4" a="1"/>
  <c r="GO9" i="4" a="1"/>
  <c r="GU8" i="4" a="1"/>
  <c r="BP91" i="3"/>
  <c r="FJ13" i="4" a="1"/>
  <c r="GU16" i="4" a="1"/>
  <c r="FQ15" i="4" a="1"/>
  <c r="BC55" i="3"/>
  <c r="BD87" i="3"/>
  <c r="BI58" i="3"/>
  <c r="GB15" i="4" a="1"/>
  <c r="BI80" i="3"/>
  <c r="BA63" i="3"/>
  <c r="HA11" i="4" a="1"/>
  <c r="BI85" i="3"/>
  <c r="BO76" i="3"/>
  <c r="BS50" i="3"/>
  <c r="GT12" i="4" a="1"/>
  <c r="BO48" i="3"/>
  <c r="GG5" i="4" a="1"/>
  <c r="GV6" i="4" a="1"/>
  <c r="FU16" i="4" a="1"/>
  <c r="BL67" i="3"/>
  <c r="FN14" i="4" a="1"/>
  <c r="BP96" i="3"/>
  <c r="GT6" i="4" a="1"/>
  <c r="BH97" i="3"/>
  <c r="FV14" i="4" a="1"/>
  <c r="GI16" i="4" a="1"/>
  <c r="BJ57" i="3"/>
  <c r="BP85" i="3"/>
  <c r="BN89" i="3"/>
  <c r="BT88" i="3"/>
  <c r="BO58" i="3"/>
  <c r="HC14" i="4" a="1"/>
  <c r="FZ12" i="4" a="1"/>
  <c r="AU11" i="3"/>
  <c r="O6" i="6" a="1"/>
  <c r="AU26" i="3"/>
  <c r="AX8" i="3"/>
  <c r="AV9" i="3"/>
  <c r="AH5" i="6" a="1"/>
  <c r="AS29" i="3"/>
  <c r="AL6" i="6" a="1"/>
  <c r="BP92" i="3"/>
  <c r="EV6" i="4" a="1"/>
  <c r="AU14" i="3"/>
  <c r="AV36" i="3"/>
  <c r="AW5" i="6" a="1"/>
  <c r="F45" i="3"/>
  <c r="AF32" i="3"/>
  <c r="AR5" i="3"/>
  <c r="EL12" i="4" a="1"/>
  <c r="AS37" i="3"/>
  <c r="AS14" i="3"/>
  <c r="BQ89" i="3"/>
  <c r="BS60" i="3"/>
  <c r="GO15" i="4" a="1"/>
  <c r="BN83" i="3"/>
  <c r="FM6" i="4" a="1"/>
  <c r="BO80" i="3"/>
  <c r="HE13" i="4" a="1"/>
  <c r="BK74" i="3"/>
  <c r="BD81" i="3"/>
  <c r="BN76" i="3"/>
  <c r="BN63" i="3"/>
  <c r="BF86" i="3"/>
  <c r="BI81" i="3"/>
  <c r="FG11" i="4" a="1"/>
  <c r="BN93" i="3"/>
  <c r="BC94" i="3"/>
  <c r="GJ13" i="4" a="1"/>
  <c r="GD9" i="4" a="1"/>
  <c r="HF5" i="4" a="1"/>
  <c r="BU75" i="3"/>
  <c r="HH11" i="4" a="1"/>
  <c r="BC85" i="3"/>
  <c r="GL7" i="4" a="1"/>
  <c r="BL63" i="3"/>
  <c r="BD79" i="3"/>
  <c r="BS95" i="3"/>
  <c r="GD12" i="4" a="1"/>
  <c r="BN66" i="3"/>
  <c r="GJ5" i="4" a="1"/>
  <c r="BK88" i="3"/>
  <c r="FK7" i="4" a="1"/>
  <c r="BV54" i="3"/>
  <c r="BF87" i="3"/>
  <c r="BA95" i="3"/>
  <c r="BM95" i="3"/>
  <c r="BA73" i="3"/>
  <c r="BD56" i="3"/>
  <c r="HG14" i="4" a="1"/>
  <c r="GM9" i="4" a="1"/>
  <c r="BB62" i="3"/>
  <c r="BT72" i="3"/>
  <c r="BS67" i="3"/>
  <c r="GC13" i="4" a="1"/>
  <c r="GC5" i="4" a="1"/>
  <c r="GR15" i="4" a="1"/>
  <c r="GZ14" i="4" a="1"/>
  <c r="BJ64" i="3"/>
  <c r="BO57" i="3"/>
  <c r="BV89" i="3"/>
  <c r="BH85" i="3"/>
  <c r="BN95" i="3"/>
  <c r="FL8" i="4" a="1"/>
  <c r="BM62" i="3"/>
  <c r="BM48" i="3"/>
  <c r="GM6" i="4" a="1"/>
  <c r="BG55" i="3"/>
  <c r="BA57" i="3"/>
  <c r="GT16" i="4" a="1"/>
  <c r="BJ73" i="3"/>
  <c r="BO90" i="3"/>
  <c r="BE85" i="3"/>
  <c r="FN13" i="4" a="1"/>
  <c r="GC16" i="4" a="1"/>
  <c r="BC81" i="3"/>
  <c r="FI12" i="4" a="1"/>
  <c r="BG48" i="3"/>
  <c r="GU9" i="4" a="1"/>
  <c r="BT63" i="3"/>
  <c r="HG15" i="4" a="1"/>
  <c r="FO12" i="4" a="1"/>
  <c r="HD8" i="4" a="1"/>
  <c r="BS65" i="3"/>
  <c r="BD80" i="3"/>
  <c r="BV82" i="3"/>
  <c r="BR61" i="3"/>
  <c r="FH6" i="4" a="1"/>
  <c r="BJ70" i="3"/>
  <c r="BU89" i="3"/>
  <c r="GI6" i="4" a="1"/>
  <c r="FK15" i="4" a="1"/>
  <c r="FQ12" i="4" a="1"/>
  <c r="HG13" i="4" a="1"/>
  <c r="BV62" i="3"/>
  <c r="GS14" i="4" a="1"/>
  <c r="BG49" i="3"/>
  <c r="FL16" i="4" a="1"/>
  <c r="BB49" i="3"/>
  <c r="FI5" i="4" a="1"/>
  <c r="BJ67" i="3"/>
  <c r="BM56" i="3"/>
  <c r="BI55" i="3"/>
  <c r="BK47" i="3"/>
  <c r="BQ86" i="3"/>
  <c r="BN69" i="3"/>
  <c r="BP47" i="3"/>
  <c r="BC74" i="3"/>
  <c r="GA14" i="4" a="1"/>
  <c r="GD5" i="4" a="1"/>
  <c r="BO93" i="3"/>
  <c r="FZ6" i="4" a="1"/>
  <c r="BH83" i="3"/>
  <c r="BM83" i="3"/>
  <c r="GV8" i="4" a="1"/>
  <c r="BA90" i="3"/>
  <c r="BK93" i="3"/>
  <c r="BN84" i="3"/>
  <c r="BR81" i="3"/>
  <c r="BH74" i="3"/>
  <c r="BH84" i="3"/>
  <c r="BK89" i="3"/>
  <c r="BF76" i="3"/>
  <c r="BF49" i="3"/>
  <c r="BE72" i="3"/>
  <c r="GV7" i="4" a="1"/>
  <c r="BU68" i="3"/>
  <c r="FV6" i="4" a="1"/>
  <c r="HD5" i="4" a="1"/>
  <c r="GM14" i="4" a="1"/>
  <c r="HH13" i="4" a="1"/>
  <c r="FV16" i="4" a="1"/>
  <c r="HF13" i="4" a="1"/>
  <c r="BR84" i="3"/>
  <c r="GL6" i="4" a="1"/>
  <c r="BU76" i="3"/>
  <c r="BL50" i="3"/>
  <c r="BT91" i="3"/>
  <c r="BC64" i="3"/>
  <c r="GR16" i="4" a="1"/>
  <c r="BP64" i="3"/>
  <c r="BH54" i="3"/>
  <c r="BQ73" i="3"/>
  <c r="BF94" i="3"/>
  <c r="BN75" i="3"/>
  <c r="BU49" i="3"/>
  <c r="GL8" i="4" a="1"/>
  <c r="BK59" i="3"/>
  <c r="BU85" i="3"/>
  <c r="BM47" i="3"/>
  <c r="HE7" i="4" a="1"/>
  <c r="FK12" i="4" a="1"/>
  <c r="BC69" i="3"/>
  <c r="BS93" i="3"/>
  <c r="BC96" i="3"/>
  <c r="BU71" i="3"/>
  <c r="BC68" i="3"/>
  <c r="BE87" i="3"/>
  <c r="BL58" i="3"/>
  <c r="BK61" i="3"/>
  <c r="BU87" i="3"/>
  <c r="BV55" i="3"/>
  <c r="FM7" i="4" a="1"/>
  <c r="FP13" i="4" a="1"/>
  <c r="BB93" i="3"/>
  <c r="GH11" i="4" a="1"/>
  <c r="BE83" i="3"/>
  <c r="FG15" i="4" a="1"/>
  <c r="GA9" i="4" a="1"/>
  <c r="GV12" i="4" a="1"/>
  <c r="GZ16" i="4" a="1"/>
  <c r="FX7" i="4" a="1"/>
  <c r="BB85" i="3"/>
  <c r="BG71" i="3"/>
  <c r="BM76" i="3"/>
  <c r="GD6" i="4" a="1"/>
  <c r="BA75" i="3"/>
  <c r="HE14" i="4" a="1"/>
  <c r="BP90" i="3"/>
  <c r="BK86" i="3"/>
  <c r="BH67" i="3"/>
  <c r="BB47" i="3"/>
  <c r="BE70" i="3"/>
  <c r="FG16" i="4" a="1"/>
  <c r="FG7" i="4" a="1"/>
  <c r="BG95" i="3"/>
  <c r="HG12" i="4" a="1"/>
  <c r="GY16" i="4" a="1"/>
  <c r="GH14" i="4" a="1"/>
  <c r="GK6" i="4" a="1"/>
  <c r="GI12" i="4" a="1"/>
  <c r="FI9" i="4" a="1"/>
  <c r="GI15" i="4" a="1"/>
  <c r="BI48" i="3"/>
  <c r="FG8" i="4" a="1"/>
  <c r="BE68" i="3"/>
  <c r="BU72" i="3"/>
  <c r="BU92" i="3"/>
  <c r="BV93" i="3"/>
  <c r="BQ71" i="3"/>
  <c r="GA13" i="4" a="1"/>
  <c r="FH5" i="4" a="1"/>
  <c r="GH16" i="4" a="1"/>
  <c r="BC62" i="3"/>
  <c r="BG91" i="3"/>
  <c r="FS9" i="4" a="1"/>
  <c r="BO67" i="3"/>
  <c r="GS15" i="4" a="1"/>
  <c r="AX15" i="3"/>
  <c r="E6" i="6" a="1"/>
  <c r="AP7" i="3"/>
  <c r="AZ32" i="3"/>
  <c r="ET14" i="4" a="1"/>
  <c r="AX46" i="3"/>
  <c r="AY31" i="3"/>
  <c r="AX27" i="3"/>
  <c r="M6" i="6" a="1"/>
  <c r="G5" i="6" a="1"/>
  <c r="AF29" i="3"/>
  <c r="AV16" i="3"/>
  <c r="AZ8" i="3"/>
  <c r="AX24" i="3"/>
  <c r="AP6" i="6" a="1"/>
  <c r="AV6" i="3"/>
  <c r="AU32" i="3"/>
  <c r="AU35" i="3"/>
  <c r="AZ14" i="3"/>
  <c r="J6" i="6" a="1"/>
  <c r="AT32" i="3"/>
  <c r="AY6" i="6" a="1"/>
  <c r="AF12" i="3"/>
  <c r="ER5" i="4" a="1"/>
  <c r="AP5" i="6" a="1"/>
  <c r="ER15" i="4" a="1"/>
  <c r="EL11" i="4" a="1"/>
  <c r="AX37" i="3"/>
  <c r="AS34" i="3"/>
  <c r="R5" i="6" a="1"/>
  <c r="EO13" i="4" a="1"/>
  <c r="J5" i="6" a="1"/>
  <c r="AY33" i="3"/>
  <c r="Y5" i="6" a="1"/>
  <c r="AF28" i="3"/>
  <c r="AX16" i="3"/>
  <c r="AU38" i="3"/>
  <c r="AS13" i="3"/>
  <c r="AU23" i="3"/>
  <c r="AJ6" i="6" a="1"/>
  <c r="ET13" i="4" a="1"/>
  <c r="AY5" i="6" a="1"/>
  <c r="AU15" i="3"/>
  <c r="AY23" i="3"/>
  <c r="EW13" i="4" a="1"/>
  <c r="AZ39" i="3"/>
  <c r="AZ17" i="3"/>
  <c r="AG6" i="6" a="1"/>
  <c r="AS5" i="3"/>
  <c r="AL5" i="6" a="1"/>
  <c r="EV8" i="4" a="1"/>
  <c r="EV9" i="4" a="1"/>
  <c r="AS21" i="3"/>
  <c r="ER13" i="4" a="1"/>
  <c r="AU46" i="3"/>
  <c r="AZ29" i="3"/>
  <c r="AX28" i="3"/>
  <c r="AF22" i="3"/>
  <c r="EU8" i="4" a="1"/>
  <c r="EM13" i="4" a="1"/>
  <c r="AT23" i="3"/>
  <c r="AY28" i="3"/>
  <c r="AF26" i="3"/>
  <c r="AV35" i="3"/>
  <c r="AU27" i="3"/>
  <c r="EP11" i="4" a="1"/>
  <c r="I6" i="6" a="1"/>
  <c r="AA5" i="6" a="1"/>
  <c r="U5" i="6" a="1"/>
  <c r="EU6" i="4" a="1"/>
  <c r="H5" i="6" a="1"/>
  <c r="AV34" i="3"/>
  <c r="AF17" i="3"/>
  <c r="AS20" i="3"/>
  <c r="AU18" i="3"/>
  <c r="EN13" i="4" a="1"/>
  <c r="AT11" i="3"/>
  <c r="AY11" i="3"/>
  <c r="ET7" i="4" a="1"/>
  <c r="AS18" i="3"/>
  <c r="AU21" i="3"/>
  <c r="AS25" i="3"/>
  <c r="AV46" i="3"/>
  <c r="AS38" i="3"/>
  <c r="AV29" i="3"/>
  <c r="AY26" i="3"/>
  <c r="AB5" i="3"/>
  <c r="AR7" i="3"/>
  <c r="AS15" i="3"/>
  <c r="AT13" i="3"/>
  <c r="S5" i="6" a="1"/>
  <c r="AT24" i="3"/>
  <c r="AW13" i="3"/>
  <c r="AT21" i="3"/>
  <c r="AW23" i="3"/>
  <c r="EQ8" i="4" a="1"/>
  <c r="AE6" i="6" a="1"/>
  <c r="W5" i="6" a="1"/>
  <c r="EW11" i="4" a="1"/>
  <c r="AW37" i="3"/>
  <c r="AX11" i="3"/>
  <c r="AV8" i="3"/>
  <c r="AT19" i="3"/>
  <c r="AT17" i="3"/>
  <c r="EP5" i="4" a="1"/>
  <c r="AZ30" i="3"/>
  <c r="AW29" i="3"/>
  <c r="EV12" i="4" a="1"/>
  <c r="EQ6" i="4" a="1"/>
  <c r="AS10" i="3"/>
  <c r="AX42" i="3"/>
  <c r="AV5" i="6" a="1"/>
  <c r="AZ7" i="3"/>
  <c r="AS36" i="3"/>
  <c r="Z6" i="6" a="1"/>
  <c r="AY16" i="3"/>
  <c r="AX20" i="3"/>
  <c r="AY25" i="3"/>
  <c r="ES6" i="4" a="1"/>
  <c r="AX17" i="3"/>
  <c r="AD5" i="6" a="1"/>
  <c r="AU37" i="3"/>
  <c r="AU39" i="3"/>
  <c r="AF8" i="3"/>
  <c r="AF45" i="3"/>
  <c r="AV13" i="3"/>
  <c r="AV27" i="3"/>
  <c r="EM9" i="4" a="1"/>
  <c r="C5" i="3"/>
  <c r="AW14" i="3"/>
  <c r="AX25" i="3"/>
  <c r="EU16" i="4" a="1"/>
  <c r="AW42" i="3"/>
  <c r="X6" i="6" a="1"/>
  <c r="EU15" i="4" a="1"/>
  <c r="U6" i="6" a="1"/>
  <c r="AV22" i="3"/>
  <c r="AK5" i="6" a="1"/>
  <c r="AU36" i="3"/>
  <c r="M5" i="6" a="1"/>
  <c r="AY7" i="3"/>
  <c r="AW10" i="3"/>
  <c r="G6" i="6" a="1"/>
  <c r="AF36" i="3"/>
  <c r="AF19" i="3"/>
  <c r="AW41" i="3"/>
  <c r="ES9" i="4" a="1"/>
  <c r="EP6" i="4" a="1"/>
  <c r="EQ16" i="4" a="1"/>
  <c r="AY18" i="3"/>
  <c r="EO9" i="4" a="1"/>
  <c r="AW34" i="3"/>
  <c r="EN9" i="4" a="1"/>
  <c r="EN16" i="4" a="1"/>
  <c r="ES16" i="4" a="1"/>
  <c r="AZ37" i="3"/>
  <c r="AY40" i="3"/>
  <c r="EN7" i="4" a="1"/>
  <c r="AF33" i="3"/>
  <c r="AT37" i="3"/>
  <c r="D6" i="6" a="1"/>
  <c r="ET12" i="4" a="1"/>
  <c r="AS7" i="3"/>
  <c r="AY14" i="3"/>
  <c r="AZ10" i="3"/>
  <c r="I5" i="6" a="1"/>
  <c r="ET16" i="4" a="1"/>
  <c r="AU25" i="3"/>
  <c r="EL16" i="4" a="1"/>
  <c r="AU40" i="3"/>
  <c r="ER12" i="4" a="1"/>
  <c r="AC5" i="6" a="1"/>
  <c r="AZ16" i="3"/>
  <c r="ES12" i="4" a="1"/>
  <c r="AF20" i="3"/>
  <c r="F46" i="3"/>
  <c r="AF38" i="3"/>
  <c r="AX36" i="3"/>
  <c r="EU7" i="4" a="1"/>
  <c r="AM6" i="6" a="1"/>
  <c r="AV5" i="3"/>
  <c r="AF40" i="3"/>
  <c r="AW36" i="3"/>
  <c r="AB6" i="6" a="1"/>
  <c r="EW7" i="4" a="1"/>
  <c r="AF34" i="3"/>
  <c r="AT33" i="3"/>
  <c r="AO5" i="6" a="1"/>
  <c r="AF31" i="3"/>
  <c r="AW38" i="3"/>
  <c r="EV7" i="4" a="1"/>
  <c r="AV28" i="3"/>
  <c r="AY9" i="3"/>
  <c r="AV23" i="3"/>
  <c r="V5" i="6" a="1"/>
  <c r="AU24" i="3"/>
  <c r="AU33" i="3"/>
  <c r="AF9" i="3"/>
  <c r="AW7" i="3"/>
  <c r="EV16" i="4" a="1"/>
  <c r="AS8" i="3"/>
  <c r="AV41" i="3"/>
  <c r="V6" i="6" a="1"/>
  <c r="AV32" i="3"/>
  <c r="EM8" i="4" a="1"/>
  <c r="AY6" i="3"/>
  <c r="AY21" i="3"/>
  <c r="AZ31" i="3"/>
  <c r="S6" i="6" a="1"/>
  <c r="AS31" i="3"/>
  <c r="AV21" i="3"/>
  <c r="AW33" i="3"/>
  <c r="EO12" i="4" a="1"/>
  <c r="AW16" i="3"/>
  <c r="AS33" i="3"/>
  <c r="EP9" i="4" a="1"/>
  <c r="T6" i="6" a="1"/>
  <c r="AT9" i="3"/>
  <c r="P6" i="6" a="1"/>
  <c r="AU5" i="3"/>
  <c r="AV45" i="3"/>
  <c r="AU12" i="3"/>
  <c r="EN14" i="4" a="1"/>
  <c r="AS16" i="3"/>
  <c r="AU8" i="3"/>
  <c r="AF21" i="3"/>
  <c r="EV15" i="4" a="1"/>
  <c r="AV40" i="3"/>
  <c r="AA6" i="6" a="1"/>
  <c r="AV38" i="3"/>
  <c r="AT41" i="3"/>
  <c r="AV42" i="3"/>
  <c r="AF13" i="3"/>
  <c r="Q6" i="6" a="1"/>
  <c r="AS12" i="3"/>
  <c r="EU14" i="4" a="1"/>
  <c r="AU6" i="3"/>
  <c r="EN8" i="4" a="1"/>
  <c r="AU19" i="3"/>
  <c r="AS41" i="3"/>
  <c r="AT27" i="3"/>
  <c r="AF16" i="3"/>
  <c r="AV12" i="3"/>
  <c r="AV39" i="3"/>
  <c r="EV14" i="4" a="1"/>
  <c r="AR5" i="6" a="1"/>
  <c r="AF6" i="6" a="1"/>
  <c r="AY20" i="3"/>
  <c r="AX6" i="6" a="1"/>
  <c r="AZ26" i="3"/>
  <c r="ET15" i="4" a="1"/>
  <c r="ER9" i="4" a="1"/>
  <c r="AZ24" i="3"/>
  <c r="BU54" i="3"/>
  <c r="BF67" i="3"/>
  <c r="AT25" i="3"/>
  <c r="ES7" i="4" a="1"/>
  <c r="EO7" i="4" a="1"/>
  <c r="AF15" i="3"/>
  <c r="AV19" i="3"/>
  <c r="AX33" i="3"/>
  <c r="L5" i="6" a="1"/>
  <c r="EP12" i="4" a="1"/>
  <c r="ER8" i="4" a="1"/>
  <c r="AT26" i="3"/>
  <c r="AU45" i="3"/>
  <c r="AW40" i="3"/>
  <c r="ER7" i="4" a="1"/>
  <c r="AD6" i="6" a="1"/>
  <c r="AT20" i="3"/>
  <c r="AS32" i="3"/>
  <c r="AT18" i="3"/>
  <c r="EQ5" i="4" a="1"/>
  <c r="EQ12" i="4" a="1"/>
  <c r="AX31" i="3"/>
  <c r="AZ23" i="3"/>
  <c r="AY42" i="3"/>
  <c r="AS9" i="3"/>
  <c r="AU30" i="3"/>
  <c r="EV5" i="4" a="1"/>
  <c r="AU34" i="3"/>
  <c r="AF10" i="3"/>
  <c r="Z5" i="6" a="1"/>
  <c r="EU9" i="4" a="1"/>
  <c r="AT5" i="3"/>
  <c r="AZ19" i="3"/>
  <c r="EN11" i="4" a="1"/>
  <c r="EV13" i="4" a="1"/>
  <c r="N5" i="6" a="1"/>
  <c r="AY19" i="3"/>
  <c r="AW5" i="3"/>
  <c r="ES14" i="4" a="1"/>
  <c r="EL14" i="4" a="1"/>
  <c r="AU9" i="3"/>
  <c r="AX19" i="3"/>
  <c r="AZ20" i="3"/>
  <c r="EQ11" i="4" a="1"/>
  <c r="AS6" i="3"/>
  <c r="AQ5" i="6" a="1"/>
  <c r="AP5" i="3"/>
  <c r="AW15" i="3"/>
  <c r="AS46" i="3"/>
  <c r="AF18" i="3"/>
  <c r="AW6" i="6" a="1"/>
  <c r="AZ25" i="3"/>
  <c r="AT36" i="3"/>
  <c r="AQ6" i="6" a="1"/>
  <c r="AZ45" i="3"/>
  <c r="AU13" i="3"/>
  <c r="AF23" i="3"/>
  <c r="AY38" i="3"/>
  <c r="ES15" i="4" a="1"/>
  <c r="AS26" i="3"/>
  <c r="AW35" i="3"/>
  <c r="AN5" i="6" a="1"/>
  <c r="AT5" i="6" a="1"/>
  <c r="EW5" i="4" a="1"/>
  <c r="AH6" i="6" a="1"/>
  <c r="AX6" i="3"/>
  <c r="AF46" i="3"/>
  <c r="EL15" i="4" a="1"/>
  <c r="AT46" i="3"/>
  <c r="AY24" i="3"/>
  <c r="EM14" i="4" a="1"/>
  <c r="ET5" i="4" a="1"/>
  <c r="EQ13" i="4" a="1"/>
  <c r="AR6" i="3"/>
  <c r="AZ15" i="3"/>
  <c r="T5" i="6" a="1"/>
  <c r="AU41" i="3"/>
  <c r="AE5" i="6" a="1"/>
  <c r="AT31" i="3"/>
  <c r="ES11" i="4" a="1"/>
  <c r="AY45" i="3"/>
  <c r="AY13" i="3"/>
  <c r="F6" i="6" a="1"/>
  <c r="ES5" i="4" a="1"/>
  <c r="AZ22" i="3"/>
  <c r="AS11" i="3"/>
  <c r="AU10" i="3"/>
  <c r="AS24" i="3"/>
  <c r="AF30" i="3"/>
  <c r="AI5" i="6" a="1"/>
  <c r="D5" i="6" a="1"/>
  <c r="ET6" i="4" a="1"/>
  <c r="AX9" i="3"/>
  <c r="ET9" i="4" a="1"/>
  <c r="AZ38" i="3"/>
  <c r="EL6" i="4" a="1"/>
  <c r="AV14" i="3"/>
  <c r="AW46" i="3"/>
  <c r="AW9" i="3"/>
  <c r="AX5" i="6" a="1"/>
  <c r="AU16" i="3"/>
  <c r="AW17" i="3"/>
  <c r="ET11" i="4" a="1"/>
  <c r="ER16" i="4" a="1"/>
  <c r="AX30" i="3"/>
  <c r="K5" i="6" a="1"/>
  <c r="BD64" i="3"/>
  <c r="BU66" i="3"/>
  <c r="BA87" i="3"/>
  <c r="BC90" i="3"/>
  <c r="BF91" i="3"/>
  <c r="AX41" i="3"/>
  <c r="AI6" i="6" a="1"/>
  <c r="BJ77" i="3"/>
  <c r="EM16" i="4" a="1"/>
  <c r="AB5" i="6" a="1"/>
  <c r="AF14" i="3"/>
  <c r="EU12" i="4" a="1"/>
  <c r="AS28" i="3"/>
  <c r="AJ5" i="6" a="1"/>
  <c r="AZ33" i="3"/>
  <c r="N6" i="6" a="1"/>
  <c r="EO11" i="4" a="1"/>
  <c r="BL97" i="3"/>
  <c r="BJ86" i="3"/>
  <c r="BF50" i="3"/>
  <c r="BO54" i="3"/>
  <c r="BC63" i="3"/>
  <c r="AU22" i="3"/>
  <c r="AX34" i="3"/>
  <c r="EW8" i="4" a="1"/>
  <c r="AU17" i="3"/>
  <c r="AT34" i="3"/>
  <c r="AX35" i="3"/>
  <c r="EL13" i="4" a="1"/>
  <c r="AX26" i="3"/>
  <c r="AW32" i="3"/>
  <c r="AY39" i="3"/>
  <c r="AF6" i="3"/>
  <c r="AV18" i="3"/>
  <c r="AF27" i="3"/>
  <c r="AY22" i="3"/>
  <c r="EM7" i="4" a="1"/>
  <c r="EO16" i="4" a="1"/>
  <c r="EP16" i="4" a="1"/>
  <c r="EP14" i="4" a="1"/>
  <c r="EO8" i="4" a="1"/>
  <c r="AS45" i="3"/>
  <c r="AF11" i="3"/>
  <c r="AV11" i="3"/>
  <c r="AT16" i="3"/>
  <c r="AW11" i="3"/>
  <c r="ET8" i="4" a="1"/>
  <c r="EW12" i="4" a="1"/>
  <c r="EP8" i="4" a="1"/>
  <c r="AV31" i="3"/>
  <c r="AV26" i="3"/>
  <c r="AX13" i="3"/>
  <c r="Q5" i="6" a="1"/>
  <c r="EM15" i="4" a="1"/>
  <c r="EQ7" i="4" a="1"/>
  <c r="AX40" i="3"/>
  <c r="O5" i="6" a="1"/>
  <c r="AU7" i="3"/>
  <c r="AV17" i="3"/>
  <c r="AS22" i="3"/>
  <c r="AF7" i="3"/>
  <c r="AV15" i="3"/>
  <c r="AV6" i="6" a="1"/>
  <c r="AZ27" i="3"/>
  <c r="AZ5" i="3"/>
  <c r="AT39" i="3"/>
  <c r="AS6" i="6" a="1"/>
  <c r="AT29" i="3"/>
  <c r="AU42" i="3"/>
  <c r="AZ12" i="3"/>
  <c r="EO5" i="4" a="1"/>
  <c r="AX10" i="3"/>
  <c r="AW30" i="3"/>
  <c r="AX12" i="3"/>
  <c r="AZ46" i="3"/>
  <c r="C5" i="4" a="1"/>
  <c r="AY30" i="3"/>
  <c r="AY35" i="3"/>
  <c r="AT40" i="3"/>
  <c r="AT38" i="3"/>
  <c r="AF24" i="3"/>
  <c r="AT10" i="3"/>
  <c r="AP6" i="3"/>
  <c r="AV30" i="3"/>
  <c r="X5" i="6" a="1"/>
  <c r="EW6" i="4" a="1"/>
  <c r="EW15" i="4" a="1"/>
  <c r="AW6" i="3"/>
  <c r="AY5" i="3"/>
  <c r="EL9" i="4" a="1"/>
  <c r="AM5" i="6" a="1"/>
  <c r="AX7" i="3"/>
  <c r="EW14" i="4" a="1"/>
  <c r="AT6" i="6" a="1"/>
  <c r="AX14" i="3"/>
  <c r="EN6" i="4" a="1"/>
  <c r="AN6" i="6" a="1"/>
  <c r="AV37" i="3"/>
  <c r="AF42" i="3"/>
  <c r="EU11" i="4" a="1"/>
  <c r="ER11" i="4" a="1"/>
  <c r="AS19" i="3"/>
  <c r="AT35" i="3"/>
  <c r="EW9" i="4" a="1"/>
  <c r="AS40" i="3"/>
  <c r="AW24" i="3"/>
  <c r="EO15" i="4" a="1"/>
  <c r="AK6" i="6" a="1"/>
  <c r="AT8" i="3"/>
  <c r="AS35" i="3"/>
  <c r="EU13" i="4" a="1"/>
  <c r="AT12" i="3"/>
  <c r="EQ9" i="4" a="1"/>
  <c r="AZ18" i="3"/>
  <c r="AS5" i="6" a="1"/>
  <c r="E5" i="6" a="1"/>
  <c r="AZ28" i="3"/>
  <c r="AF41" i="3"/>
  <c r="AX21" i="3"/>
  <c r="AX5" i="3"/>
  <c r="AY8" i="3"/>
  <c r="AW19" i="3"/>
  <c r="AW26" i="3"/>
  <c r="BL83" i="3"/>
  <c r="BD77" i="3"/>
  <c r="BA72" i="3"/>
  <c r="BC47" i="3"/>
  <c r="AA112" i="2"/>
  <c r="AS42" i="3"/>
  <c r="AS17" i="3"/>
  <c r="AY27" i="3"/>
  <c r="AX45" i="3"/>
  <c r="AU6" i="6" a="1"/>
  <c r="AW20" i="3"/>
  <c r="BD67" i="3"/>
  <c r="BC49" i="3"/>
  <c r="ES8" i="4" a="1"/>
  <c r="BJ71" i="3"/>
  <c r="BK58" i="3"/>
  <c r="BC86" i="3"/>
  <c r="BC76" i="3"/>
  <c r="BF97" i="3"/>
  <c r="BF88" i="3"/>
  <c r="BP79" i="3"/>
  <c r="BK91" i="3"/>
  <c r="BC58" i="3"/>
  <c r="BC83" i="3"/>
  <c r="BF56" i="3"/>
  <c r="BF93" i="3"/>
  <c r="BP63" i="3"/>
  <c r="BK54" i="3"/>
  <c r="BC71" i="3"/>
  <c r="BC56" i="3"/>
  <c r="BF69" i="3"/>
  <c r="AA113" i="2"/>
  <c r="BK79" i="3"/>
  <c r="BK49" i="3"/>
  <c r="BC82" i="3"/>
  <c r="BF85" i="3"/>
  <c r="BF92" i="3"/>
  <c r="AA111" i="2"/>
  <c r="AX65" i="3"/>
  <c r="AT75" i="3"/>
  <c r="AY59" i="3"/>
  <c r="AS61" i="3"/>
  <c r="AZ59" i="3"/>
  <c r="AS69" i="3"/>
  <c r="AF80" i="3"/>
  <c r="AS50" i="3"/>
  <c r="AY50" i="3"/>
  <c r="AZ78" i="3"/>
  <c r="AF59" i="3"/>
  <c r="AS81" i="3"/>
  <c r="AU90" i="3"/>
  <c r="AZ83" i="3"/>
  <c r="AX80" i="3"/>
  <c r="AW72" i="3"/>
  <c r="AZ60" i="3"/>
  <c r="C90" i="3"/>
  <c r="AZ75" i="3"/>
  <c r="AX77" i="3"/>
  <c r="C58" i="3"/>
  <c r="AW62" i="3"/>
  <c r="AZ67" i="3"/>
  <c r="AW80" i="3"/>
  <c r="AT50" i="3"/>
  <c r="AT61" i="3"/>
  <c r="C94" i="3"/>
  <c r="AY92" i="3"/>
  <c r="AX88" i="3"/>
  <c r="AW91" i="3"/>
  <c r="AW79" i="3"/>
  <c r="AV81" i="3"/>
  <c r="AF54" i="3"/>
  <c r="AT49" i="3"/>
  <c r="AT92" i="3"/>
  <c r="AV64" i="3"/>
  <c r="AX91" i="3"/>
  <c r="AY87" i="3"/>
  <c r="AT73" i="3"/>
  <c r="AS56" i="3"/>
  <c r="AV57" i="3"/>
  <c r="AT81" i="3"/>
  <c r="AU49" i="3"/>
  <c r="AF57" i="3"/>
  <c r="AW96" i="3"/>
  <c r="AW88" i="3"/>
  <c r="AY55" i="3"/>
  <c r="AV62" i="3"/>
  <c r="AV87" i="3"/>
  <c r="AZ74" i="3"/>
  <c r="AZ70" i="3"/>
  <c r="AT72" i="3"/>
  <c r="AU54" i="3"/>
  <c r="AZ94" i="3"/>
  <c r="AF62" i="3"/>
  <c r="AW49" i="3"/>
  <c r="AS92" i="3"/>
  <c r="AV69" i="3"/>
  <c r="AX76" i="3"/>
  <c r="C76" i="3"/>
  <c r="AX82" i="3"/>
  <c r="C95" i="3"/>
  <c r="C78" i="3"/>
  <c r="AF96" i="3"/>
  <c r="AZ56" i="3"/>
  <c r="AZ49" i="3"/>
  <c r="AY71" i="3"/>
  <c r="AY60" i="3"/>
  <c r="AF88" i="3"/>
  <c r="AS65" i="3"/>
  <c r="AV88" i="3"/>
  <c r="AW47" i="3"/>
  <c r="AZ73" i="3"/>
  <c r="AX93" i="3"/>
  <c r="AZ61" i="3"/>
  <c r="AV97" i="3"/>
  <c r="AV90" i="3"/>
  <c r="C63" i="3"/>
  <c r="AF49" i="3"/>
  <c r="AZ69" i="3"/>
  <c r="AU70" i="3"/>
  <c r="AV67" i="3"/>
  <c r="AW58" i="3"/>
  <c r="AU88" i="3"/>
  <c r="AU76" i="3"/>
  <c r="AY58" i="3"/>
  <c r="AF85" i="3"/>
  <c r="AS93" i="3"/>
  <c r="AY56" i="3"/>
  <c r="AW61" i="3"/>
  <c r="AW60" i="3"/>
  <c r="AX56" i="3"/>
  <c r="AV77" i="3"/>
  <c r="C85" i="3"/>
  <c r="AF91" i="3"/>
  <c r="AU85" i="3"/>
  <c r="AU50" i="3"/>
  <c r="AT90" i="3"/>
  <c r="AV82" i="3"/>
  <c r="AU69" i="3"/>
  <c r="AS97" i="3"/>
  <c r="AT56" i="3"/>
  <c r="AW84" i="3"/>
  <c r="AV68" i="3"/>
  <c r="AT86" i="3"/>
  <c r="C70" i="3"/>
  <c r="AS66" i="3"/>
  <c r="AZ79" i="3"/>
  <c r="AU73" i="3"/>
  <c r="AU61" i="3"/>
  <c r="AS76" i="3"/>
  <c r="AY84" i="3"/>
  <c r="AT78" i="3"/>
  <c r="AT59" i="3"/>
  <c r="AZ97" i="3"/>
  <c r="AZ64" i="3"/>
  <c r="AX55" i="3"/>
  <c r="AT64" i="3"/>
  <c r="AW75" i="3"/>
  <c r="AU93" i="3"/>
  <c r="AX92" i="3"/>
  <c r="AF82" i="3"/>
  <c r="AW87" i="3"/>
  <c r="AW67" i="3"/>
  <c r="AX71" i="3"/>
  <c r="AT66" i="3"/>
  <c r="AT77" i="3"/>
  <c r="AS85" i="3"/>
  <c r="AU78" i="3"/>
  <c r="AU75" i="3"/>
  <c r="AW48" i="3"/>
  <c r="AV61" i="3"/>
  <c r="AW82" i="3"/>
  <c r="AS62" i="3"/>
  <c r="AW95" i="3"/>
  <c r="AV84" i="3"/>
  <c r="AW71" i="3"/>
  <c r="AZ81" i="3"/>
  <c r="AF73" i="3"/>
  <c r="AV58" i="3"/>
  <c r="AU77" i="3"/>
  <c r="AT87" i="3"/>
  <c r="AY77" i="3"/>
  <c r="AW74" i="3"/>
  <c r="AU74" i="3"/>
  <c r="AX90" i="3"/>
  <c r="AW97" i="3"/>
  <c r="AX60" i="3"/>
  <c r="AX63" i="3"/>
  <c r="AU67" i="3"/>
  <c r="AW59" i="3"/>
  <c r="AX67" i="3"/>
  <c r="AT70" i="3"/>
  <c r="BH59" i="3"/>
  <c r="AT95" i="3"/>
  <c r="AY49" i="3"/>
  <c r="AZ87" i="3"/>
  <c r="AF79" i="3"/>
  <c r="AU68" i="3"/>
  <c r="AZ90" i="3"/>
  <c r="AU89" i="3"/>
  <c r="AU95" i="3"/>
  <c r="AY86" i="3"/>
  <c r="AX75" i="3"/>
  <c r="AT55" i="3"/>
  <c r="AS96" i="3"/>
  <c r="AX73" i="3"/>
  <c r="C61" i="3"/>
  <c r="AS80" i="3"/>
  <c r="AS88" i="3"/>
  <c r="AW90" i="3"/>
  <c r="AW65" i="3"/>
  <c r="AW64" i="3"/>
  <c r="AZ84" i="3"/>
  <c r="AY91" i="3"/>
  <c r="AW50" i="3"/>
  <c r="AF76" i="3"/>
  <c r="AU79" i="3"/>
  <c r="C74" i="3"/>
  <c r="AF55" i="3"/>
  <c r="AS63" i="3"/>
  <c r="AT67" i="3"/>
  <c r="AU80" i="3"/>
  <c r="AV86" i="3"/>
  <c r="AV96" i="3"/>
  <c r="AS89" i="3"/>
  <c r="AS72" i="3"/>
  <c r="AU60" i="3"/>
  <c r="AY72" i="3"/>
  <c r="AX50" i="3"/>
  <c r="AU91" i="3"/>
  <c r="AF75" i="3"/>
  <c r="AZ77" i="3"/>
  <c r="AV79" i="3"/>
  <c r="AF64" i="3"/>
  <c r="AX61" i="3"/>
  <c r="AS84" i="3"/>
  <c r="AZ95" i="3"/>
  <c r="AW63" i="3"/>
  <c r="AT96" i="3"/>
  <c r="AX57" i="3"/>
  <c r="C88" i="3"/>
  <c r="AX81" i="3"/>
  <c r="C96" i="3"/>
  <c r="AF68" i="3"/>
  <c r="AF90" i="3"/>
  <c r="AY47" i="3"/>
  <c r="AW77" i="3"/>
  <c r="AU81" i="3"/>
  <c r="AX69" i="3"/>
  <c r="C60" i="3"/>
  <c r="AF66" i="3"/>
  <c r="C83" i="3"/>
  <c r="AF97" i="3"/>
  <c r="C80" i="3"/>
  <c r="AT79" i="3"/>
  <c r="AT71" i="3"/>
  <c r="AY69" i="3"/>
  <c r="AZ57" i="3"/>
  <c r="C87" i="3"/>
  <c r="AS73" i="3"/>
  <c r="AF86" i="3"/>
  <c r="AY48" i="3"/>
  <c r="AX47" i="3"/>
  <c r="AX94" i="3"/>
  <c r="AX62" i="3"/>
  <c r="AZ62" i="3"/>
  <c r="AF63" i="3"/>
  <c r="AY89" i="3"/>
  <c r="AV56" i="3"/>
  <c r="AT85" i="3"/>
  <c r="AS59" i="3"/>
  <c r="AZ89" i="3"/>
  <c r="AV76" i="3"/>
  <c r="AZ80" i="3"/>
  <c r="AS87" i="3"/>
  <c r="AS95" i="3"/>
  <c r="AZ92" i="3"/>
  <c r="AZ50" i="3"/>
  <c r="AY57" i="3"/>
  <c r="AY68" i="3"/>
  <c r="AY73" i="3"/>
  <c r="AT47" i="3"/>
  <c r="AF60" i="3"/>
  <c r="AZ72" i="3"/>
  <c r="AT97" i="3"/>
  <c r="AX64" i="3"/>
  <c r="AZ88" i="3"/>
  <c r="AS78" i="3"/>
  <c r="AT62" i="3"/>
  <c r="AS60" i="3"/>
  <c r="AV83" i="3"/>
  <c r="AZ82" i="3"/>
  <c r="AX78" i="3"/>
  <c r="AS91" i="3"/>
  <c r="C62" i="3"/>
  <c r="AU83" i="3"/>
  <c r="AX54" i="3"/>
  <c r="AZ76" i="3"/>
  <c r="AS70" i="3"/>
  <c r="AX74" i="3"/>
  <c r="AZ91" i="3"/>
  <c r="AU57" i="3"/>
  <c r="AU48" i="3"/>
  <c r="AF87" i="3"/>
  <c r="AU92" i="3"/>
  <c r="AZ86" i="3"/>
  <c r="C86" i="3"/>
  <c r="AV75" i="3"/>
  <c r="C91" i="3"/>
  <c r="AU82" i="3"/>
  <c r="AS94" i="3"/>
  <c r="AW89" i="3"/>
  <c r="AV63" i="3"/>
  <c r="AU62" i="3"/>
  <c r="C64" i="3"/>
  <c r="AW55" i="3"/>
  <c r="C72" i="3"/>
  <c r="AU59" i="3"/>
  <c r="AS82" i="3"/>
  <c r="AT84" i="3"/>
  <c r="AU71" i="3"/>
  <c r="AV60" i="3"/>
  <c r="AZ96" i="3"/>
  <c r="AF71" i="3"/>
  <c r="C93" i="3"/>
  <c r="AX83" i="3"/>
  <c r="AT89" i="3"/>
  <c r="AW66" i="3"/>
  <c r="AF77" i="3"/>
  <c r="AZ47" i="3"/>
  <c r="AF56" i="3"/>
  <c r="AZ71" i="3"/>
  <c r="AY75" i="3"/>
  <c r="C59" i="3"/>
  <c r="AT76" i="3"/>
  <c r="AX79" i="3"/>
  <c r="AS86" i="3"/>
  <c r="AS83" i="3"/>
  <c r="AS74" i="3"/>
  <c r="AS48" i="3"/>
  <c r="AV54" i="3"/>
  <c r="AU97" i="3"/>
  <c r="C79" i="3"/>
  <c r="AS79" i="3"/>
  <c r="AV91" i="3"/>
  <c r="AW73" i="3"/>
  <c r="AX84" i="3"/>
  <c r="AU63" i="3"/>
  <c r="AS68" i="3"/>
  <c r="AY85" i="3"/>
  <c r="AZ54" i="3"/>
  <c r="C65" i="3"/>
  <c r="AZ85" i="3"/>
  <c r="C71" i="3"/>
  <c r="AY93" i="3"/>
  <c r="AZ93" i="3"/>
  <c r="AF61" i="3"/>
  <c r="AS71" i="3"/>
  <c r="AY78" i="3"/>
  <c r="AS58" i="3"/>
  <c r="AW86" i="3"/>
  <c r="AX86" i="3"/>
  <c r="AF58" i="3"/>
  <c r="AV59" i="3"/>
  <c r="AU66" i="3"/>
  <c r="AV66" i="3"/>
  <c r="AF92" i="3"/>
  <c r="AX59" i="3"/>
  <c r="AX89" i="3"/>
  <c r="AW78" i="3"/>
  <c r="AT80" i="3"/>
  <c r="AW70" i="3"/>
  <c r="AS67" i="3"/>
  <c r="AF47" i="3"/>
  <c r="AX48" i="3"/>
  <c r="AX87" i="3"/>
  <c r="AV65" i="3"/>
  <c r="C56" i="3"/>
  <c r="AS55" i="3"/>
  <c r="AZ68" i="3"/>
  <c r="AS54" i="3"/>
  <c r="AX66" i="3"/>
  <c r="AY80" i="3"/>
  <c r="AF83" i="3"/>
  <c r="AU87" i="3"/>
  <c r="AV94" i="3"/>
  <c r="AZ66" i="3"/>
  <c r="AS77" i="3"/>
  <c r="AU56" i="3"/>
  <c r="AW68" i="3"/>
  <c r="AX97" i="3"/>
  <c r="C89" i="3"/>
  <c r="AF89" i="3"/>
  <c r="AT93" i="3"/>
  <c r="AU96" i="3"/>
  <c r="AY67" i="3"/>
  <c r="C81" i="3"/>
  <c r="AY62" i="3"/>
  <c r="AF95" i="3"/>
  <c r="C54" i="3"/>
  <c r="AX96" i="3"/>
  <c r="AV55" i="3"/>
  <c r="AF72" i="3"/>
  <c r="AF65" i="3"/>
  <c r="AW54" i="3"/>
  <c r="AV47" i="3"/>
  <c r="AT68" i="3"/>
  <c r="C77" i="3"/>
  <c r="AW83" i="3"/>
  <c r="AV73" i="3"/>
  <c r="AW69" i="3"/>
  <c r="AU84" i="3"/>
  <c r="AW81" i="3"/>
  <c r="AX68" i="3"/>
  <c r="AF70" i="3"/>
  <c r="AZ55" i="3"/>
  <c r="AF84" i="3"/>
  <c r="AS64" i="3"/>
  <c r="AZ63" i="3"/>
  <c r="AT57" i="3"/>
  <c r="AX85" i="3"/>
  <c r="AU65" i="3"/>
  <c r="AF81" i="3"/>
  <c r="AU55" i="3"/>
  <c r="AY90" i="3"/>
  <c r="C66" i="3"/>
  <c r="AS90" i="3"/>
  <c r="C67" i="3"/>
  <c r="AY66" i="3"/>
  <c r="AV78" i="3"/>
  <c r="AF69" i="3"/>
  <c r="AX70" i="3"/>
  <c r="AT94" i="3"/>
  <c r="AT48" i="3"/>
  <c r="AU94" i="3"/>
  <c r="AV70" i="3"/>
  <c r="AY81" i="3"/>
  <c r="AV74" i="3"/>
  <c r="AW92" i="3"/>
  <c r="AT65" i="3"/>
  <c r="AY70" i="3"/>
  <c r="AY97" i="3"/>
  <c r="AV85" i="3"/>
  <c r="AY63" i="3"/>
  <c r="AX72" i="3"/>
  <c r="AY79" i="3"/>
  <c r="AY61" i="3"/>
  <c r="AY82" i="3"/>
  <c r="AV50" i="3"/>
  <c r="AW56" i="3"/>
  <c r="AF94" i="3"/>
  <c r="AX95" i="3"/>
  <c r="AT74" i="3"/>
  <c r="AT91" i="3"/>
  <c r="AX58" i="3"/>
  <c r="C75" i="3"/>
  <c r="AY94" i="3"/>
  <c r="AU86" i="3"/>
  <c r="AZ58" i="3"/>
  <c r="AY83" i="3"/>
  <c r="AW93" i="3"/>
  <c r="C69" i="3"/>
  <c r="AX49" i="3"/>
  <c r="AV71" i="3"/>
  <c r="AT58" i="3"/>
  <c r="AS57" i="3"/>
  <c r="C68" i="3"/>
  <c r="AY95" i="3"/>
  <c r="AY74" i="3"/>
  <c r="AT82" i="3"/>
  <c r="AU64" i="3"/>
  <c r="AY76" i="3"/>
  <c r="AT54" i="3"/>
  <c r="AV72" i="3"/>
  <c r="AW94" i="3"/>
  <c r="AT60" i="3"/>
  <c r="C92" i="3"/>
  <c r="AZ48" i="3"/>
  <c r="AV49" i="3"/>
  <c r="AW85" i="3"/>
  <c r="C97" i="3"/>
  <c r="C82" i="3"/>
  <c r="C50" i="3"/>
  <c r="AZ65" i="3"/>
  <c r="AS75" i="3"/>
  <c r="AY96" i="3"/>
  <c r="AW76" i="3"/>
  <c r="AF78" i="3"/>
  <c r="AY88" i="3"/>
  <c r="AY64" i="3"/>
  <c r="C55" i="3"/>
  <c r="AT88" i="3"/>
  <c r="AV93" i="3"/>
  <c r="AV48" i="3"/>
  <c r="C84" i="3"/>
  <c r="AT83" i="3"/>
  <c r="AW57" i="3"/>
  <c r="AT69" i="3"/>
  <c r="AV95" i="3"/>
  <c r="AU72" i="3"/>
  <c r="AV80" i="3"/>
  <c r="C73" i="3"/>
  <c r="AY54" i="3"/>
  <c r="AT63" i="3"/>
  <c r="AU58" i="3"/>
  <c r="AF74" i="3"/>
  <c r="AV92" i="3"/>
  <c r="AY65" i="3"/>
  <c r="AF93" i="3"/>
  <c r="AV89" i="3"/>
  <c r="C57" i="3"/>
  <c r="AU47" i="3"/>
  <c r="AF67" i="3"/>
  <c r="BG77" i="3"/>
  <c r="BQ56" i="3"/>
  <c r="BO62" i="3"/>
  <c r="BF78" i="3"/>
  <c r="BF96" i="3"/>
  <c r="BF73" i="3"/>
  <c r="CL163" i="1" l="1"/>
  <c r="CL142" i="1"/>
  <c r="CL155" i="1"/>
  <c r="CL147" i="1"/>
  <c r="Z74" i="1"/>
  <c r="CL117" i="1"/>
  <c r="CL127" i="1"/>
  <c r="ES8" i="4"/>
  <c r="CI73" i="1"/>
  <c r="CC9" i="1"/>
  <c r="AU6" i="6"/>
  <c r="AU7" i="6" s="1"/>
  <c r="BY21" i="1"/>
  <c r="BY51" i="1"/>
  <c r="Z73" i="1"/>
  <c r="CJ140" i="1"/>
  <c r="CK140" i="1" s="1"/>
  <c r="CC47" i="1"/>
  <c r="CD22" i="1"/>
  <c r="CF32" i="1"/>
  <c r="CF194" i="1" s="1"/>
  <c r="E5" i="6"/>
  <c r="AS5" i="6"/>
  <c r="CF25" i="1"/>
  <c r="EQ9" i="4"/>
  <c r="JK9" i="4" s="1"/>
  <c r="BZ14" i="1"/>
  <c r="EU13" i="4"/>
  <c r="BY46" i="1"/>
  <c r="AK6" i="6"/>
  <c r="AK7" i="6" s="1"/>
  <c r="EO15" i="4"/>
  <c r="EW9" i="4"/>
  <c r="JM9" i="4" s="1"/>
  <c r="BZ46" i="1"/>
  <c r="ER11" i="4"/>
  <c r="EU11" i="4"/>
  <c r="BL51" i="1"/>
  <c r="AN6" i="6"/>
  <c r="AN7" i="6" s="1"/>
  <c r="EN6" i="4"/>
  <c r="CD23" i="1"/>
  <c r="AT6" i="6"/>
  <c r="AT7" i="6" s="1"/>
  <c r="EW14" i="4"/>
  <c r="AM5" i="6"/>
  <c r="EL9" i="4"/>
  <c r="CC8" i="1"/>
  <c r="CC231" i="1" s="1"/>
  <c r="EW15" i="4"/>
  <c r="EW6" i="4"/>
  <c r="X5" i="6"/>
  <c r="BZ13" i="1"/>
  <c r="CE46" i="1"/>
  <c r="C5" i="4"/>
  <c r="CD14" i="1"/>
  <c r="CD13" i="1"/>
  <c r="EO5" i="4"/>
  <c r="CF14" i="1"/>
  <c r="CA51" i="1"/>
  <c r="BZ39" i="1"/>
  <c r="AS6" i="6"/>
  <c r="AS7" i="6" s="1"/>
  <c r="AV6" i="6"/>
  <c r="AV7" i="6" s="1"/>
  <c r="CB24" i="1"/>
  <c r="CB21" i="1"/>
  <c r="O5" i="6"/>
  <c r="EQ7" i="4"/>
  <c r="EM15" i="4"/>
  <c r="Q5" i="6"/>
  <c r="CB47" i="1"/>
  <c r="EP8" i="4"/>
  <c r="EW12" i="4"/>
  <c r="ET8" i="4"/>
  <c r="CC15" i="1"/>
  <c r="BZ20" i="1"/>
  <c r="CB15" i="1"/>
  <c r="BL15" i="1"/>
  <c r="EO8" i="4"/>
  <c r="EP14" i="4"/>
  <c r="EP16" i="4"/>
  <c r="EO16" i="4"/>
  <c r="EM7" i="4"/>
  <c r="CB25" i="1"/>
  <c r="BL8" i="1"/>
  <c r="CD47" i="1"/>
  <c r="EL13" i="4"/>
  <c r="CD46" i="1"/>
  <c r="BZ45" i="1"/>
  <c r="CA21" i="1"/>
  <c r="EW8" i="4"/>
  <c r="CD45" i="1"/>
  <c r="CL74" i="1"/>
  <c r="EO11" i="4"/>
  <c r="N6" i="6"/>
  <c r="N7" i="6" s="1"/>
  <c r="AJ5" i="6"/>
  <c r="BY32" i="1"/>
  <c r="BY194" i="1" s="1"/>
  <c r="EU12" i="4"/>
  <c r="BL23" i="1"/>
  <c r="AB5" i="6"/>
  <c r="EM16" i="4"/>
  <c r="AI6" i="6"/>
  <c r="AI7" i="6" s="1"/>
  <c r="CL154" i="1"/>
  <c r="CJ149" i="1"/>
  <c r="K5" i="6"/>
  <c r="ER16" i="4"/>
  <c r="ET11" i="4"/>
  <c r="CC21" i="1"/>
  <c r="CA20" i="1"/>
  <c r="AX5" i="6"/>
  <c r="CB23" i="1"/>
  <c r="EL6" i="4"/>
  <c r="ET9" i="4"/>
  <c r="JL9" i="4" s="1"/>
  <c r="ET6" i="4"/>
  <c r="D5" i="6"/>
  <c r="AI5" i="6"/>
  <c r="CA13" i="1"/>
  <c r="BY15" i="1"/>
  <c r="ES5" i="4"/>
  <c r="F6" i="6"/>
  <c r="F7" i="6" s="1"/>
  <c r="ES11" i="4"/>
  <c r="AE5" i="6"/>
  <c r="T5" i="6"/>
  <c r="CF24" i="1"/>
  <c r="EQ13" i="4"/>
  <c r="ET5" i="4"/>
  <c r="EM14" i="4"/>
  <c r="EL15" i="4"/>
  <c r="CD8" i="1"/>
  <c r="CD231" i="1" s="1"/>
  <c r="AH6" i="6"/>
  <c r="AH7" i="6" s="1"/>
  <c r="EW5" i="4"/>
  <c r="AT5" i="6"/>
  <c r="AN5" i="6"/>
  <c r="CC46" i="1"/>
  <c r="BY47" i="1"/>
  <c r="ES15" i="4"/>
  <c r="BL35" i="1"/>
  <c r="AQ6" i="6"/>
  <c r="AQ7" i="6" s="1"/>
  <c r="CF36" i="1"/>
  <c r="AW6" i="6"/>
  <c r="AW7" i="6" s="1"/>
  <c r="BL25" i="1"/>
  <c r="CC24" i="1"/>
  <c r="AQ5" i="6"/>
  <c r="BY8" i="1"/>
  <c r="EQ11" i="4"/>
  <c r="CF9" i="1"/>
  <c r="EL14" i="4"/>
  <c r="ES14" i="4"/>
  <c r="N5" i="6"/>
  <c r="EV13" i="4"/>
  <c r="EN11" i="4"/>
  <c r="EU9" i="4"/>
  <c r="Z5" i="6"/>
  <c r="BL13" i="1"/>
  <c r="CA45" i="1"/>
  <c r="EV5" i="4"/>
  <c r="CE51" i="1"/>
  <c r="CF35" i="1"/>
  <c r="EQ12" i="4"/>
  <c r="EQ5" i="4"/>
  <c r="BZ25" i="1"/>
  <c r="BZ9" i="1"/>
  <c r="AD6" i="6"/>
  <c r="AD7" i="6" s="1"/>
  <c r="ER7" i="4"/>
  <c r="BZ47" i="1"/>
  <c r="ER8" i="4"/>
  <c r="EP12" i="4"/>
  <c r="L5" i="6"/>
  <c r="BL24" i="1"/>
  <c r="EO7" i="4"/>
  <c r="ES7" i="4"/>
  <c r="BZ36" i="1"/>
  <c r="ER9" i="4"/>
  <c r="ET15" i="4"/>
  <c r="CF47" i="1"/>
  <c r="AX6" i="6"/>
  <c r="AX7" i="6" s="1"/>
  <c r="CE9" i="1"/>
  <c r="AF6" i="6"/>
  <c r="AF7" i="6" s="1"/>
  <c r="AR5" i="6"/>
  <c r="EV14" i="4"/>
  <c r="CB14" i="1"/>
  <c r="BL20" i="1"/>
  <c r="EN8" i="4"/>
  <c r="CA8" i="1"/>
  <c r="CA231" i="1" s="1"/>
  <c r="EU14" i="4"/>
  <c r="BY14" i="1"/>
  <c r="Q6" i="6"/>
  <c r="Q7" i="6" s="1"/>
  <c r="CB51" i="1"/>
  <c r="AA6" i="6"/>
  <c r="AA7" i="6" s="1"/>
  <c r="EV15" i="4"/>
  <c r="BL22" i="1"/>
  <c r="BY20" i="1"/>
  <c r="EN14" i="4"/>
  <c r="CA14" i="1"/>
  <c r="P6" i="6"/>
  <c r="P7" i="6" s="1"/>
  <c r="T6" i="6"/>
  <c r="T7" i="6" s="1"/>
  <c r="EP9" i="4"/>
  <c r="CC20" i="1"/>
  <c r="EO12" i="4"/>
  <c r="CB22" i="1"/>
  <c r="S6" i="6"/>
  <c r="S7" i="6" s="1"/>
  <c r="CE22" i="1"/>
  <c r="CE8" i="1"/>
  <c r="EM8" i="4"/>
  <c r="V6" i="6"/>
  <c r="V7" i="6" s="1"/>
  <c r="EV16" i="4"/>
  <c r="V5" i="6"/>
  <c r="CB35" i="1"/>
  <c r="CB32" i="1"/>
  <c r="CB194" i="1" s="1"/>
  <c r="EV7" i="4"/>
  <c r="AO5" i="6"/>
  <c r="BL45" i="1"/>
  <c r="EW7" i="4"/>
  <c r="AB6" i="6"/>
  <c r="AB7" i="6" s="1"/>
  <c r="AM6" i="6"/>
  <c r="AM7" i="6" s="1"/>
  <c r="EU7" i="4"/>
  <c r="BL9" i="1"/>
  <c r="ES12" i="4"/>
  <c r="CF20" i="1"/>
  <c r="AC5" i="6"/>
  <c r="ER12" i="4"/>
  <c r="EL16" i="4"/>
  <c r="CA36" i="1"/>
  <c r="ET16" i="4"/>
  <c r="JL16" i="4" s="1"/>
  <c r="I5" i="6"/>
  <c r="CF13" i="1"/>
  <c r="CE23" i="1"/>
  <c r="ET12" i="4"/>
  <c r="D6" i="6"/>
  <c r="D7" i="6" s="1"/>
  <c r="EN7" i="4"/>
  <c r="ES16" i="4"/>
  <c r="EN16" i="4"/>
  <c r="JJ16" i="4" s="1"/>
  <c r="EN9" i="4"/>
  <c r="JJ9" i="4" s="1"/>
  <c r="CC45" i="1"/>
  <c r="EO9" i="4"/>
  <c r="CE25" i="1"/>
  <c r="EQ16" i="4"/>
  <c r="JK16" i="4" s="1"/>
  <c r="EP6" i="4"/>
  <c r="ES9" i="4"/>
  <c r="G6" i="6"/>
  <c r="G7" i="6" s="1"/>
  <c r="CC13" i="1"/>
  <c r="M5" i="6"/>
  <c r="AK5" i="6"/>
  <c r="U6" i="6"/>
  <c r="U7" i="6" s="1"/>
  <c r="EU15" i="4"/>
  <c r="X6" i="6"/>
  <c r="X7" i="6" s="1"/>
  <c r="CC51" i="1"/>
  <c r="EU16" i="4"/>
  <c r="CD36" i="1"/>
  <c r="CC23" i="1"/>
  <c r="EM9" i="4"/>
  <c r="AD5" i="6"/>
  <c r="CD21" i="1"/>
  <c r="ES6" i="4"/>
  <c r="CE36" i="1"/>
  <c r="CD9" i="1"/>
  <c r="CE20" i="1"/>
  <c r="Z6" i="6"/>
  <c r="Z7" i="6" s="1"/>
  <c r="AV5" i="6"/>
  <c r="CD51" i="1"/>
  <c r="BY13" i="1"/>
  <c r="EQ6" i="4"/>
  <c r="EV12" i="4"/>
  <c r="CC39" i="1"/>
  <c r="EP5" i="4"/>
  <c r="BZ21" i="1"/>
  <c r="CD15" i="1"/>
  <c r="EW11" i="4"/>
  <c r="W5" i="6"/>
  <c r="AE6" i="6"/>
  <c r="AE7" i="6" s="1"/>
  <c r="EQ8" i="4"/>
  <c r="CC35" i="1"/>
  <c r="BZ22" i="1"/>
  <c r="S5" i="6"/>
  <c r="BY24" i="1"/>
  <c r="CE47" i="1"/>
  <c r="CB39" i="1"/>
  <c r="BY36" i="1"/>
  <c r="CA22" i="1"/>
  <c r="BY25" i="1"/>
  <c r="ET7" i="4"/>
  <c r="CE15" i="1"/>
  <c r="BZ15" i="1"/>
  <c r="EN13" i="4"/>
  <c r="CA25" i="1"/>
  <c r="BY9" i="1"/>
  <c r="BL21" i="1"/>
  <c r="CB45" i="1"/>
  <c r="H5" i="6"/>
  <c r="EU6" i="4"/>
  <c r="U5" i="6"/>
  <c r="AA5" i="6"/>
  <c r="I6" i="6"/>
  <c r="I7" i="6" s="1"/>
  <c r="EP11" i="4"/>
  <c r="CB46" i="1"/>
  <c r="BL47" i="1"/>
  <c r="CE32" i="1"/>
  <c r="CE194" i="1" s="1"/>
  <c r="BZ35" i="1"/>
  <c r="EM13" i="4"/>
  <c r="EU8" i="4"/>
  <c r="CD32" i="1"/>
  <c r="CF39" i="1"/>
  <c r="ER13" i="4"/>
  <c r="BY22" i="1"/>
  <c r="EV9" i="4"/>
  <c r="EV8" i="4"/>
  <c r="AL5" i="6"/>
  <c r="AG6" i="6"/>
  <c r="AG7" i="6" s="1"/>
  <c r="CF21" i="1"/>
  <c r="EW13" i="4"/>
  <c r="CE35" i="1"/>
  <c r="CA24" i="1"/>
  <c r="AY5" i="6"/>
  <c r="ET13" i="4"/>
  <c r="AJ6" i="6"/>
  <c r="AJ7" i="6" s="1"/>
  <c r="CA35" i="1"/>
  <c r="CD20" i="1"/>
  <c r="BL32" i="1"/>
  <c r="Y5" i="6"/>
  <c r="J5" i="6"/>
  <c r="EO13" i="4"/>
  <c r="R5" i="6"/>
  <c r="BY45" i="1"/>
  <c r="EL11" i="4"/>
  <c r="ER15" i="4"/>
  <c r="AP5" i="6"/>
  <c r="ER5" i="4"/>
  <c r="BL14" i="1"/>
  <c r="AY6" i="6"/>
  <c r="AY7" i="6" s="1"/>
  <c r="J6" i="6"/>
  <c r="J7" i="6" s="1"/>
  <c r="CF23" i="1"/>
  <c r="CA46" i="1"/>
  <c r="CB8" i="1"/>
  <c r="CB231" i="1" s="1"/>
  <c r="AP6" i="6"/>
  <c r="AP7" i="6" s="1"/>
  <c r="CB20" i="1"/>
  <c r="BL39" i="1"/>
  <c r="G5" i="6"/>
  <c r="M6" i="6"/>
  <c r="M7" i="6" s="1"/>
  <c r="ET14" i="4"/>
  <c r="E6" i="6"/>
  <c r="E7" i="6" s="1"/>
  <c r="CD24" i="1"/>
  <c r="GS15" i="4"/>
  <c r="FS9" i="4"/>
  <c r="GH16" i="4"/>
  <c r="FH5" i="4"/>
  <c r="GA13" i="4"/>
  <c r="FG8" i="4"/>
  <c r="GI15" i="4"/>
  <c r="FI9" i="4"/>
  <c r="JQ9" i="4" s="1"/>
  <c r="GI12" i="4"/>
  <c r="GK6" i="4"/>
  <c r="GH14" i="4"/>
  <c r="GY16" i="4"/>
  <c r="KE16" i="4" s="1"/>
  <c r="HG12" i="4"/>
  <c r="FG7" i="4"/>
  <c r="FG16" i="4"/>
  <c r="HE14" i="4"/>
  <c r="GD6" i="4"/>
  <c r="FX7" i="4"/>
  <c r="GZ16" i="4"/>
  <c r="GV12" i="4"/>
  <c r="GA9" i="4"/>
  <c r="JW9" i="4" s="1"/>
  <c r="FG15" i="4"/>
  <c r="GH11" i="4"/>
  <c r="FP13" i="4"/>
  <c r="FM7" i="4"/>
  <c r="FK12" i="4"/>
  <c r="HE7" i="4"/>
  <c r="GL8" i="4"/>
  <c r="GR16" i="4"/>
  <c r="GL6" i="4"/>
  <c r="HF13" i="4"/>
  <c r="FV16" i="4"/>
  <c r="HH13" i="4"/>
  <c r="GM14" i="4"/>
  <c r="HD5" i="4"/>
  <c r="FV6" i="4"/>
  <c r="GV7" i="4"/>
  <c r="CL73" i="1"/>
  <c r="GV8" i="4"/>
  <c r="FZ6" i="4"/>
  <c r="GD5" i="4"/>
  <c r="GA14" i="4"/>
  <c r="FI5" i="4"/>
  <c r="CH73" i="1"/>
  <c r="FL16" i="4"/>
  <c r="JR16" i="4" s="1"/>
  <c r="GS14" i="4"/>
  <c r="HG13" i="4"/>
  <c r="FQ12" i="4"/>
  <c r="FK15" i="4"/>
  <c r="GI6" i="4"/>
  <c r="FH6" i="4"/>
  <c r="CJ159" i="1"/>
  <c r="HD8" i="4"/>
  <c r="FO12" i="4"/>
  <c r="HG15" i="4"/>
  <c r="GU9" i="4"/>
  <c r="FI12" i="4"/>
  <c r="GC16" i="4"/>
  <c r="FN13" i="4"/>
  <c r="GT16" i="4"/>
  <c r="GM6" i="4"/>
  <c r="FL8" i="4"/>
  <c r="GZ14" i="4"/>
  <c r="GR15" i="4"/>
  <c r="GC5" i="4"/>
  <c r="GC13" i="4"/>
  <c r="GM9" i="4"/>
  <c r="KA9" i="4" s="1"/>
  <c r="HG14" i="4"/>
  <c r="CJ117" i="1"/>
  <c r="CK117" i="1" s="1"/>
  <c r="CL152" i="1"/>
  <c r="FK7" i="4"/>
  <c r="GJ5" i="4"/>
  <c r="GD12" i="4"/>
  <c r="CJ143" i="1"/>
  <c r="GL7" i="4"/>
  <c r="HH11" i="4"/>
  <c r="HF5" i="4"/>
  <c r="GD9" i="4"/>
  <c r="JX9" i="4" s="1"/>
  <c r="GJ13" i="4"/>
  <c r="FG11" i="4"/>
  <c r="CJ144" i="1"/>
  <c r="CJ148" i="1" s="1"/>
  <c r="HE13" i="4"/>
  <c r="FM6" i="4"/>
  <c r="GO15" i="4"/>
  <c r="BY23" i="1"/>
  <c r="EL12" i="4"/>
  <c r="AW5" i="6"/>
  <c r="CA23" i="1"/>
  <c r="EV6" i="4"/>
  <c r="AL6" i="6"/>
  <c r="AL7" i="6" s="1"/>
  <c r="BY39" i="1"/>
  <c r="AH5" i="6"/>
  <c r="CA47" i="1"/>
  <c r="O6" i="6"/>
  <c r="O7" i="6" s="1"/>
  <c r="CA15" i="1"/>
  <c r="FZ12" i="4"/>
  <c r="HC14" i="4"/>
  <c r="GI16" i="4"/>
  <c r="FV14" i="4"/>
  <c r="GT6" i="4"/>
  <c r="FN14" i="4"/>
  <c r="FU16" i="4"/>
  <c r="JU16" i="4" s="1"/>
  <c r="GV6" i="4"/>
  <c r="GG5" i="4"/>
  <c r="GT12" i="4"/>
  <c r="HA11" i="4"/>
  <c r="GB15" i="4"/>
  <c r="CJ152" i="1"/>
  <c r="FQ15" i="4"/>
  <c r="GU16" i="4"/>
  <c r="FJ13" i="4"/>
  <c r="GU8" i="4"/>
  <c r="GO9" i="4"/>
  <c r="GN9" i="4"/>
  <c r="GK16" i="4"/>
  <c r="HD11" i="4"/>
  <c r="GJ8" i="4"/>
  <c r="GW6" i="4"/>
  <c r="HF12" i="4"/>
  <c r="X73" i="1"/>
  <c r="FJ9" i="4"/>
  <c r="GX8" i="4"/>
  <c r="FL5" i="4"/>
  <c r="GV13" i="4"/>
  <c r="FT13" i="4"/>
  <c r="HA5" i="4"/>
  <c r="GA15" i="4"/>
  <c r="GZ6" i="4"/>
  <c r="FX8" i="4"/>
  <c r="GW14" i="4"/>
  <c r="GF8" i="4"/>
  <c r="HB13" i="4"/>
  <c r="GW12" i="4"/>
  <c r="FH8" i="4"/>
  <c r="FT12" i="4"/>
  <c r="GC12" i="4"/>
  <c r="GF6" i="4"/>
  <c r="FT16" i="4"/>
  <c r="GB9" i="4"/>
  <c r="FJ16" i="4"/>
  <c r="FG12" i="4"/>
  <c r="GR11" i="4"/>
  <c r="GA6" i="4"/>
  <c r="GS13" i="4"/>
  <c r="FO9" i="4"/>
  <c r="JS9" i="4" s="1"/>
  <c r="HB9" i="4"/>
  <c r="KF9" i="4" s="1"/>
  <c r="GH5" i="4"/>
  <c r="GZ13" i="4"/>
  <c r="FG14" i="4"/>
  <c r="CJ151" i="1"/>
  <c r="FM11" i="4"/>
  <c r="HB7" i="4"/>
  <c r="GC8" i="4"/>
  <c r="GZ5" i="4"/>
  <c r="FR12" i="4"/>
  <c r="FX5" i="4"/>
  <c r="GV11" i="4"/>
  <c r="GJ6" i="4"/>
  <c r="FM16" i="4"/>
  <c r="FV11" i="4"/>
  <c r="FH15" i="4"/>
  <c r="CL150" i="1"/>
  <c r="CJ134" i="1"/>
  <c r="GH7" i="4"/>
  <c r="FI13" i="4"/>
  <c r="FR9" i="4"/>
  <c r="JT9" i="4" s="1"/>
  <c r="FV13" i="4"/>
  <c r="FR15" i="4"/>
  <c r="HG7" i="4"/>
  <c r="FY15" i="4"/>
  <c r="FS13" i="4"/>
  <c r="GE15" i="4"/>
  <c r="CL140" i="1"/>
  <c r="CL202" i="1" s="1"/>
  <c r="GD11" i="4"/>
  <c r="CK74" i="1"/>
  <c r="HA12" i="4"/>
  <c r="HB11" i="4"/>
  <c r="GC11" i="4"/>
  <c r="GD8" i="4"/>
  <c r="FY8" i="4"/>
  <c r="GX16" i="4"/>
  <c r="HG16" i="4"/>
  <c r="EO14" i="4"/>
  <c r="ER14" i="4"/>
  <c r="CC36" i="1"/>
  <c r="AG5" i="6"/>
  <c r="BL46" i="1"/>
  <c r="C6" i="6"/>
  <c r="C7" i="6" s="1"/>
  <c r="CE21" i="1"/>
  <c r="EM6" i="4"/>
  <c r="CC22" i="1"/>
  <c r="AF5" i="6"/>
  <c r="EM12" i="4"/>
  <c r="CA32" i="1"/>
  <c r="AC6" i="6"/>
  <c r="AC7" i="6" s="1"/>
  <c r="CA9" i="1"/>
  <c r="H6" i="6"/>
  <c r="H7" i="6" s="1"/>
  <c r="EL7" i="4"/>
  <c r="CA39" i="1"/>
  <c r="CE13" i="1"/>
  <c r="EM11" i="4"/>
  <c r="CF8" i="1"/>
  <c r="CF45" i="1"/>
  <c r="EO6" i="4"/>
  <c r="K6" i="6"/>
  <c r="K7" i="6" s="1"/>
  <c r="BZ32" i="1"/>
  <c r="BZ194" i="1" s="1"/>
  <c r="BZ8" i="1"/>
  <c r="BZ231" i="1" s="1"/>
  <c r="CC25" i="1"/>
  <c r="EW16" i="4"/>
  <c r="JM16" i="4" s="1"/>
  <c r="EP7" i="4"/>
  <c r="ER6" i="4"/>
  <c r="EN5" i="4"/>
  <c r="L6" i="6"/>
  <c r="L7" i="6" s="1"/>
  <c r="EP13" i="4"/>
  <c r="Y6" i="6"/>
  <c r="Y7" i="6" s="1"/>
  <c r="F5" i="6"/>
  <c r="EN12" i="4"/>
  <c r="EM5" i="4"/>
  <c r="CF51" i="1"/>
  <c r="CF22" i="1"/>
  <c r="EQ15" i="4"/>
  <c r="FS15" i="4"/>
  <c r="FN15" i="4"/>
  <c r="GL9" i="4"/>
  <c r="CJ137" i="1"/>
  <c r="CK137" i="1" s="1"/>
  <c r="GQ16" i="4"/>
  <c r="HG11" i="4"/>
  <c r="GJ14" i="4"/>
  <c r="GP14" i="4"/>
  <c r="GA8" i="4"/>
  <c r="FT7" i="4"/>
  <c r="FO15" i="4"/>
  <c r="GS16" i="4"/>
  <c r="KC16" i="4" s="1"/>
  <c r="FW11" i="4"/>
  <c r="GV5" i="4"/>
  <c r="FH14" i="4"/>
  <c r="FN16" i="4"/>
  <c r="HH15" i="4"/>
  <c r="GM8" i="4"/>
  <c r="FJ14" i="4"/>
  <c r="CJ164" i="1"/>
  <c r="CK164" i="1" s="1"/>
  <c r="HF15" i="4"/>
  <c r="KH15" i="4" s="1"/>
  <c r="GU7" i="4"/>
  <c r="FU11" i="4"/>
  <c r="HD13" i="4"/>
  <c r="GH15" i="4"/>
  <c r="GQ6" i="4"/>
  <c r="GL14" i="4"/>
  <c r="GF16" i="4"/>
  <c r="GP5" i="4"/>
  <c r="GM5" i="4"/>
  <c r="GE13" i="4"/>
  <c r="GQ7" i="4"/>
  <c r="GI5" i="4"/>
  <c r="GW7" i="4"/>
  <c r="HA15" i="4"/>
  <c r="GX6" i="4"/>
  <c r="GR7" i="4"/>
  <c r="GK15" i="4"/>
  <c r="GK13" i="4"/>
  <c r="FV12" i="4"/>
  <c r="FU8" i="4"/>
  <c r="CJ146" i="1"/>
  <c r="HB14" i="4"/>
  <c r="FJ8" i="4"/>
  <c r="FP12" i="4"/>
  <c r="GV16" i="4"/>
  <c r="KD16" i="4" s="1"/>
  <c r="GP13" i="4"/>
  <c r="GN5" i="4"/>
  <c r="FQ16" i="4"/>
  <c r="GU14" i="4"/>
  <c r="HB16" i="4"/>
  <c r="KF16" i="4" s="1"/>
  <c r="GJ11" i="4"/>
  <c r="GW9" i="4"/>
  <c r="GN16" i="4"/>
  <c r="FY14" i="4"/>
  <c r="GR6" i="4"/>
  <c r="HF9" i="4"/>
  <c r="GE8" i="4"/>
  <c r="HC15" i="4"/>
  <c r="GQ12" i="4"/>
  <c r="GF14" i="4"/>
  <c r="GE9" i="4"/>
  <c r="HE5" i="4"/>
  <c r="GX5" i="4"/>
  <c r="FX14" i="4"/>
  <c r="FP6" i="4"/>
  <c r="FL6" i="4"/>
  <c r="GO7" i="4"/>
  <c r="CL146" i="1"/>
  <c r="GW15" i="4"/>
  <c r="FJ7" i="4"/>
  <c r="FP14" i="4"/>
  <c r="HH16" i="4"/>
  <c r="KH16" i="4" s="1"/>
  <c r="FR16" i="4"/>
  <c r="JT16" i="4" s="1"/>
  <c r="GW8" i="4"/>
  <c r="GS6" i="4"/>
  <c r="GY15" i="4"/>
  <c r="CL143" i="1"/>
  <c r="GW13" i="4"/>
  <c r="GM7" i="4"/>
  <c r="FQ7" i="4"/>
  <c r="FP9" i="4"/>
  <c r="FO14" i="4"/>
  <c r="GZ11" i="4"/>
  <c r="HA14" i="4"/>
  <c r="GQ5" i="4"/>
  <c r="FZ16" i="4"/>
  <c r="HH5" i="4"/>
  <c r="FZ11" i="4"/>
  <c r="FM14" i="4"/>
  <c r="C5" i="6"/>
  <c r="CC32" i="1"/>
  <c r="CC194" i="1" s="1"/>
  <c r="AU5" i="6"/>
  <c r="W6" i="6"/>
  <c r="W7" i="6" s="1"/>
  <c r="EV11" i="4"/>
  <c r="C6" i="4"/>
  <c r="BZ51" i="1"/>
  <c r="CE24" i="1"/>
  <c r="BZ23" i="1"/>
  <c r="BY35" i="1"/>
  <c r="CB36" i="1"/>
  <c r="AO6" i="6"/>
  <c r="AO7" i="6" s="1"/>
  <c r="BL36" i="1"/>
  <c r="BZ24" i="1"/>
  <c r="CF46" i="1"/>
  <c r="ES13" i="4"/>
  <c r="CD35" i="1"/>
  <c r="CB9" i="1"/>
  <c r="EN15" i="4"/>
  <c r="CE14" i="1"/>
  <c r="R6" i="6"/>
  <c r="R7" i="6" s="1"/>
  <c r="EQ14" i="4"/>
  <c r="EU5" i="4"/>
  <c r="P5" i="6"/>
  <c r="AR6" i="6"/>
  <c r="AR7" i="6" s="1"/>
  <c r="CD25" i="1"/>
  <c r="CC14" i="1"/>
  <c r="EP15" i="4"/>
  <c r="EL8" i="4"/>
  <c r="CE45" i="1"/>
  <c r="EL5" i="4"/>
  <c r="CF15" i="1"/>
  <c r="CD39" i="1"/>
  <c r="GZ7" i="4"/>
  <c r="FJ15" i="4"/>
  <c r="CK73" i="1"/>
  <c r="GX14" i="4"/>
  <c r="CJ127" i="1"/>
  <c r="CK127" i="1" s="1"/>
  <c r="GU5" i="4"/>
  <c r="FP15" i="4"/>
  <c r="FX11" i="4"/>
  <c r="FN6" i="4"/>
  <c r="FS6" i="4"/>
  <c r="FT9" i="4"/>
  <c r="GP12" i="4"/>
  <c r="GQ14" i="4"/>
  <c r="HE8" i="4"/>
  <c r="HG5" i="4"/>
  <c r="FO6" i="4"/>
  <c r="FL9" i="4"/>
  <c r="JR9" i="4" s="1"/>
  <c r="HH9" i="4"/>
  <c r="KH9" i="4" s="1"/>
  <c r="FU5" i="4"/>
  <c r="FO5" i="4"/>
  <c r="CL133" i="1"/>
  <c r="AA133" i="1" s="1"/>
  <c r="FK16" i="4"/>
  <c r="FZ8" i="4"/>
  <c r="FK5" i="4"/>
  <c r="GM16" i="4"/>
  <c r="KA16" i="4" s="1"/>
  <c r="KA21" i="4" s="1"/>
  <c r="GL16" i="4"/>
  <c r="FS14" i="4"/>
  <c r="GK9" i="4"/>
  <c r="GI7" i="4"/>
  <c r="GZ12" i="4"/>
  <c r="GY7" i="4"/>
  <c r="HD9" i="4"/>
  <c r="CJ154" i="1"/>
  <c r="FO11" i="4"/>
  <c r="GY14" i="4"/>
  <c r="FW12" i="4"/>
  <c r="GJ15" i="4"/>
  <c r="GC7" i="4"/>
  <c r="FT11" i="4"/>
  <c r="GN11" i="4"/>
  <c r="FN11" i="4"/>
  <c r="CL125" i="1"/>
  <c r="GI9" i="4"/>
  <c r="FQ6" i="4"/>
  <c r="CL151" i="1"/>
  <c r="GB6" i="4"/>
  <c r="GJ9" i="4"/>
  <c r="JZ9" i="4" s="1"/>
  <c r="FU12" i="4"/>
  <c r="GK14" i="4"/>
  <c r="FS8" i="4"/>
  <c r="GZ15" i="4"/>
  <c r="CL124" i="1"/>
  <c r="HC5" i="4"/>
  <c r="GI11" i="4"/>
  <c r="GU11" i="4"/>
  <c r="GC15" i="4"/>
  <c r="CL145" i="1"/>
  <c r="GP8" i="4"/>
  <c r="GY9" i="4"/>
  <c r="KE9" i="4" s="1"/>
  <c r="FO13" i="4"/>
  <c r="GI14" i="4"/>
  <c r="FG13" i="4"/>
  <c r="HH6" i="4"/>
  <c r="GG6" i="4"/>
  <c r="GG15" i="4"/>
  <c r="HH8" i="4"/>
  <c r="GG12" i="4"/>
  <c r="GW5" i="4"/>
  <c r="FS16" i="4"/>
  <c r="FN9" i="4"/>
  <c r="CL135" i="1"/>
  <c r="FT8" i="4"/>
  <c r="FJ12" i="4"/>
  <c r="CJ119" i="1"/>
  <c r="GT7" i="4"/>
  <c r="FQ8" i="4"/>
  <c r="HC9" i="4"/>
  <c r="GD16" i="4"/>
  <c r="JX16" i="4" s="1"/>
  <c r="JX21" i="4" s="1"/>
  <c r="FV7" i="4"/>
  <c r="GY8" i="4"/>
  <c r="GM12" i="4"/>
  <c r="FW9" i="4"/>
  <c r="GJ12" i="4"/>
  <c r="GK12" i="4"/>
  <c r="CJ150" i="1"/>
  <c r="FI14" i="4"/>
  <c r="GO12" i="4"/>
  <c r="GN13" i="4"/>
  <c r="HC13" i="4"/>
  <c r="FR8" i="4"/>
  <c r="GG11" i="4"/>
  <c r="HG8" i="4"/>
  <c r="GB16" i="4"/>
  <c r="GU6" i="4"/>
  <c r="FU13" i="4"/>
  <c r="Y73" i="1"/>
  <c r="GA16" i="4"/>
  <c r="JW16" i="4" s="1"/>
  <c r="GC14" i="4"/>
  <c r="CL164" i="1"/>
  <c r="CL119" i="1"/>
  <c r="CL144" i="1"/>
  <c r="FR11" i="4"/>
  <c r="FI16" i="4"/>
  <c r="JQ16" i="4" s="1"/>
  <c r="JQ21" i="4" s="1"/>
  <c r="CK77" i="1" s="1"/>
  <c r="CL159" i="1"/>
  <c r="FV9" i="4"/>
  <c r="GG14" i="4"/>
  <c r="GQ13" i="4"/>
  <c r="GP9" i="4"/>
  <c r="KB9" i="4" s="1"/>
  <c r="GF12" i="4"/>
  <c r="GH12" i="4"/>
  <c r="GG8" i="4"/>
  <c r="FY5" i="4"/>
  <c r="GB12" i="4"/>
  <c r="HC11" i="4"/>
  <c r="CL160" i="1"/>
  <c r="X143" i="1"/>
  <c r="Z46" i="1"/>
  <c r="Y132" i="1"/>
  <c r="Y170" i="1"/>
  <c r="FY6" i="4"/>
  <c r="HB5" i="4"/>
  <c r="GB5" i="4"/>
  <c r="FM13" i="4"/>
  <c r="Z25" i="1"/>
  <c r="HB8" i="4"/>
  <c r="CG73" i="1"/>
  <c r="GW11" i="4"/>
  <c r="GN15" i="4"/>
  <c r="GU15" i="4"/>
  <c r="CL153" i="1"/>
  <c r="GP7" i="4"/>
  <c r="X74" i="1"/>
  <c r="HE16" i="4"/>
  <c r="KG16" i="4" s="1"/>
  <c r="GS5" i="4"/>
  <c r="Z155" i="1"/>
  <c r="CH155" i="1" s="1"/>
  <c r="GP16" i="4"/>
  <c r="KB16" i="4" s="1"/>
  <c r="KB21" i="4" s="1"/>
  <c r="FI11" i="4"/>
  <c r="FT14" i="4"/>
  <c r="HF8" i="4"/>
  <c r="FH11" i="4"/>
  <c r="GE5" i="4"/>
  <c r="GN7" i="4"/>
  <c r="GY11" i="4"/>
  <c r="HA7" i="4"/>
  <c r="HF14" i="4"/>
  <c r="FK6" i="4"/>
  <c r="FY11" i="4"/>
  <c r="CK36" i="1"/>
  <c r="GT8" i="4"/>
  <c r="GS9" i="4"/>
  <c r="KC9" i="4" s="1"/>
  <c r="GB11" i="4"/>
  <c r="CJ125" i="1"/>
  <c r="CK125" i="1" s="1"/>
  <c r="FZ15" i="4"/>
  <c r="FP7" i="4"/>
  <c r="HC8" i="4"/>
  <c r="KG8" i="4" s="1"/>
  <c r="HE15" i="4"/>
  <c r="GU12" i="4"/>
  <c r="FZ14" i="4"/>
  <c r="FL15" i="4"/>
  <c r="Y22" i="1"/>
  <c r="FA11" i="4"/>
  <c r="GW16" i="4"/>
  <c r="FW7" i="4"/>
  <c r="FW16" i="4"/>
  <c r="GH6" i="4"/>
  <c r="FX15" i="4"/>
  <c r="FL7" i="4"/>
  <c r="HD12" i="4"/>
  <c r="HD14" i="4"/>
  <c r="KG14" i="4" s="1"/>
  <c r="FC8" i="4"/>
  <c r="Y142" i="1"/>
  <c r="GQ15" i="4"/>
  <c r="FI8" i="4"/>
  <c r="GN12" i="4"/>
  <c r="FK8" i="4"/>
  <c r="X125" i="1"/>
  <c r="CI32" i="1"/>
  <c r="CI194" i="1" s="1"/>
  <c r="FL12" i="4"/>
  <c r="FX6" i="4"/>
  <c r="GG7" i="4"/>
  <c r="Y119" i="1"/>
  <c r="GB7" i="4"/>
  <c r="Z24" i="1"/>
  <c r="X126" i="1"/>
  <c r="X154" i="1" s="1"/>
  <c r="EX13" i="4"/>
  <c r="GH9" i="4"/>
  <c r="GD13" i="4"/>
  <c r="GK5" i="4"/>
  <c r="CL149" i="1"/>
  <c r="HD15" i="4"/>
  <c r="CL126" i="1"/>
  <c r="GF7" i="4"/>
  <c r="GA7" i="4"/>
  <c r="GQ8" i="4"/>
  <c r="GD14" i="4"/>
  <c r="HH7" i="4"/>
  <c r="GY6" i="4"/>
  <c r="HB15" i="4"/>
  <c r="CL118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GP6" i="4"/>
  <c r="GP15" i="4"/>
  <c r="FX12" i="4"/>
  <c r="FH13" i="4"/>
  <c r="HD7" i="4"/>
  <c r="GF5" i="4"/>
  <c r="FS5" i="4"/>
  <c r="CJ160" i="1"/>
  <c r="FW15" i="4"/>
  <c r="FI7" i="4"/>
  <c r="FZ9" i="4"/>
  <c r="CJ8" i="1"/>
  <c r="FR14" i="4"/>
  <c r="HG6" i="4"/>
  <c r="FM15" i="4"/>
  <c r="HG9" i="4"/>
  <c r="CL137" i="1"/>
  <c r="CL64" i="1"/>
  <c r="AA64" i="1" s="1"/>
  <c r="HA16" i="4"/>
  <c r="GR12" i="4"/>
  <c r="CL122" i="1"/>
  <c r="CJ135" i="1"/>
  <c r="CK135" i="1" s="1"/>
  <c r="FO7" i="4"/>
  <c r="GB13" i="4"/>
  <c r="FR5" i="4"/>
  <c r="CJ155" i="1"/>
  <c r="GN6" i="4"/>
  <c r="GA5" i="4"/>
  <c r="GX11" i="4"/>
  <c r="CI13" i="1"/>
  <c r="GC9" i="4"/>
  <c r="GO5" i="4"/>
  <c r="FJ5" i="4"/>
  <c r="FN5" i="4"/>
  <c r="HA13" i="4"/>
  <c r="GX12" i="4"/>
  <c r="EZ5" i="4"/>
  <c r="Z117" i="1"/>
  <c r="CH117" i="1" s="1"/>
  <c r="CI117" i="1" s="1"/>
  <c r="CJ153" i="1"/>
  <c r="GJ7" i="4"/>
  <c r="FJ6" i="4"/>
  <c r="GE12" i="4"/>
  <c r="FE15" i="4"/>
  <c r="X77" i="1"/>
  <c r="HE9" i="4"/>
  <c r="KG9" i="4" s="1"/>
  <c r="FU7" i="4"/>
  <c r="HF16" i="4"/>
  <c r="CH35" i="1"/>
  <c r="FV15" i="4"/>
  <c r="FT15" i="4"/>
  <c r="GQ11" i="4"/>
  <c r="GS8" i="4"/>
  <c r="FM8" i="4"/>
  <c r="GO16" i="4"/>
  <c r="X149" i="1"/>
  <c r="Y8" i="1"/>
  <c r="FC13" i="4"/>
  <c r="GY12" i="4"/>
  <c r="GE6" i="4"/>
  <c r="GF15" i="4"/>
  <c r="FF11" i="4"/>
  <c r="GX15" i="4"/>
  <c r="GH13" i="4"/>
  <c r="CJ142" i="1"/>
  <c r="CJ74" i="1"/>
  <c r="GE11" i="4"/>
  <c r="HB6" i="4"/>
  <c r="GM15" i="4"/>
  <c r="FY7" i="4"/>
  <c r="FH7" i="4"/>
  <c r="FU14" i="4"/>
  <c r="HA9" i="4"/>
  <c r="CL134" i="1"/>
  <c r="CL138" i="1" s="1"/>
  <c r="GC6" i="4"/>
  <c r="FM12" i="4"/>
  <c r="FR7" i="4"/>
  <c r="FN12" i="4"/>
  <c r="GL11" i="4"/>
  <c r="FW14" i="4"/>
  <c r="FX9" i="4"/>
  <c r="JV9" i="4" s="1"/>
  <c r="Z144" i="1"/>
  <c r="FR13" i="4"/>
  <c r="GO11" i="4"/>
  <c r="HH12" i="4"/>
  <c r="X32" i="1"/>
  <c r="CH23" i="1"/>
  <c r="GU13" i="4"/>
  <c r="GT9" i="4"/>
  <c r="GX9" i="4"/>
  <c r="FX13" i="4"/>
  <c r="GE7" i="4"/>
  <c r="CJ73" i="1"/>
  <c r="GT11" i="4"/>
  <c r="X78" i="1"/>
  <c r="FJ11" i="4"/>
  <c r="CJ133" i="1"/>
  <c r="CK133" i="1" s="1"/>
  <c r="GE14" i="4"/>
  <c r="JY14" i="4" s="1"/>
  <c r="FO8" i="4"/>
  <c r="CI74" i="1"/>
  <c r="FS11" i="4"/>
  <c r="HF7" i="4"/>
  <c r="GT14" i="4"/>
  <c r="X146" i="1"/>
  <c r="GK7" i="4"/>
  <c r="GS12" i="4"/>
  <c r="GF9" i="4"/>
  <c r="GR13" i="4"/>
  <c r="HE11" i="4"/>
  <c r="FB6" i="4"/>
  <c r="CG35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GT15" i="4"/>
  <c r="EY7" i="4"/>
  <c r="FT6" i="4"/>
  <c r="FY16" i="4"/>
  <c r="FN8" i="4"/>
  <c r="FV5" i="4"/>
  <c r="GO14" i="4"/>
  <c r="GN14" i="4"/>
  <c r="GD7" i="4"/>
  <c r="GK8" i="4"/>
  <c r="GK11" i="4"/>
  <c r="GX7" i="4"/>
  <c r="FY13" i="4"/>
  <c r="Y127" i="1"/>
  <c r="CL21" i="1"/>
  <c r="CH39" i="1"/>
  <c r="FA15" i="4"/>
  <c r="FZ7" i="4"/>
  <c r="CJ122" i="1"/>
  <c r="CK122" i="1" s="1"/>
  <c r="FP11" i="4"/>
  <c r="Z164" i="1"/>
  <c r="CH164" i="1" s="1"/>
  <c r="CI164" i="1" s="1"/>
  <c r="Z122" i="1"/>
  <c r="CH122" i="1" s="1"/>
  <c r="CI122" i="1" s="1"/>
  <c r="Z163" i="1"/>
  <c r="CH163" i="1" s="1"/>
  <c r="HC7" i="4"/>
  <c r="FQ13" i="4"/>
  <c r="GO6" i="4"/>
  <c r="GZ8" i="4"/>
  <c r="FZ5" i="4"/>
  <c r="GB8" i="4"/>
  <c r="JX8" i="4" s="1"/>
  <c r="GD15" i="4"/>
  <c r="GV14" i="4"/>
  <c r="GM13" i="4"/>
  <c r="X39" i="1"/>
  <c r="FL11" i="4"/>
  <c r="FV8" i="4"/>
  <c r="FU15" i="4"/>
  <c r="FX16" i="4"/>
  <c r="JV16" i="4" s="1"/>
  <c r="JV21" i="4" s="1"/>
  <c r="GG9" i="4"/>
  <c r="JY9" i="4" s="1"/>
  <c r="GL13" i="4"/>
  <c r="CJ23" i="1"/>
  <c r="FK11" i="4"/>
  <c r="FY9" i="4"/>
  <c r="Y74" i="1"/>
  <c r="FS12" i="4"/>
  <c r="GA11" i="4"/>
  <c r="GG13" i="4"/>
  <c r="FZ13" i="4"/>
  <c r="FG9" i="4"/>
  <c r="GL5" i="4"/>
  <c r="FK9" i="4"/>
  <c r="HD16" i="4"/>
  <c r="FI6" i="4"/>
  <c r="FP16" i="4"/>
  <c r="GV15" i="4"/>
  <c r="GY13" i="4"/>
  <c r="CK14" i="1"/>
  <c r="FS7" i="4"/>
  <c r="HC12" i="4"/>
  <c r="FG6" i="4"/>
  <c r="FU6" i="4"/>
  <c r="CJ118" i="1"/>
  <c r="CK118" i="1" s="1"/>
  <c r="CJ145" i="1"/>
  <c r="CJ180" i="1" s="1"/>
  <c r="CK180" i="1" s="1"/>
  <c r="GF13" i="4"/>
  <c r="HH14" i="4"/>
  <c r="FQ14" i="4"/>
  <c r="GE16" i="4"/>
  <c r="CJ9" i="1"/>
  <c r="FD9" i="4"/>
  <c r="GJ16" i="4"/>
  <c r="JZ16" i="4" s="1"/>
  <c r="JZ21" i="4" s="1"/>
  <c r="GA12" i="4"/>
  <c r="FT5" i="4"/>
  <c r="HF6" i="4"/>
  <c r="GY5" i="4"/>
  <c r="GH8" i="4"/>
  <c r="EX9" i="4"/>
  <c r="Z21" i="1"/>
  <c r="Y39" i="1"/>
  <c r="GO8" i="4"/>
  <c r="EZ11" i="4"/>
  <c r="Z22" i="1"/>
  <c r="FA16" i="4"/>
  <c r="GR5" i="4"/>
  <c r="HD6" i="4"/>
  <c r="HA8" i="4"/>
  <c r="GT5" i="4"/>
  <c r="FY12" i="4"/>
  <c r="Z126" i="1"/>
  <c r="CH126" i="1" s="1"/>
  <c r="CI126" i="1" s="1"/>
  <c r="FC7" i="4"/>
  <c r="GN8" i="4"/>
  <c r="HB12" i="4"/>
  <c r="FU9" i="4"/>
  <c r="JU9" i="4" s="1"/>
  <c r="CJ147" i="1"/>
  <c r="GR8" i="4"/>
  <c r="FR6" i="4"/>
  <c r="CL25" i="1"/>
  <c r="FD8" i="4"/>
  <c r="CH13" i="1"/>
  <c r="CH46" i="1"/>
  <c r="FC5" i="4"/>
  <c r="CI21" i="1"/>
  <c r="FD6" i="4"/>
  <c r="CK45" i="1"/>
  <c r="Z9" i="1"/>
  <c r="Y164" i="1"/>
  <c r="CH20" i="1"/>
  <c r="X153" i="1"/>
  <c r="FL13" i="4"/>
  <c r="HC6" i="4"/>
  <c r="CK32" i="1"/>
  <c r="CK194" i="1" s="1"/>
  <c r="X46" i="1"/>
  <c r="Z23" i="1"/>
  <c r="CL63" i="1"/>
  <c r="CL65" i="1" s="1"/>
  <c r="CG45" i="1"/>
  <c r="HF11" i="4"/>
  <c r="Y155" i="1"/>
  <c r="FQ11" i="4"/>
  <c r="FW5" i="4"/>
  <c r="FK14" i="4"/>
  <c r="GO13" i="4"/>
  <c r="EX14" i="4"/>
  <c r="FI15" i="4"/>
  <c r="JQ15" i="4" s="1"/>
  <c r="GS11" i="4"/>
  <c r="GS7" i="4"/>
  <c r="GI8" i="4"/>
  <c r="HA6" i="4"/>
  <c r="CH74" i="1"/>
  <c r="GM11" i="4"/>
  <c r="CG74" i="1"/>
  <c r="EZ9" i="4"/>
  <c r="JN9" i="4" s="1"/>
  <c r="FD5" i="4"/>
  <c r="Y146" i="1"/>
  <c r="Y13" i="1"/>
  <c r="Y77" i="1"/>
  <c r="FA12" i="4"/>
  <c r="X51" i="1"/>
  <c r="X35" i="1"/>
  <c r="Z136" i="1"/>
  <c r="CH136" i="1" s="1"/>
  <c r="CI136" i="1" s="1"/>
  <c r="X132" i="1"/>
  <c r="EZ8" i="4"/>
  <c r="CL46" i="1"/>
  <c r="Z36" i="1"/>
  <c r="X9" i="1"/>
  <c r="X127" i="1"/>
  <c r="FB11" i="4"/>
  <c r="Y24" i="1"/>
  <c r="Y126" i="1"/>
  <c r="Y154" i="1" s="1"/>
  <c r="CL13" i="1"/>
  <c r="FF7" i="4"/>
  <c r="CG8" i="1"/>
  <c r="CG231" i="1" s="1"/>
  <c r="CK9" i="1"/>
  <c r="Y35" i="1"/>
  <c r="FA7" i="4"/>
  <c r="FH12" i="4"/>
  <c r="FQ5" i="4"/>
  <c r="GQ9" i="4"/>
  <c r="FC9" i="4"/>
  <c r="JO9" i="4" s="1"/>
  <c r="X119" i="1"/>
  <c r="CJ51" i="1"/>
  <c r="CI24" i="1"/>
  <c r="FF6" i="4"/>
  <c r="FE14" i="4"/>
  <c r="FD7" i="4"/>
  <c r="FF8" i="4"/>
  <c r="Z67" i="1"/>
  <c r="CJ45" i="1"/>
  <c r="X172" i="1"/>
  <c r="CH14" i="1"/>
  <c r="CK35" i="1"/>
  <c r="Y51" i="1"/>
  <c r="CI47" i="1"/>
  <c r="CH47" i="1"/>
  <c r="CK63" i="1"/>
  <c r="Y151" i="1"/>
  <c r="Y160" i="1"/>
  <c r="FM5" i="4"/>
  <c r="Z127" i="1"/>
  <c r="CH127" i="1" s="1"/>
  <c r="CI127" i="1" s="1"/>
  <c r="Z151" i="1"/>
  <c r="Z143" i="1"/>
  <c r="CH143" i="1" s="1"/>
  <c r="Y79" i="1"/>
  <c r="CL24" i="1"/>
  <c r="FW6" i="4"/>
  <c r="Y67" i="1"/>
  <c r="CG22" i="1"/>
  <c r="FG5" i="4"/>
  <c r="FQ9" i="4"/>
  <c r="FW8" i="4"/>
  <c r="JV8" i="4" s="1"/>
  <c r="FN7" i="4"/>
  <c r="FH16" i="4"/>
  <c r="GP11" i="4"/>
  <c r="FA14" i="4"/>
  <c r="Z145" i="1"/>
  <c r="CH145" i="1" s="1"/>
  <c r="X151" i="1"/>
  <c r="Y136" i="1"/>
  <c r="Z118" i="1"/>
  <c r="CH118" i="1" s="1"/>
  <c r="CI118" i="1" s="1"/>
  <c r="EX16" i="4"/>
  <c r="CL35" i="1"/>
  <c r="FE9" i="4"/>
  <c r="CL32" i="1"/>
  <c r="CJ35" i="1"/>
  <c r="EY6" i="4"/>
  <c r="CL47" i="1"/>
  <c r="CK22" i="1"/>
  <c r="Z8" i="1"/>
  <c r="EY14" i="4"/>
  <c r="FC12" i="4"/>
  <c r="Z159" i="1"/>
  <c r="CH159" i="1" s="1"/>
  <c r="FH9" i="4"/>
  <c r="HE12" i="4"/>
  <c r="Z147" i="1"/>
  <c r="CH147" i="1" s="1"/>
  <c r="X117" i="1"/>
  <c r="FE6" i="4"/>
  <c r="X8" i="1"/>
  <c r="X231" i="1" s="1"/>
  <c r="HC16" i="4"/>
  <c r="Z170" i="1"/>
  <c r="FE8" i="4"/>
  <c r="EZ12" i="4"/>
  <c r="EX8" i="4"/>
  <c r="CI14" i="1"/>
  <c r="EX7" i="4"/>
  <c r="FB14" i="4"/>
  <c r="X144" i="1"/>
  <c r="Y163" i="1"/>
  <c r="CJ63" i="1"/>
  <c r="X137" i="1"/>
  <c r="CI39" i="1"/>
  <c r="FK13" i="4"/>
  <c r="FO16" i="4"/>
  <c r="JS16" i="4" s="1"/>
  <c r="JS21" i="4" s="1"/>
  <c r="X67" i="1"/>
  <c r="CH25" i="1"/>
  <c r="FF9" i="4"/>
  <c r="JP9" i="4" s="1"/>
  <c r="EZ13" i="4"/>
  <c r="CI9" i="1"/>
  <c r="Y23" i="1"/>
  <c r="X23" i="1"/>
  <c r="Z132" i="1"/>
  <c r="CH132" i="1" s="1"/>
  <c r="CG36" i="1"/>
  <c r="Y32" i="1"/>
  <c r="Y194" i="1" s="1"/>
  <c r="Y124" i="1"/>
  <c r="FP5" i="4"/>
  <c r="GL15" i="4"/>
  <c r="Z39" i="1"/>
  <c r="Z125" i="1"/>
  <c r="CH125" i="1" s="1"/>
  <c r="CI125" i="1" s="1"/>
  <c r="CG25" i="1"/>
  <c r="FE11" i="4"/>
  <c r="CG23" i="1"/>
  <c r="CJ21" i="1"/>
  <c r="CL15" i="1"/>
  <c r="CH22" i="1"/>
  <c r="CI51" i="1"/>
  <c r="Y171" i="1"/>
  <c r="Z140" i="1"/>
  <c r="CH140" i="1" s="1"/>
  <c r="CI140" i="1" s="1"/>
  <c r="CJ202" i="1" s="1"/>
  <c r="X136" i="1"/>
  <c r="X47" i="1"/>
  <c r="Z149" i="1"/>
  <c r="CH149" i="1" s="1"/>
  <c r="EY8" i="4"/>
  <c r="CH21" i="1"/>
  <c r="Z124" i="1"/>
  <c r="CH124" i="1" s="1"/>
  <c r="FB8" i="4"/>
  <c r="FF13" i="4"/>
  <c r="Z135" i="1"/>
  <c r="Z45" i="1"/>
  <c r="X147" i="1"/>
  <c r="GI13" i="4"/>
  <c r="GV9" i="4"/>
  <c r="KD9" i="4" s="1"/>
  <c r="KD21" i="4" s="1"/>
  <c r="CG21" i="1"/>
  <c r="FD14" i="4"/>
  <c r="EX6" i="4"/>
  <c r="CH9" i="1"/>
  <c r="CJ14" i="1"/>
  <c r="CG13" i="1"/>
  <c r="GR9" i="4"/>
  <c r="CK64" i="1"/>
  <c r="Y140" i="1"/>
  <c r="X164" i="1"/>
  <c r="FF15" i="4"/>
  <c r="CK15" i="1"/>
  <c r="CB13" i="1"/>
  <c r="Z15" i="1"/>
  <c r="Y159" i="1"/>
  <c r="CL45" i="1"/>
  <c r="X15" i="1"/>
  <c r="Y20" i="1"/>
  <c r="X118" i="1"/>
  <c r="FF12" i="4"/>
  <c r="CK8" i="1"/>
  <c r="Y78" i="1"/>
  <c r="GT13" i="4"/>
  <c r="FB12" i="4"/>
  <c r="Y172" i="1"/>
  <c r="CK25" i="1"/>
  <c r="X124" i="1"/>
  <c r="CK24" i="1"/>
  <c r="CI45" i="1"/>
  <c r="CJ22" i="1"/>
  <c r="FB15" i="4"/>
  <c r="CG47" i="1"/>
  <c r="CK51" i="1"/>
  <c r="CH45" i="1"/>
  <c r="Y122" i="1"/>
  <c r="CL9" i="1"/>
  <c r="FB16" i="4"/>
  <c r="X13" i="1"/>
  <c r="GB14" i="4"/>
  <c r="JX14" i="4" s="1"/>
  <c r="FP8" i="4"/>
  <c r="JT8" i="4" s="1"/>
  <c r="X45" i="1"/>
  <c r="CG39" i="1"/>
  <c r="CH24" i="1"/>
  <c r="CG20" i="1"/>
  <c r="CI35" i="1"/>
  <c r="HE6" i="4"/>
  <c r="FM9" i="4"/>
  <c r="FC6" i="4"/>
  <c r="Y149" i="1"/>
  <c r="Y133" i="1"/>
  <c r="Z154" i="1"/>
  <c r="CH154" i="1" s="1"/>
  <c r="X155" i="1"/>
  <c r="CK47" i="1"/>
  <c r="EY9" i="4"/>
  <c r="X150" i="1"/>
  <c r="CJ46" i="1"/>
  <c r="GG16" i="4"/>
  <c r="JY16" i="4" s="1"/>
  <c r="FA13" i="4"/>
  <c r="CI46" i="1"/>
  <c r="AA46" i="1" s="1"/>
  <c r="FD12" i="4"/>
  <c r="EZ14" i="4"/>
  <c r="EZ6" i="4"/>
  <c r="FD15" i="4"/>
  <c r="JP15" i="4" s="1"/>
  <c r="FC11" i="4"/>
  <c r="CJ32" i="1"/>
  <c r="CJ194" i="1" s="1"/>
  <c r="FD13" i="4"/>
  <c r="EX12" i="4"/>
  <c r="FD16" i="4"/>
  <c r="FL14" i="4"/>
  <c r="Z150" i="1"/>
  <c r="CH150" i="1" s="1"/>
  <c r="Y45" i="1"/>
  <c r="FE12" i="4"/>
  <c r="CI8" i="1"/>
  <c r="X79" i="1"/>
  <c r="Y25" i="1"/>
  <c r="EY16" i="4"/>
  <c r="X160" i="1"/>
  <c r="X36" i="1"/>
  <c r="X252" i="1" s="1"/>
  <c r="Y144" i="1"/>
  <c r="Y148" i="1" s="1"/>
  <c r="Y143" i="1"/>
  <c r="GR14" i="4"/>
  <c r="GZ9" i="4"/>
  <c r="CG32" i="1"/>
  <c r="CG194" i="1" s="1"/>
  <c r="Y15" i="1"/>
  <c r="Z77" i="1"/>
  <c r="CH8" i="1"/>
  <c r="CJ24" i="1"/>
  <c r="AA24" i="1" s="1"/>
  <c r="CI23" i="1"/>
  <c r="CH36" i="1"/>
  <c r="GX13" i="4"/>
  <c r="CG15" i="1"/>
  <c r="CI20" i="1"/>
  <c r="CM20" i="1" s="1"/>
  <c r="CQ20" i="1" s="1"/>
  <c r="CU20" i="1" s="1"/>
  <c r="CY20" i="1" s="1"/>
  <c r="CG24" i="1"/>
  <c r="Y135" i="1"/>
  <c r="Y131" i="1" s="1"/>
  <c r="X170" i="1"/>
  <c r="Z47" i="1"/>
  <c r="CH32" i="1"/>
  <c r="X22" i="1"/>
  <c r="X133" i="1"/>
  <c r="Z160" i="1"/>
  <c r="EY11" i="4"/>
  <c r="FB7" i="4"/>
  <c r="EZ7" i="4"/>
  <c r="Z137" i="1"/>
  <c r="CH137" i="1" s="1"/>
  <c r="CI137" i="1" s="1"/>
  <c r="CI15" i="1"/>
  <c r="X20" i="1"/>
  <c r="CK23" i="1"/>
  <c r="CK26" i="1" s="1"/>
  <c r="FE7" i="4"/>
  <c r="FB5" i="4"/>
  <c r="EZ16" i="4"/>
  <c r="JN16" i="4" s="1"/>
  <c r="GL12" i="4"/>
  <c r="GF11" i="4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EY12" i="4"/>
  <c r="Z119" i="1"/>
  <c r="CH119" i="1" s="1"/>
  <c r="CH120" i="1" s="1"/>
  <c r="FA8" i="4"/>
  <c r="X159" i="1"/>
  <c r="Z13" i="1"/>
  <c r="CL14" i="1"/>
  <c r="CK39" i="1"/>
  <c r="CG14" i="1"/>
  <c r="X21" i="1"/>
  <c r="FA6" i="4"/>
  <c r="CJ13" i="1"/>
  <c r="CJ39" i="1"/>
  <c r="Z171" i="1"/>
  <c r="CE39" i="1"/>
  <c r="CK46" i="1"/>
  <c r="CM46" i="1" s="1"/>
  <c r="Y47" i="1"/>
  <c r="CK20" i="1"/>
  <c r="CO20" i="1" s="1"/>
  <c r="CS20" i="1" s="1"/>
  <c r="CW20" i="1" s="1"/>
  <c r="DA20" i="1" s="1"/>
  <c r="FE13" i="4"/>
  <c r="FE5" i="4"/>
  <c r="CJ36" i="1"/>
  <c r="CJ252" i="1" s="1"/>
  <c r="X25" i="1"/>
  <c r="CL39" i="1"/>
  <c r="Z78" i="1"/>
  <c r="X171" i="1"/>
  <c r="EY5" i="4"/>
  <c r="X142" i="1"/>
  <c r="X148" i="1" s="1"/>
  <c r="Y153" i="1"/>
  <c r="Z133" i="1"/>
  <c r="CH133" i="1" s="1"/>
  <c r="CI133" i="1" s="1"/>
  <c r="Z142" i="1"/>
  <c r="CJ25" i="1"/>
  <c r="AA25" i="1" s="1"/>
  <c r="Y118" i="1"/>
  <c r="CG51" i="1"/>
  <c r="CL22" i="1"/>
  <c r="CG9" i="1"/>
  <c r="EX15" i="4"/>
  <c r="JN15" i="4" s="1"/>
  <c r="X140" i="1"/>
  <c r="EY15" i="4"/>
  <c r="CI22" i="1"/>
  <c r="CL36" i="1"/>
  <c r="CL252" i="1" s="1"/>
  <c r="CL8" i="1"/>
  <c r="EX11" i="4"/>
  <c r="Y36" i="1"/>
  <c r="CJ20" i="1"/>
  <c r="CN20" i="1" s="1"/>
  <c r="CR20" i="1" s="1"/>
  <c r="CV20" i="1" s="1"/>
  <c r="CZ20" i="1" s="1"/>
  <c r="EX5" i="4"/>
  <c r="X145" i="1"/>
  <c r="Z146" i="1"/>
  <c r="CH146" i="1" s="1"/>
  <c r="Z20" i="1"/>
  <c r="X135" i="1"/>
  <c r="X131" i="1" s="1"/>
  <c r="Y145" i="1"/>
  <c r="FF5" i="4"/>
  <c r="CL23" i="1"/>
  <c r="Y21" i="1"/>
  <c r="Z79" i="1"/>
  <c r="Y137" i="1"/>
  <c r="CI36" i="1"/>
  <c r="CI252" i="1" s="1"/>
  <c r="FB9" i="4"/>
  <c r="CI25" i="1"/>
  <c r="FC15" i="4"/>
  <c r="JO15" i="4" s="1"/>
  <c r="JO20" i="4" s="1"/>
  <c r="CI79" i="1" s="1"/>
  <c r="Z51" i="1"/>
  <c r="CK21" i="1"/>
  <c r="EY13" i="4"/>
  <c r="FC16" i="4"/>
  <c r="JO16" i="4" s="1"/>
  <c r="JO21" i="4" s="1"/>
  <c r="CI77" i="1" s="1"/>
  <c r="Y9" i="1"/>
  <c r="Y10" i="1" s="1"/>
  <c r="CL20" i="1"/>
  <c r="Y147" i="1"/>
  <c r="FE16" i="4"/>
  <c r="FA9" i="4"/>
  <c r="X122" i="1"/>
  <c r="Z35" i="1"/>
  <c r="Z32" i="1"/>
  <c r="Z194" i="1" s="1"/>
  <c r="CH15" i="1"/>
  <c r="FF14" i="4"/>
  <c r="X24" i="1"/>
  <c r="Z153" i="1"/>
  <c r="CH153" i="1" s="1"/>
  <c r="CH183" i="1" s="1"/>
  <c r="CI183" i="1" s="1"/>
  <c r="CJ47" i="1"/>
  <c r="CL51" i="1"/>
  <c r="CK13" i="1"/>
  <c r="FW13" i="4"/>
  <c r="EZ15" i="4"/>
  <c r="CJ15" i="1"/>
  <c r="FD11" i="4"/>
  <c r="X163" i="1"/>
  <c r="CH51" i="1"/>
  <c r="Y46" i="1"/>
  <c r="FA5" i="4"/>
  <c r="FF16" i="4"/>
  <c r="JP16" i="4" s="1"/>
  <c r="JP21" i="4" s="1"/>
  <c r="CJ77" i="1" s="1"/>
  <c r="FC14" i="4"/>
  <c r="FB13" i="4"/>
  <c r="CG46" i="1"/>
  <c r="Y125" i="1"/>
  <c r="Z172" i="1"/>
  <c r="Y117" i="1"/>
  <c r="Y150" i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A8" i="4"/>
  <c r="JU8" i="4"/>
  <c r="KC15" i="4"/>
  <c r="JZ7" i="4"/>
  <c r="JO7" i="4"/>
  <c r="CL98" i="1"/>
  <c r="CL99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JW21" i="4"/>
  <c r="JV14" i="4"/>
  <c r="JU7" i="4"/>
  <c r="JT15" i="4"/>
  <c r="JZ15" i="4"/>
  <c r="KF15" i="4"/>
  <c r="JY8" i="4"/>
  <c r="KF14" i="4"/>
  <c r="KF21" i="4"/>
  <c r="JW14" i="4"/>
  <c r="AA21" i="1"/>
  <c r="KH8" i="4"/>
  <c r="KH20" i="4" s="1"/>
  <c r="KB14" i="4"/>
  <c r="KE7" i="4"/>
  <c r="Y253" i="1"/>
  <c r="KG15" i="4"/>
  <c r="KG20" i="4" s="1"/>
  <c r="JQ7" i="4"/>
  <c r="JV15" i="4"/>
  <c r="KD15" i="4"/>
  <c r="Z26" i="1"/>
  <c r="KB8" i="4"/>
  <c r="KC8" i="4"/>
  <c r="CH180" i="1"/>
  <c r="CI180" i="1" s="1"/>
  <c r="X156" i="1"/>
  <c r="Z252" i="1"/>
  <c r="JN14" i="4"/>
  <c r="JN19" i="4" s="1"/>
  <c r="CH78" i="1" s="1"/>
  <c r="Y26" i="1"/>
  <c r="X120" i="1"/>
  <c r="CK65" i="1"/>
  <c r="AA14" i="1"/>
  <c r="JN7" i="4"/>
  <c r="CG26" i="1"/>
  <c r="Y173" i="1"/>
  <c r="Y120" i="1"/>
  <c r="Y202" i="1"/>
  <c r="JN21" i="4"/>
  <c r="CH77" i="1" s="1"/>
  <c r="JO8" i="4"/>
  <c r="X161" i="1"/>
  <c r="X180" i="1"/>
  <c r="JO14" i="4"/>
  <c r="JO19" i="4" s="1"/>
  <c r="CI78" i="1" s="1"/>
  <c r="Y156" i="1"/>
  <c r="CH135" i="1"/>
  <c r="CI135" i="1" s="1"/>
  <c r="Z131" i="1"/>
  <c r="CH151" i="1"/>
  <c r="CH156" i="1" s="1"/>
  <c r="CH185" i="1" s="1"/>
  <c r="CH231" i="1"/>
  <c r="CH10" i="1"/>
  <c r="CH194" i="1"/>
  <c r="CH253" i="1"/>
  <c r="CH160" i="1"/>
  <c r="CH161" i="1" s="1"/>
  <c r="CI209" i="1" s="1"/>
  <c r="Z161" i="1"/>
  <c r="CK202" i="1"/>
  <c r="CN46" i="1"/>
  <c r="JR15" i="4"/>
  <c r="X10" i="1"/>
  <c r="KA7" i="4"/>
  <c r="Y252" i="1"/>
  <c r="CH26" i="1"/>
  <c r="JP8" i="4"/>
  <c r="JP20" i="4" s="1"/>
  <c r="CJ79" i="1" s="1"/>
  <c r="X128" i="1"/>
  <c r="X37" i="1" s="1"/>
  <c r="AA13" i="1"/>
  <c r="JY21" i="4"/>
  <c r="JZ14" i="4"/>
  <c r="JZ19" i="4" s="1"/>
  <c r="Z10" i="1"/>
  <c r="KH21" i="4"/>
  <c r="Z231" i="1"/>
  <c r="Z128" i="1"/>
  <c r="CK10" i="1"/>
  <c r="Z180" i="1"/>
  <c r="Z253" i="1"/>
  <c r="CH142" i="1"/>
  <c r="JS7" i="4"/>
  <c r="Y179" i="1"/>
  <c r="KC21" i="4"/>
  <c r="KD8" i="4"/>
  <c r="CG10" i="1"/>
  <c r="CG253" i="1"/>
  <c r="CJ253" i="1"/>
  <c r="CJ98" i="1"/>
  <c r="Y180" i="1"/>
  <c r="CI253" i="1"/>
  <c r="CI132" i="1"/>
  <c r="CJ132" i="1" s="1"/>
  <c r="CJ131" i="1" s="1"/>
  <c r="CK131" i="1" s="1"/>
  <c r="Y183" i="1"/>
  <c r="CJ161" i="1"/>
  <c r="CK209" i="1" s="1"/>
  <c r="Y231" i="1"/>
  <c r="CG252" i="1"/>
  <c r="Z202" i="1"/>
  <c r="KG7" i="4"/>
  <c r="KG19" i="4" s="1"/>
  <c r="JQ14" i="4"/>
  <c r="JQ19" i="4" s="1"/>
  <c r="CK78" i="1" s="1"/>
  <c r="CK98" i="1"/>
  <c r="CK99" i="1" s="1"/>
  <c r="CK102" i="1" s="1"/>
  <c r="JT7" i="4"/>
  <c r="JW8" i="4"/>
  <c r="X134" i="1"/>
  <c r="JZ8" i="4"/>
  <c r="KD7" i="4"/>
  <c r="CI231" i="1"/>
  <c r="CI202" i="1"/>
  <c r="CI10" i="1"/>
  <c r="JR14" i="4"/>
  <c r="JR19" i="4" s="1"/>
  <c r="CL78" i="1" s="1"/>
  <c r="CJ183" i="1"/>
  <c r="CK183" i="1" s="1"/>
  <c r="CI163" i="1"/>
  <c r="CI124" i="1"/>
  <c r="CI128" i="1" s="1"/>
  <c r="CH128" i="1"/>
  <c r="JT20" i="4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E35" i="1"/>
  <c r="U8" i="1"/>
  <c r="V8" i="1"/>
  <c r="W8" i="1"/>
  <c r="BI88" i="3"/>
  <c r="BD62" i="3"/>
  <c r="BO84" i="3"/>
  <c r="BQ84" i="3"/>
  <c r="BB64" i="3"/>
  <c r="BG60" i="3"/>
  <c r="BR59" i="3"/>
  <c r="CM133" i="1" l="1"/>
  <c r="CN133" i="1" s="1"/>
  <c r="CO133" i="1" s="1"/>
  <c r="CP133" i="1" s="1"/>
  <c r="CJ138" i="1"/>
  <c r="Y197" i="1"/>
  <c r="KH7" i="4"/>
  <c r="JS8" i="4"/>
  <c r="CJ156" i="1"/>
  <c r="CJ185" i="1" s="1"/>
  <c r="KA14" i="4"/>
  <c r="KA19" i="4" s="1"/>
  <c r="KF7" i="4"/>
  <c r="KF19" i="4" s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C20" i="4"/>
  <c r="KA15" i="4"/>
  <c r="KA20" i="4" s="1"/>
  <c r="JY7" i="4"/>
  <c r="JY19" i="4" s="1"/>
  <c r="JS15" i="4"/>
  <c r="JS20" i="4" s="1"/>
  <c r="JR7" i="4"/>
  <c r="JS14" i="4"/>
  <c r="JS19" i="4" s="1"/>
  <c r="KD20" i="4"/>
  <c r="CK33" i="1"/>
  <c r="KB7" i="4"/>
  <c r="KB19" i="4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20" i="1"/>
  <c r="CJ248" i="1" s="1"/>
  <c r="JP7" i="4"/>
  <c r="Y161" i="1"/>
  <c r="Z209" i="1" s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G153" i="1"/>
  <c r="CJ26" i="1"/>
  <c r="CI26" i="1"/>
  <c r="Z120" i="1"/>
  <c r="Z175" i="1" s="1"/>
  <c r="Z156" i="1"/>
  <c r="X175" i="1"/>
  <c r="Z148" i="1"/>
  <c r="Z182" i="1" s="1"/>
  <c r="X173" i="1"/>
  <c r="CH252" i="1"/>
  <c r="X179" i="1"/>
  <c r="CM125" i="1"/>
  <c r="CN125" i="1" s="1"/>
  <c r="CO125" i="1" s="1"/>
  <c r="CP125" i="1" s="1"/>
  <c r="CQ125" i="1" s="1"/>
  <c r="CR125" i="1" s="1"/>
  <c r="CH184" i="1"/>
  <c r="CI184" i="1" s="1"/>
  <c r="CI185" i="1" s="1"/>
  <c r="CJ124" i="1"/>
  <c r="Y134" i="1"/>
  <c r="AA22" i="1"/>
  <c r="CI63" i="1"/>
  <c r="CJ65" i="1"/>
  <c r="CJ108" i="1" s="1"/>
  <c r="X183" i="1"/>
  <c r="CM45" i="1"/>
  <c r="X194" i="1"/>
  <c r="X253" i="1"/>
  <c r="CH144" i="1"/>
  <c r="CH179" i="1" s="1"/>
  <c r="CI179" i="1" s="1"/>
  <c r="Z179" i="1"/>
  <c r="JW7" i="4"/>
  <c r="JW19" i="4" s="1"/>
  <c r="KH14" i="4"/>
  <c r="KH19" i="4" s="1"/>
  <c r="KG21" i="4"/>
  <c r="CL179" i="1"/>
  <c r="CM179" i="1" s="1"/>
  <c r="CL180" i="1"/>
  <c r="CM180" i="1" s="1"/>
  <c r="CN180" i="1" s="1"/>
  <c r="CO180" i="1" s="1"/>
  <c r="CP180" i="1" s="1"/>
  <c r="CQ180" i="1" s="1"/>
  <c r="CR180" i="1" s="1"/>
  <c r="CS180" i="1" s="1"/>
  <c r="CT180" i="1" s="1"/>
  <c r="KC14" i="4"/>
  <c r="JT14" i="4"/>
  <c r="JT19" i="4" s="1"/>
  <c r="JR8" i="4"/>
  <c r="KC7" i="4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79" i="1"/>
  <c r="CK179" i="1" s="1"/>
  <c r="JR21" i="4"/>
  <c r="CL77" i="1" s="1"/>
  <c r="CL148" i="1"/>
  <c r="JP19" i="4"/>
  <c r="CJ78" i="1" s="1"/>
  <c r="CJ107" i="1" s="1"/>
  <c r="AA47" i="1"/>
  <c r="AA45" i="1"/>
  <c r="JP14" i="4"/>
  <c r="Y128" i="1"/>
  <c r="Y129" i="1" s="1"/>
  <c r="Z183" i="1"/>
  <c r="CJ10" i="1"/>
  <c r="CJ244" i="1" s="1"/>
  <c r="CJ231" i="1"/>
  <c r="KB15" i="4"/>
  <c r="KB20" i="4" s="1"/>
  <c r="AA159" i="1"/>
  <c r="CL161" i="1"/>
  <c r="KE8" i="4"/>
  <c r="JY15" i="4"/>
  <c r="JY20" i="4" s="1"/>
  <c r="KE21" i="4"/>
  <c r="CL128" i="1"/>
  <c r="CL156" i="1"/>
  <c r="CL185" i="1" s="1"/>
  <c r="Z27" i="1"/>
  <c r="CL26" i="1"/>
  <c r="CP20" i="1"/>
  <c r="CT20" i="1" s="1"/>
  <c r="CX20" i="1" s="1"/>
  <c r="DB20" i="1" s="1"/>
  <c r="JN8" i="4"/>
  <c r="JN20" i="4" s="1"/>
  <c r="CH79" i="1" s="1"/>
  <c r="Z173" i="1"/>
  <c r="CL194" i="1"/>
  <c r="CL253" i="1"/>
  <c r="JV7" i="4"/>
  <c r="JV19" i="4" s="1"/>
  <c r="JU14" i="4"/>
  <c r="JU19" i="4" s="1"/>
  <c r="JT21" i="4"/>
  <c r="KE15" i="4"/>
  <c r="KE20" i="4" s="1"/>
  <c r="JX15" i="4"/>
  <c r="JX20" i="4" s="1"/>
  <c r="CL120" i="1"/>
  <c r="CL92" i="1" s="1"/>
  <c r="CL95" i="1" s="1"/>
  <c r="CJ99" i="1"/>
  <c r="CJ102" i="1" s="1"/>
  <c r="JR20" i="4"/>
  <c r="CL79" i="1" s="1"/>
  <c r="KF20" i="4"/>
  <c r="CL10" i="1"/>
  <c r="CL16" i="1" s="1"/>
  <c r="CL231" i="1"/>
  <c r="X26" i="1"/>
  <c r="X27" i="1" s="1"/>
  <c r="AA9" i="1"/>
  <c r="KF8" i="4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D14" i="4"/>
  <c r="KD19" i="4" s="1"/>
  <c r="JX7" i="4"/>
  <c r="JX19" i="4" s="1"/>
  <c r="CL183" i="1"/>
  <c r="CM183" i="1" s="1"/>
  <c r="CN183" i="1" s="1"/>
  <c r="JU15" i="4"/>
  <c r="JU20" i="4" s="1"/>
  <c r="JW15" i="4"/>
  <c r="JW20" i="4" s="1"/>
  <c r="KE14" i="4"/>
  <c r="KE19" i="4" s="1"/>
  <c r="JU21" i="4"/>
  <c r="JQ8" i="4"/>
  <c r="JQ20" i="4" s="1"/>
  <c r="CK79" i="1" s="1"/>
  <c r="CK108" i="1" s="1"/>
  <c r="JZ20" i="4"/>
  <c r="JV20" i="4"/>
  <c r="CG27" i="1"/>
  <c r="Y182" i="1"/>
  <c r="Y181" i="1" s="1"/>
  <c r="Z196" i="1"/>
  <c r="Y175" i="1"/>
  <c r="Y209" i="1"/>
  <c r="X248" i="1"/>
  <c r="X98" i="1"/>
  <c r="X16" i="1"/>
  <c r="X17" i="1" s="1"/>
  <c r="X182" i="1"/>
  <c r="X181" i="1" s="1"/>
  <c r="Y196" i="1"/>
  <c r="Y198" i="1" s="1"/>
  <c r="CJ182" i="1"/>
  <c r="CJ157" i="1"/>
  <c r="CJ165" i="1" s="1"/>
  <c r="CL28" i="1"/>
  <c r="CL17" i="1"/>
  <c r="CH27" i="1"/>
  <c r="CK27" i="1"/>
  <c r="Z188" i="1"/>
  <c r="CG144" i="1"/>
  <c r="CG145" i="1"/>
  <c r="X185" i="1"/>
  <c r="X157" i="1"/>
  <c r="Y185" i="1"/>
  <c r="Z197" i="1"/>
  <c r="Y157" i="1"/>
  <c r="Z134" i="1"/>
  <c r="CH131" i="1"/>
  <c r="Z185" i="1"/>
  <c r="CL11" i="1"/>
  <c r="CH16" i="1"/>
  <c r="CO46" i="1"/>
  <c r="CP46" i="1" s="1"/>
  <c r="CQ46" i="1" s="1"/>
  <c r="Z37" i="1"/>
  <c r="Z168" i="1"/>
  <c r="Z109" i="1" s="1"/>
  <c r="Z206" i="1"/>
  <c r="CK16" i="1"/>
  <c r="CK28" i="1" s="1"/>
  <c r="CL188" i="1"/>
  <c r="CL12" i="1"/>
  <c r="CG16" i="1"/>
  <c r="CH12" i="1"/>
  <c r="CK11" i="1"/>
  <c r="Y16" i="1"/>
  <c r="Y11" i="1"/>
  <c r="Y98" i="1"/>
  <c r="Y27" i="1"/>
  <c r="Y188" i="1"/>
  <c r="CJ225" i="1"/>
  <c r="CL225" i="1"/>
  <c r="CL103" i="1"/>
  <c r="CL107" i="1"/>
  <c r="CL104" i="1"/>
  <c r="CL108" i="1"/>
  <c r="CL96" i="1"/>
  <c r="Z98" i="1"/>
  <c r="Z16" i="1"/>
  <c r="Z28" i="1" s="1"/>
  <c r="CI12" i="1"/>
  <c r="Z11" i="1"/>
  <c r="X168" i="1"/>
  <c r="X109" i="1" s="1"/>
  <c r="X129" i="1"/>
  <c r="Y206" i="1"/>
  <c r="Y249" i="1"/>
  <c r="CK103" i="1"/>
  <c r="CK107" i="1"/>
  <c r="X33" i="1"/>
  <c r="X138" i="1"/>
  <c r="CI27" i="1"/>
  <c r="CI16" i="1"/>
  <c r="CK132" i="1"/>
  <c r="CJ184" i="1"/>
  <c r="CK184" i="1" s="1"/>
  <c r="CJ104" i="1"/>
  <c r="CJ12" i="1"/>
  <c r="CJ246" i="1"/>
  <c r="CI17" i="1"/>
  <c r="Z17" i="1"/>
  <c r="Z186" i="1"/>
  <c r="CM140" i="1"/>
  <c r="CM202" i="1" s="1"/>
  <c r="CN179" i="1"/>
  <c r="CH129" i="1"/>
  <c r="CH168" i="1"/>
  <c r="CM124" i="1"/>
  <c r="CH248" i="1"/>
  <c r="CK104" i="1"/>
  <c r="CI206" i="1"/>
  <c r="CI249" i="1"/>
  <c r="CJ103" i="1"/>
  <c r="CJ186" i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F28" i="1" s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M11" i="1" s="1"/>
  <c r="CD17" i="1"/>
  <c r="CG11" i="1"/>
  <c r="CE12" i="1"/>
  <c r="CH188" i="1"/>
  <c r="CA202" i="1"/>
  <c r="BL17" i="1"/>
  <c r="BL28" i="1"/>
  <c r="BY17" i="1"/>
  <c r="BY28" i="1"/>
  <c r="V231" i="1"/>
  <c r="W231" i="1"/>
  <c r="U231" i="1"/>
  <c r="CJ92" i="1" l="1"/>
  <c r="CJ94" i="1" s="1"/>
  <c r="CG156" i="1"/>
  <c r="CQ133" i="1"/>
  <c r="CR133" i="1" s="1"/>
  <c r="CS133" i="1" s="1"/>
  <c r="CT133" i="1" s="1"/>
  <c r="AB133" i="1"/>
  <c r="CN11" i="1"/>
  <c r="Z181" i="1"/>
  <c r="Z157" i="1"/>
  <c r="Y248" i="1"/>
  <c r="CI28" i="1"/>
  <c r="CI152" i="1"/>
  <c r="CJ95" i="1"/>
  <c r="X28" i="1"/>
  <c r="Z129" i="1"/>
  <c r="Z248" i="1"/>
  <c r="Z184" i="1"/>
  <c r="Z198" i="1"/>
  <c r="CL182" i="1"/>
  <c r="CL157" i="1"/>
  <c r="CL165" i="1" s="1"/>
  <c r="CG148" i="1"/>
  <c r="CG182" i="1" s="1"/>
  <c r="CG181" i="1" s="1"/>
  <c r="Z249" i="1"/>
  <c r="AB46" i="1"/>
  <c r="CJ181" i="1"/>
  <c r="CK181" i="1" s="1"/>
  <c r="CL184" i="1"/>
  <c r="CL102" i="1"/>
  <c r="CL94" i="1"/>
  <c r="CN45" i="1"/>
  <c r="CO45" i="1" s="1"/>
  <c r="CP45" i="1" s="1"/>
  <c r="CQ45" i="1" s="1"/>
  <c r="CL129" i="1"/>
  <c r="CL168" i="1"/>
  <c r="CL109" i="1" s="1"/>
  <c r="CL110" i="1" s="1"/>
  <c r="Y138" i="1"/>
  <c r="Y165" i="1" s="1"/>
  <c r="Y166" i="1" s="1"/>
  <c r="Y33" i="1"/>
  <c r="CM184" i="1"/>
  <c r="CN184" i="1" s="1"/>
  <c r="CO184" i="1" s="1"/>
  <c r="CP184" i="1" s="1"/>
  <c r="CQ184" i="1" s="1"/>
  <c r="CR184" i="1" s="1"/>
  <c r="CL246" i="1"/>
  <c r="CL248" i="1"/>
  <c r="CJ27" i="1"/>
  <c r="CJ16" i="1"/>
  <c r="CJ188" i="1"/>
  <c r="CJ96" i="1"/>
  <c r="CL244" i="1"/>
  <c r="CL27" i="1"/>
  <c r="CH148" i="1"/>
  <c r="CH196" i="1" s="1"/>
  <c r="CK12" i="1"/>
  <c r="KC19" i="4"/>
  <c r="CO11" i="1"/>
  <c r="Y37" i="1"/>
  <c r="Y168" i="1"/>
  <c r="Y109" i="1" s="1"/>
  <c r="CI65" i="1"/>
  <c r="CH63" i="1"/>
  <c r="CK124" i="1"/>
  <c r="CK128" i="1" s="1"/>
  <c r="CJ128" i="1"/>
  <c r="X165" i="1"/>
  <c r="X166" i="1" s="1"/>
  <c r="CL232" i="1"/>
  <c r="CL233" i="1" s="1"/>
  <c r="CL250" i="1"/>
  <c r="CL34" i="1"/>
  <c r="CL38" i="1" s="1"/>
  <c r="CL29" i="1"/>
  <c r="X184" i="1"/>
  <c r="X186" i="1"/>
  <c r="Z33" i="1"/>
  <c r="Z138" i="1"/>
  <c r="CI131" i="1"/>
  <c r="CI134" i="1" s="1"/>
  <c r="CH134" i="1"/>
  <c r="CR46" i="1"/>
  <c r="CL19" i="1"/>
  <c r="CK17" i="1"/>
  <c r="Y184" i="1"/>
  <c r="Y186" i="1"/>
  <c r="CL18" i="1"/>
  <c r="CH28" i="1"/>
  <c r="CH18" i="1"/>
  <c r="CH17" i="1"/>
  <c r="CK18" i="1"/>
  <c r="CG28" i="1"/>
  <c r="CG17" i="1"/>
  <c r="CH19" i="1"/>
  <c r="Y17" i="1"/>
  <c r="Z18" i="1"/>
  <c r="Y18" i="1"/>
  <c r="Y28" i="1"/>
  <c r="CK29" i="1"/>
  <c r="CL31" i="1"/>
  <c r="CK134" i="1"/>
  <c r="CL33" i="1" s="1"/>
  <c r="CL132" i="1"/>
  <c r="CL131" i="1" s="1"/>
  <c r="CJ19" i="1"/>
  <c r="CI19" i="1"/>
  <c r="CK185" i="1"/>
  <c r="CK34" i="1"/>
  <c r="CK38" i="1" s="1"/>
  <c r="Y203" i="1"/>
  <c r="Y201" i="1" s="1"/>
  <c r="X246" i="1"/>
  <c r="X244" i="1"/>
  <c r="CO179" i="1"/>
  <c r="CO183" i="1"/>
  <c r="CN185" i="1"/>
  <c r="CK182" i="1"/>
  <c r="CN140" i="1"/>
  <c r="CN202" i="1" s="1"/>
  <c r="Z29" i="1"/>
  <c r="Z112" i="1"/>
  <c r="Z34" i="1"/>
  <c r="Z232" i="1"/>
  <c r="Z233" i="1" s="1"/>
  <c r="CN124" i="1"/>
  <c r="CM128" i="1"/>
  <c r="CI29" i="1"/>
  <c r="CI34" i="1"/>
  <c r="CI232" i="1"/>
  <c r="CI233" i="1" s="1"/>
  <c r="X232" i="1"/>
  <c r="X233" i="1" s="1"/>
  <c r="X34" i="1"/>
  <c r="X29" i="1"/>
  <c r="X112" i="1"/>
  <c r="CH109" i="1"/>
  <c r="CI37" i="1"/>
  <c r="CS184" i="1"/>
  <c r="CD202" i="1"/>
  <c r="CC202" i="1"/>
  <c r="CG249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F29" i="1"/>
  <c r="CF232" i="1"/>
  <c r="CF233" i="1" s="1"/>
  <c r="CF34" i="1"/>
  <c r="CG157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U180" i="1"/>
  <c r="AB150" i="1"/>
  <c r="AA150" i="1"/>
  <c r="A1" i="1"/>
  <c r="CU133" i="1" l="1"/>
  <c r="CV133" i="1" s="1"/>
  <c r="CW133" i="1" s="1"/>
  <c r="CX133" i="1" s="1"/>
  <c r="AC133" i="1"/>
  <c r="CL111" i="1"/>
  <c r="CP11" i="1"/>
  <c r="CM27" i="1"/>
  <c r="CL166" i="1"/>
  <c r="CM185" i="1"/>
  <c r="CJ129" i="1"/>
  <c r="CJ166" i="1" s="1"/>
  <c r="CJ249" i="1"/>
  <c r="CJ206" i="1"/>
  <c r="Y244" i="1"/>
  <c r="Y246" i="1"/>
  <c r="CL181" i="1"/>
  <c r="CL186" i="1"/>
  <c r="CK249" i="1"/>
  <c r="CL206" i="1"/>
  <c r="CK206" i="1"/>
  <c r="CK19" i="1"/>
  <c r="CJ28" i="1"/>
  <c r="CJ17" i="1"/>
  <c r="CH65" i="1"/>
  <c r="CG63" i="1"/>
  <c r="CH182" i="1"/>
  <c r="CH157" i="1"/>
  <c r="AB45" i="1"/>
  <c r="CI108" i="1"/>
  <c r="CI99" i="1"/>
  <c r="CI107" i="1"/>
  <c r="CR45" i="1"/>
  <c r="CS45" i="1" s="1"/>
  <c r="CT45" i="1" s="1"/>
  <c r="CU45" i="1" s="1"/>
  <c r="AC45" i="1"/>
  <c r="CL249" i="1"/>
  <c r="CL251" i="1" s="1"/>
  <c r="CG226" i="1"/>
  <c r="Z165" i="1"/>
  <c r="Z166" i="1" s="1"/>
  <c r="Z246" i="1"/>
  <c r="Z244" i="1"/>
  <c r="Z203" i="1"/>
  <c r="Z201" i="1" s="1"/>
  <c r="CS46" i="1"/>
  <c r="CT46" i="1" s="1"/>
  <c r="CU46" i="1" s="1"/>
  <c r="CI112" i="1"/>
  <c r="CG250" i="1"/>
  <c r="CG251" i="1" s="1"/>
  <c r="CG31" i="1"/>
  <c r="CL40" i="1"/>
  <c r="CL41" i="1"/>
  <c r="CJ33" i="1"/>
  <c r="CI138" i="1"/>
  <c r="CJ203" i="1" s="1"/>
  <c r="CJ201" i="1" s="1"/>
  <c r="CH138" i="1"/>
  <c r="CI33" i="1"/>
  <c r="CV46" i="1"/>
  <c r="CW46" i="1" s="1"/>
  <c r="CX46" i="1" s="1"/>
  <c r="CY46" i="1" s="1"/>
  <c r="CL30" i="1"/>
  <c r="CH30" i="1"/>
  <c r="CM33" i="1"/>
  <c r="CK138" i="1"/>
  <c r="AA131" i="1"/>
  <c r="CM131" i="1"/>
  <c r="CN131" i="1" s="1"/>
  <c r="CO131" i="1" s="1"/>
  <c r="CP131" i="1" s="1"/>
  <c r="Y189" i="1"/>
  <c r="Y190" i="1" s="1"/>
  <c r="Z189" i="1"/>
  <c r="Z190" i="1" s="1"/>
  <c r="CH232" i="1"/>
  <c r="CH233" i="1" s="1"/>
  <c r="CH34" i="1"/>
  <c r="CH38" i="1" s="1"/>
  <c r="CI31" i="1"/>
  <c r="CH29" i="1"/>
  <c r="CK112" i="1"/>
  <c r="CH250" i="1"/>
  <c r="CH251" i="1" s="1"/>
  <c r="CI250" i="1"/>
  <c r="CI251" i="1" s="1"/>
  <c r="CK30" i="1"/>
  <c r="CJ226" i="1"/>
  <c r="CG34" i="1"/>
  <c r="CG232" i="1"/>
  <c r="CG233" i="1" s="1"/>
  <c r="CJ112" i="1"/>
  <c r="CH31" i="1"/>
  <c r="CG29" i="1"/>
  <c r="CI226" i="1"/>
  <c r="Z250" i="1"/>
  <c r="Z251" i="1" s="1"/>
  <c r="Y30" i="1"/>
  <c r="Y34" i="1"/>
  <c r="Y29" i="1"/>
  <c r="Y232" i="1"/>
  <c r="Y233" i="1" s="1"/>
  <c r="Y250" i="1"/>
  <c r="Y251" i="1" s="1"/>
  <c r="Y112" i="1"/>
  <c r="Z30" i="1"/>
  <c r="CK41" i="1"/>
  <c r="CK48" i="1" s="1"/>
  <c r="CK40" i="1"/>
  <c r="CI38" i="1"/>
  <c r="CI41" i="1" s="1"/>
  <c r="CK186" i="1"/>
  <c r="X38" i="1"/>
  <c r="X55" i="1"/>
  <c r="CO140" i="1"/>
  <c r="CP140" i="1" s="1"/>
  <c r="CP179" i="1"/>
  <c r="CO124" i="1"/>
  <c r="CN128" i="1"/>
  <c r="Z55" i="1"/>
  <c r="Z38" i="1"/>
  <c r="CM181" i="1"/>
  <c r="CM249" i="1"/>
  <c r="CM206" i="1"/>
  <c r="CP183" i="1"/>
  <c r="CO185" i="1"/>
  <c r="CT184" i="1"/>
  <c r="CF166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AD133" i="1" l="1"/>
  <c r="CY133" i="1"/>
  <c r="CZ133" i="1" s="1"/>
  <c r="DA133" i="1" s="1"/>
  <c r="DB133" i="1" s="1"/>
  <c r="AE133" i="1" s="1"/>
  <c r="CK42" i="1"/>
  <c r="AC46" i="1"/>
  <c r="CR11" i="1"/>
  <c r="CQ11" i="1"/>
  <c r="CI40" i="1"/>
  <c r="CM17" i="1"/>
  <c r="CN27" i="1"/>
  <c r="CO27" i="1" s="1"/>
  <c r="AD46" i="1"/>
  <c r="CV45" i="1"/>
  <c r="CW45" i="1" s="1"/>
  <c r="CX45" i="1" s="1"/>
  <c r="CY45" i="1" s="1"/>
  <c r="CZ45" i="1" s="1"/>
  <c r="DA45" i="1" s="1"/>
  <c r="DB45" i="1" s="1"/>
  <c r="AE45" i="1" s="1"/>
  <c r="CH181" i="1"/>
  <c r="CI181" i="1" s="1"/>
  <c r="CH186" i="1"/>
  <c r="CL189" i="1" s="1"/>
  <c r="CH108" i="1"/>
  <c r="CH111" i="1" s="1"/>
  <c r="CH107" i="1"/>
  <c r="CH110" i="1" s="1"/>
  <c r="CH92" i="1"/>
  <c r="CH99" i="1"/>
  <c r="CI102" i="1"/>
  <c r="CI103" i="1"/>
  <c r="CI104" i="1"/>
  <c r="CJ29" i="1"/>
  <c r="CJ34" i="1"/>
  <c r="CJ30" i="1"/>
  <c r="CL226" i="1"/>
  <c r="CJ250" i="1"/>
  <c r="CJ251" i="1" s="1"/>
  <c r="CK31" i="1"/>
  <c r="CJ31" i="1"/>
  <c r="CL112" i="1"/>
  <c r="CJ232" i="1"/>
  <c r="CJ233" i="1" s="1"/>
  <c r="CN33" i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M32" i="1"/>
  <c r="CG65" i="1"/>
  <c r="CF63" i="1"/>
  <c r="CH41" i="1"/>
  <c r="CH40" i="1"/>
  <c r="CG38" i="1"/>
  <c r="CG41" i="1" s="1"/>
  <c r="CJ55" i="1"/>
  <c r="Y55" i="1"/>
  <c r="Y38" i="1"/>
  <c r="CL42" i="1"/>
  <c r="CL245" i="1" s="1"/>
  <c r="CL48" i="1"/>
  <c r="CL234" i="1"/>
  <c r="CH246" i="1"/>
  <c r="CH165" i="1"/>
  <c r="CH166" i="1" s="1"/>
  <c r="CH244" i="1"/>
  <c r="CI203" i="1"/>
  <c r="CI201" i="1" s="1"/>
  <c r="CZ46" i="1"/>
  <c r="CL203" i="1"/>
  <c r="CL201" i="1" s="1"/>
  <c r="CK203" i="1"/>
  <c r="CK201" i="1" s="1"/>
  <c r="CQ131" i="1"/>
  <c r="CR131" i="1" s="1"/>
  <c r="CS131" i="1" s="1"/>
  <c r="CT131" i="1" s="1"/>
  <c r="AB131" i="1"/>
  <c r="CL44" i="1"/>
  <c r="CH43" i="1"/>
  <c r="CL43" i="1"/>
  <c r="CO202" i="1"/>
  <c r="CP202" i="1"/>
  <c r="CQ140" i="1"/>
  <c r="CK66" i="1"/>
  <c r="CK52" i="1"/>
  <c r="CN181" i="1"/>
  <c r="CM182" i="1"/>
  <c r="CM186" i="1" s="1"/>
  <c r="CG40" i="1"/>
  <c r="Y41" i="1"/>
  <c r="Y61" i="1" s="1"/>
  <c r="Y40" i="1"/>
  <c r="Z41" i="1"/>
  <c r="Z40" i="1"/>
  <c r="CQ179" i="1"/>
  <c r="CI42" i="1"/>
  <c r="CI245" i="1" s="1"/>
  <c r="CI234" i="1"/>
  <c r="CI48" i="1"/>
  <c r="CP124" i="1"/>
  <c r="CO128" i="1"/>
  <c r="CQ183" i="1"/>
  <c r="CP185" i="1"/>
  <c r="CN249" i="1"/>
  <c r="CN206" i="1"/>
  <c r="X41" i="1"/>
  <c r="X40" i="1"/>
  <c r="CU184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D189" i="1"/>
  <c r="CH189" i="1"/>
  <c r="BZ38" i="1"/>
  <c r="CB55" i="1"/>
  <c r="CD227" i="1"/>
  <c r="CF41" i="1"/>
  <c r="CF234" i="1" s="1"/>
  <c r="CF40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Z64" i="1"/>
  <c r="Y64" i="1" s="1"/>
  <c r="X64" i="1" s="1"/>
  <c r="W64" i="1" s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BY42" i="1"/>
  <c r="BY245" i="1" s="1"/>
  <c r="BY48" i="1"/>
  <c r="CW180" i="1"/>
  <c r="AE150" i="1"/>
  <c r="AD150" i="1"/>
  <c r="CS11" i="1" l="1"/>
  <c r="CN17" i="1"/>
  <c r="AD45" i="1"/>
  <c r="CP27" i="1"/>
  <c r="CG99" i="1"/>
  <c r="CG107" i="1"/>
  <c r="CG108" i="1"/>
  <c r="CL114" i="1"/>
  <c r="CL113" i="1"/>
  <c r="CH95" i="1"/>
  <c r="CH94" i="1"/>
  <c r="CH96" i="1"/>
  <c r="CI146" i="1"/>
  <c r="CI182" i="1"/>
  <c r="CJ38" i="1"/>
  <c r="CL55" i="1"/>
  <c r="CE63" i="1"/>
  <c r="CF65" i="1"/>
  <c r="CH102" i="1"/>
  <c r="CH104" i="1"/>
  <c r="CH103" i="1"/>
  <c r="CI44" i="1"/>
  <c r="CH48" i="1"/>
  <c r="CH42" i="1"/>
  <c r="CH245" i="1" s="1"/>
  <c r="CH234" i="1"/>
  <c r="CL52" i="1"/>
  <c r="CL66" i="1"/>
  <c r="CL193" i="1"/>
  <c r="CL195" i="1" s="1"/>
  <c r="AC131" i="1"/>
  <c r="CU131" i="1"/>
  <c r="CV131" i="1" s="1"/>
  <c r="CW131" i="1" s="1"/>
  <c r="CX131" i="1" s="1"/>
  <c r="DA46" i="1"/>
  <c r="DB46" i="1" s="1"/>
  <c r="AE46" i="1"/>
  <c r="CQ64" i="1"/>
  <c r="CR64" i="1" s="1"/>
  <c r="CS64" i="1" s="1"/>
  <c r="CT64" i="1" s="1"/>
  <c r="AB64" i="1"/>
  <c r="CR179" i="1"/>
  <c r="CK43" i="1"/>
  <c r="CG48" i="1"/>
  <c r="CG42" i="1"/>
  <c r="CG245" i="1" s="1"/>
  <c r="CG234" i="1"/>
  <c r="CH44" i="1"/>
  <c r="CO181" i="1"/>
  <c r="CN182" i="1"/>
  <c r="CN186" i="1" s="1"/>
  <c r="CG43" i="1"/>
  <c r="CI119" i="1"/>
  <c r="CI120" i="1" s="1"/>
  <c r="CI52" i="1"/>
  <c r="CI66" i="1"/>
  <c r="CI193" i="1"/>
  <c r="CI195" i="1" s="1"/>
  <c r="CR183" i="1"/>
  <c r="CQ185" i="1"/>
  <c r="CO249" i="1"/>
  <c r="CO206" i="1"/>
  <c r="CQ202" i="1"/>
  <c r="CR140" i="1"/>
  <c r="Y43" i="1"/>
  <c r="X48" i="1"/>
  <c r="X42" i="1"/>
  <c r="X245" i="1" s="1"/>
  <c r="X234" i="1"/>
  <c r="CQ124" i="1"/>
  <c r="CP128" i="1"/>
  <c r="Z42" i="1"/>
  <c r="Z245" i="1" s="1"/>
  <c r="Z234" i="1"/>
  <c r="Z48" i="1"/>
  <c r="Y234" i="1"/>
  <c r="Y42" i="1"/>
  <c r="Y245" i="1" s="1"/>
  <c r="Y48" i="1"/>
  <c r="Z43" i="1"/>
  <c r="CV184" i="1"/>
  <c r="CW125" i="1"/>
  <c r="CM8" i="1"/>
  <c r="CF43" i="1"/>
  <c r="CF42" i="1"/>
  <c r="CF245" i="1" s="1"/>
  <c r="BZ41" i="1"/>
  <c r="BZ40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AA118" i="1"/>
  <c r="AA136" i="1"/>
  <c r="AA127" i="1"/>
  <c r="AA151" i="1"/>
  <c r="AA135" i="1"/>
  <c r="AA126" i="1"/>
  <c r="AA143" i="1"/>
  <c r="AA122" i="1"/>
  <c r="CT11" i="1" l="1"/>
  <c r="CO17" i="1"/>
  <c r="CP17" i="1" s="1"/>
  <c r="CQ27" i="1"/>
  <c r="CR27" i="1" s="1"/>
  <c r="CJ41" i="1"/>
  <c r="CJ40" i="1"/>
  <c r="CF92" i="1"/>
  <c r="CF99" i="1"/>
  <c r="CF108" i="1"/>
  <c r="CF111" i="1" s="1"/>
  <c r="CF114" i="1" s="1"/>
  <c r="CF107" i="1"/>
  <c r="CF110" i="1" s="1"/>
  <c r="CF113" i="1" s="1"/>
  <c r="CD63" i="1"/>
  <c r="CE65" i="1"/>
  <c r="CG102" i="1"/>
  <c r="CG103" i="1"/>
  <c r="CG104" i="1"/>
  <c r="CH193" i="1"/>
  <c r="CH195" i="1" s="1"/>
  <c r="CH199" i="1" s="1"/>
  <c r="CH213" i="1" s="1"/>
  <c r="CH66" i="1"/>
  <c r="CH52" i="1"/>
  <c r="AD131" i="1"/>
  <c r="CY131" i="1"/>
  <c r="CZ131" i="1" s="1"/>
  <c r="DA131" i="1" s="1"/>
  <c r="DB131" i="1" s="1"/>
  <c r="AE131" i="1" s="1"/>
  <c r="AC64" i="1"/>
  <c r="CU64" i="1"/>
  <c r="CV64" i="1" s="1"/>
  <c r="CW64" i="1" s="1"/>
  <c r="CX64" i="1" s="1"/>
  <c r="Z54" i="1"/>
  <c r="Z207" i="1"/>
  <c r="Z205" i="1" s="1"/>
  <c r="Z52" i="1"/>
  <c r="Z193" i="1"/>
  <c r="Z195" i="1" s="1"/>
  <c r="Z199" i="1" s="1"/>
  <c r="Z213" i="1" s="1"/>
  <c r="CG193" i="1"/>
  <c r="CG195" i="1" s="1"/>
  <c r="CG199" i="1" s="1"/>
  <c r="CG213" i="1" s="1"/>
  <c r="CG52" i="1"/>
  <c r="CG66" i="1"/>
  <c r="CG119" i="1"/>
  <c r="CG120" i="1" s="1"/>
  <c r="CS183" i="1"/>
  <c r="CR185" i="1"/>
  <c r="CI207" i="1"/>
  <c r="CI205" i="1" s="1"/>
  <c r="CI92" i="1"/>
  <c r="CI129" i="1"/>
  <c r="CI55" i="1" s="1"/>
  <c r="CP249" i="1"/>
  <c r="CP206" i="1"/>
  <c r="CP181" i="1"/>
  <c r="CO182" i="1"/>
  <c r="CO186" i="1" s="1"/>
  <c r="Y193" i="1"/>
  <c r="Y195" i="1" s="1"/>
  <c r="Y199" i="1" s="1"/>
  <c r="Y213" i="1" s="1"/>
  <c r="Y207" i="1"/>
  <c r="Y205" i="1" s="1"/>
  <c r="Y54" i="1"/>
  <c r="Y52" i="1"/>
  <c r="X54" i="1"/>
  <c r="X193" i="1"/>
  <c r="X195" i="1" s="1"/>
  <c r="X52" i="1"/>
  <c r="CR124" i="1"/>
  <c r="CQ128" i="1"/>
  <c r="CR202" i="1"/>
  <c r="CS140" i="1"/>
  <c r="CS179" i="1"/>
  <c r="CW184" i="1"/>
  <c r="CX125" i="1"/>
  <c r="CN8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5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AA164" i="1"/>
  <c r="AA154" i="1"/>
  <c r="AA155" i="1"/>
  <c r="AA147" i="1"/>
  <c r="CU11" i="1" l="1"/>
  <c r="CQ17" i="1"/>
  <c r="CR17" i="1" s="1"/>
  <c r="CM40" i="1"/>
  <c r="CS27" i="1"/>
  <c r="CF96" i="1"/>
  <c r="CF95" i="1"/>
  <c r="CF94" i="1"/>
  <c r="CE107" i="1"/>
  <c r="CE99" i="1"/>
  <c r="CE108" i="1"/>
  <c r="CJ42" i="1"/>
  <c r="CJ245" i="1" s="1"/>
  <c r="CL227" i="1"/>
  <c r="CK44" i="1"/>
  <c r="CJ44" i="1"/>
  <c r="CJ48" i="1"/>
  <c r="CJ234" i="1"/>
  <c r="CJ43" i="1"/>
  <c r="CJ227" i="1"/>
  <c r="CD65" i="1"/>
  <c r="CC63" i="1"/>
  <c r="CF102" i="1"/>
  <c r="CF104" i="1"/>
  <c r="CF103" i="1"/>
  <c r="CI69" i="1"/>
  <c r="CI86" i="1" s="1"/>
  <c r="Y210" i="1"/>
  <c r="Y211" i="1" s="1"/>
  <c r="AD64" i="1"/>
  <c r="CY64" i="1"/>
  <c r="CZ64" i="1" s="1"/>
  <c r="DA64" i="1" s="1"/>
  <c r="DB64" i="1" s="1"/>
  <c r="AE64" i="1" s="1"/>
  <c r="CT179" i="1"/>
  <c r="CS202" i="1"/>
  <c r="CT140" i="1"/>
  <c r="Z210" i="1"/>
  <c r="Z211" i="1" s="1"/>
  <c r="CQ181" i="1"/>
  <c r="CP182" i="1"/>
  <c r="CP186" i="1" s="1"/>
  <c r="CT183" i="1"/>
  <c r="CS185" i="1"/>
  <c r="CI96" i="1"/>
  <c r="CI94" i="1"/>
  <c r="CI95" i="1"/>
  <c r="CS124" i="1"/>
  <c r="CR128" i="1"/>
  <c r="CQ249" i="1"/>
  <c r="CQ206" i="1"/>
  <c r="CG129" i="1"/>
  <c r="CG55" i="1" s="1"/>
  <c r="CG92" i="1"/>
  <c r="CG207" i="1"/>
  <c r="CG205" i="1" s="1"/>
  <c r="CG210" i="1" s="1"/>
  <c r="CG160" i="1" s="1"/>
  <c r="CG161" i="1" s="1"/>
  <c r="CH207" i="1"/>
  <c r="CH205" i="1" s="1"/>
  <c r="CX184" i="1"/>
  <c r="CY125" i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V11" i="1" l="1"/>
  <c r="CN40" i="1"/>
  <c r="CO40" i="1" s="1"/>
  <c r="CT27" i="1"/>
  <c r="CI85" i="1"/>
  <c r="CS17" i="1"/>
  <c r="CI87" i="1"/>
  <c r="CB63" i="1"/>
  <c r="CC65" i="1"/>
  <c r="CD99" i="1"/>
  <c r="CD66" i="1"/>
  <c r="CD92" i="1"/>
  <c r="CD107" i="1"/>
  <c r="CD110" i="1" s="1"/>
  <c r="CD113" i="1" s="1"/>
  <c r="CD108" i="1"/>
  <c r="CD111" i="1" s="1"/>
  <c r="CD114" i="1" s="1"/>
  <c r="CJ66" i="1"/>
  <c r="CJ52" i="1"/>
  <c r="CJ193" i="1"/>
  <c r="CJ195" i="1" s="1"/>
  <c r="CL54" i="1"/>
  <c r="CJ207" i="1"/>
  <c r="CJ205" i="1" s="1"/>
  <c r="CJ54" i="1"/>
  <c r="CE102" i="1"/>
  <c r="CE104" i="1"/>
  <c r="CE103" i="1"/>
  <c r="CT124" i="1"/>
  <c r="CS128" i="1"/>
  <c r="CU183" i="1"/>
  <c r="CT185" i="1"/>
  <c r="CG211" i="1"/>
  <c r="CG244" i="1"/>
  <c r="CG168" i="1"/>
  <c r="CG248" i="1"/>
  <c r="CG165" i="1"/>
  <c r="CG166" i="1" s="1"/>
  <c r="CH209" i="1"/>
  <c r="CH210" i="1" s="1"/>
  <c r="CH211" i="1" s="1"/>
  <c r="CG246" i="1"/>
  <c r="CG95" i="1"/>
  <c r="CG96" i="1"/>
  <c r="CG94" i="1"/>
  <c r="CT202" i="1"/>
  <c r="CU140" i="1"/>
  <c r="CU202" i="1" s="1"/>
  <c r="CR181" i="1"/>
  <c r="CQ182" i="1"/>
  <c r="CQ186" i="1" s="1"/>
  <c r="CR249" i="1"/>
  <c r="CR206" i="1"/>
  <c r="CU179" i="1"/>
  <c r="CY184" i="1"/>
  <c r="CZ125" i="1"/>
  <c r="CH69" i="1"/>
  <c r="CG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80" i="1"/>
  <c r="AE164" i="1"/>
  <c r="AD164" i="1"/>
  <c r="AE154" i="1"/>
  <c r="AD154" i="1"/>
  <c r="AE155" i="1"/>
  <c r="AD155" i="1"/>
  <c r="AE147" i="1"/>
  <c r="AD147" i="1"/>
  <c r="BY231" i="1"/>
  <c r="AA35" i="1"/>
  <c r="CW11" i="1" l="1"/>
  <c r="CT17" i="1"/>
  <c r="CU27" i="1"/>
  <c r="CP40" i="1"/>
  <c r="CQ40" i="1" s="1"/>
  <c r="CR40" i="1" s="1"/>
  <c r="CL69" i="1"/>
  <c r="CK69" i="1"/>
  <c r="CK70" i="1" s="1"/>
  <c r="CJ69" i="1"/>
  <c r="CD104" i="1"/>
  <c r="CD102" i="1"/>
  <c r="CD103" i="1"/>
  <c r="CC92" i="1"/>
  <c r="CC66" i="1"/>
  <c r="CF69" i="1" s="1"/>
  <c r="CC99" i="1"/>
  <c r="CD94" i="1"/>
  <c r="CD96" i="1"/>
  <c r="CD95" i="1"/>
  <c r="CA63" i="1"/>
  <c r="CB65" i="1"/>
  <c r="CS181" i="1"/>
  <c r="CR182" i="1"/>
  <c r="CR186" i="1" s="1"/>
  <c r="CV140" i="1"/>
  <c r="CV202" i="1" s="1"/>
  <c r="CV179" i="1"/>
  <c r="CV183" i="1"/>
  <c r="CU185" i="1"/>
  <c r="CG109" i="1"/>
  <c r="CH37" i="1"/>
  <c r="CS249" i="1"/>
  <c r="CS206" i="1"/>
  <c r="CU124" i="1"/>
  <c r="CT128" i="1"/>
  <c r="CZ184" i="1"/>
  <c r="DA125" i="1"/>
  <c r="CE94" i="1"/>
  <c r="CE95" i="1"/>
  <c r="CE96" i="1"/>
  <c r="CE244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H85" i="1"/>
  <c r="CH87" i="1"/>
  <c r="CE211" i="1"/>
  <c r="CF87" i="1"/>
  <c r="CF85" i="1"/>
  <c r="CF86" i="1"/>
  <c r="DB180" i="1"/>
  <c r="CE166" i="1"/>
  <c r="AB20" i="1"/>
  <c r="AA20" i="1"/>
  <c r="CX11" i="1" l="1"/>
  <c r="CK85" i="1"/>
  <c r="CK86" i="1"/>
  <c r="CK87" i="1"/>
  <c r="CV27" i="1"/>
  <c r="CW27" i="1" s="1"/>
  <c r="CX27" i="1" s="1"/>
  <c r="CL86" i="1"/>
  <c r="CL90" i="1" s="1"/>
  <c r="CL87" i="1"/>
  <c r="CL85" i="1"/>
  <c r="CJ87" i="1"/>
  <c r="CJ85" i="1"/>
  <c r="CJ86" i="1"/>
  <c r="CK90" i="1" s="1"/>
  <c r="CJ70" i="1"/>
  <c r="CL70" i="1"/>
  <c r="CU17" i="1"/>
  <c r="CB99" i="1"/>
  <c r="CB92" i="1"/>
  <c r="CB66" i="1"/>
  <c r="CE69" i="1" s="1"/>
  <c r="CA65" i="1"/>
  <c r="BZ63" i="1"/>
  <c r="CS40" i="1"/>
  <c r="CW183" i="1"/>
  <c r="CV185" i="1"/>
  <c r="CT249" i="1"/>
  <c r="CT206" i="1"/>
  <c r="CW140" i="1"/>
  <c r="CW202" i="1" s="1"/>
  <c r="CW179" i="1"/>
  <c r="CV124" i="1"/>
  <c r="CU128" i="1"/>
  <c r="CG111" i="1"/>
  <c r="CG114" i="1" s="1"/>
  <c r="CG110" i="1"/>
  <c r="CG113" i="1" s="1"/>
  <c r="CT181" i="1"/>
  <c r="CS182" i="1"/>
  <c r="CS186" i="1" s="1"/>
  <c r="DA184" i="1"/>
  <c r="DB125" i="1"/>
  <c r="CJ90" i="1"/>
  <c r="CF37" i="1"/>
  <c r="CI90" i="1"/>
  <c r="CE110" i="1"/>
  <c r="CE113" i="1" s="1"/>
  <c r="AC20" i="1"/>
  <c r="BY232" i="1"/>
  <c r="BY233" i="1" s="1"/>
  <c r="CY11" i="1" l="1"/>
  <c r="CZ11" i="1" s="1"/>
  <c r="CV17" i="1"/>
  <c r="CY27" i="1"/>
  <c r="CA66" i="1"/>
  <c r="CD69" i="1" s="1"/>
  <c r="CA92" i="1"/>
  <c r="CI70" i="1"/>
  <c r="CE87" i="1"/>
  <c r="CE85" i="1"/>
  <c r="CE86" i="1"/>
  <c r="CH90" i="1" s="1"/>
  <c r="BY63" i="1"/>
  <c r="BZ65" i="1"/>
  <c r="CT40" i="1"/>
  <c r="CX140" i="1"/>
  <c r="CY140" i="1" s="1"/>
  <c r="CW124" i="1"/>
  <c r="CV128" i="1"/>
  <c r="CX179" i="1"/>
  <c r="CU181" i="1"/>
  <c r="CT182" i="1"/>
  <c r="CT186" i="1" s="1"/>
  <c r="CU249" i="1"/>
  <c r="CU206" i="1"/>
  <c r="CX183" i="1"/>
  <c r="CW185" i="1"/>
  <c r="DB184" i="1"/>
  <c r="AD20" i="1"/>
  <c r="BY234" i="1"/>
  <c r="DA11" i="1" l="1"/>
  <c r="DB11" i="1"/>
  <c r="CW17" i="1"/>
  <c r="CZ27" i="1"/>
  <c r="DA27" i="1" s="1"/>
  <c r="CX202" i="1"/>
  <c r="BZ92" i="1"/>
  <c r="BZ66" i="1"/>
  <c r="CC69" i="1" s="1"/>
  <c r="CG70" i="1" s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H70" i="1"/>
  <c r="CD86" i="1"/>
  <c r="CG90" i="1" s="1"/>
  <c r="CD85" i="1"/>
  <c r="CD87" i="1"/>
  <c r="CU40" i="1"/>
  <c r="CV181" i="1"/>
  <c r="CU182" i="1"/>
  <c r="CU186" i="1" s="1"/>
  <c r="CX124" i="1"/>
  <c r="CW128" i="1"/>
  <c r="CY183" i="1"/>
  <c r="CX185" i="1"/>
  <c r="CY179" i="1"/>
  <c r="CV249" i="1"/>
  <c r="CV206" i="1"/>
  <c r="CY202" i="1"/>
  <c r="CZ140" i="1"/>
  <c r="AE20" i="1"/>
  <c r="CB69" i="1" l="1"/>
  <c r="CF70" i="1" s="1"/>
  <c r="CX17" i="1"/>
  <c r="CY17" i="1" s="1"/>
  <c r="DB27" i="1"/>
  <c r="BL65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CV40" i="1"/>
  <c r="CW40" i="1" s="1"/>
  <c r="CZ179" i="1"/>
  <c r="CZ183" i="1"/>
  <c r="CY185" i="1"/>
  <c r="CZ202" i="1"/>
  <c r="DA140" i="1"/>
  <c r="DB140" i="1" s="1"/>
  <c r="DB202" i="1" s="1"/>
  <c r="CW249" i="1"/>
  <c r="CW206" i="1"/>
  <c r="CY124" i="1"/>
  <c r="CX128" i="1"/>
  <c r="CW181" i="1"/>
  <c r="CV182" i="1"/>
  <c r="CV186" i="1" s="1"/>
  <c r="BT65" i="1"/>
  <c r="AV65" i="1"/>
  <c r="AA140" i="1"/>
  <c r="CZ17" i="1" l="1"/>
  <c r="DA17" i="1" s="1"/>
  <c r="AR65" i="1"/>
  <c r="AT65" i="1"/>
  <c r="AX65" i="1"/>
  <c r="BI65" i="1"/>
  <c r="AK63" i="1"/>
  <c r="AJ63" i="1" s="1"/>
  <c r="AI63" i="1" s="1"/>
  <c r="AI65" i="1" s="1"/>
  <c r="AL65" i="1"/>
  <c r="BL92" i="1"/>
  <c r="BL66" i="1"/>
  <c r="DA202" i="1"/>
  <c r="CX40" i="1"/>
  <c r="CY40" i="1" s="1"/>
  <c r="CZ40" i="1" s="1"/>
  <c r="CX249" i="1"/>
  <c r="CX206" i="1"/>
  <c r="CX181" i="1"/>
  <c r="CW182" i="1"/>
  <c r="CW186" i="1" s="1"/>
  <c r="CZ124" i="1"/>
  <c r="CY128" i="1"/>
  <c r="DA183" i="1"/>
  <c r="CZ185" i="1"/>
  <c r="DA179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AA202" i="1"/>
  <c r="DB17" i="1" l="1"/>
  <c r="DA40" i="1"/>
  <c r="DB40" i="1" s="1"/>
  <c r="DB179" i="1"/>
  <c r="DA124" i="1"/>
  <c r="CZ128" i="1"/>
  <c r="CY249" i="1"/>
  <c r="CY206" i="1"/>
  <c r="DB183" i="1"/>
  <c r="DB185" i="1" s="1"/>
  <c r="DA185" i="1"/>
  <c r="CY181" i="1"/>
  <c r="CX182" i="1"/>
  <c r="CX186" i="1" s="1"/>
  <c r="BL231" i="1"/>
  <c r="CZ181" i="1" l="1"/>
  <c r="CY182" i="1"/>
  <c r="CY186" i="1" s="1"/>
  <c r="CZ249" i="1"/>
  <c r="CZ206" i="1"/>
  <c r="DB124" i="1"/>
  <c r="DB128" i="1" s="1"/>
  <c r="DA128" i="1"/>
  <c r="AB140" i="1"/>
  <c r="AA77" i="1"/>
  <c r="DA206" i="1" l="1"/>
  <c r="DA249" i="1"/>
  <c r="DB249" i="1"/>
  <c r="DB206" i="1"/>
  <c r="DA181" i="1"/>
  <c r="CZ182" i="1"/>
  <c r="CZ186" i="1" s="1"/>
  <c r="CN77" i="1"/>
  <c r="AB202" i="1"/>
  <c r="DB181" i="1" l="1"/>
  <c r="DB182" i="1" s="1"/>
  <c r="DB186" i="1" s="1"/>
  <c r="DA182" i="1"/>
  <c r="DA186" i="1" s="1"/>
  <c r="CO77" i="1"/>
  <c r="AA32" i="1"/>
  <c r="CM63" i="1"/>
  <c r="AA194" i="1" l="1"/>
  <c r="CP77" i="1"/>
  <c r="AA132" i="1"/>
  <c r="AA134" i="1" s="1"/>
  <c r="CN63" i="1"/>
  <c r="CM65" i="1"/>
  <c r="AA63" i="1"/>
  <c r="Z63" i="1" l="1"/>
  <c r="AB77" i="1"/>
  <c r="CQ77" i="1"/>
  <c r="AA65" i="1"/>
  <c r="AC140" i="1"/>
  <c r="CN65" i="1"/>
  <c r="CO63" i="1"/>
  <c r="Y63" i="1" l="1"/>
  <c r="Z65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B63" i="1" s="1"/>
  <c r="AB65" i="1" s="1"/>
  <c r="AA117" i="1"/>
  <c r="AA149" i="1"/>
  <c r="J22" i="2"/>
  <c r="AI46" i="3"/>
  <c r="X16" i="2"/>
  <c r="R6" i="2"/>
  <c r="DT16" i="4" a="1"/>
  <c r="M10" i="2"/>
  <c r="E11" i="2"/>
  <c r="W26" i="2"/>
  <c r="E10" i="2"/>
  <c r="V13" i="2"/>
  <c r="D16" i="2"/>
  <c r="BN7" i="4" a="1"/>
  <c r="X29" i="2"/>
  <c r="P33" i="2"/>
  <c r="E6" i="3"/>
  <c r="G33" i="2"/>
  <c r="Q36" i="2"/>
  <c r="F34" i="3"/>
  <c r="BG13" i="4" a="1"/>
  <c r="F26" i="2"/>
  <c r="G45" i="3"/>
  <c r="CT7" i="4" a="1"/>
  <c r="X19" i="2"/>
  <c r="V16" i="4" a="1"/>
  <c r="V29" i="2"/>
  <c r="O29" i="2"/>
  <c r="J36" i="2"/>
  <c r="T14" i="2"/>
  <c r="L30" i="2"/>
  <c r="K7" i="4" a="1"/>
  <c r="X32" i="2"/>
  <c r="X66" i="2"/>
  <c r="D25" i="2"/>
  <c r="P26" i="2"/>
  <c r="O26" i="2"/>
  <c r="AE46" i="3"/>
  <c r="F17" i="2"/>
  <c r="EE11" i="4" a="1"/>
  <c r="G14" i="2"/>
  <c r="L25" i="2"/>
  <c r="O5" i="2"/>
  <c r="AM46" i="3"/>
  <c r="BJ8" i="4" a="1"/>
  <c r="J14" i="2"/>
  <c r="C10" i="2"/>
  <c r="P25" i="2"/>
  <c r="F24" i="2"/>
  <c r="AR70" i="3"/>
  <c r="I16" i="2"/>
  <c r="F10" i="2"/>
  <c r="AR36" i="3"/>
  <c r="G8" i="2"/>
  <c r="G30" i="3"/>
  <c r="S9" i="2"/>
  <c r="E37" i="3"/>
  <c r="E14" i="4" a="1"/>
  <c r="L8" i="4" a="1"/>
  <c r="P27" i="2"/>
  <c r="DG7" i="4" a="1"/>
  <c r="EC15" i="4" a="1"/>
  <c r="DT14" i="4" a="1"/>
  <c r="DE14" i="4" a="1"/>
  <c r="BD8" i="4" a="1"/>
  <c r="C36" i="2"/>
  <c r="L33" i="2"/>
  <c r="AD16" i="4" a="1"/>
  <c r="Q27" i="2"/>
  <c r="AZ12" i="4" a="1"/>
  <c r="U14" i="2"/>
  <c r="K31" i="2"/>
  <c r="S15" i="2"/>
  <c r="K24" i="2"/>
  <c r="N7" i="2"/>
  <c r="DM15" i="4" a="1"/>
  <c r="R5" i="2"/>
  <c r="L12" i="2"/>
  <c r="S33" i="2"/>
  <c r="K26" i="2"/>
  <c r="AR67" i="3"/>
  <c r="T15" i="2"/>
  <c r="AR19" i="3"/>
  <c r="H31" i="2"/>
  <c r="I23" i="2"/>
  <c r="AF50" i="3"/>
  <c r="F36" i="2"/>
  <c r="DK7" i="4" a="1"/>
  <c r="C14" i="2"/>
  <c r="C15" i="4" a="1"/>
  <c r="O17" i="2"/>
  <c r="H12" i="2"/>
  <c r="J24" i="2"/>
  <c r="V19" i="2"/>
  <c r="P15" i="2"/>
  <c r="O10" i="2"/>
  <c r="AD13" i="3"/>
  <c r="X10" i="2"/>
  <c r="S27" i="2"/>
  <c r="AR94" i="3"/>
  <c r="CJ5" i="4" a="1"/>
  <c r="R34" i="2"/>
  <c r="N19" i="2"/>
  <c r="D14" i="3"/>
  <c r="AT13" i="4" a="1"/>
  <c r="AR89" i="3"/>
  <c r="CI8" i="4" a="1"/>
  <c r="Q59" i="2"/>
  <c r="J9" i="2"/>
  <c r="S13" i="2"/>
  <c r="N27" i="2"/>
  <c r="H30" i="2"/>
  <c r="Q54" i="2"/>
  <c r="D19" i="3"/>
  <c r="I12" i="2"/>
  <c r="AR25" i="3"/>
  <c r="M35" i="2"/>
  <c r="G23" i="2"/>
  <c r="E13" i="2"/>
  <c r="D21" i="2"/>
  <c r="X25" i="2"/>
  <c r="P30" i="2"/>
  <c r="W6" i="4" a="1"/>
  <c r="DF14" i="4" a="1"/>
  <c r="BE15" i="4" a="1"/>
  <c r="D32" i="2"/>
  <c r="R7" i="4" a="1"/>
  <c r="R54" i="2"/>
  <c r="CV14" i="4" a="1"/>
  <c r="BT5" i="4" a="1"/>
  <c r="AR20" i="3"/>
  <c r="CI15" i="4" a="1"/>
  <c r="DN5" i="4" a="1"/>
  <c r="AR28" i="3"/>
  <c r="DI5" i="4" a="1"/>
  <c r="D39" i="3"/>
  <c r="Q15" i="2"/>
  <c r="T10" i="2"/>
  <c r="L29" i="2"/>
  <c r="K18" i="2"/>
  <c r="BD5" i="4" a="1"/>
  <c r="X22" i="2"/>
  <c r="J25" i="2"/>
  <c r="R32" i="2"/>
  <c r="V28" i="2"/>
  <c r="G26" i="3"/>
  <c r="R20" i="2"/>
  <c r="W22" i="2"/>
  <c r="F12" i="2"/>
  <c r="P34" i="2"/>
  <c r="U32" i="2"/>
  <c r="D31" i="2"/>
  <c r="F21" i="3"/>
  <c r="AR92" i="3"/>
  <c r="D16" i="4" a="1"/>
  <c r="H20" i="2"/>
  <c r="G11" i="3"/>
  <c r="BM9" i="4" a="1"/>
  <c r="BD11" i="4" a="1"/>
  <c r="E16" i="3"/>
  <c r="CU14" i="4" a="1"/>
  <c r="R19" i="2"/>
  <c r="CY16" i="4" a="1"/>
  <c r="X26" i="2"/>
  <c r="AE7" i="4" a="1"/>
  <c r="D7" i="2"/>
  <c r="T33" i="2"/>
  <c r="J10" i="2"/>
  <c r="AA45" i="3"/>
  <c r="N17" i="2"/>
  <c r="AD5" i="3"/>
  <c r="C28" i="2"/>
  <c r="M12" i="2"/>
  <c r="N6" i="2"/>
  <c r="E28" i="3"/>
  <c r="G12" i="4" a="1"/>
  <c r="L11" i="2"/>
  <c r="X21" i="2"/>
  <c r="I14" i="4" a="1"/>
  <c r="CC7" i="4" a="1"/>
  <c r="DK16" i="4" a="1"/>
  <c r="AP46" i="3"/>
  <c r="Q5" i="4" a="1"/>
  <c r="BH9" i="4" a="1"/>
  <c r="AH8" i="4" a="1"/>
  <c r="P13" i="4" a="1"/>
  <c r="F29" i="3"/>
  <c r="F11" i="2"/>
  <c r="L7" i="4" a="1"/>
  <c r="AI8" i="4" a="1"/>
  <c r="DM12" i="4" a="1"/>
  <c r="W16" i="2"/>
  <c r="AR84" i="3"/>
  <c r="O16" i="2"/>
  <c r="H35" i="2"/>
  <c r="D9" i="3"/>
  <c r="N10" i="2"/>
  <c r="M28" i="2"/>
  <c r="X34" i="2"/>
  <c r="M5" i="2"/>
  <c r="X14" i="2"/>
  <c r="I5" i="2"/>
  <c r="N26" i="2"/>
  <c r="Q22" i="2"/>
  <c r="D20" i="2"/>
  <c r="E10" i="3"/>
  <c r="Q18" i="2"/>
  <c r="AR93" i="3"/>
  <c r="M22" i="2"/>
  <c r="AX8" i="4" a="1"/>
  <c r="CI11" i="4" a="1"/>
  <c r="AC14" i="4" a="1"/>
  <c r="K15" i="2"/>
  <c r="X15" i="4" a="1"/>
  <c r="H45" i="3"/>
  <c r="CM6" i="4" a="1"/>
  <c r="N31" i="2"/>
  <c r="P17" i="2"/>
  <c r="M8" i="2"/>
  <c r="W36" i="2"/>
  <c r="R24" i="2"/>
  <c r="AD9" i="4" a="1"/>
  <c r="W15" i="2"/>
  <c r="O13" i="2"/>
  <c r="AS49" i="3"/>
  <c r="AL46" i="3"/>
  <c r="Q28" i="2"/>
  <c r="Q34" i="2"/>
  <c r="L13" i="2"/>
  <c r="AF48" i="3"/>
  <c r="C17" i="2"/>
  <c r="F19" i="3"/>
  <c r="D35" i="3"/>
  <c r="L36" i="2"/>
  <c r="F9" i="2"/>
  <c r="P19" i="2"/>
  <c r="D16" i="3"/>
  <c r="H34" i="2"/>
  <c r="Q26" i="2"/>
  <c r="W14" i="2"/>
  <c r="R25" i="2"/>
  <c r="R21" i="2"/>
  <c r="Q78" i="2"/>
  <c r="N36" i="2"/>
  <c r="P12" i="2"/>
  <c r="AR56" i="3"/>
  <c r="CD8" i="4" a="1"/>
  <c r="E13" i="4" a="1"/>
  <c r="C7" i="4" a="1"/>
  <c r="CG12" i="4" a="1"/>
  <c r="DV9" i="4" a="1"/>
  <c r="I31" i="2"/>
  <c r="ED6" i="4" a="1"/>
  <c r="CD7" i="4" a="1"/>
  <c r="AL5" i="4" a="1"/>
  <c r="U9" i="4" a="1"/>
  <c r="AZ7" i="4" a="1"/>
  <c r="EG16" i="4" a="1"/>
  <c r="CW16" i="4" a="1"/>
  <c r="F15" i="3"/>
  <c r="R12" i="4" a="1"/>
  <c r="BC9" i="4" a="1"/>
  <c r="C27" i="2"/>
  <c r="BP6" i="4" a="1"/>
  <c r="AA15" i="4" a="1"/>
  <c r="CF15" i="4" a="1"/>
  <c r="EE14" i="4" a="1"/>
  <c r="O8" i="4" a="1"/>
  <c r="R15" i="2"/>
  <c r="CD12" i="4" a="1"/>
  <c r="T13" i="4" a="1"/>
  <c r="D35" i="2"/>
  <c r="CR7" i="4" a="1"/>
  <c r="BL8" i="4" a="1"/>
  <c r="BN16" i="4" a="1"/>
  <c r="X27" i="2"/>
  <c r="R17" i="2"/>
  <c r="BQ8" i="4" a="1"/>
  <c r="Y9" i="4" a="1"/>
  <c r="AD68" i="3"/>
  <c r="CK13" i="4" a="1"/>
  <c r="CE12" i="4" a="1"/>
  <c r="AQ11" i="4" a="1"/>
  <c r="D14" i="4" a="1"/>
  <c r="EB13" i="4" a="1"/>
  <c r="AV14" i="4" a="1"/>
  <c r="E24" i="3"/>
  <c r="BT11" i="4" a="1"/>
  <c r="H9" i="4" a="1"/>
  <c r="CL15" i="4" a="1"/>
  <c r="DH16" i="4" a="1"/>
  <c r="DX9" i="4" a="1"/>
  <c r="V30" i="2"/>
  <c r="AG15" i="4" a="1"/>
  <c r="DE8" i="4" a="1"/>
  <c r="BR15" i="4" a="1"/>
  <c r="D24" i="3"/>
  <c r="P11" i="4" a="1"/>
  <c r="K35" i="2"/>
  <c r="DH9" i="4" a="1"/>
  <c r="BW6" i="4" a="1"/>
  <c r="Z14" i="4" a="1"/>
  <c r="EF13" i="4" a="1"/>
  <c r="M21" i="2"/>
  <c r="AS14" i="4" a="1"/>
  <c r="DO15" i="4" a="1"/>
  <c r="DJ16" i="4" a="1"/>
  <c r="AY12" i="4" a="1"/>
  <c r="BZ9" i="4" a="1"/>
  <c r="I12" i="4" a="1"/>
  <c r="ED8" i="4" a="1"/>
  <c r="J6" i="4" a="1"/>
  <c r="J15" i="4" a="1"/>
  <c r="CG7" i="4" a="1"/>
  <c r="DY7" i="4" a="1"/>
  <c r="CH12" i="4" a="1"/>
  <c r="DA7" i="4" a="1"/>
  <c r="DL15" i="4" a="1"/>
  <c r="E11" i="4" a="1"/>
  <c r="G5" i="4" a="1"/>
  <c r="W46" i="3"/>
  <c r="BM13" i="4" a="1"/>
  <c r="V12" i="2"/>
  <c r="Z9" i="4" a="1"/>
  <c r="CJ13" i="4" a="1"/>
  <c r="O18" i="2"/>
  <c r="F23" i="3"/>
  <c r="D36" i="2"/>
  <c r="BB7" i="4" a="1"/>
  <c r="N32" i="2"/>
  <c r="AT11" i="4" a="1"/>
  <c r="K22" i="2"/>
  <c r="D24" i="2"/>
  <c r="CD15" i="4" a="1"/>
  <c r="DE16" i="4" a="1"/>
  <c r="N35" i="2"/>
  <c r="DW14" i="4" a="1"/>
  <c r="BF13" i="4" a="1"/>
  <c r="R6" i="4" a="1"/>
  <c r="N9" i="4" a="1"/>
  <c r="DJ8" i="4" a="1"/>
  <c r="DX6" i="4" a="1"/>
  <c r="AX15" i="4" a="1"/>
  <c r="BV13" i="4" a="1"/>
  <c r="CU5" i="4" a="1"/>
  <c r="AO12" i="4" a="1"/>
  <c r="AR39" i="3"/>
  <c r="V5" i="2"/>
  <c r="R26" i="2"/>
  <c r="CE6" i="4" a="1"/>
  <c r="BH5" i="4" a="1"/>
  <c r="EH8" i="4" a="1"/>
  <c r="EG5" i="4" a="1"/>
  <c r="DF5" i="4" a="1"/>
  <c r="AJ14" i="4" a="1"/>
  <c r="EF9" i="4" a="1"/>
  <c r="AS15" i="4" a="1"/>
  <c r="CZ5" i="4" a="1"/>
  <c r="CV6" i="4" a="1"/>
  <c r="AN46" i="3"/>
  <c r="CP12" i="4" a="1"/>
  <c r="M14" i="4" a="1"/>
  <c r="AR8" i="3"/>
  <c r="DE6" i="4" a="1"/>
  <c r="G13" i="4" a="1"/>
  <c r="C16" i="4" a="1"/>
  <c r="AM9" i="4" a="1"/>
  <c r="DA12" i="4" a="1"/>
  <c r="CJ15" i="4" a="1"/>
  <c r="BD14" i="4" a="1"/>
  <c r="DF8" i="4" a="1"/>
  <c r="N11" i="4" a="1"/>
  <c r="CU13" i="4" a="1"/>
  <c r="O19" i="2"/>
  <c r="CN8" i="4" a="1"/>
  <c r="AY11" i="4" a="1"/>
  <c r="CF5" i="4" a="1"/>
  <c r="DO12" i="4" a="1"/>
  <c r="DD15" i="4" a="1"/>
  <c r="S19" i="2"/>
  <c r="DL9" i="4" a="1"/>
  <c r="CR9" i="4" a="1"/>
  <c r="DQ8" i="4" a="1"/>
  <c r="DS13" i="4" a="1"/>
  <c r="BU12" i="4" a="1"/>
  <c r="DR15" i="4" a="1"/>
  <c r="I36" i="2"/>
  <c r="E19" i="3"/>
  <c r="DB7" i="4" a="1"/>
  <c r="CA11" i="4" a="1"/>
  <c r="BQ13" i="4" a="1"/>
  <c r="CC14" i="4" a="1"/>
  <c r="BY12" i="4" a="1"/>
  <c r="F33" i="3"/>
  <c r="AK16" i="4" a="1"/>
  <c r="AW6" i="4" a="1"/>
  <c r="AF15" i="4" a="1"/>
  <c r="E33" i="2"/>
  <c r="M23" i="2"/>
  <c r="S45" i="3"/>
  <c r="BH12" i="4" a="1"/>
  <c r="BZ6" i="4" a="1"/>
  <c r="S29" i="2"/>
  <c r="N13" i="4" a="1"/>
  <c r="R30" i="2"/>
  <c r="BK8" i="4" a="1"/>
  <c r="F29" i="2"/>
  <c r="BN11" i="4" a="1"/>
  <c r="CY8" i="4" a="1"/>
  <c r="CA6" i="4" a="1"/>
  <c r="BX8" i="4" a="1"/>
  <c r="AR49" i="3"/>
  <c r="BB9" i="4" a="1"/>
  <c r="R8" i="4" a="1"/>
  <c r="BC5" i="4" a="1"/>
  <c r="DO16" i="4" a="1"/>
  <c r="CS9" i="4" a="1"/>
  <c r="BK5" i="4" a="1"/>
  <c r="AA14" i="4" a="1"/>
  <c r="AB9" i="4" a="1"/>
  <c r="AU7" i="4" a="1"/>
  <c r="BX14" i="4" a="1"/>
  <c r="V15" i="2"/>
  <c r="AT6" i="4" a="1"/>
  <c r="CL11" i="4" a="1"/>
  <c r="K45" i="3"/>
  <c r="DQ14" i="4" a="1"/>
  <c r="AG5" i="4" a="1"/>
  <c r="M11" i="2"/>
  <c r="EK8" i="4" a="1"/>
  <c r="AH12" i="4" a="1"/>
  <c r="H19" i="2"/>
  <c r="DO11" i="4" a="1"/>
  <c r="D11" i="3"/>
  <c r="O5" i="4" a="1"/>
  <c r="E23" i="2"/>
  <c r="K34" i="2"/>
  <c r="AR85" i="3"/>
  <c r="Y7" i="4" a="1"/>
  <c r="CK15" i="4" a="1"/>
  <c r="EC13" i="4" a="1"/>
  <c r="G11" i="4" a="1"/>
  <c r="Z12" i="4" a="1"/>
  <c r="BM12" i="4" a="1"/>
  <c r="BW13" i="4" a="1"/>
  <c r="W12" i="4" a="1"/>
  <c r="DH12" i="4" a="1"/>
  <c r="BI11" i="4" a="1"/>
  <c r="BD13" i="4" a="1"/>
  <c r="Q25" i="2"/>
  <c r="AU16" i="4" a="1"/>
  <c r="N22" i="2"/>
  <c r="AG14" i="4" a="1"/>
  <c r="S8" i="4" a="1"/>
  <c r="AD17" i="3"/>
  <c r="EA16" i="4" a="1"/>
  <c r="X35" i="2"/>
  <c r="M6" i="4" a="1"/>
  <c r="DP14" i="4" a="1"/>
  <c r="AP11" i="4" a="1"/>
  <c r="G13" i="3"/>
  <c r="CO14" i="4" a="1"/>
  <c r="AR23" i="3"/>
  <c r="AR35" i="3"/>
  <c r="U11" i="4" a="1"/>
  <c r="Z46" i="3"/>
  <c r="G6" i="4" a="1"/>
  <c r="DZ15" i="4" a="1"/>
  <c r="W45" i="3"/>
  <c r="BC16" i="4" a="1"/>
  <c r="T30" i="2"/>
  <c r="G5" i="3"/>
  <c r="W18" i="2"/>
  <c r="F11" i="3"/>
  <c r="CD16" i="4" a="1"/>
  <c r="S5" i="2"/>
  <c r="H11" i="2"/>
  <c r="I17" i="2"/>
  <c r="S7" i="2"/>
  <c r="E30" i="3"/>
  <c r="J11" i="2"/>
  <c r="X41" i="2"/>
  <c r="I11" i="2"/>
  <c r="P8" i="2"/>
  <c r="E16" i="4" a="1"/>
  <c r="AG45" i="3"/>
  <c r="P7" i="2"/>
  <c r="AV11" i="4" a="1"/>
  <c r="DX5" i="4" a="1"/>
  <c r="Q11" i="2"/>
  <c r="D21" i="3"/>
  <c r="K36" i="2"/>
  <c r="AQ45" i="3"/>
  <c r="J9" i="4" a="1"/>
  <c r="G6" i="2"/>
  <c r="G9" i="2"/>
  <c r="Q13" i="2"/>
  <c r="AR31" i="3"/>
  <c r="X17" i="2"/>
  <c r="W46" i="2"/>
  <c r="H14" i="2"/>
  <c r="W23" i="2"/>
  <c r="V36" i="2"/>
  <c r="T18" i="2"/>
  <c r="O25" i="2"/>
  <c r="D37" i="3"/>
  <c r="N23" i="2"/>
  <c r="CJ11" i="4" a="1"/>
  <c r="U29" i="2"/>
  <c r="F16" i="3"/>
  <c r="D28" i="2"/>
  <c r="G22" i="3"/>
  <c r="BM6" i="4" a="1"/>
  <c r="E16" i="2"/>
  <c r="AR90" i="3"/>
  <c r="U5" i="2"/>
  <c r="M16" i="2"/>
  <c r="CY6" i="4" a="1"/>
  <c r="K27" i="2"/>
  <c r="X23" i="2"/>
  <c r="F22" i="3"/>
  <c r="K6" i="2"/>
  <c r="BT7" i="4" a="1"/>
  <c r="R46" i="3"/>
  <c r="V24" i="2"/>
  <c r="C12" i="2"/>
  <c r="AW12" i="4" a="1"/>
  <c r="AK14" i="4" a="1"/>
  <c r="BS8" i="4" a="1"/>
  <c r="AN15" i="4" a="1"/>
  <c r="BR6" i="4" a="1"/>
  <c r="G15" i="3"/>
  <c r="DS8" i="4" a="1"/>
  <c r="K25" i="2"/>
  <c r="F6" i="2"/>
  <c r="O28" i="2"/>
  <c r="P28" i="2"/>
  <c r="CN16" i="4" a="1"/>
  <c r="C20" i="2"/>
  <c r="T9" i="2"/>
  <c r="C46" i="3"/>
  <c r="N30" i="2"/>
  <c r="F9" i="3"/>
  <c r="G16" i="3"/>
  <c r="J30" i="2"/>
  <c r="K14" i="2"/>
  <c r="C65" i="2"/>
  <c r="U23" i="2"/>
  <c r="AR58" i="3"/>
  <c r="F35" i="2"/>
  <c r="H5" i="2"/>
  <c r="AR38" i="3"/>
  <c r="U21" i="2"/>
  <c r="BM8" i="4" a="1"/>
  <c r="D33" i="2"/>
  <c r="AU5" i="4" a="1"/>
  <c r="I25" i="2"/>
  <c r="BD12" i="4" a="1"/>
  <c r="J21" i="2"/>
  <c r="K87" i="2"/>
  <c r="J13" i="2"/>
  <c r="AR80" i="3"/>
  <c r="AR77" i="3"/>
  <c r="N29" i="2"/>
  <c r="E14" i="3"/>
  <c r="D23" i="2"/>
  <c r="M14" i="2"/>
  <c r="S14" i="2"/>
  <c r="K8" i="2"/>
  <c r="N14" i="2"/>
  <c r="T13" i="2"/>
  <c r="O11" i="4" a="1"/>
  <c r="L28" i="2"/>
  <c r="C32" i="2"/>
  <c r="C25" i="2"/>
  <c r="T21" i="2"/>
  <c r="AY7" i="4" a="1"/>
  <c r="P14" i="2"/>
  <c r="K23" i="2"/>
  <c r="D26" i="2"/>
  <c r="K32" i="2"/>
  <c r="F10" i="3"/>
  <c r="T29" i="2"/>
  <c r="R14" i="2"/>
  <c r="M27" i="2"/>
  <c r="I28" i="2"/>
  <c r="AR79" i="3"/>
  <c r="G28" i="2"/>
  <c r="E36" i="3"/>
  <c r="AR37" i="3"/>
  <c r="BK9" i="4" a="1"/>
  <c r="D9" i="2"/>
  <c r="DB12" i="4" a="1"/>
  <c r="DT6" i="4" a="1"/>
  <c r="AZ6" i="4" a="1"/>
  <c r="U9" i="2"/>
  <c r="CJ14" i="4" a="1"/>
  <c r="AQ16" i="4" a="1"/>
  <c r="E19" i="2"/>
  <c r="N34" i="2"/>
  <c r="CN9" i="4" a="1"/>
  <c r="AJ9" i="4" a="1"/>
  <c r="DM13" i="4" a="1"/>
  <c r="DF16" i="4" a="1"/>
  <c r="V34" i="2"/>
  <c r="DT7" i="4" a="1"/>
  <c r="K28" i="2"/>
  <c r="CF16" i="4" a="1"/>
  <c r="CX15" i="4" a="1"/>
  <c r="AR17" i="3"/>
  <c r="E32" i="3"/>
  <c r="E25" i="3"/>
  <c r="Q12" i="2"/>
  <c r="C45" i="3"/>
  <c r="U30" i="2"/>
  <c r="Y46" i="3"/>
  <c r="F20" i="2"/>
  <c r="U35" i="2"/>
  <c r="E34" i="2"/>
  <c r="E12" i="2"/>
  <c r="DG8" i="4" a="1"/>
  <c r="BB16" i="4" a="1"/>
  <c r="AE6" i="4" a="1"/>
  <c r="G23" i="3"/>
  <c r="DU6" i="4" a="1"/>
  <c r="CA8" i="4" a="1"/>
  <c r="G25" i="3"/>
  <c r="DB8" i="4" a="1"/>
  <c r="DL11" i="4" a="1"/>
  <c r="U24" i="2"/>
  <c r="K5" i="2"/>
  <c r="AR54" i="3"/>
  <c r="G27" i="3"/>
  <c r="Q9" i="2"/>
  <c r="C34" i="2"/>
  <c r="C19" i="2"/>
  <c r="F25" i="3"/>
  <c r="F13" i="3"/>
  <c r="O20" i="2"/>
  <c r="I19" i="2"/>
  <c r="D27" i="2"/>
  <c r="D8" i="2"/>
  <c r="E11" i="3"/>
  <c r="T28" i="2"/>
  <c r="Q32" i="2"/>
  <c r="G34" i="2"/>
  <c r="M6" i="2"/>
  <c r="AE11" i="4" a="1"/>
  <c r="EK5" i="4" a="1"/>
  <c r="N46" i="3"/>
  <c r="CG11" i="4" a="1"/>
  <c r="R12" i="2"/>
  <c r="AT14" i="4" a="1"/>
  <c r="BX13" i="4" a="1"/>
  <c r="BS6" i="4" a="1"/>
  <c r="BZ5" i="4" a="1"/>
  <c r="CX13" i="4" a="1"/>
  <c r="AG7" i="4" a="1"/>
  <c r="CC5" i="4" a="1"/>
  <c r="Q46" i="2"/>
  <c r="K19" i="2"/>
  <c r="L7" i="2"/>
  <c r="H33" i="2"/>
  <c r="AM6" i="4" a="1"/>
  <c r="I32" i="2"/>
  <c r="X11" i="2"/>
  <c r="G5" i="2"/>
  <c r="W31" i="2"/>
  <c r="U27" i="2"/>
  <c r="E8" i="2"/>
  <c r="AR45" i="3"/>
  <c r="R36" i="2"/>
  <c r="I15" i="2"/>
  <c r="T46" i="3"/>
  <c r="Q58" i="2"/>
  <c r="CC11" i="4" a="1"/>
  <c r="AB12" i="4" a="1"/>
  <c r="M11" i="4" a="1"/>
  <c r="T5" i="2"/>
  <c r="D6" i="2"/>
  <c r="E9" i="2"/>
  <c r="V26" i="2"/>
  <c r="G7" i="3"/>
  <c r="AO46" i="3"/>
  <c r="U20" i="2"/>
  <c r="R9" i="2"/>
  <c r="H16" i="2"/>
  <c r="E18" i="2"/>
  <c r="C9" i="2"/>
  <c r="P16" i="2"/>
  <c r="Q23" i="2"/>
  <c r="G15" i="2"/>
  <c r="I20" i="2"/>
  <c r="AD45" i="3"/>
  <c r="O6" i="2"/>
  <c r="J16" i="2"/>
  <c r="J26" i="2"/>
  <c r="AR81" i="3"/>
  <c r="M33" i="2"/>
  <c r="AD10" i="3"/>
  <c r="CT15" i="4" a="1"/>
  <c r="S8" i="2"/>
  <c r="S6" i="2"/>
  <c r="O22" i="2"/>
  <c r="K16" i="2"/>
  <c r="G30" i="2"/>
  <c r="X28" i="2"/>
  <c r="D28" i="3"/>
  <c r="E20" i="2"/>
  <c r="W11" i="2"/>
  <c r="N8" i="2"/>
  <c r="Q30" i="2"/>
  <c r="D29" i="2"/>
  <c r="AR91" i="3"/>
  <c r="DM14" i="4" a="1"/>
  <c r="AD46" i="3"/>
  <c r="AP15" i="4" a="1"/>
  <c r="O46" i="3"/>
  <c r="AU12" i="4" a="1"/>
  <c r="AR14" i="3"/>
  <c r="ED15" i="4" a="1"/>
  <c r="CZ14" i="4" a="1"/>
  <c r="AR16" i="3"/>
  <c r="J8" i="4" a="1"/>
  <c r="T22" i="2"/>
  <c r="BZ8" i="4" a="1"/>
  <c r="CM11" i="4" a="1"/>
  <c r="T27" i="2"/>
  <c r="AE15" i="4" a="1"/>
  <c r="D30" i="2"/>
  <c r="CW14" i="4" a="1"/>
  <c r="C14" i="4" a="1"/>
  <c r="DO5" i="4" a="1"/>
  <c r="DY5" i="4" a="1"/>
  <c r="AD11" i="3"/>
  <c r="CM12" i="4" a="1"/>
  <c r="I46" i="3"/>
  <c r="F19" i="2"/>
  <c r="BM5" i="4" a="1"/>
  <c r="CU9" i="4" a="1"/>
  <c r="R5" i="4" a="1"/>
  <c r="DH14" i="4" a="1"/>
  <c r="CX5" i="4" a="1"/>
  <c r="X7" i="4" a="1"/>
  <c r="D5" i="3"/>
  <c r="AZ11" i="4" a="1"/>
  <c r="BU15" i="4" a="1"/>
  <c r="BV16" i="4" a="1"/>
  <c r="CX9" i="4" a="1"/>
  <c r="BL6" i="4" a="1"/>
  <c r="DI6" i="4" a="1"/>
  <c r="BQ7" i="4" a="1"/>
  <c r="AD82" i="3"/>
  <c r="BO15" i="4" a="1"/>
  <c r="EI6" i="4" a="1"/>
  <c r="BB8" i="4" a="1"/>
  <c r="D85" i="3"/>
  <c r="BX6" i="4" a="1"/>
  <c r="AD95" i="3"/>
  <c r="AV7" i="4" a="1"/>
  <c r="AX7" i="4" a="1"/>
  <c r="W8" i="2"/>
  <c r="P69" i="2"/>
  <c r="DI11" i="4" a="1"/>
  <c r="CT6" i="4" a="1"/>
  <c r="Y8" i="4" a="1"/>
  <c r="E14" i="2"/>
  <c r="AI45" i="3"/>
  <c r="N16" i="2"/>
  <c r="DO13" i="4" a="1"/>
  <c r="E36" i="2"/>
  <c r="BN5" i="4" a="1"/>
  <c r="CG8" i="4" a="1"/>
  <c r="DG11" i="4" a="1"/>
  <c r="E7" i="2"/>
  <c r="E40" i="3"/>
  <c r="DP8" i="4" a="1"/>
  <c r="DZ8" i="4" a="1"/>
  <c r="M15" i="2"/>
  <c r="CS6" i="4" a="1"/>
  <c r="DU12" i="4" a="1"/>
  <c r="BY5" i="4" a="1"/>
  <c r="AC6" i="4" a="1"/>
  <c r="DW12" i="4" a="1"/>
  <c r="R9" i="4" a="1"/>
  <c r="BH11" i="4" a="1"/>
  <c r="EC11" i="4" a="1"/>
  <c r="G86" i="3"/>
  <c r="CW11" i="4" a="1"/>
  <c r="DL14" i="4" a="1"/>
  <c r="BX15" i="4" a="1"/>
  <c r="E35" i="2"/>
  <c r="EE9" i="4" a="1"/>
  <c r="DZ16" i="4" a="1"/>
  <c r="BC7" i="4" a="1"/>
  <c r="AA11" i="4" a="1"/>
  <c r="AR41" i="3"/>
  <c r="F35" i="3"/>
  <c r="E46" i="3"/>
  <c r="S12" i="4" a="1"/>
  <c r="BI9" i="4" a="1"/>
  <c r="DC8" i="4" a="1"/>
  <c r="AI16" i="4" a="1"/>
  <c r="U45" i="3"/>
  <c r="DR5" i="4" a="1"/>
  <c r="W9" i="4" a="1"/>
  <c r="AK45" i="3"/>
  <c r="DE7" i="4" a="1"/>
  <c r="I29" i="2"/>
  <c r="BA8" i="4" a="1"/>
  <c r="W5" i="4" a="1"/>
  <c r="AW16" i="4" a="1"/>
  <c r="EC9" i="4" a="1"/>
  <c r="D23" i="3"/>
  <c r="AW15" i="4" a="1"/>
  <c r="DM9" i="4" a="1"/>
  <c r="AR9" i="4" a="1"/>
  <c r="H17" i="2"/>
  <c r="R23" i="2"/>
  <c r="Q7" i="2"/>
  <c r="CJ8" i="4" a="1"/>
  <c r="E5" i="3"/>
  <c r="BN9" i="4" a="1"/>
  <c r="D8" i="4" a="1"/>
  <c r="DL13" i="4" a="1"/>
  <c r="DK5" i="4" a="1"/>
  <c r="EK14" i="4" a="1"/>
  <c r="AY6" i="4" a="1"/>
  <c r="S28" i="2"/>
  <c r="AA12" i="4" a="1"/>
  <c r="DM8" i="4" a="1"/>
  <c r="BZ15" i="4" a="1"/>
  <c r="U46" i="3"/>
  <c r="BT6" i="4" a="1"/>
  <c r="BA12" i="4" a="1"/>
  <c r="E75" i="3"/>
  <c r="CB6" i="4" a="1"/>
  <c r="G88" i="3"/>
  <c r="DC14" i="4" a="1"/>
  <c r="BH15" i="4" a="1"/>
  <c r="D96" i="3"/>
  <c r="CT16" i="4" a="1"/>
  <c r="G93" i="3"/>
  <c r="EI14" i="4" a="1"/>
  <c r="AD97" i="3"/>
  <c r="M7" i="4" a="1"/>
  <c r="AR97" i="3"/>
  <c r="P35" i="2"/>
  <c r="CM9" i="4" a="1"/>
  <c r="N12" i="2"/>
  <c r="BR8" i="4" a="1"/>
  <c r="AT5" i="4" a="1"/>
  <c r="C16" i="2"/>
  <c r="BI16" i="4" a="1"/>
  <c r="X15" i="2"/>
  <c r="G15" i="4" a="1"/>
  <c r="Z15" i="4" a="1"/>
  <c r="AM11" i="4" a="1"/>
  <c r="CZ9" i="4" a="1"/>
  <c r="DN6" i="4" a="1"/>
  <c r="F38" i="3"/>
  <c r="G13" i="2"/>
  <c r="E8" i="4" a="1"/>
  <c r="AZ8" i="4" a="1"/>
  <c r="BG15" i="4" a="1"/>
  <c r="O21" i="2"/>
  <c r="DB5" i="4" a="1"/>
  <c r="DP16" i="4" a="1"/>
  <c r="CP11" i="4" a="1"/>
  <c r="AH11" i="4" a="1"/>
  <c r="E5" i="4" a="1"/>
  <c r="G85" i="3"/>
  <c r="AH46" i="3"/>
  <c r="P22" i="2"/>
  <c r="X92" i="2"/>
  <c r="K9" i="4" a="1"/>
  <c r="AP5" i="4" a="1"/>
  <c r="DW13" i="4" a="1"/>
  <c r="DG5" i="4" a="1"/>
  <c r="V12" i="4" a="1"/>
  <c r="CP14" i="4" a="1"/>
  <c r="AD14" i="3"/>
  <c r="R7" i="2"/>
  <c r="BN15" i="4" a="1"/>
  <c r="BI7" i="4" a="1"/>
  <c r="R13" i="4" a="1"/>
  <c r="F15" i="4" a="1"/>
  <c r="CH8" i="4" a="1"/>
  <c r="AK13" i="4" a="1"/>
  <c r="DQ13" i="4" a="1"/>
  <c r="BH6" i="4" a="1"/>
  <c r="DV8" i="4" a="1"/>
  <c r="AD69" i="3"/>
  <c r="F41" i="3"/>
  <c r="AK6" i="4" a="1"/>
  <c r="C12" i="4" a="1"/>
  <c r="DB15" i="4" a="1"/>
  <c r="BI8" i="4" a="1"/>
  <c r="F25" i="2"/>
  <c r="EG15" i="4" a="1"/>
  <c r="M8" i="4" a="1"/>
  <c r="H32" i="2"/>
  <c r="BX16" i="4" a="1"/>
  <c r="C18" i="2"/>
  <c r="AY9" i="4" a="1"/>
  <c r="DR9" i="4" a="1"/>
  <c r="U11" i="2"/>
  <c r="EI9" i="4" a="1"/>
  <c r="F14" i="3"/>
  <c r="P16" i="4" a="1"/>
  <c r="G46" i="3"/>
  <c r="CN14" i="4" a="1"/>
  <c r="L21" i="2"/>
  <c r="BO9" i="4" a="1"/>
  <c r="AR76" i="3"/>
  <c r="F24" i="3"/>
  <c r="K8" i="4" a="1"/>
  <c r="O9" i="4" a="1"/>
  <c r="T9" i="4" a="1"/>
  <c r="BT9" i="4" a="1"/>
  <c r="G9" i="4" a="1"/>
  <c r="T12" i="4" a="1"/>
  <c r="DI9" i="4" a="1"/>
  <c r="AU9" i="4" a="1"/>
  <c r="C9" i="4" a="1"/>
  <c r="CV8" i="4" a="1"/>
  <c r="V6" i="4" a="1"/>
  <c r="AQ9" i="4" a="1"/>
  <c r="EK12" i="4" a="1"/>
  <c r="F31" i="3"/>
  <c r="AR73" i="3"/>
  <c r="F5" i="3"/>
  <c r="AR95" i="3"/>
  <c r="AD15" i="4" a="1"/>
  <c r="CT5" i="4" a="1"/>
  <c r="BX5" i="4" a="1"/>
  <c r="D11" i="4" a="1"/>
  <c r="DY8" i="4" a="1"/>
  <c r="AH45" i="3"/>
  <c r="D8" i="3"/>
  <c r="DP7" i="4" a="1"/>
  <c r="I13" i="4" a="1"/>
  <c r="E24" i="2"/>
  <c r="Q16" i="2"/>
  <c r="F28" i="3"/>
  <c r="F26" i="3"/>
  <c r="M30" i="2"/>
  <c r="AR61" i="3"/>
  <c r="EG7" i="4" a="1"/>
  <c r="BM16" i="4" a="1"/>
  <c r="CJ12" i="4" a="1"/>
  <c r="X6" i="4" a="1"/>
  <c r="CI14" i="4" a="1"/>
  <c r="AN7" i="4" a="1"/>
  <c r="DI7" i="4" a="1"/>
  <c r="BC15" i="4" a="1"/>
  <c r="S10" i="2"/>
  <c r="L16" i="4" a="1"/>
  <c r="N12" i="4" a="1"/>
  <c r="DK11" i="4" a="1"/>
  <c r="ED7" i="4" a="1"/>
  <c r="BE5" i="4" a="1"/>
  <c r="CQ6" i="4" a="1"/>
  <c r="DR7" i="4" a="1"/>
  <c r="Y16" i="4" a="1"/>
  <c r="DD6" i="4" a="1"/>
  <c r="E27" i="2"/>
  <c r="F30" i="3"/>
  <c r="V10" i="2"/>
  <c r="AR10" i="3"/>
  <c r="G7" i="4" a="1"/>
  <c r="CH7" i="4" a="1"/>
  <c r="AR5" i="4" a="1"/>
  <c r="AZ15" i="4" a="1"/>
  <c r="DS16" i="4" a="1"/>
  <c r="Q12" i="4" a="1"/>
  <c r="E38" i="3"/>
  <c r="BU9" i="4" a="1"/>
  <c r="CB11" i="4" a="1"/>
  <c r="AQ12" i="4" a="1"/>
  <c r="W7" i="4" a="1"/>
  <c r="AD15" i="3"/>
  <c r="DU5" i="4" a="1"/>
  <c r="AR32" i="3"/>
  <c r="DP15" i="4" a="1"/>
  <c r="M32" i="2"/>
  <c r="K30" i="2"/>
  <c r="L15" i="2"/>
  <c r="P6" i="2"/>
  <c r="P29" i="2"/>
  <c r="DM6" i="4" a="1"/>
  <c r="AR50" i="3"/>
  <c r="Q35" i="2"/>
  <c r="V8" i="2"/>
  <c r="J6" i="2"/>
  <c r="J27" i="2"/>
  <c r="AR96" i="3"/>
  <c r="Q21" i="2"/>
  <c r="BQ9" i="4" a="1"/>
  <c r="DY11" i="4" a="1"/>
  <c r="W30" i="2"/>
  <c r="R33" i="2"/>
  <c r="G26" i="2"/>
  <c r="L5" i="2"/>
  <c r="CB14" i="4" a="1"/>
  <c r="AR88" i="3"/>
  <c r="O23" i="2"/>
  <c r="X30" i="2"/>
  <c r="K59" i="2"/>
  <c r="S21" i="2"/>
  <c r="M18" i="2"/>
  <c r="BW11" i="4" a="1"/>
  <c r="I26" i="2"/>
  <c r="H18" i="2"/>
  <c r="AC45" i="3"/>
  <c r="J15" i="2"/>
  <c r="AA46" i="3"/>
  <c r="R45" i="3"/>
  <c r="BH13" i="4" a="1"/>
  <c r="F23" i="2"/>
  <c r="U5" i="4" a="1"/>
  <c r="U34" i="2"/>
  <c r="EH13" i="4" a="1"/>
  <c r="Q19" i="2"/>
  <c r="F13" i="2"/>
  <c r="L22" i="2"/>
  <c r="M7" i="2"/>
  <c r="AR72" i="3"/>
  <c r="C21" i="2"/>
  <c r="AR47" i="3"/>
  <c r="K21" i="2"/>
  <c r="X46" i="3"/>
  <c r="H15" i="2"/>
  <c r="N25" i="2"/>
  <c r="AE45" i="3"/>
  <c r="H13" i="2"/>
  <c r="DV15" i="4" a="1"/>
  <c r="DX13" i="4" a="1"/>
  <c r="F6" i="3"/>
  <c r="F36" i="3"/>
  <c r="DN14" i="4" a="1"/>
  <c r="CK11" i="4" a="1"/>
  <c r="I5" i="4" a="1"/>
  <c r="BS15" i="4" a="1"/>
  <c r="R8" i="2"/>
  <c r="AR66" i="3"/>
  <c r="K20" i="2"/>
  <c r="AG46" i="3"/>
  <c r="K7" i="2"/>
  <c r="AR65" i="3"/>
  <c r="M26" i="2"/>
  <c r="CY15" i="4" a="1"/>
  <c r="X31" i="2"/>
  <c r="AI14" i="4" a="1"/>
  <c r="I14" i="2"/>
  <c r="T34" i="2"/>
  <c r="AS47" i="3"/>
  <c r="E5" i="2"/>
  <c r="D34" i="2"/>
  <c r="BD6" i="4" a="1"/>
  <c r="F20" i="3"/>
  <c r="F34" i="2"/>
  <c r="K46" i="3"/>
  <c r="M34" i="2"/>
  <c r="I10" i="2"/>
  <c r="X18" i="2"/>
  <c r="W33" i="2"/>
  <c r="J20" i="2"/>
  <c r="CO9" i="4" a="1"/>
  <c r="F28" i="2"/>
  <c r="X8" i="2"/>
  <c r="X13" i="2"/>
  <c r="F75" i="2"/>
  <c r="P10" i="2"/>
  <c r="R13" i="2"/>
  <c r="G31" i="3"/>
  <c r="T12" i="2"/>
  <c r="L8" i="2"/>
  <c r="N13" i="2"/>
  <c r="P13" i="2"/>
  <c r="AR40" i="3"/>
  <c r="V17" i="2"/>
  <c r="T15" i="4" a="1"/>
  <c r="V9" i="2"/>
  <c r="Q46" i="3"/>
  <c r="G7" i="2"/>
  <c r="BV7" i="4" a="1"/>
  <c r="BM15" i="4" a="1"/>
  <c r="D34" i="3"/>
  <c r="S46" i="3"/>
  <c r="AR86" i="3"/>
  <c r="U18" i="2"/>
  <c r="G17" i="3"/>
  <c r="Q8" i="2"/>
  <c r="F37" i="3"/>
  <c r="C22" i="2"/>
  <c r="W13" i="2"/>
  <c r="F27" i="2"/>
  <c r="Q29" i="2"/>
  <c r="BJ12" i="4" a="1"/>
  <c r="AH5" i="4" a="1"/>
  <c r="DS12" i="4" a="1"/>
  <c r="AR87" i="3"/>
  <c r="AA8" i="4" a="1"/>
  <c r="M5" i="4" a="1"/>
  <c r="P21" i="2"/>
  <c r="CS12" i="4" a="1"/>
  <c r="DY16" i="4" a="1"/>
  <c r="BL16" i="4" a="1"/>
  <c r="DP11" i="4" a="1"/>
  <c r="CM7" i="4" a="1"/>
  <c r="S18" i="2"/>
  <c r="CV13" i="4" a="1"/>
  <c r="DB9" i="4" a="1"/>
  <c r="BF7" i="4" a="1"/>
  <c r="AR60" i="3"/>
  <c r="CT14" i="4" a="1"/>
  <c r="C26" i="2"/>
  <c r="U16" i="4" a="1"/>
  <c r="K10" i="2"/>
  <c r="O27" i="2"/>
  <c r="D47" i="2"/>
  <c r="J46" i="3"/>
  <c r="W32" i="2"/>
  <c r="E21" i="3"/>
  <c r="L23" i="2"/>
  <c r="O36" i="2"/>
  <c r="X20" i="2"/>
  <c r="AR78" i="3"/>
  <c r="DW6" i="4" a="1"/>
  <c r="K43" i="2"/>
  <c r="T19" i="2"/>
  <c r="CM16" i="4" a="1"/>
  <c r="M13" i="4" a="1"/>
  <c r="BM14" i="4" a="1"/>
  <c r="T32" i="2"/>
  <c r="O7" i="4" a="1"/>
  <c r="EE13" i="4" a="1"/>
  <c r="AB13" i="4" a="1"/>
  <c r="K11" i="2"/>
  <c r="P18" i="2"/>
  <c r="F21" i="2"/>
  <c r="S24" i="2"/>
  <c r="DP12" i="4" a="1"/>
  <c r="H29" i="2"/>
  <c r="S20" i="2"/>
  <c r="M25" i="2"/>
  <c r="O12" i="2"/>
  <c r="AR30" i="3"/>
  <c r="J31" i="2"/>
  <c r="AD18" i="3"/>
  <c r="L6" i="2"/>
  <c r="Q33" i="2"/>
  <c r="AR22" i="3"/>
  <c r="C8" i="2"/>
  <c r="EH5" i="4" a="1"/>
  <c r="F27" i="3"/>
  <c r="DR8" i="4" a="1"/>
  <c r="R35" i="2"/>
  <c r="BU6" i="4" a="1"/>
  <c r="D19" i="2"/>
  <c r="F13" i="4" a="1"/>
  <c r="F12" i="4" a="1"/>
  <c r="CR12" i="4" a="1"/>
  <c r="AM12" i="4" a="1"/>
  <c r="AR21" i="3"/>
  <c r="D45" i="3"/>
  <c r="V11" i="4" a="1"/>
  <c r="BP12" i="4" a="1"/>
  <c r="BJ7" i="4" a="1"/>
  <c r="W21" i="2"/>
  <c r="AG12" i="4" a="1"/>
  <c r="L16" i="2"/>
  <c r="G35" i="2"/>
  <c r="DA14" i="4" a="1"/>
  <c r="V33" i="2"/>
  <c r="H8" i="2"/>
  <c r="E42" i="3"/>
  <c r="Q24" i="2"/>
  <c r="J23" i="2"/>
  <c r="L26" i="2"/>
  <c r="EJ5" i="4" a="1"/>
  <c r="J32" i="2"/>
  <c r="W20" i="2"/>
  <c r="AD8" i="3"/>
  <c r="U33" i="2"/>
  <c r="DN9" i="4" a="1"/>
  <c r="AV15" i="4" a="1"/>
  <c r="AU13" i="4" a="1"/>
  <c r="DB14" i="4" a="1"/>
  <c r="W17" i="2"/>
  <c r="C11" i="2"/>
  <c r="X9" i="2"/>
  <c r="N15" i="2"/>
  <c r="DW15" i="4" a="1"/>
  <c r="O11" i="2"/>
  <c r="L19" i="2"/>
  <c r="K33" i="2"/>
  <c r="J19" i="2"/>
  <c r="Q14" i="2"/>
  <c r="M36" i="2"/>
  <c r="G12" i="3"/>
  <c r="V20" i="2"/>
  <c r="H54" i="2"/>
  <c r="P32" i="2"/>
  <c r="S25" i="2"/>
  <c r="DV5" i="4" a="1"/>
  <c r="G31" i="2"/>
  <c r="D11" i="2"/>
  <c r="N28" i="2"/>
  <c r="X45" i="3"/>
  <c r="BZ13" i="4" a="1"/>
  <c r="U10" i="2"/>
  <c r="U13" i="2"/>
  <c r="W12" i="2"/>
  <c r="H7" i="2"/>
  <c r="D27" i="3"/>
  <c r="R27" i="2"/>
  <c r="W9" i="2"/>
  <c r="R11" i="2"/>
  <c r="R18" i="2"/>
  <c r="AD6" i="3"/>
  <c r="D14" i="2"/>
  <c r="Q6" i="2"/>
  <c r="BQ15" i="4" a="1"/>
  <c r="CK5" i="4" a="1"/>
  <c r="G10" i="3"/>
  <c r="CW6" i="4" a="1"/>
  <c r="CS7" i="4" a="1"/>
  <c r="BB6" i="4" a="1"/>
  <c r="V7" i="2"/>
  <c r="AR16" i="4" a="1"/>
  <c r="AR12" i="4" a="1"/>
  <c r="DK14" i="4" a="1"/>
  <c r="F9" i="4" a="1"/>
  <c r="CT11" i="4" a="1"/>
  <c r="AH6" i="4" a="1"/>
  <c r="EH15" i="4" a="1"/>
  <c r="DF13" i="4" a="1"/>
  <c r="K15" i="4" a="1"/>
  <c r="O7" i="2"/>
  <c r="G12" i="2"/>
  <c r="BS7" i="4" a="1"/>
  <c r="DV7" i="4" a="1"/>
  <c r="P31" i="2"/>
  <c r="DL6" i="4" a="1"/>
  <c r="U28" i="2"/>
  <c r="AG16" i="4" a="1"/>
  <c r="F8" i="2"/>
  <c r="BW7" i="4" a="1"/>
  <c r="CF9" i="4" a="1"/>
  <c r="DK13" i="4" a="1"/>
  <c r="CE13" i="4" a="1"/>
  <c r="BR11" i="4" a="1"/>
  <c r="E31" i="3"/>
  <c r="H10" i="2"/>
  <c r="BT15" i="4" a="1"/>
  <c r="DT11" i="4" a="1"/>
  <c r="BT12" i="4" a="1"/>
  <c r="DZ9" i="4" a="1"/>
  <c r="G72" i="3"/>
  <c r="BY9" i="4" a="1"/>
  <c r="EI13" i="4" a="1"/>
  <c r="G96" i="3"/>
  <c r="W14" i="4" a="1"/>
  <c r="D64" i="3"/>
  <c r="Q8" i="4" a="1"/>
  <c r="AD59" i="3"/>
  <c r="K5" i="4" a="1"/>
  <c r="EF12" i="4" a="1"/>
  <c r="AB11" i="4" a="1"/>
  <c r="F8" i="4" a="1"/>
  <c r="V14" i="2"/>
  <c r="AV6" i="4" a="1"/>
  <c r="DT12" i="4" a="1"/>
  <c r="DH5" i="4" a="1"/>
  <c r="DP9" i="4" a="1"/>
  <c r="D22" i="2"/>
  <c r="D20" i="3"/>
  <c r="F12" i="3"/>
  <c r="AP13" i="4" a="1"/>
  <c r="CR5" i="4" a="1"/>
  <c r="AL7" i="4" a="1"/>
  <c r="AK8" i="4" a="1"/>
  <c r="H16" i="4" a="1"/>
  <c r="AV16" i="4" a="1"/>
  <c r="CR13" i="4" a="1"/>
  <c r="EG11" i="4" a="1"/>
  <c r="BK7" i="4" a="1"/>
  <c r="AB6" i="4" a="1"/>
  <c r="J34" i="2"/>
  <c r="DC11" i="4" a="1"/>
  <c r="CH9" i="4" a="1"/>
  <c r="EA13" i="4" a="1"/>
  <c r="AD94" i="3"/>
  <c r="AK7" i="4" a="1"/>
  <c r="CF13" i="4" a="1"/>
  <c r="AR15" i="4" a="1"/>
  <c r="G71" i="3"/>
  <c r="G25" i="2"/>
  <c r="EE8" i="4" a="1"/>
  <c r="F32" i="2"/>
  <c r="G8" i="3"/>
  <c r="DN12" i="4" a="1"/>
  <c r="CS15" i="4" a="1"/>
  <c r="D36" i="3"/>
  <c r="CK6" i="4" a="1"/>
  <c r="AR26" i="3"/>
  <c r="CR8" i="4" a="1"/>
  <c r="P46" i="3"/>
  <c r="H14" i="4" a="1"/>
  <c r="R11" i="4" a="1"/>
  <c r="DH6" i="4" a="1"/>
  <c r="AR33" i="3"/>
  <c r="CV5" i="4" a="1"/>
  <c r="I18" i="2"/>
  <c r="BV6" i="4" a="1"/>
  <c r="AW5" i="4" a="1"/>
  <c r="O35" i="2"/>
  <c r="AI7" i="4" a="1"/>
  <c r="T24" i="2"/>
  <c r="AY15" i="4" a="1"/>
  <c r="V23" i="2"/>
  <c r="DI12" i="4" a="1"/>
  <c r="Z5" i="4" a="1"/>
  <c r="CP8" i="4" a="1"/>
  <c r="I7" i="2"/>
  <c r="U8" i="2"/>
  <c r="G36" i="2"/>
  <c r="AJ45" i="3"/>
  <c r="DE15" i="4" a="1"/>
  <c r="AR6" i="4" a="1"/>
  <c r="Z8" i="4" a="1"/>
  <c r="N16" i="4" a="1"/>
  <c r="I21" i="2"/>
  <c r="AR13" i="3"/>
  <c r="DD13" i="4" a="1"/>
  <c r="CR14" i="4" a="1"/>
  <c r="BP15" i="4" a="1"/>
  <c r="F40" i="3"/>
  <c r="AO13" i="4" a="1"/>
  <c r="M20" i="2"/>
  <c r="M17" i="2"/>
  <c r="AA16" i="4" a="1"/>
  <c r="AJ5" i="4" a="1"/>
  <c r="CB15" i="4" a="1"/>
  <c r="AL15" i="4" a="1"/>
  <c r="S16" i="4" a="1"/>
  <c r="AL6" i="4" a="1"/>
  <c r="CH5" i="4" a="1"/>
  <c r="EJ9" i="4" a="1"/>
  <c r="BY14" i="4" a="1"/>
  <c r="AX5" i="4" a="1"/>
  <c r="DS15" i="4" a="1"/>
  <c r="CV7" i="4" a="1"/>
  <c r="CE16" i="4" a="1"/>
  <c r="CQ9" i="4" a="1"/>
  <c r="DR14" i="4" a="1"/>
  <c r="H9" i="2"/>
  <c r="AR12" i="3"/>
  <c r="DQ15" i="4" a="1"/>
  <c r="K12" i="4" a="1"/>
  <c r="BJ14" i="4" a="1"/>
  <c r="I11" i="4" a="1"/>
  <c r="CA15" i="4" a="1"/>
  <c r="EA5" i="4" a="1"/>
  <c r="BN13" i="4" a="1"/>
  <c r="EC8" i="4" a="1"/>
  <c r="CE8" i="4" a="1"/>
  <c r="CU8" i="4" a="1"/>
  <c r="AH13" i="4" a="1"/>
  <c r="CB5" i="4" a="1"/>
  <c r="AU11" i="4" a="1"/>
  <c r="DF15" i="4" a="1"/>
  <c r="H13" i="4" a="1"/>
  <c r="J45" i="3"/>
  <c r="BT14" i="4" a="1"/>
  <c r="S9" i="4" a="1"/>
  <c r="CL13" i="4" a="1"/>
  <c r="AC7" i="4" a="1"/>
  <c r="BB5" i="4" a="1"/>
  <c r="T5" i="4" a="1"/>
  <c r="BG7" i="4" a="1"/>
  <c r="M24" i="2"/>
  <c r="U7" i="2"/>
  <c r="AO45" i="3"/>
  <c r="DM11" i="4" a="1"/>
  <c r="AD8" i="4" a="1"/>
  <c r="CY9" i="4" a="1"/>
  <c r="BA5" i="4" a="1"/>
  <c r="EB6" i="4" a="1"/>
  <c r="DI8" i="4" a="1"/>
  <c r="CA16" i="4" a="1"/>
  <c r="DY14" i="4" a="1"/>
  <c r="H22" i="2"/>
  <c r="AD12" i="4" a="1"/>
  <c r="CX12" i="4" a="1"/>
  <c r="R14" i="4" a="1"/>
  <c r="CB7" i="4" a="1"/>
  <c r="CJ6" i="4" a="1"/>
  <c r="K13" i="4" a="1"/>
  <c r="BV5" i="4" a="1"/>
  <c r="DA9" i="4" a="1"/>
  <c r="Q7" i="4" a="1"/>
  <c r="CZ12" i="4" a="1"/>
  <c r="Q16" i="4" a="1"/>
  <c r="EC5" i="4" a="1"/>
  <c r="EB14" i="4" a="1"/>
  <c r="D54" i="3"/>
  <c r="AE5" i="4" a="1"/>
  <c r="CZ11" i="4" a="1"/>
  <c r="AE8" i="4" a="1"/>
  <c r="Z45" i="3"/>
  <c r="R22" i="2"/>
  <c r="N21" i="2"/>
  <c r="F5" i="4" a="1"/>
  <c r="EF6" i="4" a="1"/>
  <c r="EJ16" i="4" a="1"/>
  <c r="AC12" i="4" a="1"/>
  <c r="AX16" i="4" a="1"/>
  <c r="AV9" i="4" a="1"/>
  <c r="AN45" i="3"/>
  <c r="AF12" i="4" a="1"/>
  <c r="D15" i="4" a="1"/>
  <c r="P9" i="4" a="1"/>
  <c r="BF14" i="4" a="1"/>
  <c r="BJ5" i="4" a="1"/>
  <c r="C8" i="4" a="1"/>
  <c r="BL7" i="4" a="1"/>
  <c r="DJ6" i="4" a="1"/>
  <c r="EC16" i="4" a="1"/>
  <c r="DA15" i="4" a="1"/>
  <c r="DD9" i="4" a="1"/>
  <c r="DC7" i="4" a="1"/>
  <c r="AF6" i="4" a="1"/>
  <c r="G60" i="3"/>
  <c r="BR9" i="4" a="1"/>
  <c r="R16" i="2"/>
  <c r="BQ11" i="4" a="1"/>
  <c r="BF11" i="4" a="1"/>
  <c r="T35" i="2"/>
  <c r="H99" i="2"/>
  <c r="AR24" i="3"/>
  <c r="S26" i="2"/>
  <c r="V45" i="3"/>
  <c r="AL12" i="4" a="1"/>
  <c r="E15" i="2"/>
  <c r="H26" i="2"/>
  <c r="E25" i="2"/>
  <c r="AR46" i="3"/>
  <c r="F33" i="2"/>
  <c r="U19" i="2"/>
  <c r="AR57" i="3"/>
  <c r="M19" i="2"/>
  <c r="C59" i="2"/>
  <c r="P36" i="2"/>
  <c r="W5" i="2"/>
  <c r="E21" i="2"/>
  <c r="T45" i="3"/>
  <c r="BS12" i="4" a="1"/>
  <c r="AW13" i="4" a="1"/>
  <c r="H6" i="2"/>
  <c r="M46" i="3"/>
  <c r="N9" i="2"/>
  <c r="E12" i="3"/>
  <c r="CT13" i="4" a="1"/>
  <c r="T23" i="2"/>
  <c r="T31" i="2"/>
  <c r="O34" i="2"/>
  <c r="X7" i="2"/>
  <c r="E8" i="3"/>
  <c r="M31" i="2"/>
  <c r="T36" i="2"/>
  <c r="L27" i="2"/>
  <c r="V22" i="2"/>
  <c r="CZ16" i="4" a="1"/>
  <c r="E41" i="3"/>
  <c r="O15" i="2"/>
  <c r="E6" i="2"/>
  <c r="R31" i="2"/>
  <c r="Q45" i="3"/>
  <c r="L9" i="2"/>
  <c r="K12" i="2"/>
  <c r="BO8" i="4" a="1"/>
  <c r="F89" i="2"/>
  <c r="O8" i="2"/>
  <c r="V32" i="2"/>
  <c r="D41" i="3"/>
  <c r="AR62" i="3"/>
  <c r="V35" i="2"/>
  <c r="AR83" i="3"/>
  <c r="E30" i="2"/>
  <c r="L18" i="2"/>
  <c r="U16" i="2"/>
  <c r="N33" i="2"/>
  <c r="E18" i="3"/>
  <c r="F32" i="3"/>
  <c r="AA6" i="4" a="1"/>
  <c r="N15" i="4" a="1"/>
  <c r="BH7" i="4" a="1"/>
  <c r="BE6" i="4" a="1"/>
  <c r="AF16" i="4" a="1"/>
  <c r="K13" i="2"/>
  <c r="EH7" i="4" a="1"/>
  <c r="AB7" i="4" a="1"/>
  <c r="W35" i="2"/>
  <c r="D46" i="3"/>
  <c r="F7" i="2"/>
  <c r="DM5" i="4" a="1"/>
  <c r="T26" i="2"/>
  <c r="AR63" i="3"/>
  <c r="D10" i="2"/>
  <c r="T6" i="4" a="1"/>
  <c r="Q31" i="2"/>
  <c r="AO9" i="4" a="1"/>
  <c r="G29" i="2"/>
  <c r="R10" i="2"/>
  <c r="E32" i="2"/>
  <c r="X36" i="2"/>
  <c r="W34" i="2"/>
  <c r="H24" i="2"/>
  <c r="F8" i="3"/>
  <c r="F5" i="2"/>
  <c r="M29" i="2"/>
  <c r="J29" i="2"/>
  <c r="E28" i="2"/>
  <c r="AD9" i="3"/>
  <c r="J35" i="2"/>
  <c r="E27" i="3"/>
  <c r="BU7" i="4" a="1"/>
  <c r="F17" i="3"/>
  <c r="U31" i="2"/>
  <c r="M9" i="2"/>
  <c r="J33" i="2"/>
  <c r="I13" i="2"/>
  <c r="L32" i="2"/>
  <c r="G14" i="3"/>
  <c r="Q56" i="2"/>
  <c r="N24" i="2"/>
  <c r="DE11" i="4" a="1"/>
  <c r="E26" i="2"/>
  <c r="EJ14" i="4" a="1"/>
  <c r="AM5" i="4" a="1"/>
  <c r="E34" i="3"/>
  <c r="P5" i="2"/>
  <c r="DR16" i="4" a="1"/>
  <c r="AR55" i="3"/>
  <c r="CB13" i="4" a="1"/>
  <c r="R29" i="2"/>
  <c r="G20" i="2"/>
  <c r="U6" i="2"/>
  <c r="E22" i="2"/>
  <c r="H49" i="2"/>
  <c r="F14" i="2"/>
  <c r="O45" i="3"/>
  <c r="E29" i="2"/>
  <c r="S62" i="2"/>
  <c r="C13" i="2"/>
  <c r="BE8" i="4" a="1"/>
  <c r="H27" i="2"/>
  <c r="V18" i="2"/>
  <c r="BF9" i="4" a="1"/>
  <c r="EB11" i="4" a="1"/>
  <c r="CN15" i="4" a="1"/>
  <c r="I27" i="2"/>
  <c r="CT8" i="4" a="1"/>
  <c r="DN8" i="4" a="1"/>
  <c r="AS6" i="4" a="1"/>
  <c r="DX16" i="4" a="1"/>
  <c r="L10" i="2"/>
  <c r="I34" i="2"/>
  <c r="DO9" i="4" a="1"/>
  <c r="AO5" i="4" a="1"/>
  <c r="F42" i="3"/>
  <c r="J12" i="2"/>
  <c r="J18" i="2"/>
  <c r="O24" i="2"/>
  <c r="K17" i="2"/>
  <c r="W70" i="2"/>
  <c r="X24" i="2"/>
  <c r="Q55" i="2"/>
  <c r="S16" i="2"/>
  <c r="O33" i="2"/>
  <c r="AR34" i="3"/>
  <c r="AP45" i="3"/>
  <c r="S23" i="2"/>
  <c r="G17" i="2"/>
  <c r="S31" i="2"/>
  <c r="L17" i="2"/>
  <c r="AR59" i="3"/>
  <c r="L24" i="2"/>
  <c r="Q20" i="2"/>
  <c r="S35" i="2"/>
  <c r="EA9" i="4" a="1"/>
  <c r="AZ5" i="4" a="1"/>
  <c r="AI11" i="4" a="1"/>
  <c r="S11" i="2"/>
  <c r="DJ11" i="4" a="1"/>
  <c r="Q17" i="2"/>
  <c r="D10" i="3"/>
  <c r="U12" i="2"/>
  <c r="BV14" i="4" a="1"/>
  <c r="L35" i="2"/>
  <c r="BE11" i="4" a="1"/>
  <c r="CL9" i="4" a="1"/>
  <c r="N5" i="2"/>
  <c r="AR27" i="3"/>
  <c r="L46" i="3"/>
  <c r="D12" i="2"/>
  <c r="I24" i="2"/>
  <c r="S22" i="2"/>
  <c r="BO14" i="4" a="1"/>
  <c r="H21" i="2"/>
  <c r="F31" i="2"/>
  <c r="G18" i="2"/>
  <c r="V11" i="2"/>
  <c r="BW15" i="4" a="1"/>
  <c r="AN11" i="4" a="1"/>
  <c r="W13" i="4" a="1"/>
  <c r="DA11" i="4" a="1"/>
  <c r="DQ6" i="4" a="1"/>
  <c r="X8" i="4" a="1"/>
  <c r="CO6" i="4" a="1"/>
  <c r="DX8" i="4" a="1"/>
  <c r="BG11" i="4" a="1"/>
  <c r="CO8" i="4" a="1"/>
  <c r="L5" i="4" a="1"/>
  <c r="EE16" i="4" a="1"/>
  <c r="O32" i="2"/>
  <c r="BZ7" i="4" a="1"/>
  <c r="G14" i="4" a="1"/>
  <c r="F22" i="2"/>
  <c r="K14" i="4" a="1"/>
  <c r="C30" i="2"/>
  <c r="CW7" i="4" a="1"/>
  <c r="G32" i="2"/>
  <c r="S34" i="2"/>
  <c r="D17" i="2"/>
  <c r="E23" i="3"/>
  <c r="C31" i="2"/>
  <c r="E45" i="3"/>
  <c r="G24" i="2"/>
  <c r="C35" i="2"/>
  <c r="T20" i="2"/>
  <c r="AR42" i="3"/>
  <c r="CC16" i="4" a="1"/>
  <c r="AR68" i="3"/>
  <c r="L34" i="2"/>
  <c r="BG8" i="4" a="1"/>
  <c r="AM8" i="4" a="1"/>
  <c r="EA7" i="4" a="1"/>
  <c r="I8" i="2"/>
  <c r="X63" i="2"/>
  <c r="S36" i="2"/>
  <c r="T25" i="2"/>
  <c r="CG14" i="4" a="1"/>
  <c r="W10" i="2"/>
  <c r="S17" i="2"/>
  <c r="N11" i="2"/>
  <c r="W29" i="2"/>
  <c r="D26" i="3"/>
  <c r="W7" i="2"/>
  <c r="DU7" i="4" a="1"/>
  <c r="T8" i="2"/>
  <c r="V21" i="2"/>
  <c r="G24" i="3"/>
  <c r="AR75" i="3"/>
  <c r="Q69" i="2"/>
  <c r="F39" i="3"/>
  <c r="AF8" i="4" a="1"/>
  <c r="E20" i="3"/>
  <c r="Y6" i="4" a="1"/>
  <c r="G27" i="2"/>
  <c r="X5" i="2"/>
  <c r="T7" i="2"/>
  <c r="W24" i="2"/>
  <c r="K9" i="2"/>
  <c r="BJ11" i="4" a="1"/>
  <c r="H28" i="2"/>
  <c r="O9" i="2"/>
  <c r="Q57" i="2"/>
  <c r="P9" i="2"/>
  <c r="W25" i="2"/>
  <c r="C15" i="2"/>
  <c r="N18" i="2"/>
  <c r="CV12" i="4" a="1"/>
  <c r="AB46" i="3"/>
  <c r="CE7" i="4" a="1"/>
  <c r="S12" i="2"/>
  <c r="DV6" i="4" a="1"/>
  <c r="CS16" i="4" a="1"/>
  <c r="BH14" i="4" a="1"/>
  <c r="EG14" i="4" a="1"/>
  <c r="AR48" i="3"/>
  <c r="X33" i="2"/>
  <c r="CT9" i="4" a="1"/>
  <c r="BT16" i="4" a="1"/>
  <c r="AE12" i="4" a="1"/>
  <c r="L31" i="2"/>
  <c r="CA12" i="4" a="1"/>
  <c r="T17" i="2"/>
  <c r="O31" i="2"/>
  <c r="EH16" i="4" a="1"/>
  <c r="CL12" i="4" a="1"/>
  <c r="E12" i="4" a="1"/>
  <c r="AR64" i="3"/>
  <c r="BB14" i="4" a="1"/>
  <c r="O30" i="2"/>
  <c r="CG9" i="4" a="1"/>
  <c r="BP16" i="4" a="1"/>
  <c r="BA13" i="4" a="1"/>
  <c r="BT13" i="4" a="1"/>
  <c r="C7" i="2"/>
  <c r="CN13" i="4" a="1"/>
  <c r="AP7" i="4" a="1"/>
  <c r="BJ16" i="4" a="1"/>
  <c r="V5" i="4" a="1"/>
  <c r="BU8" i="4" a="1"/>
  <c r="DS14" i="4" a="1"/>
  <c r="AD6" i="4" a="1"/>
  <c r="AG13" i="4" a="1"/>
  <c r="EA14" i="4" a="1"/>
  <c r="AG9" i="4" a="1"/>
  <c r="CY13" i="4" a="1"/>
  <c r="BR12" i="4" a="1"/>
  <c r="EJ11" i="4" a="1"/>
  <c r="DT15" i="4" a="1"/>
  <c r="CQ16" i="4" a="1"/>
  <c r="D82" i="3"/>
  <c r="D66" i="3"/>
  <c r="CQ12" i="4" a="1"/>
  <c r="D89" i="3"/>
  <c r="G16" i="2"/>
  <c r="AO6" i="3"/>
  <c r="CB9" i="4" a="1"/>
  <c r="EK15" i="4" a="1"/>
  <c r="AR74" i="3"/>
  <c r="DZ12" i="4" a="1"/>
  <c r="P45" i="3"/>
  <c r="AD7" i="3"/>
  <c r="D17" i="3"/>
  <c r="AX9" i="4" a="1"/>
  <c r="BE12" i="4" a="1"/>
  <c r="BA7" i="4" a="1"/>
  <c r="M13" i="2"/>
  <c r="AB16" i="4" a="1"/>
  <c r="F7" i="3"/>
  <c r="V27" i="2"/>
  <c r="BS11" i="4" a="1"/>
  <c r="X14" i="4" a="1"/>
  <c r="G92" i="3"/>
  <c r="DF9" i="4" a="1"/>
  <c r="G66" i="3"/>
  <c r="AD61" i="3"/>
  <c r="BF15" i="4" a="1"/>
  <c r="N20" i="2"/>
  <c r="T16" i="4" a="1"/>
  <c r="EH14" i="4" a="1"/>
  <c r="BO16" i="4" a="1"/>
  <c r="AD63" i="3"/>
  <c r="G65" i="3"/>
  <c r="BK14" i="4" a="1"/>
  <c r="W74" i="2"/>
  <c r="CH15" i="4" a="1"/>
  <c r="BU14" i="4" a="1"/>
  <c r="CI5" i="4" a="1"/>
  <c r="E29" i="3"/>
  <c r="EA12" i="4" a="1"/>
  <c r="C24" i="2"/>
  <c r="AC13" i="4" a="1"/>
  <c r="AD12" i="3"/>
  <c r="AD14" i="4" a="1"/>
  <c r="DZ11" i="4" a="1"/>
  <c r="J7" i="2"/>
  <c r="H23" i="2"/>
  <c r="L45" i="3"/>
  <c r="DQ9" i="4" a="1"/>
  <c r="AN5" i="4" a="1"/>
  <c r="BS13" i="4" a="1"/>
  <c r="BY8" i="4" a="1"/>
  <c r="AC11" i="4" a="1"/>
  <c r="Y5" i="4" a="1"/>
  <c r="BG6" i="4" a="1"/>
  <c r="AA9" i="4" a="1"/>
  <c r="AH7" i="4" a="1"/>
  <c r="ED14" i="4" a="1"/>
  <c r="M15" i="4" a="1"/>
  <c r="DJ14" i="4" a="1"/>
  <c r="P7" i="4" a="1"/>
  <c r="AC46" i="3"/>
  <c r="AE13" i="4" a="1"/>
  <c r="U15" i="2"/>
  <c r="E15" i="4" a="1"/>
  <c r="DO8" i="4" a="1"/>
  <c r="V16" i="2"/>
  <c r="CO13" i="4" a="1"/>
  <c r="F15" i="2"/>
  <c r="AH16" i="4" a="1"/>
  <c r="D7" i="3"/>
  <c r="AR15" i="3"/>
  <c r="CD6" i="4" a="1"/>
  <c r="BH16" i="4" a="1"/>
  <c r="G9" i="3"/>
  <c r="J8" i="2"/>
  <c r="DH13" i="4" a="1"/>
  <c r="D38" i="3"/>
  <c r="T7" i="4" a="1"/>
  <c r="F16" i="2"/>
  <c r="DK9" i="4" a="1"/>
  <c r="CA13" i="4" a="1"/>
  <c r="CU12" i="4" a="1"/>
  <c r="DV13" i="4" a="1"/>
  <c r="EB8" i="4" a="1"/>
  <c r="E64" i="3"/>
  <c r="D97" i="3"/>
  <c r="AJ7" i="4" a="1"/>
  <c r="I30" i="2"/>
  <c r="CI9" i="4" a="1"/>
  <c r="U17" i="2"/>
  <c r="U36" i="2"/>
  <c r="E45" i="2"/>
  <c r="AA13" i="4" a="1"/>
  <c r="DO14" i="4" a="1"/>
  <c r="AC9" i="4" a="1"/>
  <c r="CD5" i="4" a="1"/>
  <c r="CF6" i="4" a="1"/>
  <c r="BC12" i="4" a="1"/>
  <c r="BE13" i="4" a="1"/>
  <c r="BO13" i="4" a="1"/>
  <c r="T16" i="2"/>
  <c r="O6" i="4" a="1"/>
  <c r="X11" i="4" a="1"/>
  <c r="BK13" i="4" a="1"/>
  <c r="BY7" i="4" a="1"/>
  <c r="DT5" i="4" a="1"/>
  <c r="CW8" i="4" a="1"/>
  <c r="P20" i="2"/>
  <c r="BV9" i="4" a="1"/>
  <c r="DH8" i="4" a="1"/>
  <c r="G28" i="3"/>
  <c r="BZ16" i="4" a="1"/>
  <c r="AN13" i="4" a="1"/>
  <c r="G77" i="3"/>
  <c r="D92" i="3"/>
  <c r="I9" i="2"/>
  <c r="CC13" i="4" a="1"/>
  <c r="AB15" i="4" a="1"/>
  <c r="G21" i="2"/>
  <c r="CK14" i="4" a="1"/>
  <c r="CC6" i="4" a="1"/>
  <c r="D29" i="3"/>
  <c r="BP11" i="4" a="1"/>
  <c r="U12" i="4" a="1"/>
  <c r="P11" i="2"/>
  <c r="DB13" i="4" a="1"/>
  <c r="L14" i="2"/>
  <c r="AL9" i="4" a="1"/>
  <c r="G22" i="2"/>
  <c r="J28" i="2"/>
  <c r="E6" i="4" a="1"/>
  <c r="I15" i="4" a="1"/>
  <c r="AL16" i="4" a="1"/>
  <c r="CO7" i="4" a="1"/>
  <c r="DG15" i="4" a="1"/>
  <c r="DF6" i="4" a="1"/>
  <c r="X5" i="4" a="1"/>
  <c r="DA5" i="4" a="1"/>
  <c r="N7" i="4" a="1"/>
  <c r="CM5" i="4" a="1"/>
  <c r="E80" i="3"/>
  <c r="BC14" i="4" a="1"/>
  <c r="D6" i="3"/>
  <c r="AR69" i="3"/>
  <c r="E31" i="2"/>
  <c r="I45" i="3"/>
  <c r="D40" i="3"/>
  <c r="AO11" i="4" a="1"/>
  <c r="P5" i="4" a="1"/>
  <c r="CS8" i="4" a="1"/>
  <c r="DG9" i="4" a="1"/>
  <c r="BI5" i="4" a="1"/>
  <c r="AS16" i="4" a="1"/>
  <c r="BJ6" i="4" a="1"/>
  <c r="I22" i="2"/>
  <c r="AR8" i="4" a="1"/>
  <c r="AQ8" i="4" a="1"/>
  <c r="CZ15" i="4" a="1"/>
  <c r="L9" i="4" a="1"/>
  <c r="EF8" i="4" a="1"/>
  <c r="AI12" i="4" a="1"/>
  <c r="Q13" i="4" a="1"/>
  <c r="DV11" i="4" a="1"/>
  <c r="DA13" i="4" a="1"/>
  <c r="DX7" i="4" a="1"/>
  <c r="AU14" i="4" a="1"/>
  <c r="DV14" i="4" a="1"/>
  <c r="CS14" i="4" a="1"/>
  <c r="CE9" i="4" a="1"/>
  <c r="EH11" i="4" a="1"/>
  <c r="E39" i="3"/>
  <c r="H25" i="2"/>
  <c r="F7" i="4" a="1"/>
  <c r="BE9" i="4" a="1"/>
  <c r="BR13" i="4" a="1"/>
  <c r="AB5" i="4" a="1"/>
  <c r="F14" i="4" a="1"/>
  <c r="F18" i="3"/>
  <c r="DS5" i="4" a="1"/>
  <c r="EC12" i="4" a="1"/>
  <c r="AJ46" i="3"/>
  <c r="U15" i="4" a="1"/>
  <c r="CX14" i="4" a="1"/>
  <c r="E7" i="4" a="1"/>
  <c r="V31" i="2"/>
  <c r="DE12" i="4" a="1"/>
  <c r="EA8" i="4" a="1"/>
  <c r="EB5" i="4" a="1"/>
  <c r="Q5" i="2"/>
  <c r="BY15" i="4" a="1"/>
  <c r="CZ8" i="4" a="1"/>
  <c r="DG14" i="4" a="1"/>
  <c r="D12" i="3"/>
  <c r="BY11" i="4" a="1"/>
  <c r="U7" i="4" a="1"/>
  <c r="AD16" i="3"/>
  <c r="U22" i="2"/>
  <c r="T11" i="2"/>
  <c r="V13" i="4" a="1"/>
  <c r="S5" i="4" a="1"/>
  <c r="DI16" i="4" a="1"/>
  <c r="K29" i="2"/>
  <c r="EG12" i="4" a="1"/>
  <c r="CP15" i="4" a="1"/>
  <c r="AN9" i="4" a="1"/>
  <c r="BJ15" i="4" a="1"/>
  <c r="CA5" i="4" a="1"/>
  <c r="AY14" i="4" a="1"/>
  <c r="AI9" i="4" a="1"/>
  <c r="S30" i="2"/>
  <c r="DG12" i="4" a="1"/>
  <c r="E22" i="3"/>
  <c r="F16" i="4" a="1"/>
  <c r="EJ6" i="4" a="1"/>
  <c r="DL7" i="4" a="1"/>
  <c r="CN5" i="4" a="1"/>
  <c r="W15" i="4" a="1"/>
  <c r="E13" i="3"/>
  <c r="CI12" i="4" a="1"/>
  <c r="F18" i="2"/>
  <c r="CS11" i="4" a="1"/>
  <c r="BO6" i="4" a="1"/>
  <c r="AF14" i="4" a="1"/>
  <c r="CH16" i="4" a="1"/>
  <c r="AR71" i="3"/>
  <c r="AW7" i="4" a="1"/>
  <c r="CH14" i="4" a="1"/>
  <c r="DP6" i="4" a="1"/>
  <c r="DS11" i="4" a="1"/>
  <c r="DR13" i="4" a="1"/>
  <c r="DS9" i="4" a="1"/>
  <c r="DH15" i="4" a="1"/>
  <c r="CI7" i="4" a="1"/>
  <c r="AR9" i="3"/>
  <c r="U6" i="4" a="1"/>
  <c r="CU7" i="4" a="1"/>
  <c r="AD76" i="3"/>
  <c r="DU11" i="4" a="1"/>
  <c r="AX14" i="4" a="1"/>
  <c r="AD91" i="3"/>
  <c r="CA14" i="4" a="1"/>
  <c r="AD75" i="3"/>
  <c r="DE5" i="4" a="1"/>
  <c r="E83" i="3"/>
  <c r="BM11" i="4" a="1"/>
  <c r="AF11" i="4" a="1"/>
  <c r="BK16" i="4" a="1"/>
  <c r="DG6" i="4" a="1"/>
  <c r="CV9" i="4" a="1"/>
  <c r="E26" i="3"/>
  <c r="CX8" i="4" a="1"/>
  <c r="CY11" i="4" a="1"/>
  <c r="DT9" i="4" a="1"/>
  <c r="BZ14" i="4" a="1"/>
  <c r="CM15" i="4" a="1"/>
  <c r="D56" i="3"/>
  <c r="AK11" i="4" a="1"/>
  <c r="CR16" i="4" a="1"/>
  <c r="DD11" i="4" a="1"/>
  <c r="U8" i="4" a="1"/>
  <c r="U25" i="2"/>
  <c r="CK12" i="4" a="1"/>
  <c r="DT13" i="4" a="1"/>
  <c r="S14" i="4" a="1"/>
  <c r="DN7" i="4" a="1"/>
  <c r="DL12" i="4" a="1"/>
  <c r="D95" i="3"/>
  <c r="L15" i="4" a="1"/>
  <c r="H8" i="4" a="1"/>
  <c r="DW16" i="4" a="1"/>
  <c r="EJ15" i="4" a="1"/>
  <c r="E54" i="3"/>
  <c r="Y13" i="4" a="1"/>
  <c r="G62" i="3"/>
  <c r="BL15" i="4" a="1"/>
  <c r="AX13" i="4" a="1"/>
  <c r="AU6" i="4" a="1"/>
  <c r="J16" i="4" a="1"/>
  <c r="CL8" i="4" a="1"/>
  <c r="EC6" i="4" a="1"/>
  <c r="CJ16" i="4" a="1"/>
  <c r="G81" i="3"/>
  <c r="AK46" i="3"/>
  <c r="AF13" i="4" a="1"/>
  <c r="AD80" i="3"/>
  <c r="D22" i="3"/>
  <c r="DD5" i="4" a="1"/>
  <c r="G21" i="3"/>
  <c r="DW5" i="4" a="1"/>
  <c r="E94" i="3"/>
  <c r="G54" i="3"/>
  <c r="DC12" i="4" a="1"/>
  <c r="G75" i="3"/>
  <c r="DH11" i="4" a="1"/>
  <c r="DC5" i="4" a="1"/>
  <c r="CQ13" i="4" a="1"/>
  <c r="E15" i="3"/>
  <c r="AX6" i="4" a="1"/>
  <c r="BE7" i="4" a="1"/>
  <c r="AD5" i="4" a="1"/>
  <c r="V15" i="4" a="1"/>
  <c r="DS7" i="4" a="1"/>
  <c r="CA7" i="4" a="1"/>
  <c r="G56" i="3"/>
  <c r="H36" i="2"/>
  <c r="V46" i="3"/>
  <c r="D91" i="3"/>
  <c r="DZ7" i="4" a="1"/>
  <c r="AD13" i="4" a="1"/>
  <c r="AT15" i="4" a="1"/>
  <c r="AC16" i="4" a="1"/>
  <c r="AJ11" i="4" a="1"/>
  <c r="AT12" i="4" a="1"/>
  <c r="AF9" i="4" a="1"/>
  <c r="AW14" i="4" a="1"/>
  <c r="AP8" i="4" a="1"/>
  <c r="O13" i="4" a="1"/>
  <c r="AD66" i="3"/>
  <c r="AN12" i="4" a="1"/>
  <c r="AD84" i="3"/>
  <c r="DJ7" i="4" a="1"/>
  <c r="CQ7" i="4" a="1"/>
  <c r="CU15" i="4" a="1"/>
  <c r="EI11" i="4" a="1"/>
  <c r="CQ8" i="4" a="1"/>
  <c r="AJ12" i="4" a="1"/>
  <c r="I33" i="2"/>
  <c r="H11" i="4" a="1"/>
  <c r="DC16" i="4" a="1"/>
  <c r="EA15" i="4" a="1"/>
  <c r="DN13" i="4" a="1"/>
  <c r="AR82" i="3"/>
  <c r="CF11" i="4" a="1"/>
  <c r="E95" i="3"/>
  <c r="BZ12" i="4" a="1"/>
  <c r="DR11" i="4" a="1"/>
  <c r="BU5" i="4" a="1"/>
  <c r="DX12" i="4" a="1"/>
  <c r="AD77" i="3"/>
  <c r="E91" i="3"/>
  <c r="DW8" i="4" a="1"/>
  <c r="DK6" i="4" a="1"/>
  <c r="BD9" i="4" a="1"/>
  <c r="AB14" i="4" a="1"/>
  <c r="E67" i="3"/>
  <c r="AQ14" i="4" a="1"/>
  <c r="AM16" i="4" a="1"/>
  <c r="AR18" i="3"/>
  <c r="CC12" i="4" a="1"/>
  <c r="G20" i="3"/>
  <c r="ED5" i="4" a="1"/>
  <c r="BL14" i="4" a="1"/>
  <c r="W28" i="2"/>
  <c r="BS9" i="4" a="1"/>
  <c r="BF16" i="4" a="1"/>
  <c r="E87" i="3"/>
  <c r="W8" i="4" a="1"/>
  <c r="J5" i="4" a="1"/>
  <c r="BQ16" i="4" a="1"/>
  <c r="CP9" i="4" a="1"/>
  <c r="J11" i="4" a="1"/>
  <c r="I6" i="2"/>
  <c r="CM14" i="4" a="1"/>
  <c r="AK15" i="4" a="1"/>
  <c r="F6" i="4" a="1"/>
  <c r="DE13" i="4" a="1"/>
  <c r="G95" i="3"/>
  <c r="DE9" i="4" a="1"/>
  <c r="G61" i="3"/>
  <c r="E81" i="3"/>
  <c r="N8" i="4" a="1"/>
  <c r="CV16" i="4" a="1"/>
  <c r="CN7" i="4" a="1"/>
  <c r="BD7" i="4" a="1"/>
  <c r="D63" i="3"/>
  <c r="AR11" i="3"/>
  <c r="EB12" i="4" a="1"/>
  <c r="AG8" i="4" a="1"/>
  <c r="AK12" i="4" a="1"/>
  <c r="CW13" i="4" a="1"/>
  <c r="Q10" i="2"/>
  <c r="U26" i="2"/>
  <c r="AW9" i="4" a="1"/>
  <c r="I7" i="4" a="1"/>
  <c r="D25" i="3"/>
  <c r="AI5" i="4" a="1"/>
  <c r="F30" i="2"/>
  <c r="Z16" i="4" a="1"/>
  <c r="CN12" i="4" a="1"/>
  <c r="O14" i="2"/>
  <c r="D5" i="2"/>
  <c r="G29" i="3"/>
  <c r="AD89" i="3"/>
  <c r="C13" i="4" a="1"/>
  <c r="G11" i="2"/>
  <c r="EG6" i="4" a="1"/>
  <c r="DR6" i="4" a="1"/>
  <c r="X13" i="4" a="1"/>
  <c r="CW9" i="4" a="1"/>
  <c r="AS13" i="4" a="1"/>
  <c r="BZ11" i="4" a="1"/>
  <c r="CN11" i="4" a="1"/>
  <c r="BR5" i="4" a="1"/>
  <c r="BB15" i="4" a="1"/>
  <c r="EJ12" i="4" a="1"/>
  <c r="DQ11" i="4" a="1"/>
  <c r="CU6" i="4" a="1"/>
  <c r="AI15" i="4" a="1"/>
  <c r="DC6" i="4" a="1"/>
  <c r="EK9" i="4" a="1"/>
  <c r="AK5" i="4" a="1"/>
  <c r="DB6" i="4" a="1"/>
  <c r="AV5" i="4" a="1"/>
  <c r="G94" i="3"/>
  <c r="D57" i="3"/>
  <c r="CR15" i="4" a="1"/>
  <c r="J12" i="4" a="1"/>
  <c r="E82" i="3"/>
  <c r="AN16" i="4" a="1"/>
  <c r="BS14" i="4" a="1"/>
  <c r="G73" i="3"/>
  <c r="BP13" i="4" a="1"/>
  <c r="E17" i="2"/>
  <c r="DQ16" i="4" a="1"/>
  <c r="D18" i="2"/>
  <c r="W16" i="4" a="1"/>
  <c r="AU15" i="4" a="1"/>
  <c r="E73" i="3"/>
  <c r="DB16" i="4" a="1"/>
  <c r="E78" i="3"/>
  <c r="E77" i="3"/>
  <c r="Q9" i="4" a="1"/>
  <c r="BQ14" i="4" a="1"/>
  <c r="BL9" i="4" a="1"/>
  <c r="BV8" i="4" a="1"/>
  <c r="I6" i="4" a="1"/>
  <c r="CC8" i="4" a="1"/>
  <c r="AV13" i="4" a="1"/>
  <c r="CO5" i="4" a="1"/>
  <c r="Q11" i="4" a="1"/>
  <c r="Y11" i="4" a="1"/>
  <c r="W19" i="2"/>
  <c r="DV16" i="4" a="1"/>
  <c r="K6" i="4" a="1"/>
  <c r="BN8" i="4" a="1"/>
  <c r="DH7" i="4" a="1"/>
  <c r="T11" i="4" a="1"/>
  <c r="EB9" i="4" a="1"/>
  <c r="C29" i="2"/>
  <c r="AR29" i="3"/>
  <c r="X9" i="4" a="1"/>
  <c r="M12" i="4" a="1"/>
  <c r="BY16" i="4" a="1"/>
  <c r="AP12" i="4" a="1"/>
  <c r="EA6" i="4" a="1"/>
  <c r="AG6" i="4" a="1"/>
  <c r="O12" i="4" a="1"/>
  <c r="BG16" i="4" a="1"/>
  <c r="AM13" i="4" a="1"/>
  <c r="W11" i="4" a="1"/>
  <c r="DA16" i="4" a="1"/>
  <c r="EB16" i="4" a="1"/>
  <c r="BM7" i="4" a="1"/>
  <c r="DK12" i="4" a="1"/>
  <c r="AZ16" i="4" a="1"/>
  <c r="AD56" i="3"/>
  <c r="G70" i="3"/>
  <c r="D88" i="3"/>
  <c r="EC14" i="4" a="1"/>
  <c r="DD12" i="4" a="1"/>
  <c r="M45" i="3"/>
  <c r="BG14" i="4" a="1"/>
  <c r="CX7" i="4" a="1"/>
  <c r="CF8" i="4" a="1"/>
  <c r="CV11" i="4" a="1"/>
  <c r="CC9" i="4" a="1"/>
  <c r="AE16" i="4" a="1"/>
  <c r="L20" i="2"/>
  <c r="DN15" i="4" a="1"/>
  <c r="AV12" i="4" a="1"/>
  <c r="AJ8" i="4" a="1"/>
  <c r="EH6" i="4" a="1"/>
  <c r="AD90" i="3"/>
  <c r="AH15" i="4" a="1"/>
  <c r="CJ9" i="4" a="1"/>
  <c r="BI14" i="4" a="1"/>
  <c r="BS16" i="4" a="1"/>
  <c r="DX11" i="4" a="1"/>
  <c r="DX15" i="4" a="1"/>
  <c r="D72" i="3"/>
  <c r="CO15" i="4" a="1"/>
  <c r="AT8" i="4" a="1"/>
  <c r="I8" i="4" a="1"/>
  <c r="CT12" i="4" a="1"/>
  <c r="P6" i="4" a="1"/>
  <c r="BR16" i="4" a="1"/>
  <c r="AS11" i="4" a="1"/>
  <c r="AP16" i="4" a="1"/>
  <c r="G10" i="2"/>
  <c r="Z7" i="4" a="1"/>
  <c r="CH13" i="4" a="1"/>
  <c r="EE5" i="4" a="1"/>
  <c r="DN16" i="4" a="1"/>
  <c r="E88" i="3"/>
  <c r="BV11" i="4" a="1"/>
  <c r="P12" i="4" a="1"/>
  <c r="DO6" i="4" a="1"/>
  <c r="G18" i="3"/>
  <c r="BQ12" i="4" a="1"/>
  <c r="AN6" i="4" a="1"/>
  <c r="D65" i="3"/>
  <c r="BX9" i="4" a="1"/>
  <c r="EB15" i="4" a="1"/>
  <c r="EI12" i="4" a="1"/>
  <c r="DQ12" i="4" a="1"/>
  <c r="D13" i="3"/>
  <c r="L13" i="4" a="1"/>
  <c r="BJ13" i="4" a="1"/>
  <c r="BB13" i="4" a="1"/>
  <c r="EA11" i="4" a="1"/>
  <c r="CJ7" i="4" a="1"/>
  <c r="DM7" i="4" a="1"/>
  <c r="D71" i="3"/>
  <c r="CY5" i="4" a="1"/>
  <c r="CP6" i="4" a="1"/>
  <c r="AO7" i="4" a="1"/>
  <c r="ED13" i="4" a="1"/>
  <c r="BK12" i="4" a="1"/>
  <c r="DF7" i="4" a="1"/>
  <c r="J5" i="2"/>
  <c r="M9" i="4" a="1"/>
  <c r="AD60" i="3"/>
  <c r="AQ6" i="4" a="1"/>
  <c r="Y12" i="4" a="1"/>
  <c r="AS12" i="4" a="1"/>
  <c r="ED9" i="4" a="1"/>
  <c r="AC5" i="4" a="1"/>
  <c r="D77" i="3"/>
  <c r="D9" i="4" a="1"/>
  <c r="AY5" i="4" a="1"/>
  <c r="AP14" i="4" a="1"/>
  <c r="AQ7" i="4" a="1"/>
  <c r="DG16" i="4" a="1"/>
  <c r="BV12" i="4" a="1"/>
  <c r="Z11" i="4" a="1"/>
  <c r="CX6" i="4" a="1"/>
  <c r="E58" i="3"/>
  <c r="E56" i="3"/>
  <c r="D87" i="3"/>
  <c r="D73" i="3"/>
  <c r="DN11" i="4" a="1"/>
  <c r="BP14" i="4" a="1"/>
  <c r="BU16" i="4" a="1"/>
  <c r="V7" i="4" a="1"/>
  <c r="D13" i="2"/>
  <c r="S32" i="2"/>
  <c r="DF12" i="4" a="1"/>
  <c r="C23" i="2"/>
  <c r="G97" i="3"/>
  <c r="DD7" i="4" a="1"/>
  <c r="D80" i="3"/>
  <c r="Q14" i="4" a="1"/>
  <c r="BL5" i="4" a="1"/>
  <c r="DY15" i="4" a="1"/>
  <c r="H7" i="4" a="1"/>
  <c r="P14" i="4" a="1"/>
  <c r="AD71" i="3"/>
  <c r="AQ6" i="3"/>
  <c r="CK9" i="4" a="1"/>
  <c r="DW9" i="4" a="1"/>
  <c r="BW5" i="4" a="1"/>
  <c r="BN14" i="4" a="1"/>
  <c r="G74" i="3"/>
  <c r="CF14" i="4" a="1"/>
  <c r="G76" i="3"/>
  <c r="G79" i="3"/>
  <c r="AM14" i="4" a="1"/>
  <c r="CG15" i="4" a="1"/>
  <c r="EJ13" i="4" a="1"/>
  <c r="AD70" i="3"/>
  <c r="D70" i="3"/>
  <c r="AJ16" i="4" a="1"/>
  <c r="DT8" i="4" a="1"/>
  <c r="G87" i="3"/>
  <c r="DQ7" i="4" a="1"/>
  <c r="EJ8" i="4" a="1"/>
  <c r="F11" i="4" a="1"/>
  <c r="CN6" i="4" a="1"/>
  <c r="CQ14" i="4" a="1"/>
  <c r="E79" i="3"/>
  <c r="X12" i="4" a="1"/>
  <c r="BC13" i="4" a="1"/>
  <c r="CP13" i="4" a="1"/>
  <c r="BL12" i="4" a="1"/>
  <c r="BG5" i="4" a="1"/>
  <c r="CE11" i="4" a="1"/>
  <c r="BS5" i="4" a="1"/>
  <c r="CB12" i="4" a="1"/>
  <c r="AD64" i="3"/>
  <c r="H6" i="4" a="1"/>
  <c r="CO16" i="4" a="1"/>
  <c r="G55" i="3"/>
  <c r="AO15" i="4" a="1"/>
  <c r="BK15" i="4" a="1"/>
  <c r="P8" i="4" a="1"/>
  <c r="S6" i="4" a="1"/>
  <c r="CK7" i="4" a="1"/>
  <c r="D74" i="3"/>
  <c r="EI7" i="4" a="1"/>
  <c r="BW14" i="4" a="1"/>
  <c r="DM16" i="4" a="1"/>
  <c r="BK6" i="4" a="1"/>
  <c r="D13" i="4" a="1"/>
  <c r="CP5" i="4" a="1"/>
  <c r="BW8" i="4" a="1"/>
  <c r="BO5" i="4" a="1"/>
  <c r="D83" i="3"/>
  <c r="R15" i="4" a="1"/>
  <c r="AS5" i="4" a="1"/>
  <c r="BP9" i="4" a="1"/>
  <c r="CL6" i="4" a="1"/>
  <c r="T8" i="4" a="1"/>
  <c r="BU13" i="4" a="1"/>
  <c r="BA15" i="4" a="1"/>
  <c r="P24" i="2"/>
  <c r="BW12" i="4" a="1"/>
  <c r="AP6" i="4" a="1"/>
  <c r="EF11" i="4" a="1"/>
  <c r="H12" i="4" a="1"/>
  <c r="BA9" i="4" a="1"/>
  <c r="AB45" i="3"/>
  <c r="AL45" i="3"/>
  <c r="CF7" i="4" a="1"/>
  <c r="AQ15" i="4" a="1"/>
  <c r="EH9" i="4" a="1"/>
  <c r="C6" i="2"/>
  <c r="DD16" i="4" a="1"/>
  <c r="AN8" i="4" a="1"/>
  <c r="Z6" i="4" a="1"/>
  <c r="AQ46" i="3"/>
  <c r="AM7" i="4" a="1"/>
  <c r="EI16" i="4" a="1"/>
  <c r="I35" i="2"/>
  <c r="DU9" i="4" a="1"/>
  <c r="AW8" i="4" a="1"/>
  <c r="AL13" i="4" a="1"/>
  <c r="J7" i="4" a="1"/>
  <c r="D15" i="3"/>
  <c r="CQ11" i="4" a="1"/>
  <c r="G16" i="4" a="1"/>
  <c r="L6" i="4" a="1"/>
  <c r="BI12" i="4" a="1"/>
  <c r="DJ12" i="4" a="1"/>
  <c r="DU13" i="4" a="1"/>
  <c r="AD67" i="3"/>
  <c r="BL13" i="4" a="1"/>
  <c r="DV12" i="4" a="1"/>
  <c r="AF5" i="4" a="1"/>
  <c r="BF8" i="4" a="1"/>
  <c r="AS8" i="4" a="1"/>
  <c r="AI6" i="4" a="1"/>
  <c r="BF6" i="4" a="1"/>
  <c r="D6" i="4" a="1"/>
  <c r="DC9" i="4" a="1"/>
  <c r="BX11" i="4" a="1"/>
  <c r="AK9" i="4" a="1"/>
  <c r="CB8" i="4" a="1"/>
  <c r="EK13" i="4" a="1"/>
  <c r="D67" i="3"/>
  <c r="AQ13" i="4" a="1"/>
  <c r="CZ13" i="4" a="1"/>
  <c r="AR11" i="4" a="1"/>
  <c r="BI15" i="4" a="1"/>
  <c r="EG13" i="4" a="1"/>
  <c r="G78" i="3"/>
  <c r="D7" i="4" a="1"/>
  <c r="G6" i="3"/>
  <c r="AD86" i="3"/>
  <c r="AS9" i="4" a="1"/>
  <c r="Y14" i="4" a="1"/>
  <c r="J13" i="4" a="1"/>
  <c r="BA16" i="4" a="1"/>
  <c r="EB7" i="4" a="1"/>
  <c r="DL16" i="4" a="1"/>
  <c r="W27" i="2"/>
  <c r="D12" i="4" a="1"/>
  <c r="H15" i="4" a="1"/>
  <c r="E90" i="3"/>
  <c r="CD11" i="4" a="1"/>
  <c r="ED12" i="4" a="1"/>
  <c r="BO7" i="4" a="1"/>
  <c r="EF15" i="4" a="1"/>
  <c r="X12" i="2"/>
  <c r="DJ13" i="4" a="1"/>
  <c r="D62" i="3"/>
  <c r="EK6" i="4" a="1"/>
  <c r="D78" i="3"/>
  <c r="EI15" i="4" a="1"/>
  <c r="BE14" i="4" a="1"/>
  <c r="DK8" i="4" a="1"/>
  <c r="AL14" i="4" a="1"/>
  <c r="ED11" i="4" a="1"/>
  <c r="CX11" i="4" a="1"/>
  <c r="I16" i="4" a="1"/>
  <c r="G59" i="3"/>
  <c r="K11" i="4" a="1"/>
  <c r="EE7" i="4" a="1"/>
  <c r="Q15" i="4" a="1"/>
  <c r="DX14" i="4" a="1"/>
  <c r="AD93" i="3"/>
  <c r="CE14" i="4" a="1"/>
  <c r="O15" i="4" a="1"/>
  <c r="BF12" i="4" a="1"/>
  <c r="DZ5" i="4" a="1"/>
  <c r="BC8" i="4" a="1"/>
  <c r="AD73" i="3"/>
  <c r="D30" i="3"/>
  <c r="BB12" i="4" a="1"/>
  <c r="AU8" i="4" a="1"/>
  <c r="AD79" i="3"/>
  <c r="P23" i="2"/>
  <c r="D32" i="3"/>
  <c r="D5" i="4" a="1"/>
  <c r="BY6" i="4" a="1"/>
  <c r="EC7" i="4" a="1"/>
  <c r="DK15" i="4" a="1"/>
  <c r="AH14" i="4" a="1"/>
  <c r="CP16" i="4" a="1"/>
  <c r="DD14" i="4" a="1"/>
  <c r="AT9" i="4" a="1"/>
  <c r="D93" i="3"/>
  <c r="AQ5" i="4" a="1"/>
  <c r="D84" i="3"/>
  <c r="AJ13" i="4" a="1"/>
  <c r="CY12" i="4" a="1"/>
  <c r="BJ9" i="4" a="1"/>
  <c r="BG12" i="4" a="1"/>
  <c r="EF14" i="4" a="1"/>
  <c r="V14" i="4" a="1"/>
  <c r="EF5" i="4" a="1"/>
  <c r="DF11" i="4" a="1"/>
  <c r="AE14" i="4" a="1"/>
  <c r="DY13" i="4" a="1"/>
  <c r="S7" i="4" a="1"/>
  <c r="CG13" i="4" a="1"/>
  <c r="E70" i="3"/>
  <c r="AX11" i="4" a="1"/>
  <c r="D76" i="3"/>
  <c r="BX7" i="4" a="1"/>
  <c r="BQ5" i="4" a="1"/>
  <c r="AY16" i="4" a="1"/>
  <c r="E59" i="3"/>
  <c r="AD58" i="3"/>
  <c r="BA6" i="4" a="1"/>
  <c r="U13" i="4" a="1"/>
  <c r="DA6" i="4" a="1"/>
  <c r="AD57" i="3"/>
  <c r="H5" i="4" a="1"/>
  <c r="BA14" i="4" a="1"/>
  <c r="CI13" i="4" a="1"/>
  <c r="BA11" i="4" a="1"/>
  <c r="BW16" i="4" a="1"/>
  <c r="DJ15" i="4" a="1"/>
  <c r="DP13" i="4" a="1"/>
  <c r="AD92" i="3"/>
  <c r="AO16" i="4" a="1"/>
  <c r="E85" i="3"/>
  <c r="CC15" i="4" a="1"/>
  <c r="DZ13" i="4" a="1"/>
  <c r="BN6" i="4" a="1"/>
  <c r="E9" i="3"/>
  <c r="DL5" i="4" a="1"/>
  <c r="BO12" i="4" a="1"/>
  <c r="AM45" i="3"/>
  <c r="CK16" i="4" a="1"/>
  <c r="BF5" i="4" a="1"/>
  <c r="D68" i="3"/>
  <c r="AM15" i="4" a="1"/>
  <c r="N45" i="3"/>
  <c r="AO8" i="4" a="1"/>
  <c r="CG16" i="4" a="1"/>
  <c r="G83" i="3"/>
  <c r="AD85" i="3"/>
  <c r="CI16" i="4" a="1"/>
  <c r="AD62" i="3"/>
  <c r="CL5" i="4" a="1"/>
  <c r="D79" i="3"/>
  <c r="CZ7" i="4" a="1"/>
  <c r="CU16" i="4" a="1"/>
  <c r="AV8" i="4" a="1"/>
  <c r="CW5" i="4" a="1"/>
  <c r="CR11" i="4" a="1"/>
  <c r="CL14" i="4" a="1"/>
  <c r="AS7" i="4" a="1"/>
  <c r="BO11" i="4" a="1"/>
  <c r="R28" i="2"/>
  <c r="AA5" i="4" a="1"/>
  <c r="AJ15" i="4" a="1"/>
  <c r="BC6" i="4" a="1"/>
  <c r="AD96" i="3"/>
  <c r="DW11" i="4" a="1"/>
  <c r="BD16" i="4" a="1"/>
  <c r="AY8" i="4" a="1"/>
  <c r="Y45" i="3"/>
  <c r="BG9" i="4" a="1"/>
  <c r="D59" i="3"/>
  <c r="DL8" i="4" a="1"/>
  <c r="CG5" i="4" a="1"/>
  <c r="E66" i="3"/>
  <c r="CQ5" i="4" a="1"/>
  <c r="CQ15" i="4" a="1"/>
  <c r="R16" i="4" a="1"/>
  <c r="E93" i="3"/>
  <c r="EG9" i="4" a="1"/>
  <c r="DU8" i="4" a="1"/>
  <c r="Z13" i="4" a="1"/>
  <c r="EI5" i="4" a="1"/>
  <c r="DP5" i="4" a="1"/>
  <c r="S13" i="4" a="1"/>
  <c r="CS5" i="4" a="1"/>
  <c r="J14" i="4" a="1"/>
  <c r="E7" i="3"/>
  <c r="DG13" i="4" a="1"/>
  <c r="CD14" i="4" a="1"/>
  <c r="BP8" i="4" a="1"/>
  <c r="AC15" i="4" a="1"/>
  <c r="DB11" i="4" a="1"/>
  <c r="CA9" i="4" a="1"/>
  <c r="G19" i="2"/>
  <c r="CD13" i="4" a="1"/>
  <c r="BI13" i="4" a="1"/>
  <c r="AG11" i="4" a="1"/>
  <c r="G19" i="3"/>
  <c r="BX12" i="4" a="1"/>
  <c r="CH6" i="4" a="1"/>
  <c r="E17" i="3"/>
  <c r="AI13" i="4" a="1"/>
  <c r="V9" i="4" a="1"/>
  <c r="E35" i="3"/>
  <c r="BB11" i="4" a="1"/>
  <c r="BP7" i="4" a="1"/>
  <c r="D81" i="3"/>
  <c r="M16" i="4" a="1"/>
  <c r="AD54" i="3"/>
  <c r="CO11" i="4" a="1"/>
  <c r="DY12" i="4" a="1"/>
  <c r="G69" i="3"/>
  <c r="T14" i="4" a="1"/>
  <c r="AR14" i="4" a="1"/>
  <c r="CG6" i="4" a="1"/>
  <c r="G91" i="3"/>
  <c r="E55" i="3"/>
  <c r="EK16" i="4" a="1"/>
  <c r="G82" i="3"/>
  <c r="N6" i="4" a="1"/>
  <c r="CV15" i="4" a="1"/>
  <c r="E62" i="3"/>
  <c r="BI6" i="4" a="1"/>
  <c r="D42" i="3"/>
  <c r="EI8" i="4" a="1"/>
  <c r="BC11" i="4" a="1"/>
  <c r="AD7" i="4" a="1"/>
  <c r="CE5" i="4" a="1"/>
  <c r="AC8" i="4" a="1"/>
  <c r="C33" i="2"/>
  <c r="CD9" i="4" a="1"/>
  <c r="EE6" i="4" a="1"/>
  <c r="AB8" i="4" a="1"/>
  <c r="AA7" i="4" a="1"/>
  <c r="E9" i="4" a="1"/>
  <c r="BP5" i="4" a="1"/>
  <c r="BK11" i="4" a="1"/>
  <c r="DY9" i="4" a="1"/>
  <c r="L12" i="4" a="1"/>
  <c r="AD88" i="3"/>
  <c r="V25" i="2"/>
  <c r="DQ5" i="4" a="1"/>
  <c r="DS6" i="4" a="1"/>
  <c r="D31" i="3"/>
  <c r="CP7" i="4" a="1"/>
  <c r="D75" i="3"/>
  <c r="BR7" i="4" a="1"/>
  <c r="E69" i="3"/>
  <c r="AR13" i="4" a="1"/>
  <c r="BD15" i="4" a="1"/>
  <c r="X16" i="4" a="1"/>
  <c r="G8" i="4" a="1"/>
  <c r="E89" i="3"/>
  <c r="CL7" i="4" a="1"/>
  <c r="O16" i="4" a="1"/>
  <c r="D18" i="3"/>
  <c r="D33" i="3"/>
  <c r="T6" i="2"/>
  <c r="CZ6" i="4" a="1"/>
  <c r="BL11" i="4" a="1"/>
  <c r="CW12" i="4" a="1"/>
  <c r="CW15" i="4" a="1"/>
  <c r="G89" i="3"/>
  <c r="AD78" i="3"/>
  <c r="AZ9" i="4" a="1"/>
  <c r="EJ7" i="4" a="1"/>
  <c r="DI14" i="4" a="1"/>
  <c r="AO14" i="4" a="1"/>
  <c r="G57" i="3"/>
  <c r="EE12" i="4" a="1"/>
  <c r="EF16" i="4" a="1"/>
  <c r="AW11" i="4" a="1"/>
  <c r="AD72" i="3"/>
  <c r="S11" i="4" a="1"/>
  <c r="BH8" i="4" a="1"/>
  <c r="D86" i="3"/>
  <c r="AJ6" i="4" a="1"/>
  <c r="CM13" i="4" a="1"/>
  <c r="CM8" i="4" a="1"/>
  <c r="CR6" i="4" a="1"/>
  <c r="CX16" i="4" a="1"/>
  <c r="CO12" i="4" a="1"/>
  <c r="CE15" i="4" a="1"/>
  <c r="DD8" i="4" a="1"/>
  <c r="G58" i="3"/>
  <c r="O14" i="4" a="1"/>
  <c r="BQ6" i="4" a="1"/>
  <c r="BR14" i="4" a="1"/>
  <c r="CY14" i="4" a="1"/>
  <c r="D15" i="2"/>
  <c r="C11" i="4" a="1"/>
  <c r="DU16" i="4" a="1"/>
  <c r="EK7" i="4" a="1"/>
  <c r="I9" i="4" a="1"/>
  <c r="BE16" i="4" a="1"/>
  <c r="DU14" i="4" a="1"/>
  <c r="AX12" i="4" a="1"/>
  <c r="AZ14" i="4" a="1"/>
  <c r="CU11" i="4" a="1"/>
  <c r="AO6" i="4" a="1"/>
  <c r="AD65" i="3"/>
  <c r="V8" i="4" a="1"/>
  <c r="AE9" i="4" a="1"/>
  <c r="CF12" i="4" a="1"/>
  <c r="EF7" i="4" a="1"/>
  <c r="AD83" i="3"/>
  <c r="AN14" i="4" a="1"/>
  <c r="BV15" i="4" a="1"/>
  <c r="D69" i="3"/>
  <c r="AD55" i="3"/>
  <c r="AY13" i="4" a="1"/>
  <c r="AD74" i="3"/>
  <c r="DY6" i="4" a="1"/>
  <c r="AH9" i="4" a="1"/>
  <c r="G64" i="3"/>
  <c r="CL16" i="4" a="1"/>
  <c r="S15" i="4" a="1"/>
  <c r="AD11" i="4" a="1"/>
  <c r="BY13" i="4" a="1"/>
  <c r="D61" i="3"/>
  <c r="E57" i="3"/>
  <c r="EE15" i="4" a="1"/>
  <c r="N14" i="4" a="1"/>
  <c r="E33" i="3"/>
  <c r="E72" i="3"/>
  <c r="EK11" i="4" a="1"/>
  <c r="DZ14" i="4" a="1"/>
  <c r="CK8" i="4" a="1"/>
  <c r="CB16" i="4" a="1"/>
  <c r="Y15" i="4" a="1"/>
  <c r="DO7" i="4" a="1"/>
  <c r="EH12" i="4" a="1"/>
  <c r="DI13" i="4" a="1"/>
  <c r="CI6" i="4" a="1"/>
  <c r="D55" i="3"/>
  <c r="BW9" i="4" a="1"/>
  <c r="H46" i="3"/>
  <c r="DJ5" i="4" a="1"/>
  <c r="E68" i="3"/>
  <c r="BU11" i="4" a="1"/>
  <c r="P15" i="4" a="1"/>
  <c r="L11" i="4" a="1"/>
  <c r="DC15" i="4" a="1"/>
  <c r="J17" i="2"/>
  <c r="AT7" i="4" a="1"/>
  <c r="DR12" i="4" a="1"/>
  <c r="AL8" i="4" a="1"/>
  <c r="AT16" i="4" a="1"/>
  <c r="DC13" i="4" a="1"/>
  <c r="AF7" i="4" a="1"/>
  <c r="EG8" i="4" a="1"/>
  <c r="G67" i="3"/>
  <c r="AD87" i="3"/>
  <c r="AL11" i="4" a="1"/>
  <c r="K16" i="4" a="1"/>
  <c r="DW7" i="4" a="1"/>
  <c r="BN12" i="4" a="1"/>
  <c r="AZ13" i="4" a="1"/>
  <c r="DA8" i="4" a="1"/>
  <c r="Q6" i="4" a="1"/>
  <c r="DU15" i="4" a="1"/>
  <c r="CH11" i="4" a="1"/>
  <c r="DZ6" i="4" a="1"/>
  <c r="L14" i="4" a="1"/>
  <c r="E97" i="3"/>
  <c r="AR7" i="4" a="1"/>
  <c r="BT8" i="4" a="1"/>
  <c r="AP9" i="4" a="1"/>
  <c r="ED16" i="4" a="1"/>
  <c r="CS13" i="4" a="1"/>
  <c r="DI15" i="4" a="1"/>
  <c r="CY7" i="4" a="1"/>
  <c r="N5" i="4" a="1"/>
  <c r="DJ9" i="4" a="1"/>
  <c r="U14" i="4" a="1"/>
  <c r="E92" i="3"/>
  <c r="F60" i="3"/>
  <c r="F96" i="3"/>
  <c r="F91" i="3"/>
  <c r="F55" i="3"/>
  <c r="F56" i="3"/>
  <c r="F83" i="3"/>
  <c r="F92" i="3"/>
  <c r="F81" i="3"/>
  <c r="F79" i="3"/>
  <c r="F47" i="3"/>
  <c r="F76" i="3"/>
  <c r="F94" i="3"/>
  <c r="E60" i="3"/>
  <c r="E65" i="3"/>
  <c r="F70" i="3"/>
  <c r="F88" i="3"/>
  <c r="F72" i="3"/>
  <c r="F82" i="3"/>
  <c r="F58" i="3"/>
  <c r="F50" i="3"/>
  <c r="F48" i="3"/>
  <c r="F93" i="3"/>
  <c r="F95" i="3"/>
  <c r="F86" i="3"/>
  <c r="F75" i="3"/>
  <c r="F57" i="3"/>
  <c r="E86" i="3"/>
  <c r="F77" i="3"/>
  <c r="F89" i="3"/>
  <c r="F90" i="3"/>
  <c r="F66" i="3"/>
  <c r="F78" i="3"/>
  <c r="F97" i="3"/>
  <c r="F67" i="3"/>
  <c r="F69" i="3"/>
  <c r="F63" i="3"/>
  <c r="F74" i="3"/>
  <c r="F65" i="3"/>
  <c r="F73" i="3"/>
  <c r="E71" i="3"/>
  <c r="E96" i="3"/>
  <c r="F80" i="3"/>
  <c r="F54" i="3"/>
  <c r="F64" i="3"/>
  <c r="F62" i="3"/>
  <c r="F68" i="3"/>
  <c r="F61" i="3"/>
  <c r="F71" i="3"/>
  <c r="F59" i="3"/>
  <c r="F87" i="3"/>
  <c r="F49" i="3"/>
  <c r="F85" i="3"/>
  <c r="F84" i="3"/>
  <c r="E61" i="3"/>
  <c r="G80" i="3"/>
  <c r="G63" i="3"/>
  <c r="G90" i="3"/>
  <c r="G68" i="3"/>
  <c r="G84" i="3"/>
  <c r="D60" i="3"/>
  <c r="D90" i="3"/>
  <c r="D58" i="3"/>
  <c r="E76" i="3"/>
  <c r="E84" i="3"/>
  <c r="E63" i="3"/>
  <c r="E74" i="3"/>
  <c r="AJ119" i="1" l="1"/>
  <c r="AJ126" i="1"/>
  <c r="AK126" i="1" s="1"/>
  <c r="AJ122" i="1"/>
  <c r="AK122" i="1" s="1"/>
  <c r="AL146" i="1"/>
  <c r="AM146" i="1" s="1"/>
  <c r="AL147" i="1"/>
  <c r="AM147" i="1" s="1"/>
  <c r="AL73" i="1"/>
  <c r="AL152" i="1"/>
  <c r="AM152" i="1" s="1"/>
  <c r="AL131" i="1"/>
  <c r="AL124" i="1"/>
  <c r="AM124" i="1" s="1"/>
  <c r="AL149" i="1"/>
  <c r="AM149" i="1" s="1"/>
  <c r="AL159" i="1"/>
  <c r="AL150" i="1"/>
  <c r="AM150" i="1" s="1"/>
  <c r="AL137" i="1"/>
  <c r="AM137" i="1" s="1"/>
  <c r="AL125" i="1"/>
  <c r="AM125" i="1" s="1"/>
  <c r="AL132" i="1"/>
  <c r="AL142" i="1"/>
  <c r="AM142" i="1" s="1"/>
  <c r="AL151" i="1"/>
  <c r="AM151" i="1" s="1"/>
  <c r="AL126" i="1"/>
  <c r="AM126" i="1" s="1"/>
  <c r="AL153" i="1"/>
  <c r="AL140" i="1"/>
  <c r="AM140" i="1" s="1"/>
  <c r="AM202" i="1" s="1"/>
  <c r="AL118" i="1"/>
  <c r="AM118" i="1" s="1"/>
  <c r="AL164" i="1"/>
  <c r="AM164" i="1" s="1"/>
  <c r="AL74" i="1"/>
  <c r="AL119" i="1"/>
  <c r="AL120" i="1" s="1"/>
  <c r="AL92" i="1" s="1"/>
  <c r="AL145" i="1"/>
  <c r="AL135" i="1"/>
  <c r="AM135" i="1" s="1"/>
  <c r="AL127" i="1"/>
  <c r="AM127" i="1" s="1"/>
  <c r="AL133" i="1"/>
  <c r="AL143" i="1"/>
  <c r="AM143" i="1" s="1"/>
  <c r="AL144" i="1"/>
  <c r="AL155" i="1"/>
  <c r="AM155" i="1" s="1"/>
  <c r="AL160" i="1"/>
  <c r="AL161" i="1" s="1"/>
  <c r="AL117" i="1"/>
  <c r="AL154" i="1"/>
  <c r="AM154" i="1" s="1"/>
  <c r="AL163" i="1"/>
  <c r="AM163" i="1" s="1"/>
  <c r="AL122" i="1"/>
  <c r="AM122" i="1" s="1"/>
  <c r="U14" i="4"/>
  <c r="DJ9" i="4"/>
  <c r="IZ9" i="4" s="1"/>
  <c r="N5" i="4"/>
  <c r="CY7" i="4"/>
  <c r="DI15" i="4"/>
  <c r="CS13" i="4"/>
  <c r="ED16" i="4"/>
  <c r="AP9" i="4"/>
  <c r="IB9" i="4" s="1"/>
  <c r="BT8" i="4"/>
  <c r="AR7" i="4"/>
  <c r="L14" i="4"/>
  <c r="DZ6" i="4"/>
  <c r="CH11" i="4"/>
  <c r="DU15" i="4"/>
  <c r="Q6" i="4"/>
  <c r="DA8" i="4"/>
  <c r="AZ13" i="4"/>
  <c r="BN12" i="4"/>
  <c r="DW7" i="4"/>
  <c r="K16" i="4"/>
  <c r="AL11" i="4"/>
  <c r="BJ152" i="1"/>
  <c r="BK152" i="1" s="1"/>
  <c r="EG8" i="4"/>
  <c r="AF7" i="4"/>
  <c r="DC13" i="4"/>
  <c r="AT16" i="4"/>
  <c r="AL8" i="4"/>
  <c r="DR12" i="4"/>
  <c r="AT7" i="4"/>
  <c r="I21" i="1"/>
  <c r="DC15" i="4"/>
  <c r="L11" i="4"/>
  <c r="P15" i="4"/>
  <c r="BU11" i="4"/>
  <c r="DJ5" i="4"/>
  <c r="BW9" i="4"/>
  <c r="IM9" i="4" s="1"/>
  <c r="CI6" i="4"/>
  <c r="DI13" i="4"/>
  <c r="EH12" i="4"/>
  <c r="DO7" i="4"/>
  <c r="Y15" i="4"/>
  <c r="CB16" i="4"/>
  <c r="CK8" i="4"/>
  <c r="DZ14" i="4"/>
  <c r="EK11" i="4"/>
  <c r="N14" i="4"/>
  <c r="EE15" i="4"/>
  <c r="BY13" i="4"/>
  <c r="AD11" i="4"/>
  <c r="S15" i="4"/>
  <c r="CL16" i="4"/>
  <c r="IR16" i="4" s="1"/>
  <c r="AH9" i="4"/>
  <c r="DY6" i="4"/>
  <c r="BJ137" i="1"/>
  <c r="BK137" i="1" s="1"/>
  <c r="AY13" i="4"/>
  <c r="AJ132" i="1"/>
  <c r="AJ134" i="1" s="1"/>
  <c r="BV15" i="4"/>
  <c r="AN14" i="4"/>
  <c r="BJ160" i="1"/>
  <c r="EF7" i="4"/>
  <c r="CF12" i="4"/>
  <c r="AE9" i="4"/>
  <c r="V8" i="4"/>
  <c r="BJ150" i="1"/>
  <c r="BK150" i="1" s="1"/>
  <c r="AO6" i="4"/>
  <c r="CU11" i="4"/>
  <c r="AZ14" i="4"/>
  <c r="AX12" i="4"/>
  <c r="DU14" i="4"/>
  <c r="BE16" i="4"/>
  <c r="IG16" i="4" s="1"/>
  <c r="I9" i="4"/>
  <c r="HQ9" i="4" s="1"/>
  <c r="EK7" i="4"/>
  <c r="DU16" i="4"/>
  <c r="C11" i="4"/>
  <c r="C23" i="1"/>
  <c r="CY14" i="4"/>
  <c r="BR14" i="4"/>
  <c r="BQ6" i="4"/>
  <c r="O14" i="4"/>
  <c r="DD8" i="4"/>
  <c r="CE15" i="4"/>
  <c r="CO12" i="4"/>
  <c r="CX16" i="4"/>
  <c r="IV16" i="4" s="1"/>
  <c r="CR6" i="4"/>
  <c r="CM8" i="4"/>
  <c r="CM13" i="4"/>
  <c r="AJ6" i="4"/>
  <c r="BH8" i="4"/>
  <c r="S11" i="4"/>
  <c r="BJ135" i="1"/>
  <c r="BK135" i="1" s="1"/>
  <c r="AW11" i="4"/>
  <c r="EF16" i="4"/>
  <c r="EE12" i="4"/>
  <c r="AO14" i="4"/>
  <c r="DI14" i="4"/>
  <c r="EJ7" i="4"/>
  <c r="AZ9" i="4"/>
  <c r="BJ142" i="1"/>
  <c r="BK142" i="1" s="1"/>
  <c r="CW15" i="4"/>
  <c r="CW12" i="4"/>
  <c r="BL11" i="4"/>
  <c r="CZ6" i="4"/>
  <c r="S8" i="1"/>
  <c r="AJ25" i="1"/>
  <c r="O16" i="4"/>
  <c r="HS16" i="4" s="1"/>
  <c r="CL7" i="4"/>
  <c r="G8" i="4"/>
  <c r="X16" i="4"/>
  <c r="HV16" i="4" s="1"/>
  <c r="BD15" i="4"/>
  <c r="AR13" i="4"/>
  <c r="BR7" i="4"/>
  <c r="CP7" i="4"/>
  <c r="DS6" i="4"/>
  <c r="DQ5" i="4"/>
  <c r="U36" i="1"/>
  <c r="U252" i="1" s="1"/>
  <c r="BJ127" i="1"/>
  <c r="BK127" i="1" s="1"/>
  <c r="BK128" i="1" s="1"/>
  <c r="L12" i="4"/>
  <c r="DY9" i="4"/>
  <c r="JE9" i="4" s="1"/>
  <c r="BK11" i="4"/>
  <c r="BP5" i="4"/>
  <c r="E9" i="4"/>
  <c r="AA7" i="4"/>
  <c r="AB8" i="4"/>
  <c r="EE6" i="4"/>
  <c r="CD9" i="4"/>
  <c r="B46" i="1"/>
  <c r="AC8" i="4"/>
  <c r="CE5" i="4"/>
  <c r="AD7" i="4"/>
  <c r="BC11" i="4"/>
  <c r="EI8" i="4"/>
  <c r="AJ51" i="1"/>
  <c r="BI6" i="4"/>
  <c r="CV15" i="4"/>
  <c r="N6" i="4"/>
  <c r="EK16" i="4"/>
  <c r="JI16" i="4" s="1"/>
  <c r="CG6" i="4"/>
  <c r="AR14" i="4"/>
  <c r="T14" i="4"/>
  <c r="DY12" i="4"/>
  <c r="CO11" i="4"/>
  <c r="M16" i="4"/>
  <c r="AJ144" i="1"/>
  <c r="BP7" i="4"/>
  <c r="BB11" i="4"/>
  <c r="AK46" i="1"/>
  <c r="V9" i="4"/>
  <c r="AI13" i="4"/>
  <c r="AK21" i="1"/>
  <c r="CH6" i="4"/>
  <c r="BX12" i="4"/>
  <c r="AG11" i="4"/>
  <c r="BI13" i="4"/>
  <c r="CD13" i="4"/>
  <c r="F22" i="1"/>
  <c r="CA9" i="4"/>
  <c r="DB11" i="4"/>
  <c r="AC15" i="4"/>
  <c r="BP8" i="4"/>
  <c r="CD14" i="4"/>
  <c r="DG13" i="4"/>
  <c r="J14" i="4"/>
  <c r="CS5" i="4"/>
  <c r="S13" i="4"/>
  <c r="DP5" i="4"/>
  <c r="EI5" i="4"/>
  <c r="Z13" i="4"/>
  <c r="DU8" i="4"/>
  <c r="EG9" i="4"/>
  <c r="R16" i="4"/>
  <c r="HT16" i="4" s="1"/>
  <c r="CQ15" i="4"/>
  <c r="CQ5" i="4"/>
  <c r="CG5" i="4"/>
  <c r="DL8" i="4"/>
  <c r="BG9" i="4"/>
  <c r="AY8" i="4"/>
  <c r="BD16" i="4"/>
  <c r="DW11" i="4"/>
  <c r="BJ163" i="1"/>
  <c r="BK163" i="1" s="1"/>
  <c r="BC6" i="4"/>
  <c r="AJ15" i="4"/>
  <c r="AA5" i="4"/>
  <c r="BO11" i="4"/>
  <c r="AS7" i="4"/>
  <c r="CL14" i="4"/>
  <c r="CR11" i="4"/>
  <c r="CW5" i="4"/>
  <c r="AV8" i="4"/>
  <c r="CU16" i="4"/>
  <c r="IU16" i="4" s="1"/>
  <c r="CZ7" i="4"/>
  <c r="AJ143" i="1"/>
  <c r="AK143" i="1" s="1"/>
  <c r="CL5" i="4"/>
  <c r="BJ124" i="1"/>
  <c r="BK124" i="1" s="1"/>
  <c r="CI16" i="4"/>
  <c r="IQ16" i="4" s="1"/>
  <c r="BJ147" i="1"/>
  <c r="BK147" i="1" s="1"/>
  <c r="CG16" i="4"/>
  <c r="AO8" i="4"/>
  <c r="AM15" i="4"/>
  <c r="AJ131" i="1"/>
  <c r="BF5" i="4"/>
  <c r="CK16" i="4"/>
  <c r="BO12" i="4"/>
  <c r="DL5" i="4"/>
  <c r="BN6" i="4"/>
  <c r="DZ13" i="4"/>
  <c r="CC15" i="4"/>
  <c r="AO16" i="4"/>
  <c r="BJ155" i="1"/>
  <c r="BK155" i="1" s="1"/>
  <c r="DP13" i="4"/>
  <c r="DJ15" i="4"/>
  <c r="BW16" i="4"/>
  <c r="IM16" i="4" s="1"/>
  <c r="BA11" i="4"/>
  <c r="CI13" i="4"/>
  <c r="BA14" i="4"/>
  <c r="H5" i="4"/>
  <c r="BJ118" i="1"/>
  <c r="BK118" i="1" s="1"/>
  <c r="DA6" i="4"/>
  <c r="U13" i="4"/>
  <c r="BA6" i="4"/>
  <c r="BJ119" i="1"/>
  <c r="AY16" i="4"/>
  <c r="IE16" i="4" s="1"/>
  <c r="BQ5" i="4"/>
  <c r="BX7" i="4"/>
  <c r="AX11" i="4"/>
  <c r="CG13" i="4"/>
  <c r="S7" i="4"/>
  <c r="DY13" i="4"/>
  <c r="AE14" i="4"/>
  <c r="DF11" i="4"/>
  <c r="EF5" i="4"/>
  <c r="V14" i="4"/>
  <c r="EF14" i="4"/>
  <c r="BG12" i="4"/>
  <c r="BJ9" i="4"/>
  <c r="CY12" i="4"/>
  <c r="AJ13" i="4"/>
  <c r="AJ146" i="1"/>
  <c r="AK146" i="1" s="1"/>
  <c r="AQ5" i="4"/>
  <c r="AT9" i="4"/>
  <c r="DD14" i="4"/>
  <c r="CP16" i="4"/>
  <c r="AH14" i="4"/>
  <c r="DK15" i="4"/>
  <c r="EC7" i="4"/>
  <c r="BY6" i="4"/>
  <c r="D5" i="4"/>
  <c r="O35" i="1"/>
  <c r="BJ143" i="1"/>
  <c r="BK143" i="1" s="1"/>
  <c r="AU8" i="4"/>
  <c r="BB12" i="4"/>
  <c r="BC8" i="4"/>
  <c r="DZ5" i="4"/>
  <c r="BF12" i="4"/>
  <c r="O15" i="4"/>
  <c r="CE14" i="4"/>
  <c r="DX14" i="4"/>
  <c r="Q15" i="4"/>
  <c r="EE7" i="4"/>
  <c r="K11" i="4"/>
  <c r="I16" i="4"/>
  <c r="HQ16" i="4" s="1"/>
  <c r="CX11" i="4"/>
  <c r="ED11" i="4"/>
  <c r="AL14" i="4"/>
  <c r="DK8" i="4"/>
  <c r="BE14" i="4"/>
  <c r="EI15" i="4"/>
  <c r="AJ142" i="1"/>
  <c r="AK142" i="1" s="1"/>
  <c r="EK6" i="4"/>
  <c r="AJ124" i="1"/>
  <c r="DJ13" i="4"/>
  <c r="W15" i="1"/>
  <c r="EF15" i="4"/>
  <c r="BO7" i="4"/>
  <c r="ED12" i="4"/>
  <c r="CD11" i="4"/>
  <c r="H15" i="4"/>
  <c r="D12" i="4"/>
  <c r="V32" i="1"/>
  <c r="DL16" i="4"/>
  <c r="EB7" i="4"/>
  <c r="BA16" i="4"/>
  <c r="J13" i="4"/>
  <c r="Y14" i="4"/>
  <c r="AS9" i="4"/>
  <c r="IC9" i="4" s="1"/>
  <c r="AM8" i="1"/>
  <c r="D7" i="4"/>
  <c r="EG13" i="4"/>
  <c r="BI15" i="4"/>
  <c r="AR11" i="4"/>
  <c r="CZ13" i="4"/>
  <c r="AQ13" i="4"/>
  <c r="EK13" i="4"/>
  <c r="CB8" i="4"/>
  <c r="AK9" i="4"/>
  <c r="BX11" i="4"/>
  <c r="DC9" i="4"/>
  <c r="D6" i="4"/>
  <c r="BF6" i="4"/>
  <c r="AI6" i="4"/>
  <c r="AS8" i="4"/>
  <c r="BF8" i="4"/>
  <c r="AF5" i="4"/>
  <c r="DV12" i="4"/>
  <c r="BL13" i="4"/>
  <c r="DU13" i="4"/>
  <c r="DJ12" i="4"/>
  <c r="BI12" i="4"/>
  <c r="L6" i="4"/>
  <c r="G16" i="4"/>
  <c r="CQ11" i="4"/>
  <c r="AJ24" i="1"/>
  <c r="J7" i="4"/>
  <c r="AL13" i="4"/>
  <c r="AW8" i="4"/>
  <c r="DU9" i="4"/>
  <c r="H51" i="1"/>
  <c r="EI16" i="4"/>
  <c r="AM7" i="4"/>
  <c r="Z6" i="4"/>
  <c r="AN8" i="4"/>
  <c r="DD16" i="4"/>
  <c r="IX16" i="4" s="1"/>
  <c r="B8" i="1"/>
  <c r="EH9" i="4"/>
  <c r="JH9" i="4" s="1"/>
  <c r="AQ15" i="4"/>
  <c r="CF7" i="4"/>
  <c r="BA9" i="4"/>
  <c r="H12" i="4"/>
  <c r="EF11" i="4"/>
  <c r="AP6" i="4"/>
  <c r="BW12" i="4"/>
  <c r="BA15" i="4"/>
  <c r="BU13" i="4"/>
  <c r="T8" i="4"/>
  <c r="CL6" i="4"/>
  <c r="BP9" i="4"/>
  <c r="AS5" i="4"/>
  <c r="R15" i="4"/>
  <c r="AJ160" i="1"/>
  <c r="BO5" i="4"/>
  <c r="BW8" i="4"/>
  <c r="CP5" i="4"/>
  <c r="D13" i="4"/>
  <c r="BK6" i="4"/>
  <c r="DM16" i="4"/>
  <c r="JA16" i="4" s="1"/>
  <c r="BW14" i="4"/>
  <c r="EI7" i="4"/>
  <c r="AJ137" i="1"/>
  <c r="AK137" i="1" s="1"/>
  <c r="CK7" i="4"/>
  <c r="S6" i="4"/>
  <c r="P8" i="4"/>
  <c r="BK15" i="4"/>
  <c r="AO15" i="4"/>
  <c r="CO16" i="4"/>
  <c r="IS16" i="4" s="1"/>
  <c r="H6" i="4"/>
  <c r="BJ149" i="1"/>
  <c r="BK149" i="1" s="1"/>
  <c r="CB12" i="4"/>
  <c r="BS5" i="4"/>
  <c r="CE11" i="4"/>
  <c r="BG5" i="4"/>
  <c r="BL12" i="4"/>
  <c r="CP13" i="4"/>
  <c r="BC13" i="4"/>
  <c r="X12" i="4"/>
  <c r="CQ14" i="4"/>
  <c r="CN6" i="4"/>
  <c r="F11" i="4"/>
  <c r="EJ8" i="4"/>
  <c r="DQ7" i="4"/>
  <c r="DT8" i="4"/>
  <c r="AJ16" i="4"/>
  <c r="HZ16" i="4" s="1"/>
  <c r="AJ133" i="1"/>
  <c r="BJ133" i="1"/>
  <c r="BJ134" i="1" s="1"/>
  <c r="EJ13" i="4"/>
  <c r="CG15" i="4"/>
  <c r="AM14" i="4"/>
  <c r="CF14" i="4"/>
  <c r="BN14" i="4"/>
  <c r="BW5" i="4"/>
  <c r="DW9" i="4"/>
  <c r="CK9" i="4"/>
  <c r="P14" i="4"/>
  <c r="H7" i="4"/>
  <c r="DY15" i="4"/>
  <c r="BL5" i="4"/>
  <c r="Q14" i="4"/>
  <c r="AJ159" i="1"/>
  <c r="AJ161" i="1" s="1"/>
  <c r="AK209" i="1" s="1"/>
  <c r="DD7" i="4"/>
  <c r="B35" i="1"/>
  <c r="DF12" i="4"/>
  <c r="R45" i="1"/>
  <c r="C24" i="1"/>
  <c r="V7" i="4"/>
  <c r="BU16" i="4"/>
  <c r="BP14" i="4"/>
  <c r="DN11" i="4"/>
  <c r="AJ152" i="1"/>
  <c r="AK152" i="1" s="1"/>
  <c r="CX6" i="4"/>
  <c r="Z11" i="4"/>
  <c r="BV12" i="4"/>
  <c r="DG16" i="4"/>
  <c r="IY16" i="4" s="1"/>
  <c r="AQ7" i="4"/>
  <c r="AP14" i="4"/>
  <c r="AY5" i="4"/>
  <c r="D9" i="4"/>
  <c r="AJ140" i="1"/>
  <c r="AC5" i="4"/>
  <c r="ED9" i="4"/>
  <c r="AS12" i="4"/>
  <c r="Y12" i="4"/>
  <c r="AQ6" i="4"/>
  <c r="BJ122" i="1"/>
  <c r="BK122" i="1" s="1"/>
  <c r="M9" i="4"/>
  <c r="DF7" i="4"/>
  <c r="BK12" i="4"/>
  <c r="ED13" i="4"/>
  <c r="AO7" i="4"/>
  <c r="CP6" i="4"/>
  <c r="CY5" i="4"/>
  <c r="DM7" i="4"/>
  <c r="CJ7" i="4"/>
  <c r="EA11" i="4"/>
  <c r="BB13" i="4"/>
  <c r="BJ13" i="4"/>
  <c r="L13" i="4"/>
  <c r="DQ12" i="4"/>
  <c r="EI12" i="4"/>
  <c r="EB15" i="4"/>
  <c r="BX9" i="4"/>
  <c r="AJ150" i="1"/>
  <c r="AK150" i="1" s="1"/>
  <c r="AN6" i="4"/>
  <c r="BQ12" i="4"/>
  <c r="AM25" i="1"/>
  <c r="DO6" i="4"/>
  <c r="P12" i="4"/>
  <c r="BV11" i="4"/>
  <c r="DN16" i="4"/>
  <c r="EE5" i="4"/>
  <c r="CH13" i="4"/>
  <c r="Z7" i="4"/>
  <c r="AP16" i="4"/>
  <c r="IB16" i="4" s="1"/>
  <c r="IB21" i="4" s="1"/>
  <c r="AV77" i="1" s="1"/>
  <c r="AS11" i="4"/>
  <c r="BR16" i="4"/>
  <c r="P6" i="4"/>
  <c r="CT12" i="4"/>
  <c r="I8" i="4"/>
  <c r="AT8" i="4"/>
  <c r="CO15" i="4"/>
  <c r="AJ135" i="1"/>
  <c r="AK135" i="1" s="1"/>
  <c r="DX15" i="4"/>
  <c r="DX11" i="4"/>
  <c r="BS16" i="4"/>
  <c r="BI14" i="4"/>
  <c r="CJ9" i="4"/>
  <c r="AH15" i="4"/>
  <c r="BJ126" i="1"/>
  <c r="BK126" i="1" s="1"/>
  <c r="EH6" i="4"/>
  <c r="AJ8" i="4"/>
  <c r="AV12" i="4"/>
  <c r="DN15" i="4"/>
  <c r="AE16" i="4"/>
  <c r="CC9" i="4"/>
  <c r="IO9" i="4" s="1"/>
  <c r="CV11" i="4"/>
  <c r="CF8" i="4"/>
  <c r="CX7" i="4"/>
  <c r="BG14" i="4"/>
  <c r="DD12" i="4"/>
  <c r="EC14" i="4"/>
  <c r="AJ127" i="1"/>
  <c r="AK127" i="1" s="1"/>
  <c r="BJ117" i="1"/>
  <c r="AZ16" i="4"/>
  <c r="DK12" i="4"/>
  <c r="BM7" i="4"/>
  <c r="EB16" i="4"/>
  <c r="JF16" i="4" s="1"/>
  <c r="DA16" i="4"/>
  <c r="IW16" i="4" s="1"/>
  <c r="W11" i="4"/>
  <c r="AM13" i="4"/>
  <c r="BG16" i="4"/>
  <c r="O12" i="4"/>
  <c r="AG6" i="4"/>
  <c r="EA6" i="4"/>
  <c r="AP12" i="4"/>
  <c r="BY16" i="4"/>
  <c r="M12" i="4"/>
  <c r="X9" i="4"/>
  <c r="HV9" i="4" s="1"/>
  <c r="HV21" i="4" s="1"/>
  <c r="AP77" i="1" s="1"/>
  <c r="BX39" i="1"/>
  <c r="B47" i="1"/>
  <c r="EB9" i="4"/>
  <c r="JF9" i="4" s="1"/>
  <c r="T11" i="4"/>
  <c r="DH7" i="4"/>
  <c r="BN8" i="4"/>
  <c r="K6" i="4"/>
  <c r="DV16" i="4"/>
  <c r="JD16" i="4" s="1"/>
  <c r="V22" i="1"/>
  <c r="Y11" i="4"/>
  <c r="Q11" i="4"/>
  <c r="CO5" i="4"/>
  <c r="AV13" i="4"/>
  <c r="CC8" i="4"/>
  <c r="I6" i="4"/>
  <c r="BV8" i="4"/>
  <c r="BL9" i="4"/>
  <c r="BQ14" i="4"/>
  <c r="Q9" i="4"/>
  <c r="DB16" i="4"/>
  <c r="AU15" i="4"/>
  <c r="W16" i="4"/>
  <c r="C25" i="1"/>
  <c r="DQ16" i="4"/>
  <c r="D21" i="1"/>
  <c r="BP13" i="4"/>
  <c r="BS14" i="4"/>
  <c r="AN16" i="4"/>
  <c r="J12" i="4"/>
  <c r="CR15" i="4"/>
  <c r="AJ118" i="1"/>
  <c r="AK118" i="1" s="1"/>
  <c r="AV5" i="4"/>
  <c r="DB6" i="4"/>
  <c r="AK5" i="4"/>
  <c r="EK9" i="4"/>
  <c r="JI9" i="4" s="1"/>
  <c r="DC6" i="4"/>
  <c r="AI15" i="4"/>
  <c r="CU6" i="4"/>
  <c r="DQ11" i="4"/>
  <c r="EJ12" i="4"/>
  <c r="BB15" i="4"/>
  <c r="BR5" i="4"/>
  <c r="CN11" i="4"/>
  <c r="BZ11" i="4"/>
  <c r="AS13" i="4"/>
  <c r="CW9" i="4"/>
  <c r="X13" i="4"/>
  <c r="DR6" i="4"/>
  <c r="EG6" i="4"/>
  <c r="F13" i="1"/>
  <c r="C13" i="4"/>
  <c r="BJ153" i="1"/>
  <c r="AM39" i="1"/>
  <c r="N20" i="1"/>
  <c r="CN12" i="4"/>
  <c r="Z16" i="4"/>
  <c r="E39" i="1"/>
  <c r="AI5" i="4"/>
  <c r="AJ36" i="1"/>
  <c r="I7" i="4"/>
  <c r="AW9" i="4"/>
  <c r="CW13" i="4"/>
  <c r="AK12" i="4"/>
  <c r="AG8" i="4"/>
  <c r="EB12" i="4"/>
  <c r="BX15" i="1"/>
  <c r="AJ125" i="1"/>
  <c r="AK125" i="1" s="1"/>
  <c r="BD7" i="4"/>
  <c r="CN7" i="4"/>
  <c r="CV16" i="4"/>
  <c r="N8" i="4"/>
  <c r="DE9" i="4"/>
  <c r="DE13" i="4"/>
  <c r="F6" i="4"/>
  <c r="AK15" i="4"/>
  <c r="CM14" i="4"/>
  <c r="H8" i="1"/>
  <c r="J11" i="4"/>
  <c r="CP9" i="4"/>
  <c r="BQ16" i="4"/>
  <c r="IK16" i="4" s="1"/>
  <c r="J5" i="4"/>
  <c r="W8" i="4"/>
  <c r="BF16" i="4"/>
  <c r="BS9" i="4"/>
  <c r="BL14" i="4"/>
  <c r="ED5" i="4"/>
  <c r="AM9" i="1"/>
  <c r="CC12" i="4"/>
  <c r="BX25" i="1"/>
  <c r="AM16" i="4"/>
  <c r="IA16" i="4" s="1"/>
  <c r="AQ14" i="4"/>
  <c r="AB14" i="4"/>
  <c r="BD9" i="4"/>
  <c r="DK6" i="4"/>
  <c r="DW8" i="4"/>
  <c r="BJ140" i="1"/>
  <c r="BK140" i="1" s="1"/>
  <c r="BL202" i="1" s="1"/>
  <c r="DX12" i="4"/>
  <c r="BU5" i="4"/>
  <c r="DR11" i="4"/>
  <c r="BZ12" i="4"/>
  <c r="CF11" i="4"/>
  <c r="BX145" i="1"/>
  <c r="DN13" i="4"/>
  <c r="EA15" i="4"/>
  <c r="DC16" i="4"/>
  <c r="H11" i="4"/>
  <c r="H46" i="1"/>
  <c r="AJ12" i="4"/>
  <c r="CQ8" i="4"/>
  <c r="EI11" i="4"/>
  <c r="CU15" i="4"/>
  <c r="CQ7" i="4"/>
  <c r="DJ7" i="4"/>
  <c r="BJ146" i="1"/>
  <c r="BK146" i="1" s="1"/>
  <c r="AN12" i="4"/>
  <c r="BJ151" i="1"/>
  <c r="BK151" i="1" s="1"/>
  <c r="O13" i="4"/>
  <c r="AP8" i="4"/>
  <c r="AW14" i="4"/>
  <c r="AF9" i="4"/>
  <c r="AT12" i="4"/>
  <c r="AJ11" i="4"/>
  <c r="AC16" i="4"/>
  <c r="AT15" i="4"/>
  <c r="AD13" i="4"/>
  <c r="DZ7" i="4"/>
  <c r="AJ154" i="1"/>
  <c r="AK154" i="1" s="1"/>
  <c r="CA7" i="4"/>
  <c r="DS7" i="4"/>
  <c r="V15" i="4"/>
  <c r="AD5" i="4"/>
  <c r="BE7" i="4"/>
  <c r="AX6" i="4"/>
  <c r="AK24" i="1"/>
  <c r="CQ13" i="4"/>
  <c r="DC5" i="4"/>
  <c r="DH11" i="4"/>
  <c r="DC12" i="4"/>
  <c r="DW5" i="4"/>
  <c r="AM22" i="1"/>
  <c r="DD5" i="4"/>
  <c r="BJ159" i="1"/>
  <c r="AF13" i="4"/>
  <c r="CJ16" i="4"/>
  <c r="EC6" i="4"/>
  <c r="CL8" i="4"/>
  <c r="J16" i="4"/>
  <c r="AU6" i="4"/>
  <c r="AX13" i="4"/>
  <c r="BL15" i="4"/>
  <c r="Y13" i="4"/>
  <c r="EJ15" i="4"/>
  <c r="DW16" i="4"/>
  <c r="H8" i="4"/>
  <c r="L15" i="4"/>
  <c r="AJ164" i="1"/>
  <c r="AK164" i="1" s="1"/>
  <c r="DL12" i="4"/>
  <c r="DN7" i="4"/>
  <c r="S14" i="4"/>
  <c r="DT13" i="4"/>
  <c r="CK12" i="4"/>
  <c r="T36" i="1"/>
  <c r="U8" i="4"/>
  <c r="DD11" i="4"/>
  <c r="CR16" i="4"/>
  <c r="IT16" i="4" s="1"/>
  <c r="AK11" i="4"/>
  <c r="AJ117" i="1"/>
  <c r="AK117" i="1" s="1"/>
  <c r="CM15" i="4"/>
  <c r="BZ14" i="4"/>
  <c r="DT9" i="4"/>
  <c r="CY11" i="4"/>
  <c r="CX8" i="4"/>
  <c r="AK47" i="1"/>
  <c r="CV9" i="4"/>
  <c r="DG6" i="4"/>
  <c r="BK16" i="4"/>
  <c r="II16" i="4" s="1"/>
  <c r="AF11" i="4"/>
  <c r="BM11" i="4"/>
  <c r="DE5" i="4"/>
  <c r="CA14" i="4"/>
  <c r="BJ154" i="1"/>
  <c r="BK154" i="1" s="1"/>
  <c r="AX14" i="4"/>
  <c r="DU11" i="4"/>
  <c r="CU7" i="4"/>
  <c r="U6" i="4"/>
  <c r="CI7" i="4"/>
  <c r="DH15" i="4"/>
  <c r="DS9" i="4"/>
  <c r="JC9" i="4" s="1"/>
  <c r="DR13" i="4"/>
  <c r="DS11" i="4"/>
  <c r="DP6" i="4"/>
  <c r="CH14" i="4"/>
  <c r="AW7" i="4"/>
  <c r="CH16" i="4"/>
  <c r="AF14" i="4"/>
  <c r="BO6" i="4"/>
  <c r="CS11" i="4"/>
  <c r="E25" i="1"/>
  <c r="CI12" i="4"/>
  <c r="W15" i="4"/>
  <c r="CN5" i="4"/>
  <c r="DL7" i="4"/>
  <c r="EJ6" i="4"/>
  <c r="F16" i="4"/>
  <c r="HP16" i="4" s="1"/>
  <c r="DG12" i="4"/>
  <c r="R39" i="1"/>
  <c r="AI9" i="4"/>
  <c r="AY14" i="4"/>
  <c r="CA5" i="4"/>
  <c r="BJ15" i="4"/>
  <c r="AN9" i="4"/>
  <c r="CP15" i="4"/>
  <c r="EG12" i="4"/>
  <c r="J47" i="1"/>
  <c r="DI16" i="4"/>
  <c r="S5" i="4"/>
  <c r="V13" i="4"/>
  <c r="S13" i="1"/>
  <c r="BJ20" i="1"/>
  <c r="U7" i="4"/>
  <c r="BY11" i="4"/>
  <c r="AJ14" i="1"/>
  <c r="DG14" i="4"/>
  <c r="CZ8" i="4"/>
  <c r="BY15" i="4"/>
  <c r="EB5" i="4"/>
  <c r="EA8" i="4"/>
  <c r="DE12" i="4"/>
  <c r="E7" i="4"/>
  <c r="CX14" i="4"/>
  <c r="U15" i="4"/>
  <c r="EC12" i="4"/>
  <c r="DS5" i="4"/>
  <c r="AL25" i="1"/>
  <c r="F14" i="4"/>
  <c r="AB5" i="4"/>
  <c r="BR13" i="4"/>
  <c r="BE9" i="4"/>
  <c r="IG9" i="4" s="1"/>
  <c r="F7" i="4"/>
  <c r="G36" i="1"/>
  <c r="EH11" i="4"/>
  <c r="CE9" i="4"/>
  <c r="CS14" i="4"/>
  <c r="DV14" i="4"/>
  <c r="AU14" i="4"/>
  <c r="DX7" i="4"/>
  <c r="DA13" i="4"/>
  <c r="DV11" i="4"/>
  <c r="Q13" i="4"/>
  <c r="AI12" i="4"/>
  <c r="EF8" i="4"/>
  <c r="L9" i="4"/>
  <c r="HR9" i="4" s="1"/>
  <c r="CZ15" i="4"/>
  <c r="AQ8" i="4"/>
  <c r="AR8" i="4"/>
  <c r="BJ6" i="4"/>
  <c r="AS16" i="4"/>
  <c r="IC16" i="4" s="1"/>
  <c r="IC21" i="4" s="1"/>
  <c r="AW77" i="1" s="1"/>
  <c r="BI5" i="4"/>
  <c r="DG9" i="4"/>
  <c r="IY9" i="4" s="1"/>
  <c r="CS8" i="4"/>
  <c r="P5" i="4"/>
  <c r="AO11" i="4"/>
  <c r="BX132" i="1"/>
  <c r="AJ8" i="1"/>
  <c r="BC14" i="4"/>
  <c r="CM5" i="4"/>
  <c r="N7" i="4"/>
  <c r="DA5" i="4"/>
  <c r="X5" i="4"/>
  <c r="DF6" i="4"/>
  <c r="DG15" i="4"/>
  <c r="CO7" i="4"/>
  <c r="AL16" i="4"/>
  <c r="I15" i="4"/>
  <c r="E6" i="4"/>
  <c r="AL9" i="4"/>
  <c r="K20" i="1"/>
  <c r="DB13" i="4"/>
  <c r="O13" i="1"/>
  <c r="U12" i="4"/>
  <c r="BP11" i="4"/>
  <c r="AJ39" i="1"/>
  <c r="CC6" i="4"/>
  <c r="CK14" i="4"/>
  <c r="AB15" i="4"/>
  <c r="CC13" i="4"/>
  <c r="AJ155" i="1"/>
  <c r="AK155" i="1" s="1"/>
  <c r="AN13" i="4"/>
  <c r="BZ16" i="4"/>
  <c r="IN16" i="4" s="1"/>
  <c r="AM32" i="1"/>
  <c r="AM194" i="1" s="1"/>
  <c r="DH8" i="4"/>
  <c r="BV9" i="4"/>
  <c r="CW8" i="4"/>
  <c r="DT5" i="4"/>
  <c r="BY7" i="4"/>
  <c r="BK13" i="4"/>
  <c r="X11" i="4"/>
  <c r="O6" i="4"/>
  <c r="BO13" i="4"/>
  <c r="BE13" i="4"/>
  <c r="BC12" i="4"/>
  <c r="CF6" i="4"/>
  <c r="CD5" i="4"/>
  <c r="AC9" i="4"/>
  <c r="DO14" i="4"/>
  <c r="AA13" i="4"/>
  <c r="D122" i="1"/>
  <c r="T21" i="1"/>
  <c r="CI9" i="4"/>
  <c r="IQ9" i="4" s="1"/>
  <c r="H39" i="1"/>
  <c r="AJ7" i="4"/>
  <c r="EB8" i="4"/>
  <c r="DV13" i="4"/>
  <c r="CU12" i="4"/>
  <c r="CA13" i="4"/>
  <c r="DK9" i="4"/>
  <c r="T7" i="4"/>
  <c r="DH13" i="4"/>
  <c r="BH16" i="4"/>
  <c r="IH16" i="4" s="1"/>
  <c r="CD6" i="4"/>
  <c r="BX24" i="1"/>
  <c r="AH16" i="4"/>
  <c r="E23" i="1"/>
  <c r="CO13" i="4"/>
  <c r="DO8" i="4"/>
  <c r="E15" i="4"/>
  <c r="T23" i="1"/>
  <c r="AE13" i="4"/>
  <c r="P7" i="4"/>
  <c r="DJ14" i="4"/>
  <c r="M15" i="4"/>
  <c r="ED14" i="4"/>
  <c r="AH7" i="4"/>
  <c r="AA9" i="4"/>
  <c r="HW9" i="4" s="1"/>
  <c r="BG6" i="4"/>
  <c r="Y5" i="4"/>
  <c r="AC11" i="4"/>
  <c r="BY8" i="4"/>
  <c r="BS13" i="4"/>
  <c r="AN5" i="4"/>
  <c r="DQ9" i="4"/>
  <c r="G35" i="1"/>
  <c r="I9" i="1"/>
  <c r="DZ11" i="4"/>
  <c r="AD14" i="4"/>
  <c r="BJ14" i="1"/>
  <c r="AC13" i="4"/>
  <c r="EA12" i="4"/>
  <c r="AK39" i="1"/>
  <c r="CI5" i="4"/>
  <c r="BU14" i="4"/>
  <c r="CH15" i="4"/>
  <c r="BK14" i="4"/>
  <c r="BJ125" i="1"/>
  <c r="BK125" i="1" s="1"/>
  <c r="BO16" i="4"/>
  <c r="EH14" i="4"/>
  <c r="T16" i="4"/>
  <c r="BF15" i="4"/>
  <c r="DF9" i="4"/>
  <c r="X14" i="4"/>
  <c r="BS11" i="4"/>
  <c r="U32" i="1"/>
  <c r="AB16" i="4"/>
  <c r="L24" i="1"/>
  <c r="BA7" i="4"/>
  <c r="BE12" i="4"/>
  <c r="AX9" i="4"/>
  <c r="AJ21" i="1"/>
  <c r="DZ12" i="4"/>
  <c r="BX137" i="1"/>
  <c r="BY137" i="1" s="1"/>
  <c r="EK15" i="4"/>
  <c r="CB9" i="4"/>
  <c r="AJ153" i="1"/>
  <c r="AJ183" i="1" s="1"/>
  <c r="CQ12" i="4"/>
  <c r="AJ151" i="1"/>
  <c r="AK151" i="1" s="1"/>
  <c r="AJ145" i="1"/>
  <c r="AJ180" i="1" s="1"/>
  <c r="AK180" i="1" s="1"/>
  <c r="CQ16" i="4"/>
  <c r="DT15" i="4"/>
  <c r="EJ11" i="4"/>
  <c r="BR12" i="4"/>
  <c r="CY13" i="4"/>
  <c r="AG9" i="4"/>
  <c r="HY9" i="4" s="1"/>
  <c r="EA14" i="4"/>
  <c r="AG13" i="4"/>
  <c r="AD6" i="4"/>
  <c r="DS14" i="4"/>
  <c r="BU8" i="4"/>
  <c r="IM8" i="4" s="1"/>
  <c r="V5" i="4"/>
  <c r="BJ16" i="4"/>
  <c r="AP7" i="4"/>
  <c r="CN13" i="4"/>
  <c r="B9" i="1"/>
  <c r="BT13" i="4"/>
  <c r="BA13" i="4"/>
  <c r="BP16" i="4"/>
  <c r="CG9" i="4"/>
  <c r="N39" i="1"/>
  <c r="BB14" i="4"/>
  <c r="BX149" i="1"/>
  <c r="BY149" i="1" s="1"/>
  <c r="E12" i="4"/>
  <c r="CL12" i="4"/>
  <c r="EH16" i="4"/>
  <c r="JH16" i="4" s="1"/>
  <c r="S21" i="1"/>
  <c r="CA12" i="4"/>
  <c r="AE12" i="4"/>
  <c r="BT16" i="4"/>
  <c r="IL16" i="4" s="1"/>
  <c r="CT9" i="4"/>
  <c r="W46" i="1"/>
  <c r="EG14" i="4"/>
  <c r="BH14" i="4"/>
  <c r="CS16" i="4"/>
  <c r="DV6" i="4"/>
  <c r="R15" i="1"/>
  <c r="CE7" i="4"/>
  <c r="CV12" i="4"/>
  <c r="M25" i="1"/>
  <c r="B23" i="1"/>
  <c r="V36" i="1"/>
  <c r="V252" i="1" s="1"/>
  <c r="P155" i="1"/>
  <c r="BJ11" i="4"/>
  <c r="S9" i="1"/>
  <c r="F32" i="1"/>
  <c r="F194" i="1" s="1"/>
  <c r="Y6" i="4"/>
  <c r="AK9" i="1"/>
  <c r="AF8" i="4"/>
  <c r="DU7" i="4"/>
  <c r="V9" i="1"/>
  <c r="V10" i="1" s="1"/>
  <c r="AJ47" i="1"/>
  <c r="V47" i="1"/>
  <c r="M13" i="1"/>
  <c r="R21" i="1"/>
  <c r="CG14" i="4"/>
  <c r="S36" i="1"/>
  <c r="S252" i="1" s="1"/>
  <c r="W132" i="1"/>
  <c r="EA7" i="4"/>
  <c r="AM8" i="4"/>
  <c r="BG8" i="4"/>
  <c r="BX131" i="1"/>
  <c r="CC16" i="4"/>
  <c r="IO16" i="4" s="1"/>
  <c r="BX51" i="1"/>
  <c r="B51" i="1"/>
  <c r="AK35" i="1"/>
  <c r="C21" i="1"/>
  <c r="F45" i="1"/>
  <c r="CW7" i="4"/>
  <c r="B39" i="1"/>
  <c r="K14" i="4"/>
  <c r="G14" i="4"/>
  <c r="BZ7" i="4"/>
  <c r="N45" i="1"/>
  <c r="EE16" i="4"/>
  <c r="JG16" i="4" s="1"/>
  <c r="L5" i="4"/>
  <c r="CO8" i="4"/>
  <c r="BG11" i="4"/>
  <c r="DX8" i="4"/>
  <c r="CO6" i="4"/>
  <c r="X8" i="4"/>
  <c r="DQ6" i="4"/>
  <c r="DA11" i="4"/>
  <c r="W13" i="4"/>
  <c r="AN11" i="4"/>
  <c r="BW15" i="4"/>
  <c r="U13" i="1"/>
  <c r="F25" i="1"/>
  <c r="BO14" i="4"/>
  <c r="IK14" i="4" s="1"/>
  <c r="C15" i="1"/>
  <c r="CL9" i="4"/>
  <c r="IR9" i="4" s="1"/>
  <c r="BE11" i="4"/>
  <c r="K51" i="1"/>
  <c r="BV14" i="4"/>
  <c r="T15" i="1"/>
  <c r="AJ13" i="1"/>
  <c r="P21" i="1"/>
  <c r="DJ11" i="4"/>
  <c r="R13" i="1"/>
  <c r="AI11" i="4"/>
  <c r="AZ5" i="4"/>
  <c r="EA9" i="4"/>
  <c r="R51" i="1"/>
  <c r="K21" i="1"/>
  <c r="F21" i="1"/>
  <c r="R35" i="1"/>
  <c r="BX45" i="1"/>
  <c r="N46" i="1"/>
  <c r="J21" i="1"/>
  <c r="I25" i="1"/>
  <c r="I15" i="1"/>
  <c r="AL51" i="1"/>
  <c r="AO5" i="4"/>
  <c r="DO9" i="4"/>
  <c r="DX16" i="4"/>
  <c r="AS6" i="4"/>
  <c r="DN8" i="4"/>
  <c r="CT8" i="4"/>
  <c r="H32" i="1"/>
  <c r="CN15" i="4"/>
  <c r="EB11" i="4"/>
  <c r="BF9" i="4"/>
  <c r="U25" i="1"/>
  <c r="G32" i="1"/>
  <c r="G194" i="1" s="1"/>
  <c r="BE8" i="4"/>
  <c r="B24" i="1"/>
  <c r="D47" i="1"/>
  <c r="E20" i="1"/>
  <c r="G163" i="1"/>
  <c r="T8" i="1"/>
  <c r="T231" i="1" s="1"/>
  <c r="Q47" i="1"/>
  <c r="CB13" i="4"/>
  <c r="DR16" i="4"/>
  <c r="AK45" i="1"/>
  <c r="AM5" i="4"/>
  <c r="EJ14" i="4"/>
  <c r="DE11" i="4"/>
  <c r="P127" i="1"/>
  <c r="AM23" i="1"/>
  <c r="K45" i="1"/>
  <c r="H24" i="1"/>
  <c r="I46" i="1"/>
  <c r="AL21" i="1"/>
  <c r="BU7" i="4"/>
  <c r="I51" i="1"/>
  <c r="I47" i="1"/>
  <c r="L47" i="1"/>
  <c r="D45" i="1"/>
  <c r="F47" i="1"/>
  <c r="AO9" i="4"/>
  <c r="T6" i="4"/>
  <c r="BX125" i="1"/>
  <c r="BY125" i="1" s="1"/>
  <c r="DM5" i="4"/>
  <c r="E9" i="1"/>
  <c r="V51" i="1"/>
  <c r="AB7" i="4"/>
  <c r="EH7" i="4"/>
  <c r="J24" i="1"/>
  <c r="AF16" i="4"/>
  <c r="BE6" i="4"/>
  <c r="BH7" i="4"/>
  <c r="N15" i="4"/>
  <c r="AA6" i="4"/>
  <c r="AK25" i="1"/>
  <c r="M46" i="1"/>
  <c r="K25" i="1"/>
  <c r="D39" i="1"/>
  <c r="BX160" i="1"/>
  <c r="U51" i="1"/>
  <c r="BX124" i="1"/>
  <c r="BY124" i="1" s="1"/>
  <c r="U45" i="1"/>
  <c r="BO8" i="4"/>
  <c r="J15" i="1"/>
  <c r="D8" i="1"/>
  <c r="D231" i="1" s="1"/>
  <c r="N23" i="1"/>
  <c r="CZ16" i="4"/>
  <c r="K32" i="1"/>
  <c r="K194" i="1" s="1"/>
  <c r="W9" i="1"/>
  <c r="W10" i="1" s="1"/>
  <c r="S35" i="1"/>
  <c r="CT13" i="4"/>
  <c r="AK14" i="1"/>
  <c r="G8" i="1"/>
  <c r="AW13" i="4"/>
  <c r="BS12" i="4"/>
  <c r="L22" i="1"/>
  <c r="BX118" i="1"/>
  <c r="BY118" i="1" s="1"/>
  <c r="T22" i="1"/>
  <c r="E46" i="1"/>
  <c r="D36" i="1"/>
  <c r="D252" i="1" s="1"/>
  <c r="D23" i="1"/>
  <c r="AL12" i="4"/>
  <c r="S51" i="1"/>
  <c r="BF11" i="4"/>
  <c r="BQ11" i="4"/>
  <c r="BR9" i="4"/>
  <c r="AF6" i="4"/>
  <c r="DC7" i="4"/>
  <c r="DD9" i="4"/>
  <c r="IX9" i="4" s="1"/>
  <c r="DA15" i="4"/>
  <c r="EC16" i="4"/>
  <c r="DJ6" i="4"/>
  <c r="BL7" i="4"/>
  <c r="C8" i="4"/>
  <c r="BJ5" i="4"/>
  <c r="BF14" i="4"/>
  <c r="P9" i="4"/>
  <c r="D15" i="4"/>
  <c r="AF12" i="4"/>
  <c r="AV9" i="4"/>
  <c r="ID9" i="4" s="1"/>
  <c r="AX16" i="4"/>
  <c r="AC12" i="4"/>
  <c r="EJ16" i="4"/>
  <c r="EF6" i="4"/>
  <c r="F5" i="4"/>
  <c r="AE8" i="4"/>
  <c r="CZ11" i="4"/>
  <c r="AE5" i="4"/>
  <c r="EB14" i="4"/>
  <c r="EC5" i="4"/>
  <c r="Q16" i="4"/>
  <c r="CZ12" i="4"/>
  <c r="Q7" i="4"/>
  <c r="DA9" i="4"/>
  <c r="IW9" i="4" s="1"/>
  <c r="BV5" i="4"/>
  <c r="K13" i="4"/>
  <c r="CJ6" i="4"/>
  <c r="CB7" i="4"/>
  <c r="R14" i="4"/>
  <c r="CX12" i="4"/>
  <c r="AD12" i="4"/>
  <c r="DY14" i="4"/>
  <c r="CA16" i="4"/>
  <c r="DI8" i="4"/>
  <c r="EB6" i="4"/>
  <c r="BA5" i="4"/>
  <c r="CY9" i="4"/>
  <c r="AD8" i="4"/>
  <c r="DM11" i="4"/>
  <c r="T9" i="1"/>
  <c r="BG7" i="4"/>
  <c r="T5" i="4"/>
  <c r="BB5" i="4"/>
  <c r="AC7" i="4"/>
  <c r="CL13" i="4"/>
  <c r="S9" i="4"/>
  <c r="BT14" i="4"/>
  <c r="H13" i="4"/>
  <c r="DF15" i="4"/>
  <c r="AU11" i="4"/>
  <c r="CB5" i="4"/>
  <c r="AH13" i="4"/>
  <c r="CU8" i="4"/>
  <c r="CE8" i="4"/>
  <c r="EC8" i="4"/>
  <c r="BN13" i="4"/>
  <c r="EA5" i="4"/>
  <c r="CA15" i="4"/>
  <c r="I11" i="4"/>
  <c r="BJ14" i="4"/>
  <c r="K12" i="4"/>
  <c r="DQ15" i="4"/>
  <c r="BX14" i="1"/>
  <c r="DR14" i="4"/>
  <c r="CQ9" i="4"/>
  <c r="CE16" i="4"/>
  <c r="CV7" i="4"/>
  <c r="DS15" i="4"/>
  <c r="AX5" i="4"/>
  <c r="BY14" i="4"/>
  <c r="EJ9" i="4"/>
  <c r="CH5" i="4"/>
  <c r="AL6" i="4"/>
  <c r="S16" i="4"/>
  <c r="AL15" i="4"/>
  <c r="CB15" i="4"/>
  <c r="AJ5" i="4"/>
  <c r="AA16" i="4"/>
  <c r="HW16" i="4" s="1"/>
  <c r="HW21" i="4" s="1"/>
  <c r="AQ77" i="1" s="1"/>
  <c r="L21" i="1"/>
  <c r="AO13" i="4"/>
  <c r="BP15" i="4"/>
  <c r="CR14" i="4"/>
  <c r="DD13" i="4"/>
  <c r="N16" i="4"/>
  <c r="Z8" i="4"/>
  <c r="AR6" i="4"/>
  <c r="DE15" i="4"/>
  <c r="H9" i="1"/>
  <c r="CP8" i="4"/>
  <c r="Z5" i="4"/>
  <c r="DI12" i="4"/>
  <c r="U35" i="1"/>
  <c r="AY15" i="4"/>
  <c r="AI7" i="4"/>
  <c r="N51" i="1"/>
  <c r="AW5" i="4"/>
  <c r="BV6" i="4"/>
  <c r="H25" i="1"/>
  <c r="CV5" i="4"/>
  <c r="DH6" i="4"/>
  <c r="R11" i="4"/>
  <c r="H14" i="4"/>
  <c r="CR8" i="4"/>
  <c r="BX47" i="1"/>
  <c r="CK6" i="4"/>
  <c r="CS15" i="4"/>
  <c r="DN12" i="4"/>
  <c r="E45" i="1"/>
  <c r="EE8" i="4"/>
  <c r="F36" i="1"/>
  <c r="AR15" i="4"/>
  <c r="CF13" i="4"/>
  <c r="AK7" i="4"/>
  <c r="EA13" i="4"/>
  <c r="CH9" i="4"/>
  <c r="DC11" i="4"/>
  <c r="AB6" i="4"/>
  <c r="BK7" i="4"/>
  <c r="EG11" i="4"/>
  <c r="CR13" i="4"/>
  <c r="AV16" i="4"/>
  <c r="ID16" i="4" s="1"/>
  <c r="H16" i="4"/>
  <c r="AK8" i="4"/>
  <c r="AL7" i="4"/>
  <c r="CR5" i="4"/>
  <c r="AP13" i="4"/>
  <c r="AL14" i="1"/>
  <c r="AJ9" i="1"/>
  <c r="DP9" i="4"/>
  <c r="JB9" i="4" s="1"/>
  <c r="DH5" i="4"/>
  <c r="DT12" i="4"/>
  <c r="AV6" i="4"/>
  <c r="U20" i="1"/>
  <c r="F8" i="4"/>
  <c r="AB11" i="4"/>
  <c r="EF12" i="4"/>
  <c r="K5" i="4"/>
  <c r="Q8" i="4"/>
  <c r="AJ149" i="1"/>
  <c r="AK149" i="1" s="1"/>
  <c r="W14" i="4"/>
  <c r="EI13" i="4"/>
  <c r="BY9" i="4"/>
  <c r="DZ9" i="4"/>
  <c r="BT12" i="4"/>
  <c r="DT11" i="4"/>
  <c r="BT15" i="4"/>
  <c r="BR11" i="4"/>
  <c r="CE13" i="4"/>
  <c r="DK13" i="4"/>
  <c r="CF9" i="4"/>
  <c r="IP9" i="4" s="1"/>
  <c r="BW7" i="4"/>
  <c r="AG16" i="4"/>
  <c r="HY16" i="4" s="1"/>
  <c r="HY21" i="4" s="1"/>
  <c r="AS77" i="1" s="1"/>
  <c r="DL6" i="4"/>
  <c r="DV7" i="4"/>
  <c r="BS7" i="4"/>
  <c r="F15" i="1"/>
  <c r="N9" i="1"/>
  <c r="K15" i="4"/>
  <c r="DF13" i="4"/>
  <c r="EH15" i="4"/>
  <c r="JH15" i="4" s="1"/>
  <c r="AH6" i="4"/>
  <c r="CT11" i="4"/>
  <c r="F9" i="4"/>
  <c r="HP9" i="4" s="1"/>
  <c r="DK14" i="4"/>
  <c r="AR12" i="4"/>
  <c r="AR16" i="4"/>
  <c r="U9" i="1"/>
  <c r="U10" i="1" s="1"/>
  <c r="BB6" i="4"/>
  <c r="CS7" i="4"/>
  <c r="CW6" i="4"/>
  <c r="AM13" i="1"/>
  <c r="CK5" i="4"/>
  <c r="BQ15" i="4"/>
  <c r="P8" i="1"/>
  <c r="P231" i="1" s="1"/>
  <c r="C20" i="1"/>
  <c r="BJ8" i="1"/>
  <c r="BJ231" i="1" s="1"/>
  <c r="Q25" i="1"/>
  <c r="Q13" i="1"/>
  <c r="Q32" i="1"/>
  <c r="G9" i="1"/>
  <c r="V15" i="1"/>
  <c r="T24" i="1"/>
  <c r="BZ13" i="4"/>
  <c r="C13" i="1"/>
  <c r="DV5" i="4"/>
  <c r="R36" i="1"/>
  <c r="O45" i="1"/>
  <c r="G153" i="1"/>
  <c r="AM14" i="1"/>
  <c r="P20" i="1"/>
  <c r="I22" i="1"/>
  <c r="J46" i="1"/>
  <c r="K22" i="1"/>
  <c r="N13" i="1"/>
  <c r="DW15" i="4"/>
  <c r="JE15" i="4" s="1"/>
  <c r="M23" i="1"/>
  <c r="B13" i="1"/>
  <c r="V21" i="1"/>
  <c r="DB14" i="4"/>
  <c r="AU13" i="4"/>
  <c r="AV15" i="4"/>
  <c r="DN9" i="4"/>
  <c r="T46" i="1"/>
  <c r="I45" i="1"/>
  <c r="EJ5" i="4"/>
  <c r="I35" i="1"/>
  <c r="AK51" i="1"/>
  <c r="U46" i="1"/>
  <c r="DA14" i="4"/>
  <c r="F51" i="1"/>
  <c r="AG12" i="4"/>
  <c r="BJ7" i="4"/>
  <c r="BP12" i="4"/>
  <c r="V11" i="4"/>
  <c r="BX22" i="1"/>
  <c r="AM12" i="4"/>
  <c r="CR12" i="4"/>
  <c r="F12" i="4"/>
  <c r="F13" i="4"/>
  <c r="C22" i="1"/>
  <c r="BU6" i="4"/>
  <c r="Q51" i="1"/>
  <c r="DR8" i="4"/>
  <c r="EH5" i="4"/>
  <c r="P46" i="1"/>
  <c r="K8" i="1"/>
  <c r="BJ25" i="1"/>
  <c r="N15" i="1"/>
  <c r="L36" i="1"/>
  <c r="G47" i="1"/>
  <c r="DP12" i="4"/>
  <c r="O25" i="1"/>
  <c r="J13" i="1"/>
  <c r="AB13" i="4"/>
  <c r="EE13" i="4"/>
  <c r="O7" i="4"/>
  <c r="S45" i="1"/>
  <c r="BM14" i="4"/>
  <c r="M13" i="4"/>
  <c r="CM16" i="4"/>
  <c r="S22" i="1"/>
  <c r="J119" i="1"/>
  <c r="DW6" i="4"/>
  <c r="BX142" i="1"/>
  <c r="BY142" i="1" s="1"/>
  <c r="K35" i="1"/>
  <c r="AK22" i="1"/>
  <c r="V45" i="1"/>
  <c r="C124" i="1"/>
  <c r="N32" i="1"/>
  <c r="N194" i="1" s="1"/>
  <c r="U16" i="4"/>
  <c r="HU16" i="4" s="1"/>
  <c r="HU21" i="4" s="1"/>
  <c r="AO77" i="1" s="1"/>
  <c r="CT14" i="4"/>
  <c r="BX122" i="1"/>
  <c r="BY122" i="1" s="1"/>
  <c r="BF7" i="4"/>
  <c r="DB9" i="4"/>
  <c r="CV13" i="4"/>
  <c r="R25" i="1"/>
  <c r="CM7" i="4"/>
  <c r="DP11" i="4"/>
  <c r="BL16" i="4"/>
  <c r="DY16" i="4"/>
  <c r="JE16" i="4" s="1"/>
  <c r="JE21" i="4" s="1"/>
  <c r="BY77" i="1" s="1"/>
  <c r="CS12" i="4"/>
  <c r="M5" i="4"/>
  <c r="AA8" i="4"/>
  <c r="BX152" i="1"/>
  <c r="BY152" i="1" s="1"/>
  <c r="DS12" i="4"/>
  <c r="AH5" i="4"/>
  <c r="BJ12" i="4"/>
  <c r="P47" i="1"/>
  <c r="E32" i="1"/>
  <c r="E194" i="1" s="1"/>
  <c r="V24" i="1"/>
  <c r="AM21" i="1"/>
  <c r="T25" i="1"/>
  <c r="AJ45" i="1"/>
  <c r="BM15" i="4"/>
  <c r="BV7" i="4"/>
  <c r="F9" i="1"/>
  <c r="T15" i="4"/>
  <c r="U21" i="1"/>
  <c r="O24" i="1"/>
  <c r="M24" i="1"/>
  <c r="S15" i="1"/>
  <c r="Q24" i="1"/>
  <c r="E159" i="1"/>
  <c r="W24" i="1"/>
  <c r="CO9" i="4"/>
  <c r="IS9" i="4" s="1"/>
  <c r="V46" i="1"/>
  <c r="W25" i="1"/>
  <c r="AL9" i="1"/>
  <c r="BD6" i="4"/>
  <c r="H20" i="1"/>
  <c r="AI14" i="4"/>
  <c r="CY15" i="4"/>
  <c r="BX150" i="1"/>
  <c r="BY150" i="1" s="1"/>
  <c r="J9" i="1"/>
  <c r="BX151" i="1"/>
  <c r="BY151" i="1" s="1"/>
  <c r="BS15" i="4"/>
  <c r="I5" i="4"/>
  <c r="CK11" i="4"/>
  <c r="DN14" i="4"/>
  <c r="AL8" i="1"/>
  <c r="AL231" i="1" s="1"/>
  <c r="DX13" i="4"/>
  <c r="DV15" i="4"/>
  <c r="G24" i="1"/>
  <c r="M36" i="1"/>
  <c r="G23" i="1"/>
  <c r="BX135" i="1"/>
  <c r="BY135" i="1" s="1"/>
  <c r="L9" i="1"/>
  <c r="E24" i="1"/>
  <c r="P22" i="1"/>
  <c r="EH13" i="4"/>
  <c r="U5" i="4"/>
  <c r="E35" i="1"/>
  <c r="BH13" i="4"/>
  <c r="I23" i="1"/>
  <c r="G25" i="1"/>
  <c r="BW11" i="4"/>
  <c r="L25" i="1"/>
  <c r="W39" i="1"/>
  <c r="N35" i="1"/>
  <c r="BX127" i="1"/>
  <c r="BY127" i="1" s="1"/>
  <c r="CB14" i="4"/>
  <c r="Q46" i="1"/>
  <c r="V39" i="1"/>
  <c r="DY11" i="4"/>
  <c r="BQ9" i="4"/>
  <c r="IK9" i="4" s="1"/>
  <c r="BX163" i="1"/>
  <c r="BY163" i="1" s="1"/>
  <c r="I32" i="1"/>
  <c r="I8" i="1"/>
  <c r="P51" i="1"/>
  <c r="BX74" i="1"/>
  <c r="DM6" i="4"/>
  <c r="O47" i="1"/>
  <c r="O8" i="1"/>
  <c r="K23" i="1"/>
  <c r="J39" i="1"/>
  <c r="L45" i="1"/>
  <c r="DP15" i="4"/>
  <c r="DU5" i="4"/>
  <c r="BJ24" i="1"/>
  <c r="W7" i="4"/>
  <c r="AQ12" i="4"/>
  <c r="CB11" i="4"/>
  <c r="BU9" i="4"/>
  <c r="Q12" i="4"/>
  <c r="DS16" i="4"/>
  <c r="JC16" i="4" s="1"/>
  <c r="AZ15" i="4"/>
  <c r="AR5" i="4"/>
  <c r="CH7" i="4"/>
  <c r="G7" i="4"/>
  <c r="BX13" i="1"/>
  <c r="D32" i="1"/>
  <c r="DD6" i="4"/>
  <c r="Y16" i="4"/>
  <c r="DR7" i="4"/>
  <c r="CQ6" i="4"/>
  <c r="BE5" i="4"/>
  <c r="ED7" i="4"/>
  <c r="JG7" i="4" s="1"/>
  <c r="DK11" i="4"/>
  <c r="N12" i="4"/>
  <c r="L16" i="4"/>
  <c r="HR16" i="4" s="1"/>
  <c r="BC15" i="4"/>
  <c r="DI7" i="4"/>
  <c r="AN7" i="4"/>
  <c r="CI14" i="4"/>
  <c r="X6" i="4"/>
  <c r="CJ12" i="4"/>
  <c r="BM16" i="4"/>
  <c r="EG7" i="4"/>
  <c r="L39" i="1"/>
  <c r="AL47" i="1"/>
  <c r="AL32" i="1"/>
  <c r="I13" i="4"/>
  <c r="DP7" i="4"/>
  <c r="DY8" i="4"/>
  <c r="D11" i="4"/>
  <c r="BX5" i="4"/>
  <c r="CT5" i="4"/>
  <c r="AD15" i="4"/>
  <c r="BX164" i="1"/>
  <c r="BY164" i="1" s="1"/>
  <c r="EK12" i="4"/>
  <c r="AQ9" i="4"/>
  <c r="V6" i="4"/>
  <c r="CV8" i="4"/>
  <c r="C9" i="4"/>
  <c r="AU9" i="4"/>
  <c r="DI9" i="4"/>
  <c r="T12" i="4"/>
  <c r="G9" i="4"/>
  <c r="BT9" i="4"/>
  <c r="IL9" i="4" s="1"/>
  <c r="T9" i="4"/>
  <c r="O9" i="4"/>
  <c r="HS9" i="4" s="1"/>
  <c r="K8" i="4"/>
  <c r="BO9" i="4"/>
  <c r="CN14" i="4"/>
  <c r="P16" i="4"/>
  <c r="AL23" i="1"/>
  <c r="EI9" i="4"/>
  <c r="T13" i="1"/>
  <c r="DR9" i="4"/>
  <c r="AY9" i="4"/>
  <c r="IE9" i="4" s="1"/>
  <c r="B25" i="1"/>
  <c r="BX16" i="4"/>
  <c r="G45" i="1"/>
  <c r="M8" i="4"/>
  <c r="EG15" i="4"/>
  <c r="E36" i="1"/>
  <c r="BI8" i="4"/>
  <c r="DB15" i="4"/>
  <c r="C12" i="4"/>
  <c r="AK6" i="4"/>
  <c r="BJ132" i="1"/>
  <c r="DV8" i="4"/>
  <c r="BH6" i="4"/>
  <c r="DQ13" i="4"/>
  <c r="AK13" i="4"/>
  <c r="CH8" i="4"/>
  <c r="F15" i="4"/>
  <c r="R13" i="4"/>
  <c r="BI7" i="4"/>
  <c r="BN15" i="4"/>
  <c r="Q9" i="1"/>
  <c r="BJ23" i="1"/>
  <c r="CP14" i="4"/>
  <c r="V12" i="4"/>
  <c r="DG5" i="4"/>
  <c r="DW13" i="4"/>
  <c r="AP5" i="4"/>
  <c r="K9" i="4"/>
  <c r="E5" i="4"/>
  <c r="AH11" i="4"/>
  <c r="CP11" i="4"/>
  <c r="DP16" i="4"/>
  <c r="JB16" i="4" s="1"/>
  <c r="JB21" i="4" s="1"/>
  <c r="BV77" i="1" s="1"/>
  <c r="DB5" i="4"/>
  <c r="BG15" i="4"/>
  <c r="AZ8" i="4"/>
  <c r="E8" i="4"/>
  <c r="F24" i="1"/>
  <c r="DN6" i="4"/>
  <c r="CZ9" i="4"/>
  <c r="AM11" i="4"/>
  <c r="Z15" i="4"/>
  <c r="G15" i="4"/>
  <c r="HQ15" i="4" s="1"/>
  <c r="W23" i="1"/>
  <c r="BI16" i="4"/>
  <c r="AT5" i="4"/>
  <c r="BR8" i="4"/>
  <c r="M15" i="1"/>
  <c r="CM9" i="4"/>
  <c r="O51" i="1"/>
  <c r="M7" i="4"/>
  <c r="EI14" i="4"/>
  <c r="CT16" i="4"/>
  <c r="AJ163" i="1"/>
  <c r="AK163" i="1" s="1"/>
  <c r="BH15" i="4"/>
  <c r="DC14" i="4"/>
  <c r="CB6" i="4"/>
  <c r="BA12" i="4"/>
  <c r="BT6" i="4"/>
  <c r="BZ15" i="4"/>
  <c r="DM8" i="4"/>
  <c r="AA12" i="4"/>
  <c r="AY6" i="4"/>
  <c r="EK14" i="4"/>
  <c r="DK5" i="4"/>
  <c r="DL13" i="4"/>
  <c r="D8" i="4"/>
  <c r="BN9" i="4"/>
  <c r="IJ9" i="4" s="1"/>
  <c r="CJ8" i="4"/>
  <c r="P9" i="1"/>
  <c r="Q35" i="1"/>
  <c r="G21" i="1"/>
  <c r="AR9" i="4"/>
  <c r="DM9" i="4"/>
  <c r="JA9" i="4" s="1"/>
  <c r="AW15" i="4"/>
  <c r="AJ35" i="1"/>
  <c r="EC9" i="4"/>
  <c r="AW16" i="4"/>
  <c r="W5" i="4"/>
  <c r="BA8" i="4"/>
  <c r="H47" i="1"/>
  <c r="DE7" i="4"/>
  <c r="W9" i="4"/>
  <c r="DR5" i="4"/>
  <c r="AI16" i="4"/>
  <c r="DC8" i="4"/>
  <c r="BI9" i="4"/>
  <c r="S12" i="4"/>
  <c r="AL46" i="1"/>
  <c r="AA11" i="4"/>
  <c r="BC7" i="4"/>
  <c r="DZ16" i="4"/>
  <c r="EE9" i="4"/>
  <c r="JG9" i="4" s="1"/>
  <c r="D51" i="1"/>
  <c r="BX15" i="4"/>
  <c r="DL14" i="4"/>
  <c r="CW11" i="4"/>
  <c r="EC11" i="4"/>
  <c r="BH11" i="4"/>
  <c r="R9" i="4"/>
  <c r="HT9" i="4" s="1"/>
  <c r="DW12" i="4"/>
  <c r="AC6" i="4"/>
  <c r="BY5" i="4"/>
  <c r="DU12" i="4"/>
  <c r="CS6" i="4"/>
  <c r="L23" i="1"/>
  <c r="DZ8" i="4"/>
  <c r="JF8" i="4" s="1"/>
  <c r="DP8" i="4"/>
  <c r="D9" i="1"/>
  <c r="DG11" i="4"/>
  <c r="CG8" i="4"/>
  <c r="BN5" i="4"/>
  <c r="DO13" i="4"/>
  <c r="D20" i="1"/>
  <c r="Y8" i="4"/>
  <c r="CT6" i="4"/>
  <c r="DI11" i="4"/>
  <c r="AX7" i="4"/>
  <c r="AV7" i="4"/>
  <c r="BJ164" i="1"/>
  <c r="BX6" i="4"/>
  <c r="AJ147" i="1"/>
  <c r="AK147" i="1" s="1"/>
  <c r="BB8" i="4"/>
  <c r="EI6" i="4"/>
  <c r="BO15" i="4"/>
  <c r="BJ145" i="1"/>
  <c r="BQ7" i="4"/>
  <c r="IK7" i="4" s="1"/>
  <c r="IK19" i="4" s="1"/>
  <c r="BE78" i="1" s="1"/>
  <c r="BE107" i="1" s="1"/>
  <c r="DI6" i="4"/>
  <c r="BL6" i="4"/>
  <c r="CX9" i="4"/>
  <c r="IV9" i="4" s="1"/>
  <c r="IV21" i="4" s="1"/>
  <c r="BP77" i="1" s="1"/>
  <c r="BV16" i="4"/>
  <c r="BU15" i="4"/>
  <c r="AZ11" i="4"/>
  <c r="X7" i="4"/>
  <c r="CX5" i="4"/>
  <c r="DH14" i="4"/>
  <c r="IZ14" i="4" s="1"/>
  <c r="R5" i="4"/>
  <c r="CU9" i="4"/>
  <c r="IU9" i="4" s="1"/>
  <c r="BM5" i="4"/>
  <c r="E22" i="1"/>
  <c r="CM12" i="4"/>
  <c r="BJ15" i="1"/>
  <c r="DY5" i="4"/>
  <c r="DO5" i="4"/>
  <c r="C14" i="4"/>
  <c r="CW14" i="4"/>
  <c r="C39" i="1"/>
  <c r="AE15" i="4"/>
  <c r="S32" i="1"/>
  <c r="CM11" i="4"/>
  <c r="BZ8" i="4"/>
  <c r="J8" i="4"/>
  <c r="BX20" i="1"/>
  <c r="CZ14" i="4"/>
  <c r="ED15" i="4"/>
  <c r="BX23" i="1"/>
  <c r="AU12" i="4"/>
  <c r="AP15" i="4"/>
  <c r="DM14" i="4"/>
  <c r="BX154" i="1"/>
  <c r="BY154" i="1" s="1"/>
  <c r="C47" i="1"/>
  <c r="P39" i="1"/>
  <c r="V13" i="1"/>
  <c r="AJ32" i="1"/>
  <c r="AJ33" i="1" s="1"/>
  <c r="F39" i="1"/>
  <c r="R8" i="1"/>
  <c r="R231" i="1" s="1"/>
  <c r="CT15" i="4"/>
  <c r="BJ13" i="1"/>
  <c r="L46" i="1"/>
  <c r="BX144" i="1"/>
  <c r="BX179" i="1" s="1"/>
  <c r="BY179" i="1" s="1"/>
  <c r="N8" i="1"/>
  <c r="N231" i="1" s="1"/>
  <c r="F23" i="1"/>
  <c r="P35" i="1"/>
  <c r="D25" i="1"/>
  <c r="C8" i="1"/>
  <c r="C231" i="1" s="1"/>
  <c r="M11" i="4"/>
  <c r="AB12" i="4"/>
  <c r="CC11" i="4"/>
  <c r="H23" i="1"/>
  <c r="T32" i="1"/>
  <c r="T194" i="1" s="1"/>
  <c r="W13" i="1"/>
  <c r="H45" i="1"/>
  <c r="AM6" i="4"/>
  <c r="G46" i="1"/>
  <c r="K9" i="1"/>
  <c r="J22" i="1"/>
  <c r="CC5" i="4"/>
  <c r="AG7" i="4"/>
  <c r="CX13" i="4"/>
  <c r="BZ5" i="4"/>
  <c r="BS6" i="4"/>
  <c r="BX13" i="4"/>
  <c r="AT14" i="4"/>
  <c r="Q15" i="1"/>
  <c r="CG11" i="4"/>
  <c r="EK5" i="4"/>
  <c r="AE11" i="4"/>
  <c r="L8" i="1"/>
  <c r="L231" i="1" s="1"/>
  <c r="P45" i="1"/>
  <c r="AK15" i="1"/>
  <c r="C32" i="1"/>
  <c r="H22" i="1"/>
  <c r="AL36" i="1"/>
  <c r="B22" i="1"/>
  <c r="DL11" i="4"/>
  <c r="DB8" i="4"/>
  <c r="IX8" i="4" s="1"/>
  <c r="AM36" i="1"/>
  <c r="CA8" i="4"/>
  <c r="IO8" i="4" s="1"/>
  <c r="DU6" i="4"/>
  <c r="AM35" i="1"/>
  <c r="AE6" i="4"/>
  <c r="BB16" i="4"/>
  <c r="IF16" i="4" s="1"/>
  <c r="IF21" i="4" s="1"/>
  <c r="AZ77" i="1" s="1"/>
  <c r="DG8" i="4"/>
  <c r="D15" i="1"/>
  <c r="T51" i="1"/>
  <c r="T39" i="1"/>
  <c r="P15" i="1"/>
  <c r="AK36" i="1"/>
  <c r="BX21" i="1"/>
  <c r="CX15" i="4"/>
  <c r="CF16" i="4"/>
  <c r="IP16" i="4" s="1"/>
  <c r="DT7" i="4"/>
  <c r="JD7" i="4" s="1"/>
  <c r="DF16" i="4"/>
  <c r="DM13" i="4"/>
  <c r="AJ9" i="4"/>
  <c r="HZ9" i="4" s="1"/>
  <c r="CN9" i="4"/>
  <c r="D22" i="1"/>
  <c r="AQ16" i="4"/>
  <c r="CJ14" i="4"/>
  <c r="AZ6" i="4"/>
  <c r="DT6" i="4"/>
  <c r="DB12" i="4"/>
  <c r="BK9" i="4"/>
  <c r="II9" i="4" s="1"/>
  <c r="BX143" i="1"/>
  <c r="BY143" i="1" s="1"/>
  <c r="L32" i="1"/>
  <c r="Q20" i="1"/>
  <c r="S47" i="1"/>
  <c r="AL13" i="1"/>
  <c r="J45" i="1"/>
  <c r="J35" i="1"/>
  <c r="O20" i="1"/>
  <c r="AY7" i="4"/>
  <c r="B36" i="1"/>
  <c r="B45" i="1"/>
  <c r="O11" i="4"/>
  <c r="S24" i="1"/>
  <c r="M20" i="1"/>
  <c r="R20" i="1"/>
  <c r="L20" i="1"/>
  <c r="C35" i="1"/>
  <c r="AK23" i="1"/>
  <c r="M47" i="1"/>
  <c r="BX140" i="1"/>
  <c r="BX159" i="1"/>
  <c r="BX161" i="1" s="1"/>
  <c r="BY209" i="1" s="1"/>
  <c r="I24" i="1"/>
  <c r="BD12" i="4"/>
  <c r="H36" i="1"/>
  <c r="AU5" i="4"/>
  <c r="C46" i="1"/>
  <c r="BM8" i="4"/>
  <c r="E51" i="1"/>
  <c r="BX119" i="1"/>
  <c r="BY119" i="1" s="1"/>
  <c r="T35" i="1"/>
  <c r="J20" i="1"/>
  <c r="I39" i="1"/>
  <c r="AM20" i="1"/>
  <c r="M39" i="1"/>
  <c r="CN16" i="4"/>
  <c r="E8" i="1"/>
  <c r="E231" i="1" s="1"/>
  <c r="J36" i="1"/>
  <c r="DS8" i="4"/>
  <c r="AM24" i="1"/>
  <c r="BR6" i="4"/>
  <c r="AN15" i="4"/>
  <c r="IB15" i="4" s="1"/>
  <c r="IB20" i="4" s="1"/>
  <c r="AV79" i="1" s="1"/>
  <c r="AV108" i="1" s="1"/>
  <c r="BS8" i="4"/>
  <c r="AK14" i="4"/>
  <c r="AW12" i="4"/>
  <c r="B15" i="1"/>
  <c r="BT7" i="4"/>
  <c r="J8" i="1"/>
  <c r="J231" i="1" s="1"/>
  <c r="W35" i="1"/>
  <c r="J32" i="1"/>
  <c r="J194" i="1" s="1"/>
  <c r="CY6" i="4"/>
  <c r="BX126" i="1"/>
  <c r="BY126" i="1" s="1"/>
  <c r="BM6" i="4"/>
  <c r="AL20" i="1"/>
  <c r="T47" i="1"/>
  <c r="CJ11" i="4"/>
  <c r="M35" i="1"/>
  <c r="N36" i="1"/>
  <c r="S25" i="1"/>
  <c r="V35" i="1"/>
  <c r="G20" i="1"/>
  <c r="W21" i="1"/>
  <c r="P24" i="1"/>
  <c r="F8" i="1"/>
  <c r="F231" i="1" s="1"/>
  <c r="J9" i="4"/>
  <c r="AJ22" i="1"/>
  <c r="P13" i="1"/>
  <c r="DX5" i="4"/>
  <c r="AV11" i="4"/>
  <c r="O9" i="1"/>
  <c r="E16" i="4"/>
  <c r="H13" i="1"/>
  <c r="W117" i="1"/>
  <c r="I13" i="1"/>
  <c r="R9" i="1"/>
  <c r="H21" i="1"/>
  <c r="G13" i="1"/>
  <c r="CD16" i="4"/>
  <c r="AL15" i="1"/>
  <c r="V25" i="1"/>
  <c r="S39" i="1"/>
  <c r="BC16" i="4"/>
  <c r="DZ15" i="4"/>
  <c r="G6" i="4"/>
  <c r="U11" i="4"/>
  <c r="BX46" i="1"/>
  <c r="BX35" i="1"/>
  <c r="CO14" i="4"/>
  <c r="AP11" i="4"/>
  <c r="DP14" i="4"/>
  <c r="M6" i="4"/>
  <c r="W51" i="1"/>
  <c r="EA16" i="4"/>
  <c r="BJ21" i="1"/>
  <c r="S8" i="4"/>
  <c r="AG14" i="4"/>
  <c r="AU16" i="4"/>
  <c r="P36" i="1"/>
  <c r="P252" i="1" s="1"/>
  <c r="BD13" i="4"/>
  <c r="BI11" i="4"/>
  <c r="DH12" i="4"/>
  <c r="W12" i="4"/>
  <c r="BW13" i="4"/>
  <c r="BM12" i="4"/>
  <c r="Z12" i="4"/>
  <c r="G11" i="4"/>
  <c r="EC13" i="4"/>
  <c r="CK15" i="4"/>
  <c r="Y7" i="4"/>
  <c r="BX147" i="1"/>
  <c r="BY147" i="1" s="1"/>
  <c r="D35" i="1"/>
  <c r="O5" i="4"/>
  <c r="AJ15" i="1"/>
  <c r="DO11" i="4"/>
  <c r="G22" i="1"/>
  <c r="AH12" i="4"/>
  <c r="EK8" i="4"/>
  <c r="L13" i="1"/>
  <c r="AG5" i="4"/>
  <c r="DQ14" i="4"/>
  <c r="CL11" i="4"/>
  <c r="AT6" i="4"/>
  <c r="U23" i="1"/>
  <c r="BX14" i="4"/>
  <c r="AU7" i="4"/>
  <c r="AB9" i="4"/>
  <c r="AA14" i="4"/>
  <c r="BK5" i="4"/>
  <c r="CS9" i="4"/>
  <c r="DO16" i="4"/>
  <c r="BC5" i="4"/>
  <c r="R8" i="4"/>
  <c r="BB9" i="4"/>
  <c r="IF9" i="4" s="1"/>
  <c r="BX73" i="1"/>
  <c r="BX8" i="4"/>
  <c r="CA6" i="4"/>
  <c r="CY8" i="4"/>
  <c r="BN11" i="4"/>
  <c r="E47" i="1"/>
  <c r="BK8" i="4"/>
  <c r="Q39" i="1"/>
  <c r="N13" i="4"/>
  <c r="R47" i="1"/>
  <c r="BZ6" i="4"/>
  <c r="BH12" i="4"/>
  <c r="L35" i="1"/>
  <c r="D46" i="1"/>
  <c r="AF15" i="4"/>
  <c r="AW6" i="4"/>
  <c r="AK16" i="4"/>
  <c r="BY12" i="4"/>
  <c r="CC14" i="4"/>
  <c r="BQ13" i="4"/>
  <c r="CA11" i="4"/>
  <c r="DB7" i="4"/>
  <c r="IX7" i="4" s="1"/>
  <c r="DR15" i="4"/>
  <c r="BU12" i="4"/>
  <c r="DS13" i="4"/>
  <c r="DQ8" i="4"/>
  <c r="CR9" i="4"/>
  <c r="IT9" i="4" s="1"/>
  <c r="DL9" i="4"/>
  <c r="R22" i="1"/>
  <c r="DD15" i="4"/>
  <c r="DO12" i="4"/>
  <c r="CF5" i="4"/>
  <c r="AY11" i="4"/>
  <c r="CN8" i="4"/>
  <c r="N22" i="1"/>
  <c r="CU13" i="4"/>
  <c r="N11" i="4"/>
  <c r="DF8" i="4"/>
  <c r="BD14" i="4"/>
  <c r="CJ15" i="4"/>
  <c r="DA12" i="4"/>
  <c r="AM9" i="4"/>
  <c r="IA9" i="4" s="1"/>
  <c r="C16" i="4"/>
  <c r="G13" i="4"/>
  <c r="DE6" i="4"/>
  <c r="BX8" i="1"/>
  <c r="BX231" i="1" s="1"/>
  <c r="M14" i="4"/>
  <c r="HS14" i="4" s="1"/>
  <c r="CP12" i="4"/>
  <c r="CV6" i="4"/>
  <c r="CZ5" i="4"/>
  <c r="AS15" i="4"/>
  <c r="EF9" i="4"/>
  <c r="AJ14" i="4"/>
  <c r="DF5" i="4"/>
  <c r="EG5" i="4"/>
  <c r="EH8" i="4"/>
  <c r="JH8" i="4" s="1"/>
  <c r="BH5" i="4"/>
  <c r="CE6" i="4"/>
  <c r="AO12" i="4"/>
  <c r="CU5" i="4"/>
  <c r="BV13" i="4"/>
  <c r="AX15" i="4"/>
  <c r="DX6" i="4"/>
  <c r="DJ8" i="4"/>
  <c r="N9" i="4"/>
  <c r="R6" i="4"/>
  <c r="BF13" i="4"/>
  <c r="DW14" i="4"/>
  <c r="JE14" i="4" s="1"/>
  <c r="M51" i="1"/>
  <c r="DE16" i="4"/>
  <c r="CD15" i="4"/>
  <c r="AT11" i="4"/>
  <c r="M45" i="1"/>
  <c r="BB7" i="4"/>
  <c r="AL35" i="1"/>
  <c r="N25" i="1"/>
  <c r="CJ13" i="4"/>
  <c r="Z9" i="4"/>
  <c r="U15" i="1"/>
  <c r="U16" i="1" s="1"/>
  <c r="BM13" i="4"/>
  <c r="G5" i="4"/>
  <c r="E11" i="4"/>
  <c r="DL15" i="4"/>
  <c r="DA7" i="4"/>
  <c r="IW7" i="4" s="1"/>
  <c r="CH12" i="4"/>
  <c r="DY7" i="4"/>
  <c r="CG7" i="4"/>
  <c r="J15" i="4"/>
  <c r="J6" i="4"/>
  <c r="ED8" i="4"/>
  <c r="I12" i="4"/>
  <c r="BZ9" i="4"/>
  <c r="IN9" i="4" s="1"/>
  <c r="AY12" i="4"/>
  <c r="DJ16" i="4"/>
  <c r="IZ16" i="4" s="1"/>
  <c r="IZ21" i="4" s="1"/>
  <c r="BT77" i="1" s="1"/>
  <c r="DO15" i="4"/>
  <c r="AS14" i="4"/>
  <c r="EF13" i="4"/>
  <c r="Z14" i="4"/>
  <c r="BW6" i="4"/>
  <c r="DH9" i="4"/>
  <c r="J51" i="1"/>
  <c r="P11" i="4"/>
  <c r="BR15" i="4"/>
  <c r="DE8" i="4"/>
  <c r="AG15" i="4"/>
  <c r="U39" i="1"/>
  <c r="DX9" i="4"/>
  <c r="DH16" i="4"/>
  <c r="CL15" i="4"/>
  <c r="H9" i="4"/>
  <c r="BT11" i="4"/>
  <c r="AV14" i="4"/>
  <c r="EB13" i="4"/>
  <c r="D14" i="4"/>
  <c r="AQ11" i="4"/>
  <c r="CE12" i="4"/>
  <c r="CK13" i="4"/>
  <c r="BJ131" i="1"/>
  <c r="Y9" i="4"/>
  <c r="BQ8" i="4"/>
  <c r="IK8" i="4" s="1"/>
  <c r="Q21" i="1"/>
  <c r="W32" i="1"/>
  <c r="W253" i="1" s="1"/>
  <c r="BN16" i="4"/>
  <c r="IJ16" i="4" s="1"/>
  <c r="IJ21" i="4" s="1"/>
  <c r="BD77" i="1" s="1"/>
  <c r="BL8" i="4"/>
  <c r="CR7" i="4"/>
  <c r="C51" i="1"/>
  <c r="T13" i="4"/>
  <c r="CD12" i="4"/>
  <c r="Q23" i="1"/>
  <c r="O8" i="4"/>
  <c r="EE14" i="4"/>
  <c r="CF15" i="4"/>
  <c r="AA15" i="4"/>
  <c r="BP6" i="4"/>
  <c r="B32" i="1"/>
  <c r="BC9" i="4"/>
  <c r="R12" i="4"/>
  <c r="AL24" i="1"/>
  <c r="CW16" i="4"/>
  <c r="EG16" i="4"/>
  <c r="AZ7" i="4"/>
  <c r="U9" i="4"/>
  <c r="HU9" i="4" s="1"/>
  <c r="AL5" i="4"/>
  <c r="CD7" i="4"/>
  <c r="ED6" i="4"/>
  <c r="DV9" i="4"/>
  <c r="JD9" i="4" s="1"/>
  <c r="CG12" i="4"/>
  <c r="C7" i="4"/>
  <c r="E13" i="4"/>
  <c r="CD8" i="4"/>
  <c r="BX117" i="1"/>
  <c r="BY117" i="1" s="1"/>
  <c r="O15" i="1"/>
  <c r="P160" i="1"/>
  <c r="Q36" i="1"/>
  <c r="V20" i="1"/>
  <c r="AJ20" i="1"/>
  <c r="O22" i="1"/>
  <c r="AJ46" i="1"/>
  <c r="B21" i="1"/>
  <c r="K24" i="1"/>
  <c r="BY73" i="1"/>
  <c r="N24" i="1"/>
  <c r="V23" i="1"/>
  <c r="AD9" i="4"/>
  <c r="HX9" i="4" s="1"/>
  <c r="O21" i="1"/>
  <c r="CM6" i="4"/>
  <c r="X15" i="4"/>
  <c r="J23" i="1"/>
  <c r="AC14" i="4"/>
  <c r="HX14" i="4" s="1"/>
  <c r="CI11" i="4"/>
  <c r="AX8" i="4"/>
  <c r="P25" i="1"/>
  <c r="AK13" i="1"/>
  <c r="W20" i="1"/>
  <c r="G51" i="1"/>
  <c r="BX146" i="1"/>
  <c r="BY146" i="1" s="1"/>
  <c r="DM12" i="4"/>
  <c r="AI8" i="4"/>
  <c r="L7" i="4"/>
  <c r="E13" i="1"/>
  <c r="AL39" i="1"/>
  <c r="P13" i="4"/>
  <c r="AH8" i="4"/>
  <c r="BH9" i="4"/>
  <c r="IH9" i="4" s="1"/>
  <c r="IH21" i="4" s="1"/>
  <c r="BB77" i="1" s="1"/>
  <c r="Q5" i="4"/>
  <c r="DK16" i="4"/>
  <c r="CC7" i="4"/>
  <c r="IO7" i="4" s="1"/>
  <c r="I14" i="4"/>
  <c r="K13" i="1"/>
  <c r="G12" i="4"/>
  <c r="AK32" i="1"/>
  <c r="AK194" i="1" s="1"/>
  <c r="M8" i="1"/>
  <c r="L15" i="1"/>
  <c r="M21" i="1"/>
  <c r="S46" i="1"/>
  <c r="C9" i="1"/>
  <c r="AE7" i="4"/>
  <c r="CY16" i="4"/>
  <c r="Q22" i="1"/>
  <c r="CU14" i="4"/>
  <c r="AK20" i="1"/>
  <c r="BD11" i="4"/>
  <c r="BM9" i="4"/>
  <c r="AM15" i="1"/>
  <c r="D16" i="4"/>
  <c r="BX155" i="1"/>
  <c r="BY155" i="1" s="1"/>
  <c r="AL22" i="1"/>
  <c r="T45" i="1"/>
  <c r="E15" i="1"/>
  <c r="Q45" i="1"/>
  <c r="I36" i="1"/>
  <c r="BD5" i="4"/>
  <c r="J25" i="1"/>
  <c r="K47" i="1"/>
  <c r="P23" i="1"/>
  <c r="DI5" i="4"/>
  <c r="BX32" i="1"/>
  <c r="BX194" i="1" s="1"/>
  <c r="DN5" i="4"/>
  <c r="CI15" i="4"/>
  <c r="BX9" i="1"/>
  <c r="BX10" i="1" s="1"/>
  <c r="CC188" i="1" s="1"/>
  <c r="BT5" i="4"/>
  <c r="CV14" i="4"/>
  <c r="IV14" i="4" s="1"/>
  <c r="Q153" i="1"/>
  <c r="R7" i="4"/>
  <c r="HT7" i="4" s="1"/>
  <c r="C45" i="1"/>
  <c r="BE15" i="4"/>
  <c r="IG15" i="4" s="1"/>
  <c r="DF14" i="4"/>
  <c r="W6" i="4"/>
  <c r="O39" i="1"/>
  <c r="W36" i="1"/>
  <c r="W252" i="1" s="1"/>
  <c r="D24" i="1"/>
  <c r="F35" i="1"/>
  <c r="L51" i="1"/>
  <c r="BX36" i="1"/>
  <c r="BX252" i="1" s="1"/>
  <c r="H15" i="1"/>
  <c r="P153" i="1"/>
  <c r="P183" i="1" s="1"/>
  <c r="G39" i="1"/>
  <c r="M32" i="1"/>
  <c r="M194" i="1" s="1"/>
  <c r="R24" i="1"/>
  <c r="CI8" i="4"/>
  <c r="BX153" i="1"/>
  <c r="AT13" i="4"/>
  <c r="AJ23" i="1"/>
  <c r="M22" i="1"/>
  <c r="CJ5" i="4"/>
  <c r="R32" i="1"/>
  <c r="R194" i="1" s="1"/>
  <c r="O23" i="1"/>
  <c r="U22" i="1"/>
  <c r="G15" i="1"/>
  <c r="N21" i="1"/>
  <c r="N26" i="1" s="1"/>
  <c r="C15" i="4"/>
  <c r="B20" i="1"/>
  <c r="DK7" i="4"/>
  <c r="BL74" i="1"/>
  <c r="H35" i="1"/>
  <c r="S23" i="1"/>
  <c r="R46" i="1"/>
  <c r="K15" i="1"/>
  <c r="DM15" i="4"/>
  <c r="M9" i="1"/>
  <c r="M10" i="1" s="1"/>
  <c r="R23" i="1"/>
  <c r="T20" i="1"/>
  <c r="T26" i="1" s="1"/>
  <c r="AZ12" i="4"/>
  <c r="P32" i="1"/>
  <c r="AD16" i="4"/>
  <c r="HX16" i="4" s="1"/>
  <c r="K46" i="1"/>
  <c r="BD8" i="4"/>
  <c r="DE14" i="4"/>
  <c r="IY14" i="4" s="1"/>
  <c r="IY19" i="4" s="1"/>
  <c r="BS78" i="1" s="1"/>
  <c r="BS107" i="1" s="1"/>
  <c r="DT14" i="4"/>
  <c r="EC15" i="4"/>
  <c r="JG15" i="4" s="1"/>
  <c r="DG7" i="4"/>
  <c r="O32" i="1"/>
  <c r="O194" i="1" s="1"/>
  <c r="L8" i="4"/>
  <c r="E14" i="4"/>
  <c r="HP14" i="4" s="1"/>
  <c r="HP19" i="4" s="1"/>
  <c r="AJ78" i="1" s="1"/>
  <c r="BX133" i="1"/>
  <c r="O36" i="1"/>
  <c r="O252" i="1" s="1"/>
  <c r="I20" i="1"/>
  <c r="BJ8" i="4"/>
  <c r="II8" i="4" s="1"/>
  <c r="K36" i="1"/>
  <c r="F20" i="1"/>
  <c r="F26" i="1" s="1"/>
  <c r="EE11" i="4"/>
  <c r="E21" i="1"/>
  <c r="C36" i="1"/>
  <c r="W45" i="1"/>
  <c r="K7" i="4"/>
  <c r="K39" i="1"/>
  <c r="S20" i="1"/>
  <c r="N47" i="1"/>
  <c r="U47" i="1"/>
  <c r="V16" i="4"/>
  <c r="W22" i="1"/>
  <c r="CT7" i="4"/>
  <c r="BG13" i="4"/>
  <c r="AL45" i="1"/>
  <c r="F46" i="1"/>
  <c r="AK8" i="1"/>
  <c r="AM98" i="1" s="1"/>
  <c r="AM99" i="1" s="1"/>
  <c r="O46" i="1"/>
  <c r="W47" i="1"/>
  <c r="BN7" i="4"/>
  <c r="U24" i="1"/>
  <c r="D13" i="1"/>
  <c r="DT16" i="4"/>
  <c r="Q8" i="1"/>
  <c r="IB8" i="4"/>
  <c r="HZ15" i="4"/>
  <c r="IP14" i="4"/>
  <c r="JB7" i="4"/>
  <c r="HP7" i="4"/>
  <c r="IR8" i="4"/>
  <c r="IQ7" i="4"/>
  <c r="IN21" i="4"/>
  <c r="BH77" i="1" s="1"/>
  <c r="IR15" i="4"/>
  <c r="B253" i="1"/>
  <c r="IP8" i="4"/>
  <c r="P10" i="1"/>
  <c r="IX14" i="4"/>
  <c r="IX19" i="4" s="1"/>
  <c r="BR78" i="1" s="1"/>
  <c r="BR107" i="1" s="1"/>
  <c r="IE7" i="4"/>
  <c r="B252" i="1"/>
  <c r="IQ8" i="4"/>
  <c r="H252" i="1"/>
  <c r="IW15" i="4"/>
  <c r="HX7" i="4"/>
  <c r="JD14" i="4"/>
  <c r="JD19" i="4" s="1"/>
  <c r="BX78" i="1" s="1"/>
  <c r="IH7" i="4"/>
  <c r="M252" i="1"/>
  <c r="C252" i="1"/>
  <c r="G183" i="1"/>
  <c r="IK21" i="4"/>
  <c r="BE77" i="1" s="1"/>
  <c r="JB15" i="4"/>
  <c r="Q10" i="1"/>
  <c r="V26" i="1"/>
  <c r="V27" i="1" s="1"/>
  <c r="AM117" i="1"/>
  <c r="AK124" i="1"/>
  <c r="V194" i="1"/>
  <c r="V253" i="1"/>
  <c r="D194" i="1"/>
  <c r="D253" i="1"/>
  <c r="B231" i="1"/>
  <c r="B10" i="1"/>
  <c r="B16" i="1" s="1"/>
  <c r="B17" i="1" s="1"/>
  <c r="AJ231" i="1"/>
  <c r="AJ10" i="1"/>
  <c r="AJ16" i="1" s="1"/>
  <c r="U253" i="1"/>
  <c r="U194" i="1"/>
  <c r="W194" i="1"/>
  <c r="S194" i="1"/>
  <c r="S253" i="1"/>
  <c r="AJ194" i="1"/>
  <c r="W188" i="1"/>
  <c r="V98" i="1"/>
  <c r="V16" i="1"/>
  <c r="C194" i="1"/>
  <c r="C253" i="1"/>
  <c r="B26" i="1"/>
  <c r="B28" i="1" s="1"/>
  <c r="B29" i="1" s="1"/>
  <c r="HU14" i="4"/>
  <c r="JD8" i="4"/>
  <c r="IR7" i="4"/>
  <c r="HT15" i="4"/>
  <c r="IC7" i="4"/>
  <c r="IA8" i="4"/>
  <c r="IQ21" i="4"/>
  <c r="BK77" i="1" s="1"/>
  <c r="IB14" i="4"/>
  <c r="IU15" i="4"/>
  <c r="IX15" i="4"/>
  <c r="IS7" i="4"/>
  <c r="IJ15" i="4"/>
  <c r="IS8" i="4"/>
  <c r="V188" i="1"/>
  <c r="AL10" i="1"/>
  <c r="J10" i="1"/>
  <c r="JF21" i="4"/>
  <c r="BZ77" i="1" s="1"/>
  <c r="BZ94" i="1" s="1"/>
  <c r="AM253" i="1"/>
  <c r="IE14" i="4"/>
  <c r="II15" i="4"/>
  <c r="IH8" i="4"/>
  <c r="HY14" i="4"/>
  <c r="AJ179" i="1"/>
  <c r="IV8" i="4"/>
  <c r="JC14" i="4"/>
  <c r="IT14" i="4"/>
  <c r="IH15" i="4"/>
  <c r="JH20" i="4"/>
  <c r="CB79" i="1" s="1"/>
  <c r="IN8" i="4"/>
  <c r="J26" i="1"/>
  <c r="HX19" i="4"/>
  <c r="AR78" i="1" s="1"/>
  <c r="AR107" i="1" s="1"/>
  <c r="I252" i="1"/>
  <c r="IP15" i="4"/>
  <c r="IP20" i="4" s="1"/>
  <c r="BJ79" i="1" s="1"/>
  <c r="BJ108" i="1" s="1"/>
  <c r="IW8" i="4"/>
  <c r="HX15" i="4"/>
  <c r="HX20" i="4" s="1"/>
  <c r="AR79" i="1" s="1"/>
  <c r="AR108" i="1" s="1"/>
  <c r="IR14" i="4"/>
  <c r="IR19" i="4" s="1"/>
  <c r="BL78" i="1" s="1"/>
  <c r="AL128" i="1"/>
  <c r="HV8" i="4"/>
  <c r="BX16" i="1"/>
  <c r="IS21" i="4"/>
  <c r="BM77" i="1" s="1"/>
  <c r="IG7" i="4"/>
  <c r="G252" i="1"/>
  <c r="P26" i="1"/>
  <c r="JA15" i="4"/>
  <c r="IU14" i="4"/>
  <c r="HR14" i="4"/>
  <c r="HW14" i="4"/>
  <c r="IG8" i="4"/>
  <c r="AK26" i="1"/>
  <c r="JA14" i="4"/>
  <c r="JD15" i="4"/>
  <c r="JD20" i="4" s="1"/>
  <c r="BX79" i="1" s="1"/>
  <c r="BX108" i="1" s="1"/>
  <c r="HQ14" i="4"/>
  <c r="IZ8" i="4"/>
  <c r="K26" i="1"/>
  <c r="HS8" i="4"/>
  <c r="HR7" i="4"/>
  <c r="ID15" i="4"/>
  <c r="W16" i="1"/>
  <c r="AL180" i="1"/>
  <c r="AM180" i="1" s="1"/>
  <c r="C26" i="1"/>
  <c r="IY7" i="4"/>
  <c r="II14" i="4"/>
  <c r="IN7" i="4"/>
  <c r="HY8" i="4"/>
  <c r="IE8" i="4"/>
  <c r="HV7" i="4"/>
  <c r="IA15" i="4"/>
  <c r="W11" i="1"/>
  <c r="HR15" i="4"/>
  <c r="IU8" i="4"/>
  <c r="IS15" i="4"/>
  <c r="I26" i="1"/>
  <c r="AM252" i="1"/>
  <c r="BX253" i="1"/>
  <c r="K253" i="1"/>
  <c r="JE7" i="4"/>
  <c r="IY21" i="4"/>
  <c r="BS77" i="1" s="1"/>
  <c r="Q231" i="1"/>
  <c r="CA98" i="1"/>
  <c r="CA99" i="1" s="1"/>
  <c r="G26" i="1"/>
  <c r="Q183" i="1"/>
  <c r="BX134" i="1"/>
  <c r="IQ14" i="4"/>
  <c r="Q194" i="1"/>
  <c r="Q253" i="1"/>
  <c r="F252" i="1"/>
  <c r="IE15" i="4"/>
  <c r="HW8" i="4"/>
  <c r="HU8" i="4"/>
  <c r="BK117" i="1"/>
  <c r="BX26" i="1"/>
  <c r="BX27" i="1" s="1"/>
  <c r="II7" i="4"/>
  <c r="HP15" i="4"/>
  <c r="HR8" i="4"/>
  <c r="IF15" i="4"/>
  <c r="AM231" i="1"/>
  <c r="AM10" i="1"/>
  <c r="AM16" i="1" s="1"/>
  <c r="IL7" i="4"/>
  <c r="IT21" i="4"/>
  <c r="BN77" i="1" s="1"/>
  <c r="IM21" i="4"/>
  <c r="BG77" i="1" s="1"/>
  <c r="HW15" i="4"/>
  <c r="IU21" i="4"/>
  <c r="BO77" i="1" s="1"/>
  <c r="IR21" i="4"/>
  <c r="BL77" i="1" s="1"/>
  <c r="BL94" i="1" s="1"/>
  <c r="IY8" i="4"/>
  <c r="G253" i="1"/>
  <c r="Q252" i="1"/>
  <c r="IP7" i="4"/>
  <c r="IS14" i="4"/>
  <c r="AM128" i="1"/>
  <c r="HZ14" i="4"/>
  <c r="JF14" i="4"/>
  <c r="AK140" i="1"/>
  <c r="AL202" i="1" s="1"/>
  <c r="AJ202" i="1"/>
  <c r="IQ15" i="4"/>
  <c r="IX21" i="4"/>
  <c r="BR77" i="1" s="1"/>
  <c r="H26" i="1"/>
  <c r="IA14" i="4"/>
  <c r="F10" i="1"/>
  <c r="K231" i="1"/>
  <c r="K10" i="1"/>
  <c r="AL179" i="1"/>
  <c r="AM179" i="1" s="1"/>
  <c r="N253" i="1"/>
  <c r="T10" i="1"/>
  <c r="D10" i="1"/>
  <c r="F253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HX21" i="4"/>
  <c r="AR77" i="1" s="1"/>
  <c r="IJ8" i="4"/>
  <c r="IM7" i="4"/>
  <c r="M231" i="1"/>
  <c r="JG21" i="4"/>
  <c r="CA77" i="1" s="1"/>
  <c r="CA94" i="1" s="1"/>
  <c r="IW14" i="4"/>
  <c r="IW19" i="4" s="1"/>
  <c r="BQ78" i="1" s="1"/>
  <c r="BQ107" i="1" s="1"/>
  <c r="U98" i="1"/>
  <c r="HW7" i="4"/>
  <c r="IV15" i="4"/>
  <c r="IZ15" i="4"/>
  <c r="IZ20" i="4" s="1"/>
  <c r="BT79" i="1" s="1"/>
  <c r="BT108" i="1" s="1"/>
  <c r="BJ161" i="1"/>
  <c r="JF7" i="4"/>
  <c r="O231" i="1"/>
  <c r="O10" i="1"/>
  <c r="L26" i="1"/>
  <c r="C10" i="1"/>
  <c r="JI15" i="4"/>
  <c r="HS15" i="4"/>
  <c r="HS20" i="4" s="1"/>
  <c r="AM79" i="1" s="1"/>
  <c r="IY15" i="4"/>
  <c r="JC8" i="4"/>
  <c r="HR21" i="4"/>
  <c r="AL77" i="1" s="1"/>
  <c r="IL14" i="4"/>
  <c r="IJ14" i="4"/>
  <c r="HT21" i="4"/>
  <c r="AN77" i="1" s="1"/>
  <c r="T252" i="1"/>
  <c r="CA225" i="1"/>
  <c r="CB11" i="1"/>
  <c r="L194" i="1"/>
  <c r="V11" i="1"/>
  <c r="AL183" i="1"/>
  <c r="AM183" i="1" s="1"/>
  <c r="I231" i="1"/>
  <c r="I10" i="1"/>
  <c r="AL252" i="1"/>
  <c r="IK15" i="4"/>
  <c r="IL15" i="4"/>
  <c r="IN15" i="4"/>
  <c r="HP8" i="4"/>
  <c r="IG14" i="4"/>
  <c r="IC8" i="4"/>
  <c r="IJ7" i="4"/>
  <c r="IB7" i="4"/>
  <c r="HQ21" i="4"/>
  <c r="AK77" i="1" s="1"/>
  <c r="BX180" i="1"/>
  <c r="BY180" i="1" s="1"/>
  <c r="IC14" i="4"/>
  <c r="G231" i="1"/>
  <c r="G10" i="1"/>
  <c r="BY140" i="1"/>
  <c r="BZ202" i="1" s="1"/>
  <c r="T253" i="1"/>
  <c r="N252" i="1"/>
  <c r="JA7" i="4"/>
  <c r="E26" i="1"/>
  <c r="IL8" i="4"/>
  <c r="IO15" i="4"/>
  <c r="IO20" i="4" s="1"/>
  <c r="BI79" i="1" s="1"/>
  <c r="BI108" i="1" s="1"/>
  <c r="JG8" i="4"/>
  <c r="HQ7" i="4"/>
  <c r="JI8" i="4"/>
  <c r="ID8" i="4"/>
  <c r="AM26" i="1"/>
  <c r="AL194" i="1"/>
  <c r="AL253" i="1"/>
  <c r="IO14" i="4"/>
  <c r="BJ156" i="1"/>
  <c r="BJ185" i="1" s="1"/>
  <c r="K252" i="1"/>
  <c r="IV7" i="4"/>
  <c r="IH14" i="4"/>
  <c r="IH19" i="4" s="1"/>
  <c r="BB78" i="1" s="1"/>
  <c r="BB107" i="1" s="1"/>
  <c r="JF15" i="4"/>
  <c r="II21" i="4"/>
  <c r="BC77" i="1" s="1"/>
  <c r="IZ7" i="4"/>
  <c r="IZ19" i="4" s="1"/>
  <c r="BT78" i="1" s="1"/>
  <c r="BT107" i="1" s="1"/>
  <c r="HQ8" i="4"/>
  <c r="HQ20" i="4" s="1"/>
  <c r="AK79" i="1" s="1"/>
  <c r="JH14" i="4"/>
  <c r="JH7" i="4"/>
  <c r="IE21" i="4"/>
  <c r="AY77" i="1" s="1"/>
  <c r="ID7" i="4"/>
  <c r="HT14" i="4"/>
  <c r="IN14" i="4"/>
  <c r="IN19" i="4" s="1"/>
  <c r="BH78" i="1" s="1"/>
  <c r="BH107" i="1" s="1"/>
  <c r="E10" i="1"/>
  <c r="R10" i="1"/>
  <c r="AK231" i="1"/>
  <c r="AL26" i="1"/>
  <c r="S26" i="1"/>
  <c r="M253" i="1"/>
  <c r="M26" i="1"/>
  <c r="IO21" i="4"/>
  <c r="BI77" i="1" s="1"/>
  <c r="IU7" i="4"/>
  <c r="JH21" i="4"/>
  <c r="CB77" i="1" s="1"/>
  <c r="IF7" i="4"/>
  <c r="HZ7" i="4"/>
  <c r="JC21" i="4"/>
  <c r="BW77" i="1" s="1"/>
  <c r="HX8" i="4"/>
  <c r="JG14" i="4"/>
  <c r="JG19" i="4" s="1"/>
  <c r="CA78" i="1" s="1"/>
  <c r="IG21" i="4"/>
  <c r="BA77" i="1" s="1"/>
  <c r="IM15" i="4"/>
  <c r="IM20" i="4" s="1"/>
  <c r="BG79" i="1" s="1"/>
  <c r="BG108" i="1" s="1"/>
  <c r="JA21" i="4"/>
  <c r="BU77" i="1" s="1"/>
  <c r="Q188" i="1"/>
  <c r="Q16" i="1"/>
  <c r="Q98" i="1"/>
  <c r="IR20" i="4"/>
  <c r="BL79" i="1" s="1"/>
  <c r="Z108" i="1"/>
  <c r="Z111" i="1" s="1"/>
  <c r="Z114" i="1" s="1"/>
  <c r="Z99" i="1"/>
  <c r="Z107" i="1"/>
  <c r="Z110" i="1" s="1"/>
  <c r="Z113" i="1" s="1"/>
  <c r="Z92" i="1"/>
  <c r="Z66" i="1"/>
  <c r="X63" i="1"/>
  <c r="Y65" i="1"/>
  <c r="CN32" i="1"/>
  <c r="CS77" i="1"/>
  <c r="AB163" i="1"/>
  <c r="CP65" i="1"/>
  <c r="CQ63" i="1"/>
  <c r="AC117" i="1"/>
  <c r="AC149" i="1"/>
  <c r="AA142" i="1"/>
  <c r="AA163" i="1"/>
  <c r="CB225" i="1"/>
  <c r="BQ1" i="1"/>
  <c r="BR1" i="1" s="1"/>
  <c r="BS1" i="1" s="1"/>
  <c r="BT1" i="1" s="1"/>
  <c r="AD81" i="3"/>
  <c r="D94" i="3"/>
  <c r="AJ148" i="1" l="1"/>
  <c r="BX120" i="1"/>
  <c r="BX92" i="1" s="1"/>
  <c r="AI196" i="1"/>
  <c r="AI198" i="1" s="1"/>
  <c r="AL156" i="1"/>
  <c r="AL185" i="1" s="1"/>
  <c r="AL184" i="1" s="1"/>
  <c r="AJ128" i="1"/>
  <c r="BY120" i="1"/>
  <c r="BJ128" i="1"/>
  <c r="BJ120" i="1"/>
  <c r="BJ92" i="1" s="1"/>
  <c r="BJ96" i="1" s="1"/>
  <c r="AJ156" i="1"/>
  <c r="AK128" i="1"/>
  <c r="Q11" i="1"/>
  <c r="BX156" i="1"/>
  <c r="BX185" i="1" s="1"/>
  <c r="BX184" i="1" s="1"/>
  <c r="O26" i="1"/>
  <c r="Q26" i="1"/>
  <c r="R26" i="1"/>
  <c r="AJ26" i="1"/>
  <c r="W26" i="1"/>
  <c r="W27" i="1" s="1"/>
  <c r="J252" i="1"/>
  <c r="IX20" i="4"/>
  <c r="BR79" i="1" s="1"/>
  <c r="BR108" i="1" s="1"/>
  <c r="D26" i="1"/>
  <c r="BJ180" i="1"/>
  <c r="BK180" i="1" s="1"/>
  <c r="BJ183" i="1"/>
  <c r="BK183" i="1" s="1"/>
  <c r="U26" i="1"/>
  <c r="HZ8" i="4"/>
  <c r="HZ20" i="4" s="1"/>
  <c r="AT79" i="1" s="1"/>
  <c r="AT108" i="1" s="1"/>
  <c r="HY15" i="4"/>
  <c r="HY20" i="4" s="1"/>
  <c r="AS79" i="1" s="1"/>
  <c r="AS108" i="1" s="1"/>
  <c r="JE19" i="4"/>
  <c r="BY78" i="1" s="1"/>
  <c r="AL134" i="1"/>
  <c r="BX128" i="1"/>
  <c r="BX183" i="1"/>
  <c r="BY183" i="1" s="1"/>
  <c r="AL148" i="1"/>
  <c r="AL182" i="1" s="1"/>
  <c r="BY128" i="1"/>
  <c r="BZ249" i="1" s="1"/>
  <c r="BZ251" i="1" s="1"/>
  <c r="BX148" i="1"/>
  <c r="BJ144" i="1"/>
  <c r="BZ207" i="1"/>
  <c r="BY92" i="1"/>
  <c r="BY95" i="1" s="1"/>
  <c r="HS19" i="4"/>
  <c r="AM78" i="1" s="1"/>
  <c r="JF20" i="4"/>
  <c r="BZ79" i="1" s="1"/>
  <c r="IB19" i="4"/>
  <c r="AV78" i="1" s="1"/>
  <c r="AV107" i="1" s="1"/>
  <c r="R253" i="1"/>
  <c r="IK20" i="4"/>
  <c r="BE79" i="1" s="1"/>
  <c r="BE108" i="1" s="1"/>
  <c r="BY12" i="1"/>
  <c r="IE20" i="4"/>
  <c r="AY79" i="1" s="1"/>
  <c r="AY108" i="1" s="1"/>
  <c r="IQ19" i="4"/>
  <c r="BK78" i="1" s="1"/>
  <c r="BK107" i="1" s="1"/>
  <c r="CA102" i="1"/>
  <c r="O253" i="1"/>
  <c r="IG20" i="4"/>
  <c r="BA79" i="1" s="1"/>
  <c r="BA108" i="1" s="1"/>
  <c r="B27" i="1"/>
  <c r="IW20" i="4"/>
  <c r="BQ79" i="1" s="1"/>
  <c r="BQ108" i="1" s="1"/>
  <c r="IP21" i="4"/>
  <c r="BJ77" i="1" s="1"/>
  <c r="ID14" i="4"/>
  <c r="ID19" i="4" s="1"/>
  <c r="AX78" i="1" s="1"/>
  <c r="AX107" i="1" s="1"/>
  <c r="L252" i="1"/>
  <c r="N10" i="1"/>
  <c r="N188" i="1" s="1"/>
  <c r="ID21" i="4"/>
  <c r="AX77" i="1" s="1"/>
  <c r="IA7" i="4"/>
  <c r="IA19" i="4" s="1"/>
  <c r="AU78" i="1" s="1"/>
  <c r="AU107" i="1" s="1"/>
  <c r="IT8" i="4"/>
  <c r="AK10" i="1"/>
  <c r="AK16" i="1" s="1"/>
  <c r="AK17" i="1" s="1"/>
  <c r="IT15" i="4"/>
  <c r="HP21" i="4"/>
  <c r="AJ77" i="1" s="1"/>
  <c r="JD21" i="4"/>
  <c r="BX77" i="1" s="1"/>
  <c r="JC7" i="4"/>
  <c r="IC15" i="4"/>
  <c r="JA8" i="4"/>
  <c r="JA20" i="4" s="1"/>
  <c r="BU79" i="1" s="1"/>
  <c r="BU108" i="1" s="1"/>
  <c r="JI21" i="4"/>
  <c r="CC77" i="1" s="1"/>
  <c r="IT7" i="4"/>
  <c r="JI7" i="4"/>
  <c r="IF20" i="4"/>
  <c r="AZ79" i="1" s="1"/>
  <c r="AZ108" i="1" s="1"/>
  <c r="BK206" i="1"/>
  <c r="HS7" i="4"/>
  <c r="H194" i="1"/>
  <c r="H253" i="1"/>
  <c r="JE8" i="4"/>
  <c r="JE20" i="4" s="1"/>
  <c r="BY79" i="1" s="1"/>
  <c r="BY108" i="1" s="1"/>
  <c r="AJ37" i="1"/>
  <c r="HV14" i="4"/>
  <c r="HV19" i="4" s="1"/>
  <c r="AP78" i="1" s="1"/>
  <c r="AP107" i="1" s="1"/>
  <c r="S231" i="1"/>
  <c r="S10" i="1"/>
  <c r="T188" i="1" s="1"/>
  <c r="IF14" i="4"/>
  <c r="IF19" i="4" s="1"/>
  <c r="AZ78" i="1" s="1"/>
  <c r="AZ107" i="1" s="1"/>
  <c r="AK12" i="1"/>
  <c r="IQ20" i="4"/>
  <c r="BK79" i="1" s="1"/>
  <c r="BK108" i="1" s="1"/>
  <c r="IP19" i="4"/>
  <c r="BJ78" i="1" s="1"/>
  <c r="J253" i="1"/>
  <c r="IT19" i="4"/>
  <c r="BN78" i="1" s="1"/>
  <c r="BN107" i="1" s="1"/>
  <c r="IE19" i="4"/>
  <c r="AY78" i="1" s="1"/>
  <c r="AY107" i="1" s="1"/>
  <c r="L10" i="1"/>
  <c r="L188" i="1" s="1"/>
  <c r="HY7" i="4"/>
  <c r="HY19" i="4" s="1"/>
  <c r="AS78" i="1" s="1"/>
  <c r="AS107" i="1" s="1"/>
  <c r="L253" i="1"/>
  <c r="JI14" i="4"/>
  <c r="JI19" i="4" s="1"/>
  <c r="CC78" i="1" s="1"/>
  <c r="IF8" i="4"/>
  <c r="I194" i="1"/>
  <c r="I253" i="1"/>
  <c r="X188" i="1"/>
  <c r="X11" i="1"/>
  <c r="W98" i="1"/>
  <c r="IM14" i="4"/>
  <c r="IM19" i="4" s="1"/>
  <c r="BG78" i="1" s="1"/>
  <c r="BG107" i="1" s="1"/>
  <c r="IL21" i="4"/>
  <c r="BF77" i="1" s="1"/>
  <c r="HV15" i="4"/>
  <c r="HV20" i="4" s="1"/>
  <c r="AP79" i="1" s="1"/>
  <c r="AP108" i="1" s="1"/>
  <c r="IA21" i="4"/>
  <c r="AU77" i="1" s="1"/>
  <c r="IW21" i="4"/>
  <c r="BQ77" i="1" s="1"/>
  <c r="HZ21" i="4"/>
  <c r="AT77" i="1" s="1"/>
  <c r="HU7" i="4"/>
  <c r="HU19" i="4" s="1"/>
  <c r="AO78" i="1" s="1"/>
  <c r="AO107" i="1" s="1"/>
  <c r="HU15" i="4"/>
  <c r="HU20" i="4" s="1"/>
  <c r="AO79" i="1" s="1"/>
  <c r="AO108" i="1" s="1"/>
  <c r="BX94" i="1"/>
  <c r="IC20" i="4"/>
  <c r="AW79" i="1" s="1"/>
  <c r="AW108" i="1" s="1"/>
  <c r="AK27" i="1"/>
  <c r="JC19" i="4"/>
  <c r="BW78" i="1" s="1"/>
  <c r="BW107" i="1" s="1"/>
  <c r="HT20" i="4"/>
  <c r="AN79" i="1" s="1"/>
  <c r="AN108" i="1" s="1"/>
  <c r="P194" i="1"/>
  <c r="P253" i="1"/>
  <c r="R252" i="1"/>
  <c r="HT8" i="4"/>
  <c r="JC15" i="4"/>
  <c r="JC20" i="4" s="1"/>
  <c r="BW79" i="1" s="1"/>
  <c r="BW108" i="1" s="1"/>
  <c r="JB8" i="4"/>
  <c r="JB20" i="4" s="1"/>
  <c r="BV79" i="1" s="1"/>
  <c r="BV108" i="1" s="1"/>
  <c r="JB14" i="4"/>
  <c r="JB19" i="4" s="1"/>
  <c r="BV78" i="1" s="1"/>
  <c r="BV107" i="1" s="1"/>
  <c r="H231" i="1"/>
  <c r="H10" i="1"/>
  <c r="H188" i="1" s="1"/>
  <c r="HS21" i="4"/>
  <c r="AM77" i="1" s="1"/>
  <c r="AM102" i="1" s="1"/>
  <c r="AJ120" i="1"/>
  <c r="AJ129" i="1" s="1"/>
  <c r="P16" i="1"/>
  <c r="P17" i="1" s="1"/>
  <c r="P98" i="1"/>
  <c r="AJ206" i="1"/>
  <c r="AJ168" i="1"/>
  <c r="AK37" i="1" s="1"/>
  <c r="W18" i="1"/>
  <c r="AJ27" i="1"/>
  <c r="AL94" i="1"/>
  <c r="AK206" i="1"/>
  <c r="V17" i="1"/>
  <c r="V28" i="1"/>
  <c r="IU20" i="4"/>
  <c r="BO79" i="1" s="1"/>
  <c r="BO108" i="1" s="1"/>
  <c r="IJ20" i="4"/>
  <c r="BD79" i="1" s="1"/>
  <c r="BD108" i="1" s="1"/>
  <c r="HR19" i="4"/>
  <c r="AL78" i="1" s="1"/>
  <c r="IL20" i="4"/>
  <c r="BF79" i="1" s="1"/>
  <c r="BF108" i="1" s="1"/>
  <c r="II20" i="4"/>
  <c r="BC79" i="1" s="1"/>
  <c r="BC108" i="1" s="1"/>
  <c r="O11" i="1"/>
  <c r="C27" i="1"/>
  <c r="C188" i="1"/>
  <c r="C16" i="1"/>
  <c r="C11" i="1"/>
  <c r="E16" i="1"/>
  <c r="E98" i="1"/>
  <c r="AJ157" i="1"/>
  <c r="AJ182" i="1"/>
  <c r="R188" i="1"/>
  <c r="S188" i="1"/>
  <c r="S11" i="1"/>
  <c r="IA20" i="4"/>
  <c r="AU79" i="1" s="1"/>
  <c r="AU108" i="1" s="1"/>
  <c r="IS20" i="4"/>
  <c r="BM79" i="1" s="1"/>
  <c r="BM108" i="1" s="1"/>
  <c r="IS19" i="4"/>
  <c r="BM78" i="1" s="1"/>
  <c r="BM107" i="1" s="1"/>
  <c r="AM249" i="1"/>
  <c r="K11" i="1"/>
  <c r="IH20" i="4"/>
  <c r="BB79" i="1" s="1"/>
  <c r="BB108" i="1" s="1"/>
  <c r="HW19" i="4"/>
  <c r="AQ78" i="1" s="1"/>
  <c r="AQ107" i="1" s="1"/>
  <c r="IV20" i="4"/>
  <c r="BP79" i="1" s="1"/>
  <c r="BP108" i="1" s="1"/>
  <c r="BY96" i="1"/>
  <c r="BX168" i="1"/>
  <c r="IN20" i="4"/>
  <c r="BH79" i="1" s="1"/>
  <c r="BH108" i="1" s="1"/>
  <c r="IG19" i="4"/>
  <c r="BA78" i="1" s="1"/>
  <c r="BA107" i="1" s="1"/>
  <c r="IC19" i="4"/>
  <c r="AW78" i="1" s="1"/>
  <c r="AW107" i="1" s="1"/>
  <c r="G188" i="1"/>
  <c r="AL27" i="1"/>
  <c r="E27" i="1"/>
  <c r="HQ19" i="4"/>
  <c r="AK78" i="1" s="1"/>
  <c r="IO19" i="4"/>
  <c r="BI78" i="1" s="1"/>
  <c r="BI107" i="1" s="1"/>
  <c r="F188" i="1"/>
  <c r="IU19" i="4"/>
  <c r="BO78" i="1" s="1"/>
  <c r="BO107" i="1" s="1"/>
  <c r="AL16" i="1"/>
  <c r="AL28" i="1" s="1"/>
  <c r="J98" i="1"/>
  <c r="J16" i="1"/>
  <c r="CB87" i="1"/>
  <c r="CB104" i="1"/>
  <c r="CB96" i="1"/>
  <c r="CB108" i="1"/>
  <c r="CB111" i="1" s="1"/>
  <c r="CB114" i="1" s="1"/>
  <c r="AM209" i="1"/>
  <c r="AL248" i="1"/>
  <c r="AL168" i="1"/>
  <c r="AL129" i="1"/>
  <c r="BY19" i="1"/>
  <c r="BX17" i="1"/>
  <c r="BK134" i="1"/>
  <c r="BJ138" i="1"/>
  <c r="F98" i="1"/>
  <c r="F16" i="1"/>
  <c r="F17" i="1" s="1"/>
  <c r="AM206" i="1"/>
  <c r="BL107" i="1"/>
  <c r="BL110" i="1" s="1"/>
  <c r="BL95" i="1"/>
  <c r="AK28" i="1"/>
  <c r="BY207" i="1"/>
  <c r="BX96" i="1"/>
  <c r="U188" i="1"/>
  <c r="CB18" i="1"/>
  <c r="JF19" i="4"/>
  <c r="BZ78" i="1" s="1"/>
  <c r="JG20" i="4"/>
  <c r="CA79" i="1" s="1"/>
  <c r="CA104" i="1" s="1"/>
  <c r="HR20" i="4"/>
  <c r="AL79" i="1" s="1"/>
  <c r="AL108" i="1" s="1"/>
  <c r="BX28" i="1"/>
  <c r="CA112" i="1" s="1"/>
  <c r="ID20" i="4"/>
  <c r="AX79" i="1" s="1"/>
  <c r="AX108" i="1" s="1"/>
  <c r="T11" i="1"/>
  <c r="HW20" i="4"/>
  <c r="AQ79" i="1" s="1"/>
  <c r="AQ108" i="1" s="1"/>
  <c r="BY202" i="1"/>
  <c r="E188" i="1"/>
  <c r="BX95" i="1"/>
  <c r="W17" i="1"/>
  <c r="AK202" i="1"/>
  <c r="X18" i="1"/>
  <c r="JA19" i="4"/>
  <c r="BU78" i="1" s="1"/>
  <c r="BU107" i="1" s="1"/>
  <c r="II19" i="4"/>
  <c r="BC78" i="1" s="1"/>
  <c r="BC107" i="1" s="1"/>
  <c r="W28" i="1"/>
  <c r="R16" i="1"/>
  <c r="BX248" i="1"/>
  <c r="R98" i="1"/>
  <c r="AM27" i="1"/>
  <c r="CA95" i="1"/>
  <c r="CA103" i="1"/>
  <c r="CA107" i="1"/>
  <c r="BJ107" i="1"/>
  <c r="BJ95" i="1"/>
  <c r="BZ108" i="1"/>
  <c r="BZ111" i="1" s="1"/>
  <c r="BZ96" i="1"/>
  <c r="BY107" i="1"/>
  <c r="BY89" i="1"/>
  <c r="AL249" i="1"/>
  <c r="BK209" i="1"/>
  <c r="I16" i="1"/>
  <c r="I98" i="1"/>
  <c r="CB94" i="1"/>
  <c r="CB85" i="1"/>
  <c r="CB102" i="1"/>
  <c r="BX89" i="1"/>
  <c r="BX107" i="1"/>
  <c r="AM12" i="1"/>
  <c r="AJ197" i="1"/>
  <c r="AJ185" i="1"/>
  <c r="AM17" i="1"/>
  <c r="AM28" i="1"/>
  <c r="AJ17" i="1"/>
  <c r="AJ28" i="1"/>
  <c r="BJ168" i="1"/>
  <c r="BJ109" i="1" s="1"/>
  <c r="BJ111" i="1" s="1"/>
  <c r="IJ19" i="4"/>
  <c r="BD78" i="1" s="1"/>
  <c r="BD107" i="1" s="1"/>
  <c r="U17" i="1"/>
  <c r="V18" i="1"/>
  <c r="F11" i="1"/>
  <c r="AK33" i="1"/>
  <c r="AK134" i="1"/>
  <c r="AJ138" i="1"/>
  <c r="AJ203" i="1" s="1"/>
  <c r="AJ201" i="1" s="1"/>
  <c r="HP20" i="4"/>
  <c r="AJ79" i="1" s="1"/>
  <c r="M11" i="1"/>
  <c r="J11" i="1"/>
  <c r="BJ184" i="1"/>
  <c r="D16" i="1"/>
  <c r="BX129" i="1"/>
  <c r="D188" i="1"/>
  <c r="BK202" i="1"/>
  <c r="AM134" i="1"/>
  <c r="AM138" i="1" s="1"/>
  <c r="AM33" i="1"/>
  <c r="AL138" i="1"/>
  <c r="BY134" i="1"/>
  <c r="BY33" i="1"/>
  <c r="BX138" i="1"/>
  <c r="M188" i="1"/>
  <c r="AM104" i="1"/>
  <c r="AM108" i="1"/>
  <c r="N11" i="1"/>
  <c r="E11" i="1"/>
  <c r="AL206" i="1"/>
  <c r="BX182" i="1"/>
  <c r="JI20" i="4"/>
  <c r="CC79" i="1" s="1"/>
  <c r="K98" i="1"/>
  <c r="K16" i="1"/>
  <c r="K17" i="1" s="1"/>
  <c r="IY20" i="4"/>
  <c r="BS79" i="1" s="1"/>
  <c r="BS108" i="1" s="1"/>
  <c r="JH19" i="4"/>
  <c r="CB78" i="1" s="1"/>
  <c r="U11" i="1"/>
  <c r="D27" i="1"/>
  <c r="R11" i="1"/>
  <c r="T98" i="1"/>
  <c r="T16" i="1"/>
  <c r="AM225" i="1"/>
  <c r="BK249" i="1"/>
  <c r="AJ196" i="1"/>
  <c r="IV19" i="4"/>
  <c r="BP78" i="1" s="1"/>
  <c r="BP107" i="1" s="1"/>
  <c r="G16" i="1"/>
  <c r="G98" i="1"/>
  <c r="G11" i="1"/>
  <c r="P188" i="1"/>
  <c r="O16" i="1"/>
  <c r="O98" i="1"/>
  <c r="P11" i="1"/>
  <c r="HZ19" i="4"/>
  <c r="AT78" i="1" s="1"/>
  <c r="AT107" i="1" s="1"/>
  <c r="M16" i="1"/>
  <c r="M98" i="1"/>
  <c r="K188" i="1"/>
  <c r="BY94" i="1"/>
  <c r="HT19" i="4"/>
  <c r="AN78" i="1" s="1"/>
  <c r="AN107" i="1" s="1"/>
  <c r="D11" i="1"/>
  <c r="J188" i="1"/>
  <c r="BY249" i="1"/>
  <c r="IL19" i="4"/>
  <c r="BF78" i="1" s="1"/>
  <c r="BF107" i="1" s="1"/>
  <c r="BL206" i="1"/>
  <c r="BL249" i="1"/>
  <c r="B112" i="1"/>
  <c r="V112" i="1"/>
  <c r="V29" i="1"/>
  <c r="V34" i="1"/>
  <c r="V38" i="1" s="1"/>
  <c r="V232" i="1"/>
  <c r="V233" i="1" s="1"/>
  <c r="Q17" i="1"/>
  <c r="Q18" i="1"/>
  <c r="AM103" i="1"/>
  <c r="AM107" i="1"/>
  <c r="BL96" i="1"/>
  <c r="BL108" i="1"/>
  <c r="BL111" i="1" s="1"/>
  <c r="CN132" i="1"/>
  <c r="CN134" i="1" s="1"/>
  <c r="CO32" i="1" s="1"/>
  <c r="Y108" i="1"/>
  <c r="Y111" i="1" s="1"/>
  <c r="Y114" i="1" s="1"/>
  <c r="Y107" i="1"/>
  <c r="Y110" i="1" s="1"/>
  <c r="Y113" i="1" s="1"/>
  <c r="Y92" i="1"/>
  <c r="Y99" i="1"/>
  <c r="Y66" i="1"/>
  <c r="W63" i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X65" i="1"/>
  <c r="Z68" i="1"/>
  <c r="Z69" i="1"/>
  <c r="Z96" i="1"/>
  <c r="Z94" i="1"/>
  <c r="Z95" i="1"/>
  <c r="Z104" i="1"/>
  <c r="Z102" i="1"/>
  <c r="Z103" i="1"/>
  <c r="CT77" i="1"/>
  <c r="AB137" i="1"/>
  <c r="AD149" i="1"/>
  <c r="AE149" i="1"/>
  <c r="AD117" i="1"/>
  <c r="AE117" i="1"/>
  <c r="CQ65" i="1"/>
  <c r="CR63" i="1"/>
  <c r="AC163" i="1"/>
  <c r="AA137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Y206" i="1" l="1"/>
  <c r="BJ248" i="1"/>
  <c r="BJ94" i="1"/>
  <c r="BY129" i="1"/>
  <c r="AL186" i="1"/>
  <c r="BX157" i="1"/>
  <c r="BX165" i="1" s="1"/>
  <c r="AL157" i="1"/>
  <c r="BZ206" i="1"/>
  <c r="BZ205" i="1" s="1"/>
  <c r="BJ129" i="1"/>
  <c r="L11" i="1"/>
  <c r="O188" i="1"/>
  <c r="AK19" i="1"/>
  <c r="I11" i="1"/>
  <c r="AL12" i="1"/>
  <c r="AL181" i="1"/>
  <c r="I188" i="1"/>
  <c r="H11" i="1"/>
  <c r="L98" i="1"/>
  <c r="L16" i="1"/>
  <c r="L17" i="1" s="1"/>
  <c r="IT20" i="4"/>
  <c r="BN79" i="1" s="1"/>
  <c r="BN108" i="1" s="1"/>
  <c r="CC86" i="1"/>
  <c r="CF90" i="1" s="1"/>
  <c r="CC107" i="1"/>
  <c r="CC103" i="1"/>
  <c r="CC95" i="1"/>
  <c r="S98" i="1"/>
  <c r="S16" i="1"/>
  <c r="S17" i="1" s="1"/>
  <c r="N16" i="1"/>
  <c r="N17" i="1" s="1"/>
  <c r="N98" i="1"/>
  <c r="CC102" i="1"/>
  <c r="CC85" i="1"/>
  <c r="CC94" i="1"/>
  <c r="H16" i="1"/>
  <c r="H17" i="1" s="1"/>
  <c r="H98" i="1"/>
  <c r="BJ179" i="1"/>
  <c r="BK179" i="1" s="1"/>
  <c r="BJ148" i="1"/>
  <c r="BZ95" i="1"/>
  <c r="BZ107" i="1"/>
  <c r="BZ110" i="1" s="1"/>
  <c r="BZ89" i="1"/>
  <c r="BY205" i="1"/>
  <c r="AL165" i="1"/>
  <c r="AL166" i="1" s="1"/>
  <c r="AJ198" i="1"/>
  <c r="G18" i="1"/>
  <c r="AL107" i="1"/>
  <c r="AL95" i="1"/>
  <c r="C17" i="1"/>
  <c r="C18" i="1"/>
  <c r="C28" i="1"/>
  <c r="E28" i="1"/>
  <c r="E29" i="1" s="1"/>
  <c r="E17" i="1"/>
  <c r="F18" i="1"/>
  <c r="BY37" i="1"/>
  <c r="BX109" i="1"/>
  <c r="AM37" i="1"/>
  <c r="AL109" i="1"/>
  <c r="AK34" i="1"/>
  <c r="AK38" i="1" s="1"/>
  <c r="AK29" i="1"/>
  <c r="AK232" i="1"/>
  <c r="AK233" i="1" s="1"/>
  <c r="I17" i="1"/>
  <c r="AM19" i="1"/>
  <c r="AL19" i="1"/>
  <c r="AL17" i="1"/>
  <c r="BL33" i="1"/>
  <c r="BK138" i="1"/>
  <c r="BL203" i="1" s="1"/>
  <c r="BL201" i="1" s="1"/>
  <c r="BX166" i="1"/>
  <c r="J17" i="1"/>
  <c r="K18" i="1"/>
  <c r="X250" i="1"/>
  <c r="W250" i="1"/>
  <c r="R17" i="1"/>
  <c r="R18" i="1"/>
  <c r="D18" i="1"/>
  <c r="E18" i="1"/>
  <c r="D17" i="1"/>
  <c r="D28" i="1"/>
  <c r="AL96" i="1"/>
  <c r="CB30" i="1"/>
  <c r="BY31" i="1"/>
  <c r="X30" i="1"/>
  <c r="BY250" i="1"/>
  <c r="W30" i="1"/>
  <c r="AJ165" i="1"/>
  <c r="AJ166" i="1" s="1"/>
  <c r="CA108" i="1"/>
  <c r="BY251" i="1"/>
  <c r="BX29" i="1"/>
  <c r="BX232" i="1"/>
  <c r="BX233" i="1" s="1"/>
  <c r="CA96" i="1"/>
  <c r="BX34" i="1"/>
  <c r="W232" i="1"/>
  <c r="W233" i="1" s="1"/>
  <c r="W34" i="1"/>
  <c r="W38" i="1" s="1"/>
  <c r="W29" i="1"/>
  <c r="S18" i="1"/>
  <c r="W112" i="1"/>
  <c r="AL34" i="1"/>
  <c r="AL38" i="1" s="1"/>
  <c r="AL232" i="1"/>
  <c r="AL233" i="1" s="1"/>
  <c r="AL29" i="1"/>
  <c r="AM31" i="1"/>
  <c r="BJ110" i="1"/>
  <c r="BX246" i="1"/>
  <c r="CC96" i="1"/>
  <c r="CC104" i="1"/>
  <c r="CC87" i="1"/>
  <c r="CC108" i="1"/>
  <c r="AJ29" i="1"/>
  <c r="AJ34" i="1"/>
  <c r="AJ38" i="1" s="1"/>
  <c r="AJ232" i="1"/>
  <c r="AJ233" i="1" s="1"/>
  <c r="AK31" i="1"/>
  <c r="BX186" i="1"/>
  <c r="CB189" i="1" s="1"/>
  <c r="BX181" i="1"/>
  <c r="AM232" i="1"/>
  <c r="AM233" i="1" s="1"/>
  <c r="AM34" i="1"/>
  <c r="AM38" i="1" s="1"/>
  <c r="AM29" i="1"/>
  <c r="AM250" i="1"/>
  <c r="AM251" i="1" s="1"/>
  <c r="AL250" i="1"/>
  <c r="AL251" i="1" s="1"/>
  <c r="O17" i="1"/>
  <c r="P18" i="1"/>
  <c r="O18" i="1"/>
  <c r="BY138" i="1"/>
  <c r="BZ203" i="1" s="1"/>
  <c r="BZ201" i="1" s="1"/>
  <c r="BZ33" i="1"/>
  <c r="CB103" i="1"/>
  <c r="CB107" i="1"/>
  <c r="CB110" i="1" s="1"/>
  <c r="CB113" i="1" s="1"/>
  <c r="CB95" i="1"/>
  <c r="CB86" i="1"/>
  <c r="CE90" i="1" s="1"/>
  <c r="M17" i="1"/>
  <c r="N18" i="1"/>
  <c r="AM112" i="1"/>
  <c r="U18" i="1"/>
  <c r="T17" i="1"/>
  <c r="AL246" i="1"/>
  <c r="AM203" i="1"/>
  <c r="AM201" i="1" s="1"/>
  <c r="AK138" i="1"/>
  <c r="AL33" i="1"/>
  <c r="G17" i="1"/>
  <c r="AM226" i="1"/>
  <c r="AL31" i="1"/>
  <c r="L18" i="1"/>
  <c r="J18" i="1"/>
  <c r="V40" i="1"/>
  <c r="V41" i="1"/>
  <c r="X99" i="1"/>
  <c r="X107" i="1"/>
  <c r="X110" i="1" s="1"/>
  <c r="X113" i="1" s="1"/>
  <c r="X92" i="1"/>
  <c r="X108" i="1"/>
  <c r="X111" i="1" s="1"/>
  <c r="X114" i="1" s="1"/>
  <c r="X66" i="1"/>
  <c r="Y68" i="1"/>
  <c r="Y69" i="1"/>
  <c r="Y103" i="1"/>
  <c r="Y102" i="1"/>
  <c r="Y104" i="1"/>
  <c r="Y95" i="1"/>
  <c r="Y94" i="1"/>
  <c r="Y96" i="1"/>
  <c r="Z86" i="1"/>
  <c r="Z85" i="1"/>
  <c r="Z87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P28" i="1"/>
  <c r="I28" i="1"/>
  <c r="Q28" i="1"/>
  <c r="J28" i="1"/>
  <c r="R28" i="1"/>
  <c r="K28" i="1"/>
  <c r="S28" i="1"/>
  <c r="L28" i="1"/>
  <c r="T28" i="1"/>
  <c r="M28" i="1"/>
  <c r="U28" i="1"/>
  <c r="F28" i="1"/>
  <c r="N28" i="1"/>
  <c r="I18" i="1" l="1"/>
  <c r="BJ182" i="1"/>
  <c r="BJ157" i="1"/>
  <c r="BJ246" i="1"/>
  <c r="M18" i="1"/>
  <c r="H28" i="1"/>
  <c r="H18" i="1"/>
  <c r="T18" i="1"/>
  <c r="BX111" i="1"/>
  <c r="BX110" i="1"/>
  <c r="AK40" i="1"/>
  <c r="AK41" i="1"/>
  <c r="F250" i="1"/>
  <c r="C29" i="1"/>
  <c r="D30" i="1"/>
  <c r="C30" i="1"/>
  <c r="C250" i="1"/>
  <c r="AL110" i="1"/>
  <c r="AL111" i="1"/>
  <c r="D29" i="1"/>
  <c r="D34" i="1"/>
  <c r="D38" i="1" s="1"/>
  <c r="D232" i="1"/>
  <c r="D233" i="1" s="1"/>
  <c r="E30" i="1"/>
  <c r="D112" i="1"/>
  <c r="D250" i="1"/>
  <c r="BX38" i="1"/>
  <c r="CA55" i="1"/>
  <c r="AK234" i="1"/>
  <c r="AK48" i="1"/>
  <c r="AK42" i="1"/>
  <c r="W41" i="1"/>
  <c r="W43" i="1" s="1"/>
  <c r="W40" i="1"/>
  <c r="BY203" i="1"/>
  <c r="BY201" i="1" s="1"/>
  <c r="AK203" i="1"/>
  <c r="AK201" i="1" s="1"/>
  <c r="AL203" i="1"/>
  <c r="AL201" i="1" s="1"/>
  <c r="AM40" i="1"/>
  <c r="AM41" i="1"/>
  <c r="AJ41" i="1"/>
  <c r="AJ40" i="1"/>
  <c r="AL41" i="1"/>
  <c r="AL40" i="1"/>
  <c r="V42" i="1"/>
  <c r="V245" i="1" s="1"/>
  <c r="V48" i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Y85" i="1"/>
  <c r="Y86" i="1"/>
  <c r="Y87" i="1"/>
  <c r="U112" i="1"/>
  <c r="V30" i="1"/>
  <c r="P112" i="1"/>
  <c r="Q30" i="1"/>
  <c r="Q112" i="1"/>
  <c r="R30" i="1"/>
  <c r="I112" i="1"/>
  <c r="J30" i="1"/>
  <c r="S112" i="1"/>
  <c r="T30" i="1"/>
  <c r="H112" i="1"/>
  <c r="I30" i="1"/>
  <c r="X69" i="1"/>
  <c r="Y70" i="1" s="1"/>
  <c r="X68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X95" i="1"/>
  <c r="X94" i="1"/>
  <c r="X96" i="1"/>
  <c r="M112" i="1"/>
  <c r="N30" i="1"/>
  <c r="J112" i="1"/>
  <c r="K30" i="1"/>
  <c r="Z70" i="1"/>
  <c r="X104" i="1"/>
  <c r="X103" i="1"/>
  <c r="X102" i="1"/>
  <c r="CN203" i="1"/>
  <c r="CN201" i="1" s="1"/>
  <c r="CO134" i="1"/>
  <c r="CV77" i="1"/>
  <c r="AD202" i="1"/>
  <c r="AB142" i="1"/>
  <c r="AE137" i="1"/>
  <c r="AD137" i="1"/>
  <c r="CT63" i="1"/>
  <c r="AC63" i="1" s="1"/>
  <c r="AC65" i="1" s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BJ181" i="1" l="1"/>
  <c r="BJ186" i="1"/>
  <c r="D41" i="1"/>
  <c r="D40" i="1"/>
  <c r="AK119" i="1"/>
  <c r="AK120" i="1" s="1"/>
  <c r="AK193" i="1"/>
  <c r="AK195" i="1" s="1"/>
  <c r="AK66" i="1"/>
  <c r="AK52" i="1"/>
  <c r="BX41" i="1"/>
  <c r="BX40" i="1"/>
  <c r="W48" i="1"/>
  <c r="W52" i="1" s="1"/>
  <c r="W234" i="1"/>
  <c r="X43" i="1"/>
  <c r="W42" i="1"/>
  <c r="W245" i="1" s="1"/>
  <c r="AL234" i="1"/>
  <c r="AM44" i="1"/>
  <c r="AL48" i="1"/>
  <c r="AL42" i="1"/>
  <c r="AL245" i="1" s="1"/>
  <c r="AL44" i="1"/>
  <c r="AM42" i="1"/>
  <c r="AM245" i="1" s="1"/>
  <c r="AM234" i="1"/>
  <c r="AJ48" i="1"/>
  <c r="AJ234" i="1"/>
  <c r="AJ42" i="1"/>
  <c r="AM227" i="1"/>
  <c r="AK44" i="1"/>
  <c r="D48" i="1"/>
  <c r="D234" i="1"/>
  <c r="D42" i="1"/>
  <c r="X85" i="1"/>
  <c r="X87" i="1"/>
  <c r="X86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L207" i="1" l="1"/>
  <c r="AL205" i="1" s="1"/>
  <c r="AK129" i="1"/>
  <c r="AK207" i="1"/>
  <c r="AK205" i="1" s="1"/>
  <c r="BX48" i="1"/>
  <c r="BY44" i="1"/>
  <c r="BX42" i="1"/>
  <c r="BX245" i="1" s="1"/>
  <c r="BX234" i="1"/>
  <c r="CB43" i="1"/>
  <c r="AL193" i="1"/>
  <c r="AL195" i="1" s="1"/>
  <c r="AL66" i="1"/>
  <c r="AL52" i="1"/>
  <c r="AJ207" i="1"/>
  <c r="AJ205" i="1" s="1"/>
  <c r="AJ52" i="1"/>
  <c r="AJ66" i="1"/>
  <c r="AJ193" i="1"/>
  <c r="AJ195" i="1" s="1"/>
  <c r="AJ199" i="1" s="1"/>
  <c r="AJ213" i="1" s="1"/>
  <c r="D193" i="1"/>
  <c r="D195" i="1" s="1"/>
  <c r="D52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AA124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X52" i="1" l="1"/>
  <c r="BX193" i="1"/>
  <c r="BX195" i="1" s="1"/>
  <c r="BX66" i="1"/>
  <c r="CA69" i="1" s="1"/>
  <c r="CA54" i="1"/>
  <c r="AJ210" i="1"/>
  <c r="AJ211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I65" i="1"/>
  <c r="I99" i="1" s="1"/>
  <c r="Q65" i="1"/>
  <c r="Q99" i="1" s="1"/>
  <c r="U65" i="1"/>
  <c r="U99" i="1" s="1"/>
  <c r="F65" i="1"/>
  <c r="F99" i="1" s="1"/>
  <c r="R65" i="1"/>
  <c r="R99" i="1" s="1"/>
  <c r="J65" i="1"/>
  <c r="N65" i="1"/>
  <c r="N66" i="1" s="1"/>
  <c r="N69" i="1" s="1"/>
  <c r="T65" i="1"/>
  <c r="E65" i="1"/>
  <c r="E99" i="1" s="1"/>
  <c r="H65" i="1"/>
  <c r="H99" i="1" s="1"/>
  <c r="S65" i="1"/>
  <c r="V65" i="1"/>
  <c r="V99" i="1" s="1"/>
  <c r="P65" i="1"/>
  <c r="G65" i="1"/>
  <c r="G66" i="1" s="1"/>
  <c r="G69" i="1" s="1"/>
  <c r="L65" i="1"/>
  <c r="K65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5" i="1" l="1"/>
  <c r="BW89" i="1"/>
  <c r="CA86" i="1"/>
  <c r="CD90" i="1" s="1"/>
  <c r="CA87" i="1"/>
  <c r="CE70" i="1"/>
  <c r="R66" i="1"/>
  <c r="R69" i="1" s="1"/>
  <c r="K99" i="1"/>
  <c r="L99" i="1"/>
  <c r="T99" i="1"/>
  <c r="P99" i="1"/>
  <c r="G99" i="1"/>
  <c r="S99" i="1"/>
  <c r="J99" i="1"/>
  <c r="N99" i="1"/>
  <c r="H66" i="1"/>
  <c r="U66" i="1"/>
  <c r="U69" i="1" s="1"/>
  <c r="V66" i="1"/>
  <c r="E66" i="1"/>
  <c r="Q66" i="1"/>
  <c r="T66" i="1"/>
  <c r="T69" i="1" s="1"/>
  <c r="M65" i="1"/>
  <c r="M66" i="1" s="1"/>
  <c r="M69" i="1" s="1"/>
  <c r="O65" i="1"/>
  <c r="O99" i="1" s="1"/>
  <c r="W65" i="1"/>
  <c r="W99" i="1" s="1"/>
  <c r="K66" i="1"/>
  <c r="P66" i="1"/>
  <c r="P69" i="1" s="1"/>
  <c r="CP138" i="1"/>
  <c r="CP203" i="1" s="1"/>
  <c r="CP201" i="1" s="1"/>
  <c r="CQ32" i="1"/>
  <c r="CZ77" i="1"/>
  <c r="AC142" i="1"/>
  <c r="CX63" i="1"/>
  <c r="AD63" i="1" s="1"/>
  <c r="AD65" i="1" s="1"/>
  <c r="CW65" i="1"/>
  <c r="AA125" i="1"/>
  <c r="AA128" i="1" s="1"/>
  <c r="AA249" i="1" s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J66" i="1"/>
  <c r="J69" i="1" s="1"/>
  <c r="M193" i="1"/>
  <c r="M195" i="1" s="1"/>
  <c r="B52" i="1"/>
  <c r="F52" i="1"/>
  <c r="F66" i="1"/>
  <c r="F69" i="1" s="1"/>
  <c r="I52" i="1"/>
  <c r="I66" i="1"/>
  <c r="C52" i="1"/>
  <c r="L52" i="1"/>
  <c r="L66" i="1"/>
  <c r="S66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K69" i="1" l="1"/>
  <c r="Q69" i="1"/>
  <c r="U70" i="1"/>
  <c r="M99" i="1"/>
  <c r="H69" i="1"/>
  <c r="E69" i="1"/>
  <c r="V69" i="1"/>
  <c r="O66" i="1"/>
  <c r="W6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A206" i="1"/>
  <c r="N70" i="1"/>
  <c r="G70" i="1"/>
  <c r="S69" i="1"/>
  <c r="I69" i="1"/>
  <c r="J70" i="1" s="1"/>
  <c r="L69" i="1"/>
  <c r="L70" i="1" l="1"/>
  <c r="R70" i="1"/>
  <c r="K70" i="1"/>
  <c r="Q70" i="1"/>
  <c r="H70" i="1"/>
  <c r="F70" i="1"/>
  <c r="V70" i="1"/>
  <c r="O69" i="1"/>
  <c r="CQ134" i="1"/>
  <c r="DB77" i="1"/>
  <c r="CY65" i="1"/>
  <c r="CZ63" i="1"/>
  <c r="S70" i="1"/>
  <c r="T70" i="1"/>
  <c r="M70" i="1"/>
  <c r="I70" i="1"/>
  <c r="P70" i="1" l="1"/>
  <c r="O70" i="1"/>
  <c r="CQ138" i="1"/>
  <c r="CR32" i="1"/>
  <c r="AE77" i="1"/>
  <c r="AB125" i="1"/>
  <c r="AB128" i="1" s="1"/>
  <c r="AB249" i="1" s="1"/>
  <c r="AD142" i="1"/>
  <c r="CZ65" i="1"/>
  <c r="DA63" i="1"/>
  <c r="R69" i="2"/>
  <c r="I80" i="2"/>
  <c r="W62" i="2"/>
  <c r="U27" i="3"/>
  <c r="AB93" i="3"/>
  <c r="AA12" i="3"/>
  <c r="R111" i="2"/>
  <c r="K69" i="2"/>
  <c r="J45" i="2"/>
  <c r="H20" i="3"/>
  <c r="U24" i="3"/>
  <c r="L75" i="2"/>
  <c r="W97" i="2"/>
  <c r="K95" i="2"/>
  <c r="Y35" i="3"/>
  <c r="I5" i="3"/>
  <c r="AN25" i="3"/>
  <c r="O23" i="3"/>
  <c r="Y18" i="3"/>
  <c r="I111" i="2"/>
  <c r="P13" i="3"/>
  <c r="H88" i="2"/>
  <c r="AP80" i="3"/>
  <c r="AM11" i="3"/>
  <c r="H78" i="2"/>
  <c r="J112" i="2"/>
  <c r="Q71" i="2"/>
  <c r="D79" i="2"/>
  <c r="X76" i="2"/>
  <c r="O88" i="2"/>
  <c r="AP47" i="3"/>
  <c r="Z27" i="3"/>
  <c r="H29" i="3"/>
  <c r="AA28" i="3"/>
  <c r="J56" i="2"/>
  <c r="L106" i="2"/>
  <c r="AP71" i="3"/>
  <c r="N34" i="3"/>
  <c r="N107" i="2"/>
  <c r="F76" i="2"/>
  <c r="O63" i="2"/>
  <c r="P51" i="2"/>
  <c r="Q65" i="2"/>
  <c r="R56" i="2"/>
  <c r="E92" i="2"/>
  <c r="AJ10" i="3"/>
  <c r="U70" i="2"/>
  <c r="AM33" i="3"/>
  <c r="AC22" i="3"/>
  <c r="F79" i="2"/>
  <c r="W61" i="2"/>
  <c r="Q52" i="2"/>
  <c r="W94" i="2"/>
  <c r="G50" i="2"/>
  <c r="T109" i="2"/>
  <c r="C30" i="3"/>
  <c r="R41" i="2"/>
  <c r="D45" i="2"/>
  <c r="AP67" i="3"/>
  <c r="I8" i="3"/>
  <c r="Y28" i="3"/>
  <c r="U105" i="2"/>
  <c r="L26" i="3"/>
  <c r="E69" i="2"/>
  <c r="M107" i="2"/>
  <c r="I88" i="2"/>
  <c r="AL8" i="3"/>
  <c r="D53" i="2"/>
  <c r="G41" i="2"/>
  <c r="I106" i="2"/>
  <c r="X90" i="2"/>
  <c r="P65" i="2"/>
  <c r="W84" i="2"/>
  <c r="O16" i="3"/>
  <c r="U107" i="2"/>
  <c r="Y22" i="3"/>
  <c r="X71" i="2"/>
  <c r="H53" i="2"/>
  <c r="Q92" i="2"/>
  <c r="J87" i="2"/>
  <c r="C88" i="2"/>
  <c r="F65" i="2"/>
  <c r="V80" i="2"/>
  <c r="H111" i="2"/>
  <c r="AB17" i="3"/>
  <c r="D107" i="2"/>
  <c r="P10" i="3"/>
  <c r="G92" i="2"/>
  <c r="AB83" i="3"/>
  <c r="S72" i="2"/>
  <c r="P78" i="2"/>
  <c r="L108" i="2"/>
  <c r="X48" i="2"/>
  <c r="R50" i="2"/>
  <c r="N15" i="3"/>
  <c r="I41" i="2"/>
  <c r="C98" i="2"/>
  <c r="I50" i="2"/>
  <c r="I42" i="2"/>
  <c r="X94" i="2"/>
  <c r="L92" i="2"/>
  <c r="C42" i="2"/>
  <c r="J76" i="2"/>
  <c r="AB31" i="3"/>
  <c r="F88" i="2"/>
  <c r="AB41" i="3"/>
  <c r="F42" i="2"/>
  <c r="R36" i="3"/>
  <c r="G88" i="2"/>
  <c r="V86" i="2"/>
  <c r="W106" i="2"/>
  <c r="F58" i="2"/>
  <c r="N62" i="2"/>
  <c r="I104" i="2"/>
  <c r="H55" i="2"/>
  <c r="H38" i="3"/>
  <c r="J52" i="2"/>
  <c r="W99" i="2"/>
  <c r="N94" i="2"/>
  <c r="P50" i="2"/>
  <c r="G77" i="2"/>
  <c r="V61" i="2"/>
  <c r="I61" i="2"/>
  <c r="S71" i="2"/>
  <c r="AO8" i="3"/>
  <c r="AP65" i="3"/>
  <c r="N39" i="3"/>
  <c r="L94" i="2"/>
  <c r="W15" i="3"/>
  <c r="R72" i="2"/>
  <c r="J108" i="2"/>
  <c r="P43" i="2"/>
  <c r="Q98" i="2"/>
  <c r="N53" i="2"/>
  <c r="N112" i="2"/>
  <c r="D105" i="2"/>
  <c r="Q105" i="2"/>
  <c r="K41" i="3"/>
  <c r="J12" i="3"/>
  <c r="O22" i="3"/>
  <c r="U41" i="3"/>
  <c r="J43" i="2"/>
  <c r="H82" i="2"/>
  <c r="P84" i="2"/>
  <c r="G73" i="2"/>
  <c r="AQ33" i="3"/>
  <c r="M63" i="2"/>
  <c r="E42" i="2"/>
  <c r="S63" i="2"/>
  <c r="X95" i="2"/>
  <c r="C54" i="2"/>
  <c r="V97" i="2"/>
  <c r="AB56" i="3"/>
  <c r="V39" i="3"/>
  <c r="I94" i="2"/>
  <c r="V65" i="2"/>
  <c r="Z36" i="3"/>
  <c r="C29" i="3"/>
  <c r="AJ22" i="3"/>
  <c r="H45" i="2"/>
  <c r="K13" i="3"/>
  <c r="J54" i="2"/>
  <c r="S7" i="3"/>
  <c r="O60" i="2"/>
  <c r="G74" i="2"/>
  <c r="AB94" i="3"/>
  <c r="D51" i="2"/>
  <c r="K62" i="2"/>
  <c r="R52" i="2"/>
  <c r="F95" i="2"/>
  <c r="E85" i="2"/>
  <c r="U60" i="2"/>
  <c r="W64" i="2"/>
  <c r="J20" i="3"/>
  <c r="AH34" i="3"/>
  <c r="R59" i="2"/>
  <c r="V53" i="2"/>
  <c r="P87" i="2"/>
  <c r="S70" i="2"/>
  <c r="M78" i="2"/>
  <c r="D87" i="2"/>
  <c r="AD49" i="3"/>
  <c r="X36" i="3"/>
  <c r="I95" i="2"/>
  <c r="D67" i="2"/>
  <c r="C63" i="2"/>
  <c r="AL27" i="3"/>
  <c r="AH14" i="3"/>
  <c r="P57" i="2"/>
  <c r="K80" i="2"/>
  <c r="M77" i="2"/>
  <c r="D71" i="2"/>
  <c r="P33" i="3"/>
  <c r="V67" i="2"/>
  <c r="K93" i="2"/>
  <c r="S11" i="3"/>
  <c r="T77" i="2"/>
  <c r="L28" i="3"/>
  <c r="W91" i="2"/>
  <c r="C81" i="2"/>
  <c r="M76" i="2"/>
  <c r="M5" i="3"/>
  <c r="P74" i="2"/>
  <c r="AB76" i="3"/>
  <c r="H44" i="2"/>
  <c r="O59" i="2"/>
  <c r="E74" i="2"/>
  <c r="V45" i="2"/>
  <c r="AO39" i="3"/>
  <c r="N65" i="2"/>
  <c r="N56" i="2"/>
  <c r="H84" i="2"/>
  <c r="O112" i="2"/>
  <c r="K83" i="2"/>
  <c r="W5" i="3"/>
  <c r="G106" i="2"/>
  <c r="R42" i="2"/>
  <c r="P99" i="2"/>
  <c r="AC36" i="3"/>
  <c r="P95" i="2"/>
  <c r="L65" i="2"/>
  <c r="G48" i="2"/>
  <c r="AB7" i="3"/>
  <c r="D59" i="2"/>
  <c r="K106" i="2"/>
  <c r="AD50" i="3"/>
  <c r="C67" i="2"/>
  <c r="X99" i="2"/>
  <c r="V98" i="2"/>
  <c r="P46" i="2"/>
  <c r="K45" i="2"/>
  <c r="AN40" i="3"/>
  <c r="H59" i="2"/>
  <c r="AG42" i="3"/>
  <c r="Q88" i="2"/>
  <c r="K96" i="2"/>
  <c r="V59" i="2"/>
  <c r="AB61" i="3"/>
  <c r="AD28" i="3"/>
  <c r="P104" i="2"/>
  <c r="I71" i="2"/>
  <c r="E104" i="2"/>
  <c r="J5" i="3"/>
  <c r="AQ16" i="3"/>
  <c r="Y11" i="3"/>
  <c r="AB75" i="3"/>
  <c r="T32" i="3"/>
  <c r="D84" i="2"/>
  <c r="W21" i="3"/>
  <c r="I81" i="2"/>
  <c r="X84" i="2"/>
  <c r="AP41" i="3"/>
  <c r="J72" i="2"/>
  <c r="U42" i="2"/>
  <c r="Q104" i="2"/>
  <c r="W59" i="2"/>
  <c r="R83" i="2"/>
  <c r="K57" i="2"/>
  <c r="V83" i="2"/>
  <c r="U38" i="3"/>
  <c r="R88" i="2"/>
  <c r="D54" i="2"/>
  <c r="N113" i="2"/>
  <c r="E67" i="2"/>
  <c r="N87" i="2"/>
  <c r="L93" i="2"/>
  <c r="E77" i="2"/>
  <c r="O21" i="3"/>
  <c r="R15" i="3"/>
  <c r="N51" i="2"/>
  <c r="M25" i="3"/>
  <c r="N76" i="2"/>
  <c r="H98" i="2"/>
  <c r="O79" i="2"/>
  <c r="X81" i="2"/>
  <c r="S109" i="2"/>
  <c r="V43" i="2"/>
  <c r="D78" i="2"/>
  <c r="M105" i="2"/>
  <c r="G40" i="2"/>
  <c r="W43" i="2"/>
  <c r="AE34" i="3"/>
  <c r="P105" i="2"/>
  <c r="L5" i="3"/>
  <c r="E111" i="2"/>
  <c r="T107" i="2"/>
  <c r="I46" i="2"/>
  <c r="I51" i="2"/>
  <c r="AB49" i="3"/>
  <c r="AE14" i="3"/>
  <c r="G94" i="2"/>
  <c r="V111" i="2"/>
  <c r="H61" i="2"/>
  <c r="AM18" i="3"/>
  <c r="I99" i="2"/>
  <c r="T68" i="2"/>
  <c r="Q77" i="2"/>
  <c r="K104" i="2"/>
  <c r="J49" i="2"/>
  <c r="AI17" i="3"/>
  <c r="W18" i="3"/>
  <c r="L16" i="3"/>
  <c r="C73" i="2"/>
  <c r="H19" i="3"/>
  <c r="K77" i="2"/>
  <c r="U23" i="3"/>
  <c r="R11" i="3"/>
  <c r="U39" i="3"/>
  <c r="X105" i="2"/>
  <c r="T40" i="3"/>
  <c r="I13" i="3"/>
  <c r="T66" i="2"/>
  <c r="P7" i="3"/>
  <c r="AM37" i="3"/>
  <c r="H64" i="2"/>
  <c r="I19" i="3"/>
  <c r="AE41" i="3"/>
  <c r="AG6" i="3"/>
  <c r="R38" i="3"/>
  <c r="E93" i="2"/>
  <c r="V35" i="3"/>
  <c r="C39" i="3"/>
  <c r="X113" i="2"/>
  <c r="H74" i="2"/>
  <c r="C6" i="3"/>
  <c r="P76" i="2"/>
  <c r="AN18" i="3"/>
  <c r="AB47" i="3"/>
  <c r="AM14" i="3"/>
  <c r="AJ8" i="3"/>
  <c r="G43" i="2"/>
  <c r="AE36" i="3"/>
  <c r="AL15" i="3"/>
  <c r="Q19" i="3"/>
  <c r="H24" i="3"/>
  <c r="L31" i="3"/>
  <c r="AK16" i="3"/>
  <c r="K66" i="2"/>
  <c r="I62" i="2"/>
  <c r="M87" i="2"/>
  <c r="J104" i="2"/>
  <c r="O18" i="3"/>
  <c r="X27" i="3"/>
  <c r="AB90" i="3"/>
  <c r="O61" i="2"/>
  <c r="G39" i="3"/>
  <c r="V74" i="2"/>
  <c r="D90" i="2"/>
  <c r="AG13" i="3"/>
  <c r="P41" i="2"/>
  <c r="W25" i="3"/>
  <c r="AN24" i="3"/>
  <c r="L88" i="2"/>
  <c r="AG40" i="3"/>
  <c r="P89" i="2"/>
  <c r="S25" i="3"/>
  <c r="L7" i="3"/>
  <c r="AP66" i="3"/>
  <c r="O113" i="2"/>
  <c r="AD36" i="3"/>
  <c r="M33" i="3"/>
  <c r="AA23" i="3"/>
  <c r="AN42" i="3"/>
  <c r="M38" i="3"/>
  <c r="P79" i="2"/>
  <c r="S51" i="2"/>
  <c r="AB86" i="3"/>
  <c r="K75" i="2"/>
  <c r="M22" i="3"/>
  <c r="W40" i="3"/>
  <c r="M64" i="2"/>
  <c r="S47" i="2"/>
  <c r="AH35" i="3"/>
  <c r="X97" i="2"/>
  <c r="U54" i="2"/>
  <c r="D110" i="2"/>
  <c r="N18" i="3"/>
  <c r="AK30" i="3"/>
  <c r="P92" i="2"/>
  <c r="AQ37" i="3"/>
  <c r="C47" i="2"/>
  <c r="O80" i="2"/>
  <c r="W11" i="3"/>
  <c r="U5" i="3"/>
  <c r="Y36" i="3"/>
  <c r="K111" i="2"/>
  <c r="P12" i="3"/>
  <c r="AQ12" i="3"/>
  <c r="T18" i="3"/>
  <c r="N55" i="2"/>
  <c r="AH17" i="3"/>
  <c r="S105" i="2"/>
  <c r="G109" i="2"/>
  <c r="P86" i="2"/>
  <c r="G51" i="2"/>
  <c r="AG11" i="3"/>
  <c r="C77" i="2"/>
  <c r="U109" i="2"/>
  <c r="L58" i="2"/>
  <c r="AP95" i="3"/>
  <c r="AP74" i="3"/>
  <c r="AO22" i="3"/>
  <c r="V40" i="2"/>
  <c r="AI27" i="3"/>
  <c r="U50" i="2"/>
  <c r="AI23" i="3"/>
  <c r="H5" i="3"/>
  <c r="T7" i="3"/>
  <c r="AA39" i="3"/>
  <c r="J24" i="3"/>
  <c r="AE11" i="3"/>
  <c r="Y21" i="3"/>
  <c r="AB25" i="3"/>
  <c r="C41" i="3"/>
  <c r="O47" i="2"/>
  <c r="N57" i="2"/>
  <c r="W28" i="3"/>
  <c r="J86" i="2"/>
  <c r="O55" i="2"/>
  <c r="V51" i="2"/>
  <c r="AM27" i="3"/>
  <c r="AI16" i="3"/>
  <c r="U56" i="2"/>
  <c r="I29" i="3"/>
  <c r="O49" i="2"/>
  <c r="U84" i="2"/>
  <c r="K113" i="2"/>
  <c r="C21" i="3"/>
  <c r="AQ38" i="3"/>
  <c r="AK39" i="3"/>
  <c r="X21" i="3"/>
  <c r="O110" i="2"/>
  <c r="W76" i="2"/>
  <c r="H86" i="2"/>
  <c r="L68" i="2"/>
  <c r="AA31" i="3"/>
  <c r="AI20" i="3"/>
  <c r="AN22" i="3"/>
  <c r="R40" i="2"/>
  <c r="AN5" i="3"/>
  <c r="AC40" i="3"/>
  <c r="N13" i="3"/>
  <c r="M31" i="3"/>
  <c r="X6" i="3"/>
  <c r="P82" i="2"/>
  <c r="H110" i="2"/>
  <c r="J25" i="3"/>
  <c r="X20" i="3"/>
  <c r="AI25" i="3"/>
  <c r="S24" i="3"/>
  <c r="O6" i="3"/>
  <c r="R78" i="2"/>
  <c r="Q34" i="3"/>
  <c r="AJ17" i="3"/>
  <c r="W34" i="3"/>
  <c r="T61" i="2"/>
  <c r="P93" i="2"/>
  <c r="S55" i="2"/>
  <c r="Z33" i="3"/>
  <c r="E99" i="2"/>
  <c r="AJ26" i="3"/>
  <c r="T92" i="2"/>
  <c r="N86" i="2"/>
  <c r="K16" i="3"/>
  <c r="Q85" i="2"/>
  <c r="AB32" i="3"/>
  <c r="AB68" i="3"/>
  <c r="M90" i="2"/>
  <c r="L8" i="3"/>
  <c r="K46" i="2"/>
  <c r="AB26" i="3"/>
  <c r="R98" i="2"/>
  <c r="X109" i="2"/>
  <c r="K10" i="3"/>
  <c r="AM36" i="3"/>
  <c r="S14" i="3"/>
  <c r="AO5" i="3"/>
  <c r="AO23" i="3"/>
  <c r="O9" i="3"/>
  <c r="AG10" i="3"/>
  <c r="U13" i="3"/>
  <c r="AH32" i="3"/>
  <c r="N38" i="3"/>
  <c r="AA11" i="3"/>
  <c r="X8" i="3"/>
  <c r="AJ28" i="3"/>
  <c r="AP54" i="3"/>
  <c r="S17" i="3"/>
  <c r="AE17" i="3"/>
  <c r="J60" i="2"/>
  <c r="K30" i="3"/>
  <c r="S98" i="2"/>
  <c r="V21" i="3"/>
  <c r="S74" i="2"/>
  <c r="C53" i="2"/>
  <c r="Q48" i="2"/>
  <c r="U95" i="2"/>
  <c r="F63" i="2"/>
  <c r="O74" i="2"/>
  <c r="N20" i="3"/>
  <c r="AP82" i="3"/>
  <c r="AP38" i="3"/>
  <c r="T17" i="3"/>
  <c r="AN17" i="3"/>
  <c r="R30" i="3"/>
  <c r="G50" i="3"/>
  <c r="AQ17" i="3"/>
  <c r="N16" i="3"/>
  <c r="AK14" i="3"/>
  <c r="X85" i="2"/>
  <c r="E110" i="2"/>
  <c r="X44" i="2"/>
  <c r="G52" i="2"/>
  <c r="F56" i="2"/>
  <c r="P60" i="2"/>
  <c r="G111" i="2"/>
  <c r="K52" i="2"/>
  <c r="V79" i="2"/>
  <c r="AI41" i="3"/>
  <c r="M32" i="3"/>
  <c r="P91" i="2"/>
  <c r="J7" i="3"/>
  <c r="Q106" i="2"/>
  <c r="M73" i="2"/>
  <c r="Q72" i="2"/>
  <c r="P8" i="3"/>
  <c r="T78" i="2"/>
  <c r="L55" i="2"/>
  <c r="I78" i="2"/>
  <c r="O81" i="2"/>
  <c r="D61" i="2"/>
  <c r="D92" i="2"/>
  <c r="U31" i="3"/>
  <c r="G108" i="2"/>
  <c r="N35" i="3"/>
  <c r="X67" i="2"/>
  <c r="K70" i="2"/>
  <c r="J64" i="2"/>
  <c r="D75" i="2"/>
  <c r="L19" i="3"/>
  <c r="AE39" i="3"/>
  <c r="M74" i="2"/>
  <c r="U61" i="2"/>
  <c r="I85" i="2"/>
  <c r="AL9" i="3"/>
  <c r="AE25" i="3"/>
  <c r="S42" i="3"/>
  <c r="O48" i="2"/>
  <c r="X16" i="3"/>
  <c r="V63" i="2"/>
  <c r="K85" i="2"/>
  <c r="C58" i="2"/>
  <c r="Q70" i="2"/>
  <c r="G95" i="2"/>
  <c r="H62" i="2"/>
  <c r="R104" i="2"/>
  <c r="L39" i="3"/>
  <c r="AP40" i="3"/>
  <c r="O84" i="2"/>
  <c r="AN6" i="3"/>
  <c r="AI36" i="3"/>
  <c r="O109" i="2"/>
  <c r="U46" i="2"/>
  <c r="L42" i="2"/>
  <c r="AB91" i="3"/>
  <c r="AP30" i="3"/>
  <c r="M54" i="2"/>
  <c r="N89" i="2"/>
  <c r="N43" i="2"/>
  <c r="N60" i="2"/>
  <c r="H48" i="2"/>
  <c r="X62" i="2"/>
  <c r="V89" i="2"/>
  <c r="M24" i="3"/>
  <c r="F62" i="2"/>
  <c r="AO33" i="3"/>
  <c r="N97" i="2"/>
  <c r="X104" i="2"/>
  <c r="W80" i="2"/>
  <c r="O42" i="2"/>
  <c r="U87" i="2"/>
  <c r="N69" i="2"/>
  <c r="F48" i="2"/>
  <c r="E86" i="2"/>
  <c r="S89" i="2"/>
  <c r="O42" i="3"/>
  <c r="R44" i="2"/>
  <c r="AQ9" i="3"/>
  <c r="K92" i="2"/>
  <c r="X74" i="2"/>
  <c r="I113" i="2"/>
  <c r="H87" i="2"/>
  <c r="V69" i="2"/>
  <c r="I55" i="2"/>
  <c r="J67" i="2"/>
  <c r="AJ39" i="3"/>
  <c r="Y38" i="3"/>
  <c r="E52" i="2"/>
  <c r="AG23" i="3"/>
  <c r="AB35" i="3"/>
  <c r="AB96" i="3"/>
  <c r="H108" i="2"/>
  <c r="O108" i="2"/>
  <c r="AB20" i="3"/>
  <c r="AJ23" i="3"/>
  <c r="X75" i="2"/>
  <c r="AJ5" i="3"/>
  <c r="M75" i="2"/>
  <c r="C79" i="2"/>
  <c r="L51" i="2"/>
  <c r="L74" i="2"/>
  <c r="F44" i="2"/>
  <c r="S59" i="2"/>
  <c r="L40" i="2"/>
  <c r="AK8" i="3"/>
  <c r="Q45" i="2"/>
  <c r="K49" i="2"/>
  <c r="K15" i="3"/>
  <c r="V6" i="3"/>
  <c r="AB74" i="3"/>
  <c r="F85" i="2"/>
  <c r="AP75" i="3"/>
  <c r="S33" i="3"/>
  <c r="AB88" i="3"/>
  <c r="R113" i="2"/>
  <c r="M40" i="2"/>
  <c r="W63" i="2"/>
  <c r="AB6" i="3"/>
  <c r="C83" i="2"/>
  <c r="C108" i="2"/>
  <c r="U81" i="2"/>
  <c r="Q81" i="2"/>
  <c r="X55" i="2"/>
  <c r="D40" i="2"/>
  <c r="AB55" i="3"/>
  <c r="AK25" i="3"/>
  <c r="G75" i="2"/>
  <c r="F99" i="2"/>
  <c r="AC16" i="3"/>
  <c r="AK42" i="3"/>
  <c r="AJ31" i="3"/>
  <c r="P110" i="2"/>
  <c r="AP94" i="3"/>
  <c r="Q31" i="3"/>
  <c r="AP81" i="3"/>
  <c r="J40" i="2"/>
  <c r="H80" i="2"/>
  <c r="V95" i="2"/>
  <c r="J62" i="2"/>
  <c r="T69" i="2"/>
  <c r="J66" i="2"/>
  <c r="T42" i="2"/>
  <c r="L77" i="2"/>
  <c r="P59" i="2"/>
  <c r="E79" i="2"/>
  <c r="S107" i="2"/>
  <c r="X18" i="3"/>
  <c r="Q35" i="3"/>
  <c r="E90" i="2"/>
  <c r="C104" i="2"/>
  <c r="M108" i="2"/>
  <c r="U21" i="3"/>
  <c r="W12" i="3"/>
  <c r="D95" i="2"/>
  <c r="W113" i="2"/>
  <c r="L47" i="2"/>
  <c r="R80" i="2"/>
  <c r="K25" i="3"/>
  <c r="C37" i="3"/>
  <c r="E63" i="2"/>
  <c r="C12" i="3"/>
  <c r="S44" i="2"/>
  <c r="P18" i="3"/>
  <c r="F73" i="2"/>
  <c r="I22" i="3"/>
  <c r="AM8" i="3"/>
  <c r="U77" i="2"/>
  <c r="H81" i="2"/>
  <c r="L72" i="2"/>
  <c r="V48" i="2"/>
  <c r="F61" i="2"/>
  <c r="T74" i="2"/>
  <c r="AP89" i="3"/>
  <c r="AH15" i="3"/>
  <c r="I6" i="3"/>
  <c r="I7" i="3"/>
  <c r="H79" i="2"/>
  <c r="M79" i="2"/>
  <c r="T11" i="3"/>
  <c r="P44" i="2"/>
  <c r="Q60" i="2"/>
  <c r="AB58" i="3"/>
  <c r="J107" i="2"/>
  <c r="J83" i="2"/>
  <c r="C89" i="2"/>
  <c r="AJ41" i="3"/>
  <c r="H43" i="2"/>
  <c r="R86" i="2"/>
  <c r="T99" i="2"/>
  <c r="V32" i="3"/>
  <c r="M83" i="2"/>
  <c r="J88" i="2"/>
  <c r="C49" i="3"/>
  <c r="N25" i="3"/>
  <c r="F111" i="2"/>
  <c r="F78" i="2"/>
  <c r="X98" i="2"/>
  <c r="K42" i="2"/>
  <c r="E70" i="2"/>
  <c r="J59" i="2"/>
  <c r="N40" i="2"/>
  <c r="E98" i="2"/>
  <c r="AC24" i="3"/>
  <c r="X15" i="3"/>
  <c r="M85" i="2"/>
  <c r="F77" i="2"/>
  <c r="AP57" i="3"/>
  <c r="H28" i="3"/>
  <c r="AP16" i="3"/>
  <c r="C87" i="2"/>
  <c r="L113" i="2"/>
  <c r="J106" i="2"/>
  <c r="M81" i="2"/>
  <c r="O29" i="3"/>
  <c r="AN32" i="3"/>
  <c r="H58" i="2"/>
  <c r="K98" i="2"/>
  <c r="H52" i="2"/>
  <c r="W93" i="2"/>
  <c r="Q96" i="2"/>
  <c r="F92" i="2"/>
  <c r="E51" i="2"/>
  <c r="I45" i="2"/>
  <c r="Q82" i="2"/>
  <c r="AH13" i="3"/>
  <c r="AI10" i="3"/>
  <c r="AB73" i="3"/>
  <c r="U22" i="3"/>
  <c r="C78" i="2"/>
  <c r="U58" i="2"/>
  <c r="Q93" i="2"/>
  <c r="E91" i="2"/>
  <c r="W48" i="2"/>
  <c r="AH7" i="3"/>
  <c r="P64" i="2"/>
  <c r="I40" i="2"/>
  <c r="N26" i="3"/>
  <c r="X14" i="3"/>
  <c r="V106" i="2"/>
  <c r="AP23" i="3"/>
  <c r="N104" i="2"/>
  <c r="I59" i="2"/>
  <c r="V81" i="2"/>
  <c r="R112" i="2"/>
  <c r="U91" i="2"/>
  <c r="N78" i="2"/>
  <c r="L86" i="2"/>
  <c r="U82" i="2"/>
  <c r="P85" i="2"/>
  <c r="O89" i="2"/>
  <c r="X24" i="3"/>
  <c r="U52" i="2"/>
  <c r="L37" i="3"/>
  <c r="R49" i="2"/>
  <c r="X82" i="2"/>
  <c r="V84" i="2"/>
  <c r="G49" i="2"/>
  <c r="AB77" i="3"/>
  <c r="L11" i="3"/>
  <c r="S68" i="2"/>
  <c r="U68" i="2"/>
  <c r="S52" i="2"/>
  <c r="C56" i="2"/>
  <c r="L25" i="3"/>
  <c r="K61" i="2"/>
  <c r="S81" i="2"/>
  <c r="K72" i="2"/>
  <c r="Y19" i="3"/>
  <c r="I74" i="2"/>
  <c r="K90" i="2"/>
  <c r="R91" i="2"/>
  <c r="AK6" i="3"/>
  <c r="T112" i="2"/>
  <c r="AB89" i="3"/>
  <c r="R35" i="3"/>
  <c r="P62" i="2"/>
  <c r="W107" i="2"/>
  <c r="U41" i="2"/>
  <c r="C74" i="2"/>
  <c r="V99" i="2"/>
  <c r="D52" i="2"/>
  <c r="K54" i="2"/>
  <c r="Q109" i="2"/>
  <c r="T85" i="2"/>
  <c r="AC21" i="3"/>
  <c r="F67" i="2"/>
  <c r="F66" i="2"/>
  <c r="AB67" i="3"/>
  <c r="AA30" i="3"/>
  <c r="G72" i="2"/>
  <c r="D48" i="2"/>
  <c r="D69" i="2"/>
  <c r="F94" i="2"/>
  <c r="L107" i="2"/>
  <c r="I52" i="2"/>
  <c r="AO20" i="3"/>
  <c r="W22" i="3"/>
  <c r="L78" i="2"/>
  <c r="I93" i="2"/>
  <c r="AM20" i="3"/>
  <c r="M93" i="2"/>
  <c r="V8" i="3"/>
  <c r="AL35" i="3"/>
  <c r="H113" i="2"/>
  <c r="J30" i="3"/>
  <c r="P21" i="3"/>
  <c r="N41" i="3"/>
  <c r="AI40" i="3"/>
  <c r="N73" i="2"/>
  <c r="Z39" i="3"/>
  <c r="Q12" i="3"/>
  <c r="AO15" i="3"/>
  <c r="M43" i="2"/>
  <c r="K22" i="3"/>
  <c r="AB64" i="3"/>
  <c r="N40" i="3"/>
  <c r="N7" i="3"/>
  <c r="S36" i="3"/>
  <c r="Q99" i="2"/>
  <c r="AG37" i="3"/>
  <c r="Z28" i="3"/>
  <c r="V10" i="3"/>
  <c r="J113" i="2"/>
  <c r="AM7" i="3"/>
  <c r="K12" i="3"/>
  <c r="T56" i="2"/>
  <c r="Q61" i="2"/>
  <c r="U71" i="2"/>
  <c r="AI37" i="3"/>
  <c r="M59" i="2"/>
  <c r="X17" i="3"/>
  <c r="X111" i="2"/>
  <c r="O51" i="2"/>
  <c r="G96" i="2"/>
  <c r="C33" i="3"/>
  <c r="G71" i="2"/>
  <c r="L96" i="2"/>
  <c r="X13" i="3"/>
  <c r="C51" i="2"/>
  <c r="D60" i="2"/>
  <c r="V44" i="2"/>
  <c r="G79" i="2"/>
  <c r="K110" i="2"/>
  <c r="U111" i="2"/>
  <c r="E49" i="2"/>
  <c r="AI35" i="3"/>
  <c r="AG19" i="3"/>
  <c r="Y24" i="3"/>
  <c r="T9" i="3"/>
  <c r="D93" i="2"/>
  <c r="AM35" i="3"/>
  <c r="H10" i="3"/>
  <c r="L99" i="2"/>
  <c r="J57" i="2"/>
  <c r="O98" i="2"/>
  <c r="K51" i="2"/>
  <c r="C41" i="2"/>
  <c r="AA17" i="3"/>
  <c r="Q9" i="3"/>
  <c r="AQ34" i="3"/>
  <c r="R13" i="3"/>
  <c r="AC31" i="3"/>
  <c r="H8" i="3"/>
  <c r="AH16" i="3"/>
  <c r="AD31" i="3"/>
  <c r="U69" i="2"/>
  <c r="W79" i="2"/>
  <c r="K5" i="3"/>
  <c r="E68" i="2"/>
  <c r="S93" i="2"/>
  <c r="I53" i="2"/>
  <c r="R99" i="2"/>
  <c r="I73" i="2"/>
  <c r="C26" i="3"/>
  <c r="L85" i="2"/>
  <c r="Z31" i="3"/>
  <c r="D49" i="2"/>
  <c r="H42" i="3"/>
  <c r="AB84" i="3"/>
  <c r="AO12" i="3"/>
  <c r="L24" i="3"/>
  <c r="M28" i="3"/>
  <c r="K40" i="3"/>
  <c r="AG25" i="3"/>
  <c r="W35" i="3"/>
  <c r="AA21" i="3"/>
  <c r="AK23" i="3"/>
  <c r="AH5" i="3"/>
  <c r="R110" i="2"/>
  <c r="C17" i="3"/>
  <c r="M27" i="3"/>
  <c r="U9" i="3"/>
  <c r="P28" i="3"/>
  <c r="O62" i="2"/>
  <c r="E66" i="2"/>
  <c r="Q97" i="2"/>
  <c r="V52" i="2"/>
  <c r="T59" i="2"/>
  <c r="Q91" i="2"/>
  <c r="R24" i="3"/>
  <c r="AQ29" i="3"/>
  <c r="I20" i="3"/>
  <c r="F109" i="2"/>
  <c r="W67" i="2"/>
  <c r="AQ20" i="3"/>
  <c r="E97" i="2"/>
  <c r="G34" i="3"/>
  <c r="Z23" i="3"/>
  <c r="AP92" i="3"/>
  <c r="N105" i="2"/>
  <c r="D42" i="2"/>
  <c r="AL11" i="3"/>
  <c r="U57" i="2"/>
  <c r="M55" i="2"/>
  <c r="C61" i="2"/>
  <c r="F52" i="2"/>
  <c r="Y31" i="3"/>
  <c r="V96" i="2"/>
  <c r="E95" i="2"/>
  <c r="H36" i="3"/>
  <c r="G69" i="2"/>
  <c r="P26" i="3"/>
  <c r="L105" i="2"/>
  <c r="T25" i="3"/>
  <c r="AJ11" i="3"/>
  <c r="G80" i="2"/>
  <c r="W53" i="2"/>
  <c r="J74" i="2"/>
  <c r="C32" i="3"/>
  <c r="X73" i="2"/>
  <c r="F86" i="2"/>
  <c r="W95" i="2"/>
  <c r="M8" i="3"/>
  <c r="C93" i="2"/>
  <c r="AL34" i="3"/>
  <c r="Q63" i="2"/>
  <c r="N31" i="3"/>
  <c r="L62" i="2"/>
  <c r="O13" i="3"/>
  <c r="AI19" i="3"/>
  <c r="K20" i="3"/>
  <c r="K7" i="3"/>
  <c r="AG12" i="3"/>
  <c r="AP32" i="3"/>
  <c r="V49" i="2"/>
  <c r="P108" i="2"/>
  <c r="C44" i="2"/>
  <c r="N77" i="2"/>
  <c r="M29" i="3"/>
  <c r="D98" i="2"/>
  <c r="P75" i="2"/>
  <c r="W89" i="2"/>
  <c r="Q43" i="2"/>
  <c r="T113" i="2"/>
  <c r="K74" i="2"/>
  <c r="H46" i="2"/>
  <c r="J33" i="3"/>
  <c r="P52" i="2"/>
  <c r="AB63" i="3"/>
  <c r="Y13" i="3"/>
  <c r="X42" i="2"/>
  <c r="J79" i="2"/>
  <c r="H105" i="2"/>
  <c r="R51" i="2"/>
  <c r="D112" i="2"/>
  <c r="L111" i="2"/>
  <c r="U72" i="2"/>
  <c r="W90" i="2"/>
  <c r="D44" i="2"/>
  <c r="AG33" i="3"/>
  <c r="AP93" i="3"/>
  <c r="T70" i="2"/>
  <c r="Z19" i="3"/>
  <c r="T76" i="2"/>
  <c r="S67" i="2"/>
  <c r="I60" i="2"/>
  <c r="J85" i="2"/>
  <c r="L56" i="2"/>
  <c r="AM24" i="3"/>
  <c r="AA20" i="3"/>
  <c r="C70" i="2"/>
  <c r="E64" i="2"/>
  <c r="E58" i="2"/>
  <c r="U29" i="3"/>
  <c r="AP77" i="3"/>
  <c r="X28" i="3"/>
  <c r="J73" i="2"/>
  <c r="S110" i="2"/>
  <c r="I44" i="2"/>
  <c r="AK31" i="3"/>
  <c r="X106" i="2"/>
  <c r="D111" i="2"/>
  <c r="S61" i="2"/>
  <c r="L69" i="2"/>
  <c r="AA18" i="3"/>
  <c r="AJ7" i="3"/>
  <c r="AN7" i="3"/>
  <c r="AB19" i="3"/>
  <c r="AN20" i="3"/>
  <c r="R90" i="2"/>
  <c r="AK22" i="3"/>
  <c r="F107" i="2"/>
  <c r="D106" i="2"/>
  <c r="T50" i="2"/>
  <c r="R85" i="2"/>
  <c r="O46" i="2"/>
  <c r="Q107" i="2"/>
  <c r="G76" i="2"/>
  <c r="AH28" i="3"/>
  <c r="AA40" i="3"/>
  <c r="F40" i="2"/>
  <c r="M7" i="3"/>
  <c r="P11" i="3"/>
  <c r="AP68" i="3"/>
  <c r="U93" i="2"/>
  <c r="S54" i="2"/>
  <c r="Z10" i="3"/>
  <c r="H93" i="2"/>
  <c r="U63" i="2"/>
  <c r="E76" i="2"/>
  <c r="X93" i="2"/>
  <c r="U47" i="2"/>
  <c r="T39" i="3"/>
  <c r="Y40" i="3"/>
  <c r="V9" i="3"/>
  <c r="U89" i="2"/>
  <c r="X86" i="2"/>
  <c r="L83" i="2"/>
  <c r="Z15" i="3"/>
  <c r="S73" i="2"/>
  <c r="X49" i="2"/>
  <c r="X60" i="2"/>
  <c r="M89" i="2"/>
  <c r="R5" i="3"/>
  <c r="V55" i="2"/>
  <c r="V60" i="2"/>
  <c r="G37" i="3"/>
  <c r="H107" i="2"/>
  <c r="F104" i="2"/>
  <c r="G89" i="2"/>
  <c r="X110" i="2"/>
  <c r="AE16" i="3"/>
  <c r="C7" i="3"/>
  <c r="AN27" i="3"/>
  <c r="M72" i="2"/>
  <c r="D94" i="2"/>
  <c r="AB79" i="3"/>
  <c r="AM22" i="3"/>
  <c r="G57" i="2"/>
  <c r="G45" i="2"/>
  <c r="P54" i="2"/>
  <c r="G110" i="2"/>
  <c r="T27" i="3"/>
  <c r="L48" i="2"/>
  <c r="M66" i="2"/>
  <c r="AP37" i="3"/>
  <c r="R67" i="2"/>
  <c r="AH22" i="3"/>
  <c r="W50" i="2"/>
  <c r="M50" i="2"/>
  <c r="V73" i="2"/>
  <c r="S49" i="2"/>
  <c r="U42" i="3"/>
  <c r="Z34" i="3"/>
  <c r="AO24" i="3"/>
  <c r="U106" i="2"/>
  <c r="U108" i="2"/>
  <c r="AP64" i="3"/>
  <c r="V12" i="3"/>
  <c r="Q90" i="2"/>
  <c r="P67" i="2"/>
  <c r="N41" i="2"/>
  <c r="N52" i="2"/>
  <c r="AG22" i="3"/>
  <c r="K68" i="2"/>
  <c r="E53" i="2"/>
  <c r="H27" i="3"/>
  <c r="J109" i="2"/>
  <c r="P27" i="3"/>
  <c r="K91" i="2"/>
  <c r="AP87" i="3"/>
  <c r="AP13" i="3"/>
  <c r="I47" i="2"/>
  <c r="C76" i="2"/>
  <c r="W71" i="2"/>
  <c r="P80" i="2"/>
  <c r="L60" i="2"/>
  <c r="U43" i="2"/>
  <c r="W51" i="2"/>
  <c r="R43" i="2"/>
  <c r="T63" i="2"/>
  <c r="H91" i="2"/>
  <c r="O94" i="2"/>
  <c r="M86" i="2"/>
  <c r="U19" i="3"/>
  <c r="AI38" i="3"/>
  <c r="N64" i="2"/>
  <c r="R106" i="2"/>
  <c r="J29" i="3"/>
  <c r="Q75" i="2"/>
  <c r="C80" i="2"/>
  <c r="AB72" i="3"/>
  <c r="P14" i="3"/>
  <c r="U96" i="2"/>
  <c r="N96" i="2"/>
  <c r="P107" i="2"/>
  <c r="E81" i="2"/>
  <c r="S99" i="2"/>
  <c r="L71" i="2"/>
  <c r="P73" i="2"/>
  <c r="X57" i="2"/>
  <c r="AE38" i="3"/>
  <c r="F98" i="2"/>
  <c r="G63" i="2"/>
  <c r="S42" i="2"/>
  <c r="T23" i="3"/>
  <c r="AC27" i="3"/>
  <c r="I64" i="2"/>
  <c r="C50" i="2"/>
  <c r="O95" i="2"/>
  <c r="AB70" i="3"/>
  <c r="H7" i="3"/>
  <c r="M39" i="3"/>
  <c r="AI14" i="3"/>
  <c r="AP50" i="3"/>
  <c r="AJ33" i="3"/>
  <c r="U73" i="2"/>
  <c r="R77" i="2"/>
  <c r="I112" i="2"/>
  <c r="J61" i="2"/>
  <c r="J53" i="2"/>
  <c r="L91" i="2"/>
  <c r="L45" i="2"/>
  <c r="E50" i="2"/>
  <c r="V23" i="3"/>
  <c r="AK5" i="3"/>
  <c r="AB22" i="3"/>
  <c r="I87" i="2"/>
  <c r="AB10" i="3"/>
  <c r="Q42" i="2"/>
  <c r="R82" i="2"/>
  <c r="K40" i="2"/>
  <c r="E112" i="2"/>
  <c r="M58" i="2"/>
  <c r="V112" i="2"/>
  <c r="N110" i="2"/>
  <c r="AB62" i="3"/>
  <c r="C94" i="2"/>
  <c r="R92" i="2"/>
  <c r="O87" i="2"/>
  <c r="AM21" i="3"/>
  <c r="K56" i="2"/>
  <c r="P68" i="2"/>
  <c r="J55" i="2"/>
  <c r="G38" i="3"/>
  <c r="X52" i="2"/>
  <c r="L61" i="2"/>
  <c r="M35" i="3"/>
  <c r="M104" i="2"/>
  <c r="R79" i="2"/>
  <c r="Q28" i="3"/>
  <c r="J98" i="2"/>
  <c r="P39" i="3"/>
  <c r="R74" i="2"/>
  <c r="N95" i="2"/>
  <c r="T91" i="2"/>
  <c r="N92" i="2"/>
  <c r="AK21" i="3"/>
  <c r="I89" i="2"/>
  <c r="K97" i="2"/>
  <c r="C49" i="2"/>
  <c r="AN38" i="3"/>
  <c r="Y27" i="3"/>
  <c r="X35" i="3"/>
  <c r="E59" i="2"/>
  <c r="H77" i="2"/>
  <c r="AQ39" i="3"/>
  <c r="O76" i="2"/>
  <c r="M61" i="2"/>
  <c r="G53" i="2"/>
  <c r="M13" i="3"/>
  <c r="S91" i="2"/>
  <c r="N58" i="2"/>
  <c r="P111" i="2"/>
  <c r="X33" i="3"/>
  <c r="X91" i="2"/>
  <c r="X68" i="2"/>
  <c r="AI24" i="3"/>
  <c r="W88" i="2"/>
  <c r="W105" i="2"/>
  <c r="X64" i="2"/>
  <c r="K88" i="2"/>
  <c r="W69" i="2"/>
  <c r="O58" i="2"/>
  <c r="I98" i="2"/>
  <c r="K79" i="2"/>
  <c r="N59" i="2"/>
  <c r="AA16" i="3"/>
  <c r="H76" i="2"/>
  <c r="I105" i="2"/>
  <c r="AP88" i="3"/>
  <c r="V31" i="3"/>
  <c r="H51" i="2"/>
  <c r="V88" i="2"/>
  <c r="I63" i="2"/>
  <c r="S92" i="2"/>
  <c r="AP19" i="3"/>
  <c r="J34" i="3"/>
  <c r="R18" i="3"/>
  <c r="M41" i="2"/>
  <c r="C75" i="2"/>
  <c r="P63" i="2"/>
  <c r="E60" i="2"/>
  <c r="I72" i="2"/>
  <c r="E54" i="2"/>
  <c r="K78" i="2"/>
  <c r="AG15" i="3"/>
  <c r="AI30" i="3"/>
  <c r="E106" i="2"/>
  <c r="AL31" i="3"/>
  <c r="I14" i="3"/>
  <c r="D41" i="2"/>
  <c r="O92" i="2"/>
  <c r="R45" i="2"/>
  <c r="AB92" i="3"/>
  <c r="J96" i="2"/>
  <c r="U62" i="2"/>
  <c r="S45" i="2"/>
  <c r="C97" i="2"/>
  <c r="AQ13" i="3"/>
  <c r="AP14" i="3"/>
  <c r="AI9" i="3"/>
  <c r="I49" i="2"/>
  <c r="D63" i="2"/>
  <c r="K99" i="2"/>
  <c r="S76" i="2"/>
  <c r="S113" i="2"/>
  <c r="H69" i="2"/>
  <c r="R96" i="2"/>
  <c r="O70" i="2"/>
  <c r="P40" i="2"/>
  <c r="C69" i="2"/>
  <c r="I48" i="2"/>
  <c r="V13" i="3"/>
  <c r="AO16" i="3"/>
  <c r="AC9" i="3"/>
  <c r="AL26" i="3"/>
  <c r="S10" i="3"/>
  <c r="AN10" i="3"/>
  <c r="AI28" i="3"/>
  <c r="J93" i="2"/>
  <c r="D50" i="2"/>
  <c r="D85" i="2"/>
  <c r="W44" i="2"/>
  <c r="AH39" i="3"/>
  <c r="I37" i="3"/>
  <c r="G62" i="2"/>
  <c r="W40" i="2"/>
  <c r="AL16" i="3"/>
  <c r="Q14" i="3"/>
  <c r="AD30" i="3"/>
  <c r="AB23" i="3"/>
  <c r="AG20" i="3"/>
  <c r="S22" i="3"/>
  <c r="J9" i="3"/>
  <c r="U33" i="3"/>
  <c r="AJ14" i="3"/>
  <c r="AK19" i="3"/>
  <c r="F93" i="2"/>
  <c r="AP63" i="3"/>
  <c r="X41" i="3"/>
  <c r="AQ41" i="3"/>
  <c r="S53" i="2"/>
  <c r="AH23" i="3"/>
  <c r="U59" i="2"/>
  <c r="N14" i="3"/>
  <c r="AB27" i="3"/>
  <c r="AM6" i="3"/>
  <c r="Z13" i="3"/>
  <c r="AB24" i="3"/>
  <c r="T46" i="2"/>
  <c r="Z21" i="3"/>
  <c r="C15" i="3"/>
  <c r="AN33" i="3"/>
  <c r="D66" i="2"/>
  <c r="N63" i="2"/>
  <c r="Q89" i="2"/>
  <c r="K36" i="3"/>
  <c r="N19" i="3"/>
  <c r="D73" i="2"/>
  <c r="R64" i="2"/>
  <c r="AE18" i="3"/>
  <c r="V92" i="2"/>
  <c r="AQ7" i="3"/>
  <c r="C34" i="3"/>
  <c r="AO42" i="3"/>
  <c r="L33" i="3"/>
  <c r="J77" i="2"/>
  <c r="AQ21" i="3"/>
  <c r="X50" i="2"/>
  <c r="E57" i="2"/>
  <c r="C24" i="3"/>
  <c r="C31" i="3"/>
  <c r="P47" i="2"/>
  <c r="Q23" i="3"/>
  <c r="AH36" i="3"/>
  <c r="AJ42" i="3"/>
  <c r="J22" i="3"/>
  <c r="M37" i="3"/>
  <c r="C107" i="2"/>
  <c r="H94" i="2"/>
  <c r="V87" i="2"/>
  <c r="O71" i="2"/>
  <c r="V57" i="2"/>
  <c r="J71" i="2"/>
  <c r="O39" i="3"/>
  <c r="AB87" i="3"/>
  <c r="AL13" i="3"/>
  <c r="C71" i="2"/>
  <c r="R66" i="2"/>
  <c r="AE15" i="3"/>
  <c r="K48" i="2"/>
  <c r="Z16" i="3"/>
  <c r="O27" i="3"/>
  <c r="T47" i="2"/>
  <c r="AP33" i="3"/>
  <c r="G85" i="2"/>
  <c r="H12" i="3"/>
  <c r="Y41" i="3"/>
  <c r="U98" i="2"/>
  <c r="Q41" i="2"/>
  <c r="R53" i="2"/>
  <c r="AD38" i="3"/>
  <c r="U92" i="2"/>
  <c r="AD42" i="3"/>
  <c r="AJ21" i="3"/>
  <c r="F59" i="2"/>
  <c r="AL29" i="3"/>
  <c r="O38" i="3"/>
  <c r="N67" i="2"/>
  <c r="K58" i="2"/>
  <c r="AN8" i="3"/>
  <c r="D77" i="2"/>
  <c r="C60" i="2"/>
  <c r="V78" i="2"/>
  <c r="H30" i="3"/>
  <c r="K8" i="3"/>
  <c r="AA33" i="3"/>
  <c r="AI13" i="3"/>
  <c r="O57" i="2"/>
  <c r="AB40" i="3"/>
  <c r="S5" i="3"/>
  <c r="Z37" i="3"/>
  <c r="X89" i="2"/>
  <c r="T75" i="2"/>
  <c r="T52" i="2"/>
  <c r="J94" i="2"/>
  <c r="M26" i="3"/>
  <c r="AB12" i="3"/>
  <c r="Q44" i="2"/>
  <c r="AL33" i="3"/>
  <c r="C72" i="2"/>
  <c r="N49" i="2"/>
  <c r="J97" i="2"/>
  <c r="L57" i="2"/>
  <c r="H14" i="3"/>
  <c r="I15" i="3"/>
  <c r="E62" i="2"/>
  <c r="P112" i="2"/>
  <c r="U88" i="2"/>
  <c r="F110" i="2"/>
  <c r="H60" i="2"/>
  <c r="AC42" i="3"/>
  <c r="H70" i="2"/>
  <c r="AI7" i="3"/>
  <c r="S56" i="2"/>
  <c r="P32" i="3"/>
  <c r="S48" i="2"/>
  <c r="AE7" i="3"/>
  <c r="U20" i="3"/>
  <c r="C20" i="3"/>
  <c r="AL42" i="3"/>
  <c r="U112" i="2"/>
  <c r="N5" i="3"/>
  <c r="J47" i="2"/>
  <c r="I83" i="2"/>
  <c r="I109" i="2"/>
  <c r="C48" i="3"/>
  <c r="S97" i="2"/>
  <c r="Y16" i="3"/>
  <c r="L97" i="2"/>
  <c r="U8" i="3"/>
  <c r="S46" i="2"/>
  <c r="AC25" i="3"/>
  <c r="P83" i="2"/>
  <c r="AA37" i="3"/>
  <c r="P55" i="2"/>
  <c r="AK37" i="3"/>
  <c r="Z8" i="3"/>
  <c r="P29" i="3"/>
  <c r="K64" i="2"/>
  <c r="G56" i="2"/>
  <c r="L104" i="2"/>
  <c r="P96" i="2"/>
  <c r="O106" i="2"/>
  <c r="O15" i="3"/>
  <c r="C55" i="2"/>
  <c r="AB36" i="3"/>
  <c r="P49" i="2"/>
  <c r="W41" i="3"/>
  <c r="F72" i="2"/>
  <c r="AG16" i="3"/>
  <c r="H109" i="2"/>
  <c r="L41" i="3"/>
  <c r="AP36" i="3"/>
  <c r="J92" i="2"/>
  <c r="AI21" i="3"/>
  <c r="M112" i="2"/>
  <c r="O97" i="2"/>
  <c r="M57" i="2"/>
  <c r="R61" i="2"/>
  <c r="H50" i="2"/>
  <c r="O44" i="2"/>
  <c r="J51" i="2"/>
  <c r="AG38" i="3"/>
  <c r="X10" i="3"/>
  <c r="G66" i="2"/>
  <c r="M9" i="3"/>
  <c r="AP18" i="3"/>
  <c r="H97" i="2"/>
  <c r="E72" i="2"/>
  <c r="J90" i="2"/>
  <c r="AB69" i="3"/>
  <c r="N54" i="2"/>
  <c r="N90" i="2"/>
  <c r="T87" i="2"/>
  <c r="C110" i="2"/>
  <c r="T28" i="3"/>
  <c r="O77" i="2"/>
  <c r="O35" i="3"/>
  <c r="F70" i="2"/>
  <c r="C96" i="2"/>
  <c r="L110" i="2"/>
  <c r="L73" i="2"/>
  <c r="I39" i="3"/>
  <c r="AP69" i="3"/>
  <c r="Q32" i="3"/>
  <c r="C9" i="3"/>
  <c r="C64" i="2"/>
  <c r="C62" i="2"/>
  <c r="M51" i="2"/>
  <c r="L29" i="3"/>
  <c r="H66" i="2"/>
  <c r="U75" i="2"/>
  <c r="AP59" i="3"/>
  <c r="S32" i="3"/>
  <c r="AQ36" i="3"/>
  <c r="T64" i="2"/>
  <c r="S30" i="3"/>
  <c r="K109" i="2"/>
  <c r="H92" i="2"/>
  <c r="O91" i="2"/>
  <c r="L22" i="3"/>
  <c r="X70" i="2"/>
  <c r="W77" i="2"/>
  <c r="P94" i="2"/>
  <c r="F57" i="2"/>
  <c r="P98" i="2"/>
  <c r="AK32" i="3"/>
  <c r="AC18" i="3"/>
  <c r="Y39" i="3"/>
  <c r="L98" i="2"/>
  <c r="V108" i="2"/>
  <c r="M111" i="2"/>
  <c r="P34" i="3"/>
  <c r="D65" i="2"/>
  <c r="I67" i="2"/>
  <c r="U48" i="2"/>
  <c r="I56" i="2"/>
  <c r="AJ19" i="3"/>
  <c r="AA35" i="3"/>
  <c r="U49" i="2"/>
  <c r="AA34" i="3"/>
  <c r="AB11" i="3"/>
  <c r="AB50" i="3"/>
  <c r="C19" i="3"/>
  <c r="S66" i="2"/>
  <c r="J99" i="2"/>
  <c r="J58" i="2"/>
  <c r="D68" i="2"/>
  <c r="W9" i="3"/>
  <c r="Q110" i="2"/>
  <c r="X108" i="2"/>
  <c r="H41" i="3"/>
  <c r="R32" i="3"/>
  <c r="G65" i="2"/>
  <c r="D70" i="2"/>
  <c r="W36" i="3"/>
  <c r="V76" i="2"/>
  <c r="T60" i="2"/>
  <c r="U85" i="2"/>
  <c r="AH25" i="3"/>
  <c r="T95" i="2"/>
  <c r="X77" i="2"/>
  <c r="V75" i="2"/>
  <c r="O83" i="2"/>
  <c r="G91" i="2"/>
  <c r="V93" i="2"/>
  <c r="M67" i="2"/>
  <c r="M106" i="2"/>
  <c r="V64" i="2"/>
  <c r="R62" i="2"/>
  <c r="Z6" i="3"/>
  <c r="AM39" i="3"/>
  <c r="U104" i="2"/>
  <c r="J78" i="2"/>
  <c r="J21" i="3"/>
  <c r="G68" i="2"/>
  <c r="Q80" i="2"/>
  <c r="Q47" i="2"/>
  <c r="AL28" i="3"/>
  <c r="F46" i="2"/>
  <c r="T98" i="2"/>
  <c r="G99" i="2"/>
  <c r="G82" i="2"/>
  <c r="L82" i="2"/>
  <c r="P106" i="2"/>
  <c r="I97" i="2"/>
  <c r="N91" i="2"/>
  <c r="O50" i="2"/>
  <c r="Q83" i="2"/>
  <c r="U76" i="2"/>
  <c r="W75" i="2"/>
  <c r="W33" i="3"/>
  <c r="AB18" i="3"/>
  <c r="X59" i="2"/>
  <c r="T67" i="2"/>
  <c r="AG36" i="3"/>
  <c r="C82" i="2"/>
  <c r="Q111" i="2"/>
  <c r="M47" i="2"/>
  <c r="AL23" i="3"/>
  <c r="T65" i="2"/>
  <c r="F47" i="2"/>
  <c r="L112" i="2"/>
  <c r="E41" i="2"/>
  <c r="E61" i="2"/>
  <c r="O85" i="2"/>
  <c r="E75" i="2"/>
  <c r="T51" i="2"/>
  <c r="I34" i="3"/>
  <c r="E40" i="2"/>
  <c r="K81" i="2"/>
  <c r="E73" i="2"/>
  <c r="AP91" i="3"/>
  <c r="V41" i="3"/>
  <c r="AP48" i="3"/>
  <c r="Q16" i="3"/>
  <c r="D97" i="2"/>
  <c r="V113" i="2"/>
  <c r="S50" i="2"/>
  <c r="G98" i="2"/>
  <c r="F80" i="2"/>
  <c r="P97" i="2"/>
  <c r="W92" i="2"/>
  <c r="T82" i="2"/>
  <c r="AK15" i="3"/>
  <c r="AP73" i="3"/>
  <c r="W19" i="3"/>
  <c r="J68" i="2"/>
  <c r="Q26" i="3"/>
  <c r="C52" i="2"/>
  <c r="N80" i="2"/>
  <c r="E107" i="2"/>
  <c r="S65" i="2"/>
  <c r="O99" i="2"/>
  <c r="O78" i="2"/>
  <c r="V110" i="2"/>
  <c r="L49" i="2"/>
  <c r="T13" i="3"/>
  <c r="T33" i="3"/>
  <c r="J41" i="3"/>
  <c r="AA36" i="3"/>
  <c r="W108" i="2"/>
  <c r="H65" i="2"/>
  <c r="E94" i="2"/>
  <c r="K29" i="3"/>
  <c r="X31" i="3"/>
  <c r="L13" i="3"/>
  <c r="AG29" i="3"/>
  <c r="V40" i="3"/>
  <c r="U40" i="3"/>
  <c r="D80" i="2"/>
  <c r="S104" i="2"/>
  <c r="AC14" i="3"/>
  <c r="U110" i="2"/>
  <c r="AP61" i="3"/>
  <c r="T80" i="2"/>
  <c r="V50" i="2"/>
  <c r="N42" i="2"/>
  <c r="C66" i="2"/>
  <c r="J36" i="3"/>
  <c r="V85" i="2"/>
  <c r="N85" i="2"/>
  <c r="F41" i="2"/>
  <c r="L27" i="3"/>
  <c r="K31" i="3"/>
  <c r="AA25" i="3"/>
  <c r="R97" i="2"/>
  <c r="AH31" i="3"/>
  <c r="R46" i="2"/>
  <c r="AM32" i="3"/>
  <c r="AI12" i="3"/>
  <c r="AB34" i="3"/>
  <c r="V66" i="2"/>
  <c r="W109" i="2"/>
  <c r="X58" i="2"/>
  <c r="X83" i="2"/>
  <c r="L52" i="2"/>
  <c r="L43" i="2"/>
  <c r="V62" i="2"/>
  <c r="N106" i="2"/>
  <c r="F108" i="2"/>
  <c r="AC20" i="3"/>
  <c r="C22" i="3"/>
  <c r="E65" i="2"/>
  <c r="H85" i="2"/>
  <c r="T83" i="2"/>
  <c r="AO13" i="3"/>
  <c r="L6" i="3"/>
  <c r="X65" i="2"/>
  <c r="X78" i="2"/>
  <c r="AB85" i="3"/>
  <c r="Z25" i="3"/>
  <c r="W24" i="3"/>
  <c r="Y17" i="3"/>
  <c r="X46" i="2"/>
  <c r="M52" i="2"/>
  <c r="L80" i="2"/>
  <c r="J50" i="2"/>
  <c r="S106" i="2"/>
  <c r="C85" i="2"/>
  <c r="S12" i="3"/>
  <c r="V18" i="3"/>
  <c r="W112" i="2"/>
  <c r="H72" i="2"/>
  <c r="E44" i="2"/>
  <c r="K94" i="2"/>
  <c r="Q49" i="2"/>
  <c r="I96" i="2"/>
  <c r="H89" i="2"/>
  <c r="H67" i="2"/>
  <c r="N70" i="2"/>
  <c r="O17" i="3"/>
  <c r="AP26" i="3"/>
  <c r="I28" i="3"/>
  <c r="O7" i="3"/>
  <c r="G67" i="2"/>
  <c r="C86" i="2"/>
  <c r="T96" i="2"/>
  <c r="X45" i="2"/>
  <c r="P58" i="2"/>
  <c r="N72" i="2"/>
  <c r="T81" i="2"/>
  <c r="N109" i="2"/>
  <c r="G105" i="2"/>
  <c r="T30" i="3"/>
  <c r="H11" i="3"/>
  <c r="D109" i="2"/>
  <c r="T43" i="2"/>
  <c r="M113" i="2"/>
  <c r="O45" i="2"/>
  <c r="V46" i="2"/>
  <c r="P113" i="2"/>
  <c r="N50" i="2"/>
  <c r="F87" i="2"/>
  <c r="U35" i="3"/>
  <c r="R60" i="2"/>
  <c r="K38" i="3"/>
  <c r="F51" i="2"/>
  <c r="W78" i="2"/>
  <c r="N71" i="2"/>
  <c r="AB71" i="3"/>
  <c r="AQ18" i="3"/>
  <c r="U79" i="2"/>
  <c r="I65" i="2"/>
  <c r="W83" i="2"/>
  <c r="T37" i="3"/>
  <c r="AN13" i="3"/>
  <c r="J42" i="3"/>
  <c r="H34" i="3"/>
  <c r="H6" i="3"/>
  <c r="N111" i="2"/>
  <c r="AQ8" i="3"/>
  <c r="H63" i="2"/>
  <c r="AP86" i="3"/>
  <c r="AM25" i="3"/>
  <c r="N93" i="2"/>
  <c r="T55" i="2"/>
  <c r="L70" i="2"/>
  <c r="L44" i="2"/>
  <c r="H71" i="2"/>
  <c r="T93" i="2"/>
  <c r="AP84" i="3"/>
  <c r="U65" i="2"/>
  <c r="T44" i="2"/>
  <c r="S83" i="2"/>
  <c r="M91" i="2"/>
  <c r="AI11" i="3"/>
  <c r="V24" i="3"/>
  <c r="K65" i="2"/>
  <c r="P38" i="3"/>
  <c r="W7" i="3"/>
  <c r="C92" i="2"/>
  <c r="D47" i="3"/>
  <c r="L30" i="3"/>
  <c r="AG5" i="3"/>
  <c r="N24" i="3"/>
  <c r="C105" i="2"/>
  <c r="R14" i="3"/>
  <c r="AH42" i="3"/>
  <c r="L89" i="2"/>
  <c r="AC33" i="3"/>
  <c r="C14" i="3"/>
  <c r="H25" i="3"/>
  <c r="C99" i="2"/>
  <c r="AQ10" i="3"/>
  <c r="AL20" i="3"/>
  <c r="Z29" i="3"/>
  <c r="F43" i="2"/>
  <c r="AP62" i="3"/>
  <c r="Q20" i="3"/>
  <c r="G86" i="2"/>
  <c r="D81" i="2"/>
  <c r="V68" i="2"/>
  <c r="AB37" i="3"/>
  <c r="X19" i="3"/>
  <c r="AB65" i="3"/>
  <c r="V27" i="3"/>
  <c r="AQ24" i="3"/>
  <c r="AN14" i="3"/>
  <c r="AD47" i="3"/>
  <c r="H31" i="3"/>
  <c r="AQ27" i="3"/>
  <c r="R93" i="2"/>
  <c r="AJ9" i="3"/>
  <c r="F81" i="2"/>
  <c r="AA29" i="3"/>
  <c r="M41" i="3"/>
  <c r="AP55" i="3"/>
  <c r="Y33" i="3"/>
  <c r="D74" i="2"/>
  <c r="R68" i="2"/>
  <c r="S20" i="3"/>
  <c r="D46" i="2"/>
  <c r="X69" i="2"/>
  <c r="V90" i="2"/>
  <c r="H96" i="2"/>
  <c r="R65" i="2"/>
  <c r="T6" i="3"/>
  <c r="AC13" i="3"/>
  <c r="AJ36" i="3"/>
  <c r="L59" i="2"/>
  <c r="J8" i="3"/>
  <c r="U51" i="2"/>
  <c r="AM23" i="3"/>
  <c r="K32" i="3"/>
  <c r="AE37" i="3"/>
  <c r="L67" i="2"/>
  <c r="T36" i="3"/>
  <c r="W16" i="3"/>
  <c r="T48" i="2"/>
  <c r="W57" i="2"/>
  <c r="M42" i="3"/>
  <c r="D64" i="2"/>
  <c r="AP8" i="3"/>
  <c r="R73" i="2"/>
  <c r="AD37" i="3"/>
  <c r="J48" i="2"/>
  <c r="S58" i="2"/>
  <c r="AB82" i="3"/>
  <c r="M98" i="2"/>
  <c r="E71" i="2"/>
  <c r="T72" i="2"/>
  <c r="V22" i="3"/>
  <c r="V42" i="3"/>
  <c r="N42" i="3"/>
  <c r="J28" i="3"/>
  <c r="P109" i="2"/>
  <c r="AK38" i="3"/>
  <c r="Q15" i="3"/>
  <c r="AM26" i="3"/>
  <c r="U55" i="2"/>
  <c r="D72" i="2"/>
  <c r="N99" i="2"/>
  <c r="G44" i="2"/>
  <c r="V29" i="3"/>
  <c r="C23" i="3"/>
  <c r="R84" i="2"/>
  <c r="AO31" i="3"/>
  <c r="AM10" i="3"/>
  <c r="AN21" i="3"/>
  <c r="AE6" i="3"/>
  <c r="AB16" i="3"/>
  <c r="AD23" i="3"/>
  <c r="D48" i="3"/>
  <c r="R57" i="2"/>
  <c r="Q67" i="2"/>
  <c r="U12" i="3"/>
  <c r="K107" i="2"/>
  <c r="V33" i="3"/>
  <c r="AD32" i="3"/>
  <c r="N46" i="2"/>
  <c r="J95" i="2"/>
  <c r="D50" i="3"/>
  <c r="O5" i="3"/>
  <c r="R95" i="2"/>
  <c r="C109" i="2"/>
  <c r="U99" i="2"/>
  <c r="F84" i="2"/>
  <c r="L32" i="3"/>
  <c r="AI42" i="3"/>
  <c r="V56" i="2"/>
  <c r="R71" i="2"/>
  <c r="W27" i="3"/>
  <c r="W20" i="3"/>
  <c r="AB60" i="3"/>
  <c r="M71" i="2"/>
  <c r="X40" i="2"/>
  <c r="I84" i="2"/>
  <c r="S87" i="2"/>
  <c r="T108" i="2"/>
  <c r="O28" i="3"/>
  <c r="E84" i="2"/>
  <c r="G107" i="2"/>
  <c r="AP96" i="3"/>
  <c r="AP60" i="3"/>
  <c r="AC39" i="3"/>
  <c r="O111" i="2"/>
  <c r="L64" i="2"/>
  <c r="W72" i="2"/>
  <c r="Q10" i="3"/>
  <c r="E43" i="2"/>
  <c r="AI22" i="3"/>
  <c r="J14" i="3"/>
  <c r="G93" i="2"/>
  <c r="AA26" i="3"/>
  <c r="AD39" i="3"/>
  <c r="Q21" i="3"/>
  <c r="F45" i="2"/>
  <c r="F112" i="2"/>
  <c r="S31" i="3"/>
  <c r="G59" i="2"/>
  <c r="X5" i="3"/>
  <c r="D88" i="2"/>
  <c r="M56" i="2"/>
  <c r="N28" i="3"/>
  <c r="AP27" i="3"/>
  <c r="AM15" i="3"/>
  <c r="AJ37" i="3"/>
  <c r="E49" i="3"/>
  <c r="R29" i="3"/>
  <c r="R63" i="2"/>
  <c r="H39" i="3"/>
  <c r="P90" i="2"/>
  <c r="W98" i="2"/>
  <c r="T104" i="2"/>
  <c r="O72" i="2"/>
  <c r="Q84" i="2"/>
  <c r="S94" i="2"/>
  <c r="AA42" i="3"/>
  <c r="D96" i="2"/>
  <c r="AC10" i="3"/>
  <c r="U64" i="2"/>
  <c r="AN34" i="3"/>
  <c r="F82" i="2"/>
  <c r="T22" i="3"/>
  <c r="AH6" i="3"/>
  <c r="AH27" i="3"/>
  <c r="AM29" i="3"/>
  <c r="R94" i="2"/>
  <c r="Q62" i="2"/>
  <c r="W104" i="2"/>
  <c r="H95" i="2"/>
  <c r="K47" i="2"/>
  <c r="I23" i="3"/>
  <c r="X56" i="2"/>
  <c r="S38" i="3"/>
  <c r="P25" i="3"/>
  <c r="AD29" i="3"/>
  <c r="O52" i="2"/>
  <c r="AP31" i="3"/>
  <c r="U45" i="2"/>
  <c r="AL17" i="3"/>
  <c r="AA10" i="3"/>
  <c r="AK20" i="3"/>
  <c r="P35" i="3"/>
  <c r="O19" i="3"/>
  <c r="AQ42" i="3"/>
  <c r="R27" i="3"/>
  <c r="AN26" i="3"/>
  <c r="T12" i="3"/>
  <c r="O31" i="3"/>
  <c r="S21" i="3"/>
  <c r="P36" i="3"/>
  <c r="H37" i="3"/>
  <c r="W68" i="2"/>
  <c r="C38" i="3"/>
  <c r="P41" i="3"/>
  <c r="AL6" i="3"/>
  <c r="E96" i="2"/>
  <c r="T57" i="2"/>
  <c r="T89" i="2"/>
  <c r="F96" i="2"/>
  <c r="X51" i="2"/>
  <c r="O11" i="3"/>
  <c r="C106" i="2"/>
  <c r="J6" i="3"/>
  <c r="T105" i="2"/>
  <c r="AD21" i="3"/>
  <c r="R70" i="2"/>
  <c r="L34" i="3"/>
  <c r="AG7" i="3"/>
  <c r="AJ29" i="3"/>
  <c r="P19" i="3"/>
  <c r="J69" i="2"/>
  <c r="W56" i="2"/>
  <c r="T111" i="2"/>
  <c r="C47" i="3"/>
  <c r="L41" i="2"/>
  <c r="V109" i="2"/>
  <c r="N29" i="3"/>
  <c r="T106" i="2"/>
  <c r="I77" i="2"/>
  <c r="T88" i="2"/>
  <c r="J17" i="3"/>
  <c r="E50" i="3"/>
  <c r="J81" i="2"/>
  <c r="L50" i="2"/>
  <c r="J82" i="2"/>
  <c r="V54" i="2"/>
  <c r="V41" i="2"/>
  <c r="O43" i="2"/>
  <c r="D62" i="2"/>
  <c r="Q113" i="2"/>
  <c r="AQ32" i="3"/>
  <c r="AO26" i="3"/>
  <c r="M15" i="3"/>
  <c r="AB29" i="3"/>
  <c r="Y30" i="3"/>
  <c r="I35" i="3"/>
  <c r="J46" i="2"/>
  <c r="AP35" i="3"/>
  <c r="AN11" i="3"/>
  <c r="J16" i="3"/>
  <c r="S77" i="2"/>
  <c r="W10" i="3"/>
  <c r="U90" i="2"/>
  <c r="X88" i="2"/>
  <c r="D99" i="2"/>
  <c r="AB59" i="3"/>
  <c r="X26" i="3"/>
  <c r="C42" i="3"/>
  <c r="AN30" i="3"/>
  <c r="AA8" i="3"/>
  <c r="AC17" i="3"/>
  <c r="AI8" i="3"/>
  <c r="E48" i="3"/>
  <c r="AP25" i="3"/>
  <c r="N79" i="2"/>
  <c r="AM9" i="3"/>
  <c r="AG18" i="3"/>
  <c r="P9" i="3"/>
  <c r="P72" i="2"/>
  <c r="J44" i="2"/>
  <c r="R105" i="2"/>
  <c r="C13" i="3"/>
  <c r="N36" i="3"/>
  <c r="Q79" i="2"/>
  <c r="G42" i="2"/>
  <c r="F60" i="2"/>
  <c r="AH41" i="3"/>
  <c r="AQ30" i="3"/>
  <c r="AJ30" i="3"/>
  <c r="J91" i="2"/>
  <c r="P71" i="2"/>
  <c r="K86" i="2"/>
  <c r="O68" i="2"/>
  <c r="I82" i="2"/>
  <c r="H17" i="3"/>
  <c r="J110" i="2"/>
  <c r="AM17" i="3"/>
  <c r="V16" i="3"/>
  <c r="F68" i="2"/>
  <c r="X107" i="2"/>
  <c r="W31" i="3"/>
  <c r="X25" i="3"/>
  <c r="W32" i="3"/>
  <c r="AK9" i="3"/>
  <c r="K24" i="3"/>
  <c r="X29" i="3"/>
  <c r="C36" i="3"/>
  <c r="AC30" i="3"/>
  <c r="S40" i="2"/>
  <c r="K35" i="3"/>
  <c r="P22" i="3"/>
  <c r="D108" i="2"/>
  <c r="X61" i="2"/>
  <c r="W37" i="3"/>
  <c r="AC12" i="3"/>
  <c r="D43" i="2"/>
  <c r="M42" i="2"/>
  <c r="G54" i="2"/>
  <c r="K73" i="2"/>
  <c r="AK17" i="3"/>
  <c r="V38" i="3"/>
  <c r="P24" i="3"/>
  <c r="AE20" i="3"/>
  <c r="AG9" i="3"/>
  <c r="AC6" i="3"/>
  <c r="V37" i="3"/>
  <c r="Q94" i="2"/>
  <c r="H47" i="2"/>
  <c r="AJ15" i="3"/>
  <c r="N10" i="3"/>
  <c r="L63" i="2"/>
  <c r="AP85" i="3"/>
  <c r="T110" i="2"/>
  <c r="T49" i="2"/>
  <c r="W81" i="2"/>
  <c r="M36" i="3"/>
  <c r="Z38" i="3"/>
  <c r="T62" i="2"/>
  <c r="O14" i="3"/>
  <c r="AB66" i="3"/>
  <c r="AK35" i="3"/>
  <c r="AP10" i="3"/>
  <c r="AK18" i="3"/>
  <c r="AQ14" i="3"/>
  <c r="G87" i="2"/>
  <c r="I33" i="3"/>
  <c r="Z9" i="3"/>
  <c r="S96" i="2"/>
  <c r="M96" i="2"/>
  <c r="G32" i="3"/>
  <c r="F53" i="2"/>
  <c r="M34" i="3"/>
  <c r="AB81" i="3"/>
  <c r="I58" i="2"/>
  <c r="Q64" i="2"/>
  <c r="AK11" i="3"/>
  <c r="I27" i="3"/>
  <c r="F97" i="2"/>
  <c r="Y15" i="3"/>
  <c r="C48" i="2"/>
  <c r="O75" i="2"/>
  <c r="M65" i="2"/>
  <c r="L87" i="2"/>
  <c r="AO7" i="3"/>
  <c r="M17" i="3"/>
  <c r="N61" i="2"/>
  <c r="H68" i="2"/>
  <c r="AQ19" i="3"/>
  <c r="M18" i="3"/>
  <c r="AP72" i="3"/>
  <c r="U32" i="3"/>
  <c r="Q33" i="3"/>
  <c r="AD27" i="3"/>
  <c r="O20" i="3"/>
  <c r="AP21" i="3"/>
  <c r="W38" i="3"/>
  <c r="Q95" i="2"/>
  <c r="AM28" i="3"/>
  <c r="I30" i="3"/>
  <c r="AP56" i="3"/>
  <c r="C57" i="2"/>
  <c r="AL24" i="3"/>
  <c r="P77" i="2"/>
  <c r="X30" i="3"/>
  <c r="Q6" i="3"/>
  <c r="G41" i="3"/>
  <c r="G90" i="2"/>
  <c r="M109" i="2"/>
  <c r="AN15" i="3"/>
  <c r="AB97" i="3"/>
  <c r="Z5" i="3"/>
  <c r="Z22" i="3"/>
  <c r="V105" i="2"/>
  <c r="R107" i="2"/>
  <c r="X39" i="3"/>
  <c r="AI34" i="3"/>
  <c r="K105" i="2"/>
  <c r="N32" i="3"/>
  <c r="AB15" i="3"/>
  <c r="W82" i="2"/>
  <c r="M10" i="3"/>
  <c r="AG17" i="3"/>
  <c r="H13" i="3"/>
  <c r="R19" i="3"/>
  <c r="K41" i="2"/>
  <c r="P30" i="3"/>
  <c r="S57" i="2"/>
  <c r="P42" i="2"/>
  <c r="I79" i="2"/>
  <c r="AN9" i="3"/>
  <c r="U80" i="2"/>
  <c r="I40" i="3"/>
  <c r="M84" i="2"/>
  <c r="AP17" i="3"/>
  <c r="U74" i="2"/>
  <c r="H33" i="3"/>
  <c r="I110" i="2"/>
  <c r="AB42" i="3"/>
  <c r="AK13" i="3"/>
  <c r="R22" i="3"/>
  <c r="S79" i="2"/>
  <c r="H42" i="2"/>
  <c r="AE30" i="3"/>
  <c r="AO25" i="3"/>
  <c r="S27" i="3"/>
  <c r="W14" i="3"/>
  <c r="AG27" i="3"/>
  <c r="AA24" i="3"/>
  <c r="AI29" i="3"/>
  <c r="I42" i="3"/>
  <c r="AM34" i="3"/>
  <c r="J18" i="3"/>
  <c r="Y14" i="3"/>
  <c r="G48" i="3"/>
  <c r="O36" i="3"/>
  <c r="O12" i="3"/>
  <c r="S34" i="3"/>
  <c r="AQ22" i="3"/>
  <c r="X47" i="2"/>
  <c r="V91" i="2"/>
  <c r="S28" i="3"/>
  <c r="AC8" i="3"/>
  <c r="D49" i="3"/>
  <c r="U6" i="3"/>
  <c r="Y34" i="3"/>
  <c r="AP29" i="3"/>
  <c r="AK28" i="3"/>
  <c r="Y5" i="3"/>
  <c r="U26" i="3"/>
  <c r="O30" i="3"/>
  <c r="E113" i="2"/>
  <c r="G47" i="3"/>
  <c r="AA13" i="3"/>
  <c r="AQ35" i="3"/>
  <c r="R16" i="3"/>
  <c r="P37" i="3"/>
  <c r="S43" i="2"/>
  <c r="W42" i="2"/>
  <c r="AA22" i="3"/>
  <c r="AJ40" i="3"/>
  <c r="AI31" i="3"/>
  <c r="R10" i="3"/>
  <c r="AE23" i="3"/>
  <c r="Q112" i="2"/>
  <c r="I25" i="3"/>
  <c r="AJ13" i="3"/>
  <c r="H15" i="3"/>
  <c r="AO11" i="3"/>
  <c r="R21" i="3"/>
  <c r="AK33" i="3"/>
  <c r="C11" i="3"/>
  <c r="AE26" i="3"/>
  <c r="S40" i="3"/>
  <c r="F64" i="2"/>
  <c r="AD24" i="3"/>
  <c r="T20" i="3"/>
  <c r="L15" i="3"/>
  <c r="U14" i="3"/>
  <c r="Z26" i="3"/>
  <c r="AB14" i="3"/>
  <c r="I68" i="2"/>
  <c r="L66" i="2"/>
  <c r="O54" i="2"/>
  <c r="H21" i="3"/>
  <c r="AH20" i="3"/>
  <c r="V28" i="3"/>
  <c r="AJ38" i="3"/>
  <c r="J11" i="3"/>
  <c r="J80" i="2"/>
  <c r="T38" i="3"/>
  <c r="T94" i="2"/>
  <c r="O33" i="3"/>
  <c r="H90" i="2"/>
  <c r="AB78" i="3"/>
  <c r="E48" i="2"/>
  <c r="C27" i="3"/>
  <c r="D113" i="2"/>
  <c r="Z14" i="3"/>
  <c r="T35" i="3"/>
  <c r="P66" i="2"/>
  <c r="V82" i="2"/>
  <c r="S88" i="2"/>
  <c r="S80" i="2"/>
  <c r="AA7" i="3"/>
  <c r="R7" i="3"/>
  <c r="O24" i="3"/>
  <c r="G113" i="2"/>
  <c r="K108" i="2"/>
  <c r="J65" i="2"/>
  <c r="R6" i="3"/>
  <c r="Q86" i="2"/>
  <c r="U11" i="3"/>
  <c r="AN41" i="3"/>
  <c r="M94" i="2"/>
  <c r="AE32" i="3"/>
  <c r="U44" i="2"/>
  <c r="AM5" i="3"/>
  <c r="Z41" i="3"/>
  <c r="F55" i="2"/>
  <c r="AA6" i="3"/>
  <c r="AG24" i="3"/>
  <c r="O69" i="3"/>
  <c r="K96" i="3"/>
  <c r="U62" i="3"/>
  <c r="AG58" i="3"/>
  <c r="AO89" i="3"/>
  <c r="N94" i="3"/>
  <c r="O91" i="3"/>
  <c r="N92" i="3"/>
  <c r="W70" i="3"/>
  <c r="AG84" i="3"/>
  <c r="AO69" i="3"/>
  <c r="J73" i="3"/>
  <c r="J68" i="3"/>
  <c r="AK94" i="3"/>
  <c r="M76" i="3"/>
  <c r="K67" i="3"/>
  <c r="N77" i="3"/>
  <c r="L85" i="3"/>
  <c r="AH77" i="3"/>
  <c r="AG72" i="3"/>
  <c r="M49" i="3"/>
  <c r="AO59" i="3"/>
  <c r="AK82" i="3"/>
  <c r="S81" i="3"/>
  <c r="L71" i="3"/>
  <c r="AH91" i="3"/>
  <c r="J78" i="3"/>
  <c r="AN83" i="3"/>
  <c r="O71" i="3"/>
  <c r="W85" i="3"/>
  <c r="AK92" i="3"/>
  <c r="AG81" i="3"/>
  <c r="K60" i="3"/>
  <c r="S61" i="3"/>
  <c r="Y70" i="3"/>
  <c r="U96" i="3"/>
  <c r="J89" i="3"/>
  <c r="H87" i="3"/>
  <c r="W92" i="3"/>
  <c r="X74" i="3"/>
  <c r="AK69" i="3"/>
  <c r="N81" i="3"/>
  <c r="U75" i="3"/>
  <c r="K94" i="3"/>
  <c r="N89" i="3"/>
  <c r="X58" i="3"/>
  <c r="S79" i="3"/>
  <c r="K78" i="3"/>
  <c r="Z59" i="3"/>
  <c r="H69" i="3"/>
  <c r="J82" i="3"/>
  <c r="M62" i="3"/>
  <c r="Z73" i="3"/>
  <c r="AO47" i="3"/>
  <c r="AG79" i="3"/>
  <c r="O66" i="3"/>
  <c r="H66" i="3"/>
  <c r="L74" i="3"/>
  <c r="AK48" i="3"/>
  <c r="J84" i="3"/>
  <c r="AN85" i="3"/>
  <c r="M80" i="3"/>
  <c r="AG97" i="3"/>
  <c r="J95" i="3"/>
  <c r="O85" i="3"/>
  <c r="Z47" i="3"/>
  <c r="AK55" i="3"/>
  <c r="J88" i="3"/>
  <c r="K81" i="3"/>
  <c r="H71" i="3"/>
  <c r="L60" i="3"/>
  <c r="J85" i="3"/>
  <c r="M97" i="3"/>
  <c r="U93" i="3"/>
  <c r="L81" i="3"/>
  <c r="AO81" i="3"/>
  <c r="AO82" i="3"/>
  <c r="AK88" i="3"/>
  <c r="J56" i="3"/>
  <c r="N73" i="3"/>
  <c r="H85" i="3"/>
  <c r="M65" i="3"/>
  <c r="J72" i="3"/>
  <c r="W87" i="3"/>
  <c r="Z91" i="3"/>
  <c r="K63" i="3"/>
  <c r="M90" i="3"/>
  <c r="L73" i="3"/>
  <c r="K92" i="3"/>
  <c r="S96" i="3"/>
  <c r="S49" i="3"/>
  <c r="AM72" i="3"/>
  <c r="M94" i="3"/>
  <c r="O56" i="3"/>
  <c r="Z79" i="3"/>
  <c r="L70" i="3"/>
  <c r="AK49" i="3"/>
  <c r="AJ95" i="3"/>
  <c r="S74" i="3"/>
  <c r="Z60" i="3"/>
  <c r="S58" i="3"/>
  <c r="AM77" i="3"/>
  <c r="M57" i="3"/>
  <c r="X92" i="3"/>
  <c r="AO95" i="3"/>
  <c r="K58" i="3"/>
  <c r="AJ62" i="3"/>
  <c r="J62" i="3"/>
  <c r="W49" i="3"/>
  <c r="L62" i="3"/>
  <c r="AO61" i="3"/>
  <c r="N68" i="3"/>
  <c r="M91" i="3"/>
  <c r="W64" i="3"/>
  <c r="S71" i="3"/>
  <c r="AN88" i="3"/>
  <c r="AG62" i="3"/>
  <c r="Y89" i="3"/>
  <c r="AG86" i="3"/>
  <c r="AG66" i="3"/>
  <c r="AN97" i="3"/>
  <c r="AK97" i="3"/>
  <c r="M55" i="3"/>
  <c r="AM81" i="3"/>
  <c r="AO62" i="3"/>
  <c r="AN79" i="3"/>
  <c r="X95" i="3"/>
  <c r="AH63" i="3"/>
  <c r="S77" i="3"/>
  <c r="W95" i="3"/>
  <c r="O60" i="3"/>
  <c r="AO74" i="3"/>
  <c r="AN58" i="3"/>
  <c r="S75" i="3"/>
  <c r="AJ56" i="3"/>
  <c r="AH48" i="3"/>
  <c r="Z89" i="3"/>
  <c r="L84" i="3"/>
  <c r="AG80" i="3"/>
  <c r="M87" i="3"/>
  <c r="O92" i="3"/>
  <c r="Z61" i="3"/>
  <c r="AK81" i="3"/>
  <c r="K95" i="3"/>
  <c r="N82" i="3"/>
  <c r="AJ48" i="3"/>
  <c r="O72" i="3"/>
  <c r="AH67" i="3"/>
  <c r="U68" i="3"/>
  <c r="M50" i="3"/>
  <c r="N47" i="3"/>
  <c r="X60" i="3"/>
  <c r="Y80" i="3"/>
  <c r="J60" i="3"/>
  <c r="U48" i="3"/>
  <c r="U49" i="3"/>
  <c r="AJ65" i="3"/>
  <c r="Z96" i="3"/>
  <c r="AJ63" i="3"/>
  <c r="U73" i="3"/>
  <c r="AJ47" i="3"/>
  <c r="Y67" i="3"/>
  <c r="AJ75" i="3"/>
  <c r="AM57" i="3"/>
  <c r="O74" i="3"/>
  <c r="AN72" i="3"/>
  <c r="H77" i="3"/>
  <c r="Y57" i="3"/>
  <c r="W59" i="3"/>
  <c r="H67" i="3"/>
  <c r="X68" i="3"/>
  <c r="Y72" i="3"/>
  <c r="S29" i="3"/>
  <c r="X7" i="3"/>
  <c r="D83" i="2"/>
  <c r="G40" i="3"/>
  <c r="X54" i="2"/>
  <c r="AL36" i="3"/>
  <c r="L9" i="3"/>
  <c r="AQ5" i="3"/>
  <c r="P88" i="2"/>
  <c r="T53" i="2"/>
  <c r="U36" i="3"/>
  <c r="P17" i="3"/>
  <c r="D89" i="2"/>
  <c r="AH38" i="3"/>
  <c r="U17" i="3"/>
  <c r="U16" i="3"/>
  <c r="AD25" i="3"/>
  <c r="U34" i="3"/>
  <c r="G81" i="2"/>
  <c r="U30" i="3"/>
  <c r="L46" i="2"/>
  <c r="W85" i="2"/>
  <c r="N74" i="2"/>
  <c r="J70" i="2"/>
  <c r="O73" i="2"/>
  <c r="V20" i="3"/>
  <c r="V77" i="2"/>
  <c r="R20" i="3"/>
  <c r="AM30" i="3"/>
  <c r="T42" i="3"/>
  <c r="D56" i="2"/>
  <c r="W39" i="3"/>
  <c r="F49" i="2"/>
  <c r="AA9" i="3"/>
  <c r="Q18" i="3"/>
  <c r="AJ35" i="3"/>
  <c r="AH30" i="3"/>
  <c r="G97" i="2"/>
  <c r="AK27" i="3"/>
  <c r="S69" i="2"/>
  <c r="W47" i="2"/>
  <c r="W52" i="2"/>
  <c r="H73" i="2"/>
  <c r="M82" i="2"/>
  <c r="AC5" i="3"/>
  <c r="W29" i="3"/>
  <c r="S35" i="3"/>
  <c r="AC26" i="3"/>
  <c r="R109" i="2"/>
  <c r="Y26" i="3"/>
  <c r="V72" i="2"/>
  <c r="AE10" i="3"/>
  <c r="T5" i="3"/>
  <c r="V107" i="2"/>
  <c r="L17" i="3"/>
  <c r="AP97" i="3"/>
  <c r="AL7" i="3"/>
  <c r="M45" i="2"/>
  <c r="W87" i="2"/>
  <c r="L76" i="2"/>
  <c r="O93" i="2"/>
  <c r="F74" i="2"/>
  <c r="N81" i="2"/>
  <c r="I57" i="2"/>
  <c r="AQ23" i="3"/>
  <c r="AO27" i="3"/>
  <c r="AG26" i="3"/>
  <c r="AD48" i="3"/>
  <c r="AD19" i="3"/>
  <c r="K18" i="3"/>
  <c r="J84" i="2"/>
  <c r="Z17" i="3"/>
  <c r="K37" i="3"/>
  <c r="AL37" i="3"/>
  <c r="Q87" i="2"/>
  <c r="AD26" i="3"/>
  <c r="C90" i="2"/>
  <c r="V71" i="2"/>
  <c r="J63" i="2"/>
  <c r="G104" i="2"/>
  <c r="M70" i="2"/>
  <c r="T54" i="2"/>
  <c r="Q76" i="2"/>
  <c r="S82" i="2"/>
  <c r="AO10" i="3"/>
  <c r="N108" i="2"/>
  <c r="V25" i="3"/>
  <c r="O26" i="3"/>
  <c r="P31" i="3"/>
  <c r="K89" i="2"/>
  <c r="O86" i="2"/>
  <c r="W58" i="2"/>
  <c r="U86" i="2"/>
  <c r="I90" i="2"/>
  <c r="I66" i="2"/>
  <c r="H75" i="2"/>
  <c r="M30" i="3"/>
  <c r="I36" i="3"/>
  <c r="AE8" i="3"/>
  <c r="H23" i="3"/>
  <c r="AM31" i="3"/>
  <c r="S26" i="3"/>
  <c r="V34" i="3"/>
  <c r="AA19" i="3"/>
  <c r="L95" i="2"/>
  <c r="M62" i="2"/>
  <c r="X72" i="2"/>
  <c r="AJ27" i="3"/>
  <c r="AP58" i="3"/>
  <c r="H57" i="2"/>
  <c r="W60" i="2"/>
  <c r="L20" i="3"/>
  <c r="Y20" i="3"/>
  <c r="R37" i="3"/>
  <c r="X87" i="2"/>
  <c r="AP39" i="3"/>
  <c r="AQ31" i="3"/>
  <c r="AO38" i="3"/>
  <c r="Z24" i="3"/>
  <c r="W49" i="2"/>
  <c r="G84" i="2"/>
  <c r="AH11" i="3"/>
  <c r="T45" i="2"/>
  <c r="V19" i="3"/>
  <c r="AC41" i="3"/>
  <c r="R28" i="3"/>
  <c r="T26" i="3"/>
  <c r="AG32" i="3"/>
  <c r="AG31" i="3"/>
  <c r="W26" i="3"/>
  <c r="AE29" i="3"/>
  <c r="N30" i="3"/>
  <c r="AE35" i="3"/>
  <c r="AO9" i="3"/>
  <c r="C46" i="2"/>
  <c r="AE28" i="3"/>
  <c r="F69" i="2"/>
  <c r="AA14" i="3"/>
  <c r="P53" i="2"/>
  <c r="M44" i="2"/>
  <c r="P56" i="2"/>
  <c r="I21" i="3"/>
  <c r="R33" i="3"/>
  <c r="V7" i="3"/>
  <c r="AO35" i="3"/>
  <c r="W13" i="3"/>
  <c r="R87" i="2"/>
  <c r="I24" i="3"/>
  <c r="T41" i="3"/>
  <c r="AN16" i="3"/>
  <c r="R9" i="3"/>
  <c r="H41" i="2"/>
  <c r="AP78" i="3"/>
  <c r="U18" i="3"/>
  <c r="AE19" i="3"/>
  <c r="AQ25" i="3"/>
  <c r="AB30" i="3"/>
  <c r="AL32" i="3"/>
  <c r="AP76" i="3"/>
  <c r="AN23" i="3"/>
  <c r="Q25" i="3"/>
  <c r="V94" i="2"/>
  <c r="AG34" i="3"/>
  <c r="E47" i="2"/>
  <c r="J23" i="3"/>
  <c r="T8" i="3"/>
  <c r="AP49" i="3"/>
  <c r="AM38" i="3"/>
  <c r="M21" i="3"/>
  <c r="T84" i="2"/>
  <c r="AE12" i="3"/>
  <c r="C28" i="3"/>
  <c r="AN29" i="3"/>
  <c r="H83" i="2"/>
  <c r="X80" i="2"/>
  <c r="O104" i="2"/>
  <c r="O41" i="3"/>
  <c r="T79" i="2"/>
  <c r="AA38" i="3"/>
  <c r="T14" i="3"/>
  <c r="K26" i="3"/>
  <c r="E82" i="2"/>
  <c r="R39" i="3"/>
  <c r="AJ12" i="3"/>
  <c r="U53" i="2"/>
  <c r="M99" i="2"/>
  <c r="K23" i="3"/>
  <c r="AK7" i="3"/>
  <c r="AM13" i="3"/>
  <c r="I12" i="3"/>
  <c r="Q7" i="3"/>
  <c r="X79" i="2"/>
  <c r="Q66" i="2"/>
  <c r="AC34" i="3"/>
  <c r="AG21" i="3"/>
  <c r="AM41" i="3"/>
  <c r="AK34" i="3"/>
  <c r="AI15" i="3"/>
  <c r="U37" i="3"/>
  <c r="Q13" i="3"/>
  <c r="AD34" i="3"/>
  <c r="AC11" i="3"/>
  <c r="N17" i="3"/>
  <c r="W41" i="2"/>
  <c r="H106" i="2"/>
  <c r="AD33" i="3"/>
  <c r="J38" i="3"/>
  <c r="H18" i="3"/>
  <c r="AC19" i="3"/>
  <c r="O40" i="3"/>
  <c r="AI26" i="3"/>
  <c r="O90" i="2"/>
  <c r="J27" i="3"/>
  <c r="V17" i="3"/>
  <c r="V70" i="2"/>
  <c r="O41" i="2"/>
  <c r="M80" i="2"/>
  <c r="AL5" i="3"/>
  <c r="AH12" i="3"/>
  <c r="X40" i="3"/>
  <c r="R42" i="3"/>
  <c r="S18" i="3"/>
  <c r="J111" i="2"/>
  <c r="AM19" i="3"/>
  <c r="Q51" i="2"/>
  <c r="W66" i="2"/>
  <c r="R17" i="3"/>
  <c r="AI32" i="3"/>
  <c r="X9" i="3"/>
  <c r="Y12" i="3"/>
  <c r="T31" i="3"/>
  <c r="L42" i="3"/>
  <c r="M69" i="2"/>
  <c r="AH9" i="3"/>
  <c r="K84" i="2"/>
  <c r="AC15" i="3"/>
  <c r="AH8" i="3"/>
  <c r="O67" i="2"/>
  <c r="T16" i="3"/>
  <c r="AJ32" i="3"/>
  <c r="I69" i="2"/>
  <c r="N27" i="3"/>
  <c r="AJ24" i="3"/>
  <c r="K14" i="3"/>
  <c r="J42" i="2"/>
  <c r="G78" i="2"/>
  <c r="U66" i="2"/>
  <c r="L10" i="3"/>
  <c r="I38" i="3"/>
  <c r="J13" i="3"/>
  <c r="AC29" i="3"/>
  <c r="AG88" i="3"/>
  <c r="X96" i="3"/>
  <c r="N75" i="3"/>
  <c r="X65" i="3"/>
  <c r="Y48" i="3"/>
  <c r="L77" i="3"/>
  <c r="AQ74" i="3"/>
  <c r="N83" i="3"/>
  <c r="O57" i="3"/>
  <c r="AG93" i="3"/>
  <c r="X71" i="3"/>
  <c r="W93" i="3"/>
  <c r="AH54" i="3"/>
  <c r="AH56" i="3"/>
  <c r="N56" i="3"/>
  <c r="S78" i="3"/>
  <c r="AC64" i="3"/>
  <c r="H57" i="3"/>
  <c r="AH85" i="3"/>
  <c r="O47" i="3"/>
  <c r="AM61" i="3"/>
  <c r="AQ57" i="3"/>
  <c r="AC85" i="3"/>
  <c r="W84" i="3"/>
  <c r="W50" i="3"/>
  <c r="L92" i="3"/>
  <c r="S57" i="3"/>
  <c r="AG74" i="3"/>
  <c r="W89" i="3"/>
  <c r="U57" i="3"/>
  <c r="AC82" i="3"/>
  <c r="K68" i="3"/>
  <c r="AG55" i="3"/>
  <c r="J61" i="3"/>
  <c r="AG68" i="3"/>
  <c r="AO88" i="3"/>
  <c r="AK75" i="3"/>
  <c r="U88" i="3"/>
  <c r="AH96" i="3"/>
  <c r="L82" i="3"/>
  <c r="AG70" i="3"/>
  <c r="AQ86" i="3"/>
  <c r="AN95" i="3"/>
  <c r="AM54" i="3"/>
  <c r="J92" i="3"/>
  <c r="K56" i="3"/>
  <c r="Y73" i="3"/>
  <c r="AL96" i="3"/>
  <c r="AN69" i="3"/>
  <c r="O88" i="3"/>
  <c r="H54" i="3"/>
  <c r="AO83" i="3"/>
  <c r="AQ66" i="3"/>
  <c r="J94" i="3"/>
  <c r="AG89" i="3"/>
  <c r="O79" i="3"/>
  <c r="J77" i="3"/>
  <c r="M66" i="3"/>
  <c r="X94" i="3"/>
  <c r="AO87" i="3"/>
  <c r="U65" i="3"/>
  <c r="M79" i="3"/>
  <c r="AL63" i="3"/>
  <c r="AK89" i="3"/>
  <c r="AG83" i="3"/>
  <c r="AQ83" i="3"/>
  <c r="W63" i="3"/>
  <c r="J97" i="3"/>
  <c r="AK93" i="3"/>
  <c r="Z67" i="3"/>
  <c r="H58" i="3"/>
  <c r="AL81" i="3"/>
  <c r="M71" i="3"/>
  <c r="J59" i="3"/>
  <c r="W67" i="3"/>
  <c r="AG96" i="3"/>
  <c r="AK68" i="3"/>
  <c r="W74" i="3"/>
  <c r="N95" i="3"/>
  <c r="J63" i="3"/>
  <c r="AN71" i="3"/>
  <c r="W76" i="3"/>
  <c r="X89" i="3"/>
  <c r="AM48" i="3"/>
  <c r="AQ69" i="3"/>
  <c r="AQ85" i="3"/>
  <c r="H82" i="3"/>
  <c r="K83" i="3"/>
  <c r="AG56" i="3"/>
  <c r="S59" i="3"/>
  <c r="U61" i="3"/>
  <c r="H79" i="3"/>
  <c r="O50" i="3"/>
  <c r="W58" i="3"/>
  <c r="AH86" i="3"/>
  <c r="Y56" i="3"/>
  <c r="L97" i="3"/>
  <c r="AK65" i="3"/>
  <c r="AG61" i="3"/>
  <c r="X67" i="3"/>
  <c r="Y61" i="3"/>
  <c r="AO63" i="3"/>
  <c r="AG69" i="3"/>
  <c r="T48" i="3"/>
  <c r="L64" i="3"/>
  <c r="X90" i="3"/>
  <c r="Y54" i="3"/>
  <c r="AL73" i="3"/>
  <c r="J54" i="3"/>
  <c r="N76" i="3"/>
  <c r="Y68" i="3"/>
  <c r="AK80" i="3"/>
  <c r="L61" i="3"/>
  <c r="AJ58" i="3"/>
  <c r="L50" i="3"/>
  <c r="L56" i="3"/>
  <c r="S94" i="3"/>
  <c r="AJ72" i="3"/>
  <c r="AL66" i="3"/>
  <c r="N88" i="3"/>
  <c r="Y50" i="3"/>
  <c r="AQ78" i="3"/>
  <c r="S70" i="3"/>
  <c r="H84" i="3"/>
  <c r="U70" i="3"/>
  <c r="AL84" i="3"/>
  <c r="AO56" i="3"/>
  <c r="U76" i="3"/>
  <c r="AJ71" i="3"/>
  <c r="AH75" i="3"/>
  <c r="Y65" i="3"/>
  <c r="N64" i="3"/>
  <c r="AN47" i="3"/>
  <c r="AL60" i="3"/>
  <c r="AN57" i="3"/>
  <c r="AJ84" i="3"/>
  <c r="AL76" i="3"/>
  <c r="J67" i="3"/>
  <c r="Y78" i="3"/>
  <c r="AG57" i="3"/>
  <c r="X63" i="3"/>
  <c r="H55" i="3"/>
  <c r="AC92" i="3"/>
  <c r="AM58" i="3"/>
  <c r="U87" i="3"/>
  <c r="T55" i="3"/>
  <c r="AQ89" i="3"/>
  <c r="AO92" i="3"/>
  <c r="N49" i="3"/>
  <c r="H78" i="3"/>
  <c r="K74" i="3"/>
  <c r="AH92" i="3"/>
  <c r="U74" i="3"/>
  <c r="AM96" i="3"/>
  <c r="W65" i="3"/>
  <c r="O49" i="3"/>
  <c r="AH80" i="3"/>
  <c r="X47" i="3"/>
  <c r="K86" i="3"/>
  <c r="L75" i="3"/>
  <c r="K47" i="3"/>
  <c r="M47" i="3"/>
  <c r="AL86" i="3"/>
  <c r="Z49" i="3"/>
  <c r="J90" i="3"/>
  <c r="AK77" i="3"/>
  <c r="AK79" i="3"/>
  <c r="M92" i="3"/>
  <c r="AN77" i="3"/>
  <c r="T91" i="3"/>
  <c r="AM47" i="3"/>
  <c r="S62" i="3"/>
  <c r="AJ74" i="3"/>
  <c r="T93" i="3"/>
  <c r="X84" i="3"/>
  <c r="AL67" i="3"/>
  <c r="S87" i="3"/>
  <c r="Z58" i="3"/>
  <c r="U86" i="3"/>
  <c r="T60" i="3"/>
  <c r="H48" i="3"/>
  <c r="AL95" i="3"/>
  <c r="W86" i="3"/>
  <c r="Z83" i="3"/>
  <c r="AH78" i="3"/>
  <c r="AC87" i="3"/>
  <c r="AO76" i="3"/>
  <c r="AJ89" i="3"/>
  <c r="H65" i="3"/>
  <c r="W90" i="3"/>
  <c r="AJ85" i="3"/>
  <c r="Z63" i="3"/>
  <c r="AQ77" i="3"/>
  <c r="AO73" i="3"/>
  <c r="AQ94" i="3"/>
  <c r="H49" i="3"/>
  <c r="AL50" i="3"/>
  <c r="AG85" i="3"/>
  <c r="T65" i="3"/>
  <c r="AN70" i="3"/>
  <c r="AM82" i="3"/>
  <c r="S50" i="3"/>
  <c r="AC48" i="3"/>
  <c r="AK67" i="3"/>
  <c r="K82" i="3"/>
  <c r="T57" i="3"/>
  <c r="AH50" i="3"/>
  <c r="T89" i="3"/>
  <c r="AJ93" i="3"/>
  <c r="AH93" i="3"/>
  <c r="O90" i="3"/>
  <c r="U91" i="3"/>
  <c r="AK63" i="3"/>
  <c r="AK73" i="3"/>
  <c r="AO66" i="3"/>
  <c r="J55" i="3"/>
  <c r="AM91" i="3"/>
  <c r="AC70" i="3"/>
  <c r="M88" i="3"/>
  <c r="L63" i="3"/>
  <c r="O64" i="3"/>
  <c r="K48" i="3"/>
  <c r="AL65" i="3"/>
  <c r="S65" i="3"/>
  <c r="O95" i="3"/>
  <c r="AK72" i="3"/>
  <c r="K54" i="3"/>
  <c r="J79" i="3"/>
  <c r="J83" i="3"/>
  <c r="S54" i="3"/>
  <c r="AJ59" i="3"/>
  <c r="J50" i="3"/>
  <c r="AH70" i="3"/>
  <c r="K90" i="3"/>
  <c r="AH60" i="3"/>
  <c r="U55" i="3"/>
  <c r="U72" i="3"/>
  <c r="O48" i="3"/>
  <c r="X76" i="3"/>
  <c r="J76" i="3"/>
  <c r="AK71" i="3"/>
  <c r="T95" i="3"/>
  <c r="L58" i="3"/>
  <c r="AN61" i="3"/>
  <c r="J75" i="3"/>
  <c r="AM56" i="3"/>
  <c r="L95" i="3"/>
  <c r="Z74" i="3"/>
  <c r="AG50" i="3"/>
  <c r="S63" i="3"/>
  <c r="W75" i="3"/>
  <c r="AM63" i="3"/>
  <c r="M78" i="3"/>
  <c r="AJ66" i="3"/>
  <c r="O82" i="3"/>
  <c r="AM69" i="3"/>
  <c r="R12" i="3"/>
  <c r="H35" i="3"/>
  <c r="F113" i="2"/>
  <c r="G49" i="3"/>
  <c r="X96" i="2"/>
  <c r="AC37" i="3"/>
  <c r="O82" i="2"/>
  <c r="I17" i="3"/>
  <c r="R48" i="2"/>
  <c r="AH29" i="3"/>
  <c r="X42" i="3"/>
  <c r="M40" i="3"/>
  <c r="D55" i="2"/>
  <c r="AG8" i="3"/>
  <c r="X43" i="2"/>
  <c r="X53" i="2"/>
  <c r="O107" i="2"/>
  <c r="J39" i="3"/>
  <c r="O56" i="2"/>
  <c r="Q41" i="3"/>
  <c r="M53" i="2"/>
  <c r="AN31" i="3"/>
  <c r="P15" i="3"/>
  <c r="Q73" i="2"/>
  <c r="T41" i="2"/>
  <c r="AJ20" i="3"/>
  <c r="I41" i="3"/>
  <c r="U40" i="2"/>
  <c r="J35" i="3"/>
  <c r="Z12" i="3"/>
  <c r="AO28" i="3"/>
  <c r="S111" i="2"/>
  <c r="N22" i="3"/>
  <c r="P40" i="3"/>
  <c r="AO17" i="3"/>
  <c r="S13" i="3"/>
  <c r="I43" i="2"/>
  <c r="K112" i="2"/>
  <c r="U15" i="3"/>
  <c r="Z40" i="3"/>
  <c r="AB80" i="3"/>
  <c r="G55" i="2"/>
  <c r="Q27" i="3"/>
  <c r="M68" i="2"/>
  <c r="AN39" i="3"/>
  <c r="AB95" i="3"/>
  <c r="L109" i="2"/>
  <c r="D91" i="2"/>
  <c r="C8" i="3"/>
  <c r="L23" i="3"/>
  <c r="N68" i="2"/>
  <c r="W23" i="3"/>
  <c r="E108" i="2"/>
  <c r="AM16" i="3"/>
  <c r="D104" i="2"/>
  <c r="S90" i="2"/>
  <c r="N84" i="2"/>
  <c r="U94" i="2"/>
  <c r="AN37" i="3"/>
  <c r="F105" i="2"/>
  <c r="Q53" i="2"/>
  <c r="C91" i="2"/>
  <c r="K63" i="2"/>
  <c r="P61" i="2"/>
  <c r="AE33" i="3"/>
  <c r="G70" i="2"/>
  <c r="AG14" i="3"/>
  <c r="H32" i="3"/>
  <c r="T24" i="3"/>
  <c r="AG28" i="3"/>
  <c r="O53" i="2"/>
  <c r="I91" i="2"/>
  <c r="O8" i="3"/>
  <c r="U113" i="2"/>
  <c r="U97" i="2"/>
  <c r="AH24" i="3"/>
  <c r="P23" i="3"/>
  <c r="R76" i="2"/>
  <c r="H9" i="3"/>
  <c r="S86" i="2"/>
  <c r="F50" i="2"/>
  <c r="S16" i="3"/>
  <c r="G83" i="2"/>
  <c r="C68" i="2"/>
  <c r="AB28" i="3"/>
  <c r="J37" i="3"/>
  <c r="X11" i="3"/>
  <c r="M12" i="3"/>
  <c r="AN12" i="3"/>
  <c r="O66" i="2"/>
  <c r="H40" i="2"/>
  <c r="O105" i="2"/>
  <c r="K50" i="2"/>
  <c r="AE24" i="3"/>
  <c r="R25" i="3"/>
  <c r="N75" i="2"/>
  <c r="N23" i="3"/>
  <c r="AK29" i="3"/>
  <c r="AB9" i="3"/>
  <c r="Y29" i="3"/>
  <c r="AH37" i="3"/>
  <c r="Z7" i="3"/>
  <c r="G60" i="2"/>
  <c r="E89" i="2"/>
  <c r="K42" i="3"/>
  <c r="AJ25" i="3"/>
  <c r="V58" i="2"/>
  <c r="AP9" i="3"/>
  <c r="T19" i="3"/>
  <c r="AO34" i="3"/>
  <c r="F71" i="2"/>
  <c r="H26" i="3"/>
  <c r="E83" i="2"/>
  <c r="Q5" i="3"/>
  <c r="K67" i="2"/>
  <c r="AE5" i="3"/>
  <c r="J40" i="3"/>
  <c r="L79" i="2"/>
  <c r="Q108" i="2"/>
  <c r="AG39" i="3"/>
  <c r="U7" i="3"/>
  <c r="S41" i="3"/>
  <c r="U10" i="3"/>
  <c r="M14" i="3"/>
  <c r="J10" i="3"/>
  <c r="L53" i="2"/>
  <c r="W30" i="3"/>
  <c r="G35" i="3"/>
  <c r="AO41" i="3"/>
  <c r="AE40" i="3"/>
  <c r="I18" i="3"/>
  <c r="AI5" i="3"/>
  <c r="V11" i="3"/>
  <c r="AO36" i="3"/>
  <c r="O25" i="3"/>
  <c r="AA32" i="3"/>
  <c r="AA27" i="3"/>
  <c r="N6" i="3"/>
  <c r="I76" i="2"/>
  <c r="F106" i="2"/>
  <c r="AL14" i="3"/>
  <c r="S64" i="2"/>
  <c r="AK41" i="3"/>
  <c r="X38" i="3"/>
  <c r="C84" i="2"/>
  <c r="V36" i="3"/>
  <c r="R23" i="3"/>
  <c r="O34" i="3"/>
  <c r="Y8" i="3"/>
  <c r="M110" i="2"/>
  <c r="F83" i="2"/>
  <c r="AN28" i="3"/>
  <c r="I75" i="2"/>
  <c r="P42" i="3"/>
  <c r="I9" i="3"/>
  <c r="Z20" i="3"/>
  <c r="Q11" i="3"/>
  <c r="AL25" i="3"/>
  <c r="AG41" i="3"/>
  <c r="K28" i="3"/>
  <c r="C40" i="3"/>
  <c r="W110" i="2"/>
  <c r="J15" i="3"/>
  <c r="V15" i="3"/>
  <c r="AH21" i="3"/>
  <c r="L12" i="3"/>
  <c r="AO21" i="3"/>
  <c r="Y42" i="3"/>
  <c r="Z11" i="3"/>
  <c r="G42" i="3"/>
  <c r="Q37" i="3"/>
  <c r="Y7" i="3"/>
  <c r="N83" i="2"/>
  <c r="M46" i="2"/>
  <c r="AQ11" i="3"/>
  <c r="AP15" i="3"/>
  <c r="L21" i="3"/>
  <c r="T21" i="3"/>
  <c r="C4" i="3"/>
  <c r="S6" i="3"/>
  <c r="AP24" i="3"/>
  <c r="AH18" i="3"/>
  <c r="AG35" i="3"/>
  <c r="Q40" i="3"/>
  <c r="O40" i="2"/>
  <c r="M88" i="2"/>
  <c r="I86" i="2"/>
  <c r="AP11" i="3"/>
  <c r="Z35" i="3"/>
  <c r="W96" i="2"/>
  <c r="U25" i="3"/>
  <c r="AA41" i="3"/>
  <c r="R40" i="3"/>
  <c r="R34" i="3"/>
  <c r="AE21" i="3"/>
  <c r="AJ6" i="3"/>
  <c r="H56" i="2"/>
  <c r="Q8" i="3"/>
  <c r="O69" i="2"/>
  <c r="J31" i="3"/>
  <c r="T29" i="3"/>
  <c r="L35" i="3"/>
  <c r="AH19" i="3"/>
  <c r="V14" i="3"/>
  <c r="Q39" i="3"/>
  <c r="P20" i="3"/>
  <c r="I92" i="2"/>
  <c r="X32" i="3"/>
  <c r="AO40" i="3"/>
  <c r="AO32" i="3"/>
  <c r="I31" i="3"/>
  <c r="AB13" i="3"/>
  <c r="G36" i="3"/>
  <c r="AP12" i="3"/>
  <c r="AC7" i="3"/>
  <c r="AQ40" i="3"/>
  <c r="AL22" i="3"/>
  <c r="AL12" i="3"/>
  <c r="N8" i="3"/>
  <c r="C10" i="3"/>
  <c r="T15" i="3"/>
  <c r="O32" i="3"/>
  <c r="J26" i="3"/>
  <c r="AC32" i="3"/>
  <c r="M16" i="3"/>
  <c r="T97" i="2"/>
  <c r="P16" i="3"/>
  <c r="D82" i="2"/>
  <c r="N45" i="2"/>
  <c r="L14" i="3"/>
  <c r="S23" i="3"/>
  <c r="K55" i="2"/>
  <c r="AK26" i="3"/>
  <c r="AO14" i="3"/>
  <c r="Q24" i="3"/>
  <c r="J41" i="2"/>
  <c r="K34" i="3"/>
  <c r="M92" i="2"/>
  <c r="AP28" i="3"/>
  <c r="AL41" i="3"/>
  <c r="I26" i="3"/>
  <c r="K82" i="2"/>
  <c r="E56" i="2"/>
  <c r="K9" i="3"/>
  <c r="AK12" i="3"/>
  <c r="AD41" i="3"/>
  <c r="O10" i="3"/>
  <c r="AM40" i="3"/>
  <c r="AL30" i="3"/>
  <c r="S15" i="3"/>
  <c r="J19" i="3"/>
  <c r="AQ56" i="3"/>
  <c r="AE86" i="3"/>
  <c r="W56" i="3"/>
  <c r="AL94" i="3"/>
  <c r="W79" i="3"/>
  <c r="Q68" i="3"/>
  <c r="W66" i="3"/>
  <c r="X75" i="3"/>
  <c r="AN89" i="3"/>
  <c r="U97" i="3"/>
  <c r="M58" i="3"/>
  <c r="AG65" i="3"/>
  <c r="AK78" i="3"/>
  <c r="AH81" i="3"/>
  <c r="W83" i="3"/>
  <c r="AO72" i="3"/>
  <c r="W54" i="3"/>
  <c r="N50" i="3"/>
  <c r="AN74" i="3"/>
  <c r="L80" i="3"/>
  <c r="K84" i="3"/>
  <c r="AN90" i="3"/>
  <c r="K62" i="3"/>
  <c r="W77" i="3"/>
  <c r="M56" i="3"/>
  <c r="L55" i="3"/>
  <c r="O78" i="3"/>
  <c r="AE58" i="3"/>
  <c r="AG82" i="3"/>
  <c r="L54" i="3"/>
  <c r="X97" i="3"/>
  <c r="AG54" i="3"/>
  <c r="W55" i="3"/>
  <c r="AO57" i="3"/>
  <c r="W96" i="3"/>
  <c r="U80" i="3"/>
  <c r="T47" i="3"/>
  <c r="U54" i="3"/>
  <c r="K97" i="3"/>
  <c r="Q82" i="3"/>
  <c r="Z65" i="3"/>
  <c r="W47" i="3"/>
  <c r="X55" i="3"/>
  <c r="AN78" i="3"/>
  <c r="AH79" i="3"/>
  <c r="AG92" i="3"/>
  <c r="T79" i="3"/>
  <c r="AH89" i="3"/>
  <c r="AI95" i="3"/>
  <c r="AH90" i="3"/>
  <c r="W57" i="3"/>
  <c r="AK76" i="3"/>
  <c r="J49" i="3"/>
  <c r="AH76" i="3"/>
  <c r="L96" i="3"/>
  <c r="AQ88" i="3"/>
  <c r="Z76" i="3"/>
  <c r="AN92" i="3"/>
  <c r="AC78" i="3"/>
  <c r="AC90" i="3"/>
  <c r="U90" i="3"/>
  <c r="AN48" i="3"/>
  <c r="L83" i="3"/>
  <c r="AG67" i="3"/>
  <c r="AL79" i="3"/>
  <c r="K88" i="3"/>
  <c r="L78" i="3"/>
  <c r="M93" i="3"/>
  <c r="AG47" i="3"/>
  <c r="O84" i="3"/>
  <c r="AQ47" i="3"/>
  <c r="AH58" i="3"/>
  <c r="J91" i="3"/>
  <c r="K72" i="3"/>
  <c r="Z86" i="3"/>
  <c r="AN81" i="3"/>
  <c r="AI59" i="3"/>
  <c r="T73" i="3"/>
  <c r="AE91" i="3"/>
  <c r="Y94" i="3"/>
  <c r="AM50" i="3"/>
  <c r="N96" i="3"/>
  <c r="AO91" i="3"/>
  <c r="S88" i="3"/>
  <c r="J71" i="3"/>
  <c r="AC80" i="3"/>
  <c r="AN75" i="3"/>
  <c r="AE73" i="3"/>
  <c r="AN73" i="3"/>
  <c r="N60" i="3"/>
  <c r="AG49" i="3"/>
  <c r="Y90" i="3"/>
  <c r="J47" i="3"/>
  <c r="H90" i="3"/>
  <c r="H81" i="3"/>
  <c r="X70" i="3"/>
  <c r="H91" i="3"/>
  <c r="AO97" i="3"/>
  <c r="K70" i="3"/>
  <c r="L69" i="3"/>
  <c r="M74" i="3"/>
  <c r="AK54" i="3"/>
  <c r="J64" i="3"/>
  <c r="AC66" i="3"/>
  <c r="M73" i="3"/>
  <c r="AO68" i="3"/>
  <c r="K59" i="3"/>
  <c r="AK61" i="3"/>
  <c r="M84" i="3"/>
  <c r="Y63" i="3"/>
  <c r="W78" i="3"/>
  <c r="X61" i="3"/>
  <c r="AG71" i="3"/>
  <c r="L67" i="3"/>
  <c r="AO65" i="3"/>
  <c r="AI85" i="3"/>
  <c r="U50" i="3"/>
  <c r="M86" i="3"/>
  <c r="H80" i="3"/>
  <c r="U63" i="3"/>
  <c r="W73" i="3"/>
  <c r="O96" i="3"/>
  <c r="AO78" i="3"/>
  <c r="AL47" i="3"/>
  <c r="AE82" i="3"/>
  <c r="AH59" i="3"/>
  <c r="AC86" i="3"/>
  <c r="AG87" i="3"/>
  <c r="J57" i="3"/>
  <c r="AO54" i="3"/>
  <c r="U64" i="3"/>
  <c r="K66" i="3"/>
  <c r="AC76" i="3"/>
  <c r="AO94" i="3"/>
  <c r="AE65" i="3"/>
  <c r="Y92" i="3"/>
  <c r="S60" i="3"/>
  <c r="U77" i="3"/>
  <c r="S48" i="3"/>
  <c r="AN56" i="3"/>
  <c r="AE54" i="3"/>
  <c r="AC88" i="3"/>
  <c r="H60" i="3"/>
  <c r="T82" i="3"/>
  <c r="AC83" i="3"/>
  <c r="N54" i="3"/>
  <c r="K71" i="3"/>
  <c r="X50" i="3"/>
  <c r="L72" i="3"/>
  <c r="H94" i="3"/>
  <c r="L79" i="3"/>
  <c r="K80" i="3"/>
  <c r="Y49" i="3"/>
  <c r="O61" i="3"/>
  <c r="Y75" i="3"/>
  <c r="X93" i="3"/>
  <c r="AK47" i="3"/>
  <c r="X81" i="3"/>
  <c r="AM64" i="3"/>
  <c r="AM85" i="3"/>
  <c r="M67" i="3"/>
  <c r="N86" i="3"/>
  <c r="O73" i="3"/>
  <c r="AG48" i="3"/>
  <c r="AL61" i="3"/>
  <c r="AE93" i="3"/>
  <c r="L86" i="3"/>
  <c r="N59" i="3"/>
  <c r="H61" i="3"/>
  <c r="Q81" i="3"/>
  <c r="U95" i="3"/>
  <c r="Y86" i="3"/>
  <c r="K69" i="3"/>
  <c r="AL56" i="3"/>
  <c r="H89" i="3"/>
  <c r="M81" i="3"/>
  <c r="H92" i="3"/>
  <c r="T75" i="3"/>
  <c r="L48" i="3"/>
  <c r="AE63" i="3"/>
  <c r="AI96" i="3"/>
  <c r="W97" i="3"/>
  <c r="AM95" i="3"/>
  <c r="X49" i="3"/>
  <c r="AK86" i="3"/>
  <c r="AK90" i="3"/>
  <c r="AM60" i="3"/>
  <c r="AN84" i="3"/>
  <c r="AO58" i="3"/>
  <c r="K61" i="3"/>
  <c r="T74" i="3"/>
  <c r="Y97" i="3"/>
  <c r="K87" i="3"/>
  <c r="U94" i="3"/>
  <c r="AJ88" i="3"/>
  <c r="X87" i="3"/>
  <c r="J48" i="3"/>
  <c r="AN54" i="3"/>
  <c r="H76" i="3"/>
  <c r="T84" i="3"/>
  <c r="S90" i="3"/>
  <c r="AL55" i="3"/>
  <c r="Y58" i="3"/>
  <c r="AL85" i="3"/>
  <c r="U81" i="3"/>
  <c r="AC75" i="3"/>
  <c r="T76" i="3"/>
  <c r="X48" i="3"/>
  <c r="T86" i="3"/>
  <c r="H56" i="3"/>
  <c r="AI94" i="3"/>
  <c r="AQ58" i="3"/>
  <c r="T78" i="3"/>
  <c r="AN64" i="3"/>
  <c r="H72" i="3"/>
  <c r="K91" i="3"/>
  <c r="AM74" i="3"/>
  <c r="U59" i="3"/>
  <c r="L47" i="3"/>
  <c r="AH82" i="3"/>
  <c r="Q91" i="3"/>
  <c r="AM93" i="3"/>
  <c r="N63" i="3"/>
  <c r="AO77" i="3"/>
  <c r="AQ95" i="3"/>
  <c r="AH49" i="3"/>
  <c r="Y88" i="3"/>
  <c r="W91" i="3"/>
  <c r="N80" i="3"/>
  <c r="H47" i="3"/>
  <c r="U84" i="3"/>
  <c r="M85" i="3"/>
  <c r="T90" i="3"/>
  <c r="O93" i="3"/>
  <c r="Y47" i="3"/>
  <c r="Q55" i="3"/>
  <c r="J32" i="3"/>
  <c r="G112" i="2"/>
  <c r="G46" i="2"/>
  <c r="AC28" i="3"/>
  <c r="N48" i="2"/>
  <c r="AB57" i="3"/>
  <c r="C16" i="3"/>
  <c r="AH10" i="3"/>
  <c r="K71" i="2"/>
  <c r="N21" i="3"/>
  <c r="R8" i="3"/>
  <c r="AK36" i="3"/>
  <c r="AD22" i="3"/>
  <c r="W73" i="2"/>
  <c r="Q17" i="3"/>
  <c r="AO37" i="3"/>
  <c r="D86" i="2"/>
  <c r="AO29" i="3"/>
  <c r="P5" i="3"/>
  <c r="Y25" i="3"/>
  <c r="W45" i="2"/>
  <c r="J89" i="2"/>
  <c r="K17" i="3"/>
  <c r="Q50" i="2"/>
  <c r="S112" i="2"/>
  <c r="Q36" i="3"/>
  <c r="E109" i="2"/>
  <c r="Q30" i="3"/>
  <c r="R75" i="2"/>
  <c r="AP90" i="3"/>
  <c r="I107" i="2"/>
  <c r="S9" i="3"/>
  <c r="M48" i="2"/>
  <c r="L54" i="2"/>
  <c r="C43" i="2"/>
  <c r="AP20" i="3"/>
  <c r="I10" i="3"/>
  <c r="U67" i="2"/>
  <c r="E55" i="2"/>
  <c r="K11" i="3"/>
  <c r="C95" i="2"/>
  <c r="Q40" i="2"/>
  <c r="I70" i="2"/>
  <c r="T71" i="2"/>
  <c r="C45" i="2"/>
  <c r="Z18" i="3"/>
  <c r="M95" i="2"/>
  <c r="F90" i="2"/>
  <c r="K33" i="3"/>
  <c r="N44" i="2"/>
  <c r="AE9" i="3"/>
  <c r="AD35" i="3"/>
  <c r="E78" i="2"/>
  <c r="AK10" i="3"/>
  <c r="W54" i="2"/>
  <c r="AI33" i="3"/>
  <c r="U28" i="3"/>
  <c r="G58" i="2"/>
  <c r="E105" i="2"/>
  <c r="AL40" i="3"/>
  <c r="R58" i="2"/>
  <c r="T90" i="2"/>
  <c r="S85" i="2"/>
  <c r="I16" i="3"/>
  <c r="R81" i="2"/>
  <c r="X37" i="3"/>
  <c r="F54" i="2"/>
  <c r="X34" i="3"/>
  <c r="Q29" i="3"/>
  <c r="X112" i="2"/>
  <c r="F91" i="2"/>
  <c r="M6" i="3"/>
  <c r="W17" i="3"/>
  <c r="Q22" i="3"/>
  <c r="T34" i="3"/>
  <c r="AK40" i="3"/>
  <c r="S60" i="2"/>
  <c r="S78" i="2"/>
  <c r="S41" i="2"/>
  <c r="I11" i="3"/>
  <c r="K60" i="2"/>
  <c r="Q74" i="2"/>
  <c r="D57" i="2"/>
  <c r="L84" i="2"/>
  <c r="N66" i="2"/>
  <c r="AC35" i="3"/>
  <c r="N98" i="2"/>
  <c r="AM12" i="3"/>
  <c r="T73" i="2"/>
  <c r="G61" i="2"/>
  <c r="O64" i="2"/>
  <c r="N11" i="3"/>
  <c r="W55" i="2"/>
  <c r="T40" i="2"/>
  <c r="K44" i="2"/>
  <c r="K76" i="2"/>
  <c r="E88" i="2"/>
  <c r="N37" i="3"/>
  <c r="Z30" i="3"/>
  <c r="AB21" i="3"/>
  <c r="W65" i="2"/>
  <c r="AD20" i="3"/>
  <c r="T86" i="2"/>
  <c r="K6" i="3"/>
  <c r="AB8" i="3"/>
  <c r="AO30" i="3"/>
  <c r="S84" i="2"/>
  <c r="AC38" i="3"/>
  <c r="AB48" i="3"/>
  <c r="C35" i="3"/>
  <c r="AL18" i="3"/>
  <c r="AB33" i="3"/>
  <c r="H104" i="2"/>
  <c r="AP83" i="3"/>
  <c r="Y37" i="3"/>
  <c r="Q38" i="3"/>
  <c r="AL39" i="3"/>
  <c r="AH33" i="3"/>
  <c r="R31" i="3"/>
  <c r="AQ28" i="3"/>
  <c r="I54" i="2"/>
  <c r="W6" i="3"/>
  <c r="S37" i="3"/>
  <c r="P70" i="2"/>
  <c r="AE22" i="3"/>
  <c r="K39" i="3"/>
  <c r="AD40" i="3"/>
  <c r="M49" i="2"/>
  <c r="AE27" i="3"/>
  <c r="L36" i="3"/>
  <c r="K19" i="3"/>
  <c r="E80" i="2"/>
  <c r="AB54" i="3"/>
  <c r="V30" i="3"/>
  <c r="R47" i="2"/>
  <c r="N9" i="3"/>
  <c r="V104" i="2"/>
  <c r="AL21" i="3"/>
  <c r="AL10" i="3"/>
  <c r="AK24" i="3"/>
  <c r="E46" i="2"/>
  <c r="L90" i="2"/>
  <c r="AH26" i="3"/>
  <c r="AP79" i="3"/>
  <c r="Q68" i="2"/>
  <c r="M20" i="3"/>
  <c r="D58" i="2"/>
  <c r="X22" i="3"/>
  <c r="AE42" i="3"/>
  <c r="AQ26" i="3"/>
  <c r="AC23" i="3"/>
  <c r="V26" i="3"/>
  <c r="S108" i="2"/>
  <c r="O37" i="3"/>
  <c r="V42" i="2"/>
  <c r="AA5" i="3"/>
  <c r="N47" i="2"/>
  <c r="AL38" i="3"/>
  <c r="C40" i="2"/>
  <c r="M97" i="2"/>
  <c r="AO18" i="3"/>
  <c r="M19" i="3"/>
  <c r="AH40" i="3"/>
  <c r="AE13" i="3"/>
  <c r="G33" i="3"/>
  <c r="C25" i="3"/>
  <c r="P6" i="3"/>
  <c r="I108" i="2"/>
  <c r="K53" i="2"/>
  <c r="S75" i="2"/>
  <c r="W111" i="2"/>
  <c r="N12" i="3"/>
  <c r="AP70" i="3"/>
  <c r="E87" i="2"/>
  <c r="W8" i="3"/>
  <c r="M11" i="3"/>
  <c r="H16" i="3"/>
  <c r="Y6" i="3"/>
  <c r="W42" i="3"/>
  <c r="S95" i="2"/>
  <c r="Z42" i="3"/>
  <c r="R41" i="3"/>
  <c r="S8" i="3"/>
  <c r="U83" i="2"/>
  <c r="P48" i="2"/>
  <c r="V5" i="3"/>
  <c r="C18" i="3"/>
  <c r="L18" i="3"/>
  <c r="J105" i="2"/>
  <c r="Q42" i="3"/>
  <c r="Z32" i="3"/>
  <c r="U78" i="2"/>
  <c r="N88" i="2"/>
  <c r="R89" i="2"/>
  <c r="L81" i="2"/>
  <c r="T10" i="3"/>
  <c r="Y23" i="3"/>
  <c r="T58" i="2"/>
  <c r="X23" i="3"/>
  <c r="R108" i="2"/>
  <c r="O96" i="2"/>
  <c r="W86" i="2"/>
  <c r="R26" i="3"/>
  <c r="O65" i="2"/>
  <c r="AI6" i="3"/>
  <c r="G47" i="2"/>
  <c r="AP22" i="3"/>
  <c r="AO19" i="3"/>
  <c r="AB38" i="3"/>
  <c r="AQ15" i="3"/>
  <c r="AP42" i="3"/>
  <c r="AI39" i="3"/>
  <c r="M60" i="2"/>
  <c r="AE31" i="3"/>
  <c r="H112" i="2"/>
  <c r="S39" i="3"/>
  <c r="G64" i="2"/>
  <c r="V47" i="2"/>
  <c r="L40" i="3"/>
  <c r="X12" i="3"/>
  <c r="AJ18" i="3"/>
  <c r="AL19" i="3"/>
  <c r="Y10" i="3"/>
  <c r="AJ34" i="3"/>
  <c r="AP34" i="3"/>
  <c r="N82" i="2"/>
  <c r="K27" i="3"/>
  <c r="AM42" i="3"/>
  <c r="AJ16" i="3"/>
  <c r="S19" i="3"/>
  <c r="Y9" i="3"/>
  <c r="P81" i="2"/>
  <c r="AA15" i="3"/>
  <c r="P45" i="2"/>
  <c r="H22" i="3"/>
  <c r="R55" i="2"/>
  <c r="M23" i="3"/>
  <c r="H40" i="3"/>
  <c r="AI18" i="3"/>
  <c r="K21" i="3"/>
  <c r="Y32" i="3"/>
  <c r="J75" i="2"/>
  <c r="N33" i="3"/>
  <c r="E47" i="3"/>
  <c r="D76" i="2"/>
  <c r="I32" i="3"/>
  <c r="AN35" i="3"/>
  <c r="L38" i="3"/>
  <c r="AN19" i="3"/>
  <c r="AN36" i="3"/>
  <c r="AG30" i="3"/>
  <c r="T67" i="3"/>
  <c r="AE76" i="3"/>
  <c r="L57" i="3"/>
  <c r="AC65" i="3"/>
  <c r="W94" i="3"/>
  <c r="V85" i="3"/>
  <c r="AE95" i="3"/>
  <c r="AG78" i="3"/>
  <c r="K89" i="3"/>
  <c r="AK95" i="3"/>
  <c r="AO84" i="3"/>
  <c r="AH95" i="3"/>
  <c r="AL87" i="3"/>
  <c r="AH47" i="3"/>
  <c r="AG95" i="3"/>
  <c r="AN63" i="3"/>
  <c r="M83" i="3"/>
  <c r="K73" i="3"/>
  <c r="M61" i="3"/>
  <c r="T70" i="3"/>
  <c r="O81" i="3"/>
  <c r="K57" i="3"/>
  <c r="U85" i="3"/>
  <c r="S89" i="3"/>
  <c r="AE88" i="3"/>
  <c r="N62" i="3"/>
  <c r="M77" i="3"/>
  <c r="AH64" i="3"/>
  <c r="V75" i="3"/>
  <c r="AO93" i="3"/>
  <c r="L87" i="3"/>
  <c r="AM67" i="3"/>
  <c r="AE70" i="3"/>
  <c r="O65" i="3"/>
  <c r="AQ73" i="3"/>
  <c r="AO60" i="3"/>
  <c r="AA90" i="3"/>
  <c r="N78" i="3"/>
  <c r="M54" i="3"/>
  <c r="H59" i="3"/>
  <c r="V68" i="3"/>
  <c r="N71" i="3"/>
  <c r="P66" i="3"/>
  <c r="AN87" i="3"/>
  <c r="AG94" i="3"/>
  <c r="W48" i="3"/>
  <c r="U67" i="3"/>
  <c r="L93" i="3"/>
  <c r="H73" i="3"/>
  <c r="AE77" i="3"/>
  <c r="M60" i="3"/>
  <c r="T63" i="3"/>
  <c r="AH68" i="3"/>
  <c r="AG63" i="3"/>
  <c r="AO55" i="3"/>
  <c r="S93" i="3"/>
  <c r="U79" i="3"/>
  <c r="AN49" i="3"/>
  <c r="Y79" i="3"/>
  <c r="P95" i="3"/>
  <c r="AI78" i="3"/>
  <c r="AO64" i="3"/>
  <c r="L59" i="3"/>
  <c r="W80" i="3"/>
  <c r="M89" i="3"/>
  <c r="Z84" i="3"/>
  <c r="AQ49" i="3"/>
  <c r="V47" i="3"/>
  <c r="AH69" i="3"/>
  <c r="AC91" i="3"/>
  <c r="K93" i="3"/>
  <c r="AO86" i="3"/>
  <c r="S76" i="3"/>
  <c r="X64" i="3"/>
  <c r="AI62" i="3"/>
  <c r="J69" i="3"/>
  <c r="L65" i="3"/>
  <c r="AC68" i="3"/>
  <c r="U82" i="3"/>
  <c r="L66" i="3"/>
  <c r="AK58" i="3"/>
  <c r="T85" i="3"/>
  <c r="AK50" i="3"/>
  <c r="J96" i="3"/>
  <c r="K77" i="3"/>
  <c r="Y71" i="3"/>
  <c r="L68" i="3"/>
  <c r="AC72" i="3"/>
  <c r="O76" i="3"/>
  <c r="O86" i="3"/>
  <c r="AK91" i="3"/>
  <c r="AQ65" i="3"/>
  <c r="M96" i="3"/>
  <c r="M69" i="3"/>
  <c r="AK59" i="3"/>
  <c r="X73" i="3"/>
  <c r="AK84" i="3"/>
  <c r="AA81" i="3"/>
  <c r="AG75" i="3"/>
  <c r="M64" i="3"/>
  <c r="AG59" i="3"/>
  <c r="U83" i="3"/>
  <c r="W60" i="3"/>
  <c r="O68" i="3"/>
  <c r="L49" i="3"/>
  <c r="M72" i="3"/>
  <c r="M59" i="3"/>
  <c r="AM59" i="3"/>
  <c r="AQ70" i="3"/>
  <c r="AM70" i="3"/>
  <c r="O70" i="3"/>
  <c r="P78" i="3"/>
  <c r="J93" i="3"/>
  <c r="N61" i="3"/>
  <c r="AK74" i="3"/>
  <c r="AH65" i="3"/>
  <c r="AM80" i="3"/>
  <c r="Y60" i="3"/>
  <c r="J81" i="3"/>
  <c r="AK64" i="3"/>
  <c r="J87" i="3"/>
  <c r="AQ72" i="3"/>
  <c r="P88" i="3"/>
  <c r="AH61" i="3"/>
  <c r="Y87" i="3"/>
  <c r="AC59" i="3"/>
  <c r="H97" i="3"/>
  <c r="P65" i="3"/>
  <c r="AO71" i="3"/>
  <c r="O55" i="3"/>
  <c r="AL93" i="3"/>
  <c r="AN94" i="3"/>
  <c r="J70" i="3"/>
  <c r="S72" i="3"/>
  <c r="AN59" i="3"/>
  <c r="W81" i="3"/>
  <c r="V86" i="3"/>
  <c r="W72" i="3"/>
  <c r="AM94" i="3"/>
  <c r="U92" i="3"/>
  <c r="AC61" i="3"/>
  <c r="AE80" i="3"/>
  <c r="AN66" i="3"/>
  <c r="AG91" i="3"/>
  <c r="J74" i="3"/>
  <c r="AI72" i="3"/>
  <c r="S83" i="3"/>
  <c r="X59" i="3"/>
  <c r="V93" i="3"/>
  <c r="Y83" i="3"/>
  <c r="AM83" i="3"/>
  <c r="Y64" i="3"/>
  <c r="L91" i="3"/>
  <c r="V80" i="3"/>
  <c r="M82" i="3"/>
  <c r="N65" i="3"/>
  <c r="AC93" i="3"/>
  <c r="S64" i="3"/>
  <c r="AJ69" i="3"/>
  <c r="AK60" i="3"/>
  <c r="P47" i="3"/>
  <c r="AM86" i="3"/>
  <c r="AH66" i="3"/>
  <c r="AG90" i="3"/>
  <c r="AL62" i="3"/>
  <c r="AM89" i="3"/>
  <c r="Q73" i="3"/>
  <c r="P93" i="3"/>
  <c r="AN55" i="3"/>
  <c r="AO96" i="3"/>
  <c r="P57" i="3"/>
  <c r="AH97" i="3"/>
  <c r="N74" i="3"/>
  <c r="L89" i="3"/>
  <c r="AQ48" i="3"/>
  <c r="K49" i="3"/>
  <c r="AL64" i="3"/>
  <c r="W82" i="3"/>
  <c r="H95" i="3"/>
  <c r="T81" i="3"/>
  <c r="AA66" i="3"/>
  <c r="N87" i="3"/>
  <c r="AN82" i="3"/>
  <c r="AH71" i="3"/>
  <c r="P83" i="3"/>
  <c r="L90" i="3"/>
  <c r="M70" i="3"/>
  <c r="AK85" i="3"/>
  <c r="AC79" i="3"/>
  <c r="AG73" i="3"/>
  <c r="U60" i="3"/>
  <c r="AE48" i="3"/>
  <c r="AM79" i="3"/>
  <c r="AO67" i="3"/>
  <c r="K75" i="3"/>
  <c r="W71" i="3"/>
  <c r="J80" i="3"/>
  <c r="AE69" i="3"/>
  <c r="X82" i="3"/>
  <c r="AJ92" i="3"/>
  <c r="AQ67" i="3"/>
  <c r="AL80" i="3"/>
  <c r="V79" i="3"/>
  <c r="AA92" i="3"/>
  <c r="AG77" i="3"/>
  <c r="AQ63" i="3"/>
  <c r="AL92" i="3"/>
  <c r="Q93" i="3"/>
  <c r="Z56" i="3"/>
  <c r="AK57" i="3"/>
  <c r="AN76" i="3"/>
  <c r="Y93" i="3"/>
  <c r="M68" i="3"/>
  <c r="X88" i="3"/>
  <c r="AJ70" i="3"/>
  <c r="O77" i="3"/>
  <c r="AN93" i="3"/>
  <c r="AO50" i="3"/>
  <c r="AC84" i="3"/>
  <c r="K65" i="3"/>
  <c r="AJ67" i="3"/>
  <c r="N97" i="3"/>
  <c r="AQ61" i="3"/>
  <c r="O97" i="3"/>
  <c r="O59" i="3"/>
  <c r="AO90" i="3"/>
  <c r="AL59" i="3"/>
  <c r="AC81" i="3"/>
  <c r="AO85" i="3"/>
  <c r="AI54" i="3"/>
  <c r="H68" i="3"/>
  <c r="Q74" i="3"/>
  <c r="Q60" i="3"/>
  <c r="M48" i="3"/>
  <c r="S92" i="3"/>
  <c r="Y95" i="3"/>
  <c r="AG76" i="3"/>
  <c r="Z71" i="3"/>
  <c r="N91" i="3"/>
  <c r="V76" i="3"/>
  <c r="L94" i="3"/>
  <c r="H50" i="3"/>
  <c r="Z94" i="3"/>
  <c r="AM75" i="3"/>
  <c r="S47" i="3"/>
  <c r="X66" i="3"/>
  <c r="K55" i="3"/>
  <c r="V92" i="3"/>
  <c r="Y85" i="3"/>
  <c r="H74" i="3"/>
  <c r="S66" i="3"/>
  <c r="AK96" i="3"/>
  <c r="U69" i="3"/>
  <c r="AQ87" i="3"/>
  <c r="Z50" i="3"/>
  <c r="AI56" i="3"/>
  <c r="AK70" i="3"/>
  <c r="V65" i="3"/>
  <c r="AH72" i="3"/>
  <c r="K76" i="3"/>
  <c r="X83" i="3"/>
  <c r="K85" i="3"/>
  <c r="X86" i="3"/>
  <c r="O80" i="3"/>
  <c r="AA87" i="3"/>
  <c r="J58" i="3"/>
  <c r="Z78" i="3"/>
  <c r="AE59" i="3"/>
  <c r="AL54" i="3"/>
  <c r="AE83" i="3"/>
  <c r="AI75" i="3"/>
  <c r="AH73" i="3"/>
  <c r="AL70" i="3"/>
  <c r="AM84" i="3"/>
  <c r="X72" i="3"/>
  <c r="U47" i="3"/>
  <c r="Z93" i="3"/>
  <c r="T66" i="3"/>
  <c r="AO49" i="3"/>
  <c r="AK62" i="3"/>
  <c r="M63" i="3"/>
  <c r="N55" i="3"/>
  <c r="Q89" i="3"/>
  <c r="Q47" i="3"/>
  <c r="AO79" i="3"/>
  <c r="Z75" i="3"/>
  <c r="O63" i="3"/>
  <c r="AA61" i="3"/>
  <c r="AC77" i="3"/>
  <c r="M75" i="3"/>
  <c r="J66" i="3"/>
  <c r="AC58" i="3"/>
  <c r="T72" i="3"/>
  <c r="AH74" i="3"/>
  <c r="AH94" i="3"/>
  <c r="O89" i="3"/>
  <c r="AM73" i="3"/>
  <c r="S73" i="3"/>
  <c r="AA57" i="3"/>
  <c r="T80" i="3"/>
  <c r="AA56" i="3"/>
  <c r="J86" i="3"/>
  <c r="Z66" i="3"/>
  <c r="AQ71" i="3"/>
  <c r="AM88" i="3"/>
  <c r="AK83" i="3"/>
  <c r="J65" i="3"/>
  <c r="N66" i="3"/>
  <c r="AG64" i="3"/>
  <c r="O62" i="3"/>
  <c r="AK56" i="3"/>
  <c r="N69" i="3"/>
  <c r="AJ49" i="3"/>
  <c r="P81" i="3"/>
  <c r="Y66" i="3"/>
  <c r="V94" i="3"/>
  <c r="AE47" i="3"/>
  <c r="M95" i="3"/>
  <c r="AI49" i="3"/>
  <c r="K79" i="3"/>
  <c r="V66" i="3"/>
  <c r="AQ50" i="3"/>
  <c r="AI74" i="3"/>
  <c r="P58" i="3"/>
  <c r="X78" i="3"/>
  <c r="K64" i="3"/>
  <c r="N57" i="3"/>
  <c r="P89" i="3"/>
  <c r="AC47" i="3"/>
  <c r="W88" i="3"/>
  <c r="AK87" i="3"/>
  <c r="AE50" i="3"/>
  <c r="AC95" i="3"/>
  <c r="AC89" i="3"/>
  <c r="S56" i="3"/>
  <c r="AQ96" i="3"/>
  <c r="L76" i="3"/>
  <c r="AN62" i="3"/>
  <c r="W69" i="3"/>
  <c r="U71" i="3"/>
  <c r="V59" i="3"/>
  <c r="AJ68" i="3"/>
  <c r="L88" i="3"/>
  <c r="AQ76" i="3"/>
  <c r="AI80" i="3"/>
  <c r="AA71" i="3"/>
  <c r="W62" i="3"/>
  <c r="AA95" i="3"/>
  <c r="Z87" i="3"/>
  <c r="AQ80" i="3"/>
  <c r="AI93" i="3"/>
  <c r="N79" i="3"/>
  <c r="AQ55" i="3"/>
  <c r="S84" i="3"/>
  <c r="T69" i="3"/>
  <c r="AO75" i="3"/>
  <c r="AK66" i="3"/>
  <c r="W68" i="3"/>
  <c r="AG60" i="3"/>
  <c r="AL74" i="3"/>
  <c r="AE74" i="3"/>
  <c r="AJ78" i="3"/>
  <c r="W61" i="3"/>
  <c r="K50" i="3"/>
  <c r="AA82" i="3"/>
  <c r="AE64" i="3"/>
  <c r="Y74" i="3"/>
  <c r="AH83" i="3"/>
  <c r="Z85" i="3"/>
  <c r="AL91" i="3"/>
  <c r="AH88" i="3"/>
  <c r="S82" i="3"/>
  <c r="AM66" i="3"/>
  <c r="AI89" i="3"/>
  <c r="I62" i="3"/>
  <c r="I93" i="3"/>
  <c r="I86" i="3"/>
  <c r="I55" i="3"/>
  <c r="I58" i="3"/>
  <c r="I85" i="3"/>
  <c r="I61" i="3"/>
  <c r="I68" i="3"/>
  <c r="I69" i="3"/>
  <c r="I87" i="3"/>
  <c r="I84" i="3"/>
  <c r="I92" i="3"/>
  <c r="R78" i="3"/>
  <c r="R68" i="3"/>
  <c r="R79" i="3"/>
  <c r="R94" i="3"/>
  <c r="R67" i="3"/>
  <c r="R80" i="3"/>
  <c r="R59" i="3"/>
  <c r="R57" i="3"/>
  <c r="R82" i="3"/>
  <c r="R50" i="3"/>
  <c r="R65" i="3"/>
  <c r="R73" i="3"/>
  <c r="AJ50" i="3"/>
  <c r="AJ81" i="3"/>
  <c r="AJ54" i="3"/>
  <c r="AJ73" i="3"/>
  <c r="AJ91" i="3"/>
  <c r="AJ90" i="3"/>
  <c r="U78" i="3"/>
  <c r="AH84" i="3"/>
  <c r="O87" i="3"/>
  <c r="O54" i="3"/>
  <c r="S86" i="3"/>
  <c r="S91" i="3"/>
  <c r="S95" i="3"/>
  <c r="H83" i="3"/>
  <c r="H93" i="3"/>
  <c r="N84" i="3"/>
  <c r="N85" i="3"/>
  <c r="AN50" i="3"/>
  <c r="AN86" i="3"/>
  <c r="AN68" i="3"/>
  <c r="X91" i="3"/>
  <c r="X80" i="3"/>
  <c r="AQ62" i="3"/>
  <c r="AQ92" i="3"/>
  <c r="AO80" i="3"/>
  <c r="P82" i="3"/>
  <c r="P91" i="3"/>
  <c r="AC49" i="3"/>
  <c r="T83" i="3"/>
  <c r="T62" i="3"/>
  <c r="T49" i="3"/>
  <c r="Q86" i="3"/>
  <c r="Q75" i="3"/>
  <c r="Q90" i="3"/>
  <c r="Q69" i="3"/>
  <c r="AE61" i="3"/>
  <c r="AE75" i="3"/>
  <c r="AE49" i="3"/>
  <c r="AE62" i="3"/>
  <c r="Z62" i="3"/>
  <c r="Z77" i="3"/>
  <c r="Z55" i="3"/>
  <c r="Z95" i="3"/>
  <c r="Z48" i="3"/>
  <c r="AI88" i="3"/>
  <c r="AI68" i="3"/>
  <c r="AI50" i="3"/>
  <c r="AI77" i="3"/>
  <c r="AA79" i="3"/>
  <c r="AA93" i="3"/>
  <c r="AA69" i="3"/>
  <c r="AA47" i="3"/>
  <c r="Y81" i="3"/>
  <c r="Y82" i="3"/>
  <c r="V96" i="3"/>
  <c r="V67" i="3"/>
  <c r="V54" i="3"/>
  <c r="AL83" i="3"/>
  <c r="AL68" i="3"/>
  <c r="AL72" i="3"/>
  <c r="AM90" i="3"/>
  <c r="AM78" i="3"/>
  <c r="AM55" i="3"/>
  <c r="I94" i="3"/>
  <c r="I57" i="3"/>
  <c r="I91" i="3"/>
  <c r="I74" i="3"/>
  <c r="I73" i="3"/>
  <c r="I80" i="3"/>
  <c r="I54" i="3"/>
  <c r="I71" i="3"/>
  <c r="I67" i="3"/>
  <c r="I56" i="3"/>
  <c r="I78" i="3"/>
  <c r="I47" i="3"/>
  <c r="R89" i="3"/>
  <c r="R49" i="3"/>
  <c r="R47" i="3"/>
  <c r="R84" i="3"/>
  <c r="R95" i="3"/>
  <c r="R81" i="3"/>
  <c r="R56" i="3"/>
  <c r="R96" i="3"/>
  <c r="R74" i="3"/>
  <c r="R48" i="3"/>
  <c r="R88" i="3"/>
  <c r="R90" i="3"/>
  <c r="AJ55" i="3"/>
  <c r="AJ87" i="3"/>
  <c r="AJ76" i="3"/>
  <c r="AJ64" i="3"/>
  <c r="AJ57" i="3"/>
  <c r="AJ97" i="3"/>
  <c r="U89" i="3"/>
  <c r="AH57" i="3"/>
  <c r="O58" i="3"/>
  <c r="O75" i="3"/>
  <c r="S55" i="3"/>
  <c r="S69" i="3"/>
  <c r="H70" i="3"/>
  <c r="H96" i="3"/>
  <c r="H86" i="3"/>
  <c r="N72" i="3"/>
  <c r="N58" i="3"/>
  <c r="AN67" i="3"/>
  <c r="AN96" i="3"/>
  <c r="X69" i="3"/>
  <c r="X57" i="3"/>
  <c r="X79" i="3"/>
  <c r="AQ81" i="3"/>
  <c r="AQ64" i="3"/>
  <c r="P69" i="3"/>
  <c r="P64" i="3"/>
  <c r="P84" i="3"/>
  <c r="AC54" i="3"/>
  <c r="T50" i="3"/>
  <c r="T56" i="3"/>
  <c r="T96" i="3"/>
  <c r="Q88" i="3"/>
  <c r="Q57" i="3"/>
  <c r="Q62" i="3"/>
  <c r="Q56" i="3"/>
  <c r="AE67" i="3"/>
  <c r="AE57" i="3"/>
  <c r="AE56" i="3"/>
  <c r="AE96" i="3"/>
  <c r="Z80" i="3"/>
  <c r="Z97" i="3"/>
  <c r="Z57" i="3"/>
  <c r="Z81" i="3"/>
  <c r="AI81" i="3"/>
  <c r="AI55" i="3"/>
  <c r="AI82" i="3"/>
  <c r="AI97" i="3"/>
  <c r="AI64" i="3"/>
  <c r="AA55" i="3"/>
  <c r="AA70" i="3"/>
  <c r="AA76" i="3"/>
  <c r="Y55" i="3"/>
  <c r="Y59" i="3"/>
  <c r="Y91" i="3"/>
  <c r="V77" i="3"/>
  <c r="V87" i="3"/>
  <c r="V95" i="3"/>
  <c r="AL78" i="3"/>
  <c r="AL75" i="3"/>
  <c r="AL90" i="3"/>
  <c r="AM65" i="3"/>
  <c r="AM87" i="3"/>
  <c r="AM97" i="3"/>
  <c r="I82" i="3"/>
  <c r="I89" i="3"/>
  <c r="I49" i="3"/>
  <c r="I50" i="3"/>
  <c r="I72" i="3"/>
  <c r="I75" i="3"/>
  <c r="I83" i="3"/>
  <c r="I70" i="3"/>
  <c r="I96" i="3"/>
  <c r="I65" i="3"/>
  <c r="I59" i="3"/>
  <c r="I66" i="3"/>
  <c r="R58" i="3"/>
  <c r="R62" i="3"/>
  <c r="R72" i="3"/>
  <c r="R93" i="3"/>
  <c r="R55" i="3"/>
  <c r="R97" i="3"/>
  <c r="R60" i="3"/>
  <c r="R66" i="3"/>
  <c r="R54" i="3"/>
  <c r="R75" i="3"/>
  <c r="R64" i="3"/>
  <c r="R70" i="3"/>
  <c r="AJ61" i="3"/>
  <c r="AJ60" i="3"/>
  <c r="AJ86" i="3"/>
  <c r="AJ77" i="3"/>
  <c r="AJ79" i="3"/>
  <c r="U56" i="3"/>
  <c r="U66" i="3"/>
  <c r="AH87" i="3"/>
  <c r="O83" i="3"/>
  <c r="O67" i="3"/>
  <c r="S85" i="3"/>
  <c r="S80" i="3"/>
  <c r="H63" i="3"/>
  <c r="H64" i="3"/>
  <c r="H88" i="3"/>
  <c r="N48" i="3"/>
  <c r="N67" i="3"/>
  <c r="AN91" i="3"/>
  <c r="AN65" i="3"/>
  <c r="X62" i="3"/>
  <c r="X77" i="3"/>
  <c r="X56" i="3"/>
  <c r="AQ60" i="3"/>
  <c r="AO48" i="3"/>
  <c r="P77" i="3"/>
  <c r="P79" i="3"/>
  <c r="AC71" i="3"/>
  <c r="AC60" i="3"/>
  <c r="T68" i="3"/>
  <c r="T61" i="3"/>
  <c r="T92" i="3"/>
  <c r="Q83" i="3"/>
  <c r="Q66" i="3"/>
  <c r="Q70" i="3"/>
  <c r="AE81" i="3"/>
  <c r="AE87" i="3"/>
  <c r="AE90" i="3"/>
  <c r="AE68" i="3"/>
  <c r="Z88" i="3"/>
  <c r="Z92" i="3"/>
  <c r="Z69" i="3"/>
  <c r="Z54" i="3"/>
  <c r="Z72" i="3"/>
  <c r="AI76" i="3"/>
  <c r="AI90" i="3"/>
  <c r="AI66" i="3"/>
  <c r="AI67" i="3"/>
  <c r="AI87" i="3"/>
  <c r="AA77" i="3"/>
  <c r="AA48" i="3"/>
  <c r="AA59" i="3"/>
  <c r="Y96" i="3"/>
  <c r="Y84" i="3"/>
  <c r="Y77" i="3"/>
  <c r="V97" i="3"/>
  <c r="V81" i="3"/>
  <c r="V58" i="3"/>
  <c r="AL48" i="3"/>
  <c r="AL89" i="3"/>
  <c r="AM62" i="3"/>
  <c r="AM71" i="3"/>
  <c r="AM92" i="3"/>
  <c r="I77" i="3"/>
  <c r="I97" i="3"/>
  <c r="I60" i="3"/>
  <c r="I88" i="3"/>
  <c r="I48" i="3"/>
  <c r="I81" i="3"/>
  <c r="I76" i="3"/>
  <c r="I90" i="3"/>
  <c r="I95" i="3"/>
  <c r="I64" i="3"/>
  <c r="I63" i="3"/>
  <c r="I79" i="3"/>
  <c r="R76" i="3"/>
  <c r="R91" i="3"/>
  <c r="R86" i="3"/>
  <c r="R77" i="3"/>
  <c r="R71" i="3"/>
  <c r="R69" i="3"/>
  <c r="R87" i="3"/>
  <c r="R83" i="3"/>
  <c r="R61" i="3"/>
  <c r="R63" i="3"/>
  <c r="R92" i="3"/>
  <c r="R85" i="3"/>
  <c r="AJ82" i="3"/>
  <c r="AJ96" i="3"/>
  <c r="AJ83" i="3"/>
  <c r="AJ80" i="3"/>
  <c r="AJ94" i="3"/>
  <c r="U58" i="3"/>
  <c r="AH55" i="3"/>
  <c r="AH62" i="3"/>
  <c r="O94" i="3"/>
  <c r="S97" i="3"/>
  <c r="S68" i="3"/>
  <c r="S67" i="3"/>
  <c r="H62" i="3"/>
  <c r="H75" i="3"/>
  <c r="N70" i="3"/>
  <c r="N93" i="3"/>
  <c r="N90" i="3"/>
  <c r="AN80" i="3"/>
  <c r="AN60" i="3"/>
  <c r="X85" i="3"/>
  <c r="X54" i="3"/>
  <c r="AQ84" i="3"/>
  <c r="AQ54" i="3"/>
  <c r="AO70" i="3"/>
  <c r="P68" i="3"/>
  <c r="P75" i="3"/>
  <c r="AC96" i="3"/>
  <c r="T71" i="3"/>
  <c r="T59" i="3"/>
  <c r="T94" i="3"/>
  <c r="Q64" i="3"/>
  <c r="Q94" i="3"/>
  <c r="Q92" i="3"/>
  <c r="Q77" i="3"/>
  <c r="AE94" i="3"/>
  <c r="AE97" i="3"/>
  <c r="AE84" i="3"/>
  <c r="AE72" i="3"/>
  <c r="Z90" i="3"/>
  <c r="Z82" i="3"/>
  <c r="Z70" i="3"/>
  <c r="Z64" i="3"/>
  <c r="Z68" i="3"/>
  <c r="AI71" i="3"/>
  <c r="AI83" i="3"/>
  <c r="AI60" i="3"/>
  <c r="AI92" i="3"/>
  <c r="AA96" i="3"/>
  <c r="AA85" i="3"/>
  <c r="AA68" i="3"/>
  <c r="AA78" i="3"/>
  <c r="Y62" i="3"/>
  <c r="Y69" i="3"/>
  <c r="Y76" i="3"/>
  <c r="V63" i="3"/>
  <c r="V83" i="3"/>
  <c r="V71" i="3"/>
  <c r="AL58" i="3"/>
  <c r="AL49" i="3"/>
  <c r="AM76" i="3"/>
  <c r="AM68" i="3"/>
  <c r="AM49" i="3"/>
  <c r="AQ93" i="3"/>
  <c r="AQ79" i="3"/>
  <c r="AQ68" i="3"/>
  <c r="AQ82" i="3"/>
  <c r="AQ75" i="3"/>
  <c r="AQ91" i="3"/>
  <c r="AQ97" i="3"/>
  <c r="AQ90" i="3"/>
  <c r="AQ59" i="3"/>
  <c r="AC94" i="3"/>
  <c r="AC50" i="3"/>
  <c r="AC69" i="3"/>
  <c r="AC67" i="3"/>
  <c r="AC74" i="3"/>
  <c r="AC63" i="3"/>
  <c r="AC97" i="3"/>
  <c r="AC55" i="3"/>
  <c r="AC73" i="3"/>
  <c r="AC57" i="3"/>
  <c r="AC62" i="3"/>
  <c r="AC56" i="3"/>
  <c r="T64" i="3"/>
  <c r="T54" i="3"/>
  <c r="T97" i="3"/>
  <c r="T88" i="3"/>
  <c r="T58" i="3"/>
  <c r="T77" i="3"/>
  <c r="T87" i="3"/>
  <c r="AL82" i="3"/>
  <c r="AL97" i="3"/>
  <c r="AL71" i="3"/>
  <c r="AL77" i="3"/>
  <c r="AL88" i="3"/>
  <c r="AL69" i="3"/>
  <c r="AL57" i="3"/>
  <c r="Q67" i="3"/>
  <c r="Q63" i="3"/>
  <c r="Q59" i="3"/>
  <c r="Q85" i="3"/>
  <c r="Q48" i="3"/>
  <c r="Q72" i="3"/>
  <c r="Q96" i="3"/>
  <c r="Q84" i="3"/>
  <c r="Q80" i="3"/>
  <c r="Q79" i="3"/>
  <c r="Q76" i="3"/>
  <c r="Q61" i="3"/>
  <c r="Q87" i="3"/>
  <c r="Q54" i="3"/>
  <c r="Q78" i="3"/>
  <c r="Q95" i="3"/>
  <c r="Q49" i="3"/>
  <c r="Q71" i="3"/>
  <c r="Q50" i="3"/>
  <c r="Q97" i="3"/>
  <c r="Q65" i="3"/>
  <c r="Q58" i="3"/>
  <c r="AE85" i="3"/>
  <c r="AE89" i="3"/>
  <c r="AE66" i="3"/>
  <c r="AE78" i="3"/>
  <c r="AE55" i="3"/>
  <c r="AE79" i="3"/>
  <c r="AE71" i="3"/>
  <c r="AE92" i="3"/>
  <c r="AE60" i="3"/>
  <c r="AI73" i="3"/>
  <c r="AI69" i="3"/>
  <c r="AI65" i="3"/>
  <c r="AI79" i="3"/>
  <c r="AI86" i="3"/>
  <c r="AI61" i="3"/>
  <c r="AI84" i="3"/>
  <c r="AI47" i="3"/>
  <c r="AI70" i="3"/>
  <c r="AI63" i="3"/>
  <c r="AI48" i="3"/>
  <c r="AI58" i="3"/>
  <c r="AI57" i="3"/>
  <c r="AI91" i="3"/>
  <c r="P49" i="3"/>
  <c r="P85" i="3"/>
  <c r="P73" i="3"/>
  <c r="P72" i="3"/>
  <c r="P80" i="3"/>
  <c r="P74" i="3"/>
  <c r="P63" i="3"/>
  <c r="P86" i="3"/>
  <c r="P90" i="3"/>
  <c r="P48" i="3"/>
  <c r="P50" i="3"/>
  <c r="P55" i="3"/>
  <c r="P76" i="3"/>
  <c r="P54" i="3"/>
  <c r="P60" i="3"/>
  <c r="P62" i="3"/>
  <c r="P56" i="3"/>
  <c r="P61" i="3"/>
  <c r="P92" i="3"/>
  <c r="P94" i="3"/>
  <c r="P96" i="3"/>
  <c r="P71" i="3"/>
  <c r="P97" i="3"/>
  <c r="P87" i="3"/>
  <c r="P70" i="3"/>
  <c r="P59" i="3"/>
  <c r="P67" i="3"/>
  <c r="AA60" i="3"/>
  <c r="AA49" i="3"/>
  <c r="AA54" i="3"/>
  <c r="AA80" i="3"/>
  <c r="AA64" i="3"/>
  <c r="AA62" i="3"/>
  <c r="AA86" i="3"/>
  <c r="AA63" i="3"/>
  <c r="AA73" i="3"/>
  <c r="AA84" i="3"/>
  <c r="AA97" i="3"/>
  <c r="AA89" i="3"/>
  <c r="AA58" i="3"/>
  <c r="AA50" i="3"/>
  <c r="AA83" i="3"/>
  <c r="AA88" i="3"/>
  <c r="AA67" i="3"/>
  <c r="AA94" i="3"/>
  <c r="AA72" i="3"/>
  <c r="AA91" i="3"/>
  <c r="AA65" i="3"/>
  <c r="AA74" i="3"/>
  <c r="AA75" i="3"/>
  <c r="V55" i="3"/>
  <c r="V89" i="3"/>
  <c r="V57" i="3"/>
  <c r="V90" i="3"/>
  <c r="V49" i="3"/>
  <c r="V60" i="3"/>
  <c r="V73" i="3"/>
  <c r="V64" i="3"/>
  <c r="V70" i="3"/>
  <c r="V56" i="3"/>
  <c r="V91" i="3"/>
  <c r="V88" i="3"/>
  <c r="V48" i="3"/>
  <c r="V78" i="3"/>
  <c r="V62" i="3"/>
  <c r="V82" i="3"/>
  <c r="V61" i="3"/>
  <c r="V50" i="3"/>
  <c r="V84" i="3"/>
  <c r="V72" i="3"/>
  <c r="V74" i="3"/>
  <c r="V69" i="3"/>
  <c r="BB132" i="1" l="1"/>
  <c r="BB137" i="1"/>
  <c r="BC137" i="1" s="1"/>
  <c r="BB135" i="1"/>
  <c r="BC135" i="1" s="1"/>
  <c r="BB146" i="1"/>
  <c r="BC146" i="1" s="1"/>
  <c r="BB74" i="1"/>
  <c r="BB145" i="1"/>
  <c r="BB124" i="1"/>
  <c r="BC124" i="1" s="1"/>
  <c r="BB142" i="1"/>
  <c r="BC142" i="1" s="1"/>
  <c r="BB127" i="1"/>
  <c r="BC127" i="1" s="1"/>
  <c r="BB154" i="1"/>
  <c r="BC154" i="1" s="1"/>
  <c r="BB117" i="1"/>
  <c r="BC117" i="1" s="1"/>
  <c r="BB133" i="1"/>
  <c r="BB149" i="1"/>
  <c r="BC149" i="1" s="1"/>
  <c r="BB122" i="1"/>
  <c r="BC122" i="1" s="1"/>
  <c r="BB73" i="1"/>
  <c r="BB126" i="1"/>
  <c r="BC126" i="1" s="1"/>
  <c r="BB118" i="1"/>
  <c r="BC118" i="1" s="1"/>
  <c r="BB153" i="1"/>
  <c r="BG74" i="1"/>
  <c r="BG73" i="1"/>
  <c r="AV133" i="1"/>
  <c r="AV152" i="1"/>
  <c r="AW152" i="1" s="1"/>
  <c r="AV163" i="1"/>
  <c r="AW163" i="1" s="1"/>
  <c r="AV155" i="1"/>
  <c r="AW155" i="1" s="1"/>
  <c r="AV117" i="1"/>
  <c r="AW117" i="1" s="1"/>
  <c r="AV124" i="1"/>
  <c r="AW124" i="1" s="1"/>
  <c r="AV122" i="1"/>
  <c r="AW122" i="1" s="1"/>
  <c r="AV74" i="1"/>
  <c r="AV126" i="1"/>
  <c r="AW126" i="1" s="1"/>
  <c r="AV125" i="1"/>
  <c r="AW125" i="1" s="1"/>
  <c r="AV159" i="1"/>
  <c r="AV135" i="1"/>
  <c r="AW135" i="1" s="1"/>
  <c r="AV147" i="1"/>
  <c r="AW147" i="1" s="1"/>
  <c r="AV73" i="1"/>
  <c r="AW74" i="1"/>
  <c r="AW73" i="1"/>
  <c r="BR118" i="1"/>
  <c r="BS118" i="1" s="1"/>
  <c r="BR132" i="1"/>
  <c r="BR127" i="1"/>
  <c r="BS127" i="1" s="1"/>
  <c r="BR140" i="1"/>
  <c r="BS140" i="1" s="1"/>
  <c r="BR145" i="1"/>
  <c r="AZ152" i="1"/>
  <c r="BA152" i="1" s="1"/>
  <c r="AZ140" i="1"/>
  <c r="BA140" i="1" s="1"/>
  <c r="AZ119" i="1"/>
  <c r="AZ127" i="1"/>
  <c r="BA127" i="1" s="1"/>
  <c r="AZ149" i="1"/>
  <c r="BA149" i="1" s="1"/>
  <c r="BI74" i="1"/>
  <c r="BS73" i="1"/>
  <c r="BR73" i="1"/>
  <c r="BR119" i="1"/>
  <c r="BB160" i="1"/>
  <c r="BB125" i="1"/>
  <c r="BC125" i="1" s="1"/>
  <c r="BF131" i="1"/>
  <c r="BF149" i="1"/>
  <c r="BG149" i="1" s="1"/>
  <c r="BF133" i="1"/>
  <c r="BF145" i="1"/>
  <c r="BF126" i="1"/>
  <c r="BG126" i="1" s="1"/>
  <c r="AV137" i="1"/>
  <c r="AW137" i="1" s="1"/>
  <c r="AV131" i="1"/>
  <c r="BD147" i="1"/>
  <c r="BE147" i="1" s="1"/>
  <c r="BT122" i="1"/>
  <c r="BU122" i="1" s="1"/>
  <c r="BT159" i="1"/>
  <c r="AT126" i="1"/>
  <c r="AU126" i="1" s="1"/>
  <c r="AT133" i="1"/>
  <c r="AN137" i="1"/>
  <c r="AO137" i="1" s="1"/>
  <c r="AN124" i="1"/>
  <c r="AO124" i="1" s="1"/>
  <c r="BN124" i="1"/>
  <c r="BO124" i="1" s="1"/>
  <c r="BP159" i="1"/>
  <c r="BP160" i="1"/>
  <c r="BP163" i="1"/>
  <c r="BQ163" i="1" s="1"/>
  <c r="BP145" i="1"/>
  <c r="AX147" i="1"/>
  <c r="AY147" i="1" s="1"/>
  <c r="AX155" i="1"/>
  <c r="AY155" i="1" s="1"/>
  <c r="AX125" i="1"/>
  <c r="AY125" i="1" s="1"/>
  <c r="AX160" i="1"/>
  <c r="AX152" i="1"/>
  <c r="AY152" i="1" s="1"/>
  <c r="AX132" i="1"/>
  <c r="AX140" i="1"/>
  <c r="AY140" i="1" s="1"/>
  <c r="AX154" i="1"/>
  <c r="AY154" i="1" s="1"/>
  <c r="BR153" i="1"/>
  <c r="BB119" i="1"/>
  <c r="BB144" i="1"/>
  <c r="BF135" i="1"/>
  <c r="BG135" i="1" s="1"/>
  <c r="BF132" i="1"/>
  <c r="BF155" i="1"/>
  <c r="BG155" i="1" s="1"/>
  <c r="BF127" i="1"/>
  <c r="BG127" i="1" s="1"/>
  <c r="AZ155" i="1"/>
  <c r="BA155" i="1" s="1"/>
  <c r="AZ131" i="1"/>
  <c r="AV143" i="1"/>
  <c r="AW143" i="1" s="1"/>
  <c r="AV140" i="1"/>
  <c r="BD117" i="1"/>
  <c r="BE117" i="1" s="1"/>
  <c r="BD140" i="1"/>
  <c r="BE140" i="1" s="1"/>
  <c r="BD124" i="1"/>
  <c r="BE124" i="1" s="1"/>
  <c r="BT150" i="1"/>
  <c r="BU150" i="1" s="1"/>
  <c r="BT154" i="1"/>
  <c r="BU154" i="1" s="1"/>
  <c r="AN127" i="1"/>
  <c r="AO127" i="1" s="1"/>
  <c r="AN149" i="1"/>
  <c r="AO149" i="1" s="1"/>
  <c r="AN125" i="1"/>
  <c r="AO125" i="1" s="1"/>
  <c r="BN152" i="1"/>
  <c r="BO152" i="1" s="1"/>
  <c r="BP143" i="1"/>
  <c r="BQ143" i="1" s="1"/>
  <c r="BP140" i="1"/>
  <c r="BQ140" i="1" s="1"/>
  <c r="BP122" i="1"/>
  <c r="BQ122" i="1" s="1"/>
  <c r="AX133" i="1"/>
  <c r="AX149" i="1"/>
  <c r="AY149" i="1" s="1"/>
  <c r="AX151" i="1"/>
  <c r="AY151" i="1" s="1"/>
  <c r="AX122" i="1"/>
  <c r="AY122" i="1" s="1"/>
  <c r="AX135" i="1"/>
  <c r="AY135" i="1" s="1"/>
  <c r="AX124" i="1"/>
  <c r="AY124" i="1" s="1"/>
  <c r="AX119" i="1"/>
  <c r="AO74" i="1"/>
  <c r="AO73" i="1"/>
  <c r="BR126" i="1"/>
  <c r="BS126" i="1" s="1"/>
  <c r="BR137" i="1"/>
  <c r="BS137" i="1" s="1"/>
  <c r="BR142" i="1"/>
  <c r="BS142" i="1" s="1"/>
  <c r="BB164" i="1"/>
  <c r="BC164" i="1" s="1"/>
  <c r="BB152" i="1"/>
  <c r="BC152" i="1" s="1"/>
  <c r="BB140" i="1"/>
  <c r="BC140" i="1" s="1"/>
  <c r="BF144" i="1"/>
  <c r="BF118" i="1"/>
  <c r="BG118" i="1" s="1"/>
  <c r="BF159" i="1"/>
  <c r="AZ163" i="1"/>
  <c r="BA163" i="1" s="1"/>
  <c r="AZ117" i="1"/>
  <c r="BA117" i="1" s="1"/>
  <c r="AZ74" i="1"/>
  <c r="AV146" i="1"/>
  <c r="AW146" i="1" s="1"/>
  <c r="AV149" i="1"/>
  <c r="AW149" i="1" s="1"/>
  <c r="AV132" i="1"/>
  <c r="BD143" i="1"/>
  <c r="BE143" i="1" s="1"/>
  <c r="BD118" i="1"/>
  <c r="BE118" i="1" s="1"/>
  <c r="BD132" i="1"/>
  <c r="BT163" i="1"/>
  <c r="BU163" i="1" s="1"/>
  <c r="AT119" i="1"/>
  <c r="AT135" i="1"/>
  <c r="AU135" i="1" s="1"/>
  <c r="AN163" i="1"/>
  <c r="AO163" i="1" s="1"/>
  <c r="AN133" i="1"/>
  <c r="BN118" i="1"/>
  <c r="BO118" i="1" s="1"/>
  <c r="BP118" i="1"/>
  <c r="BQ118" i="1" s="1"/>
  <c r="BP149" i="1"/>
  <c r="BQ149" i="1" s="1"/>
  <c r="BP152" i="1"/>
  <c r="BQ152" i="1" s="1"/>
  <c r="AX126" i="1"/>
  <c r="AY126" i="1" s="1"/>
  <c r="AX127" i="1"/>
  <c r="AY127" i="1" s="1"/>
  <c r="AX137" i="1"/>
  <c r="AY137" i="1" s="1"/>
  <c r="AX163" i="1"/>
  <c r="AY163" i="1" s="1"/>
  <c r="AX117" i="1"/>
  <c r="AY117" i="1" s="1"/>
  <c r="AX144" i="1"/>
  <c r="AX164" i="1"/>
  <c r="AY164" i="1" s="1"/>
  <c r="AX146" i="1"/>
  <c r="AY146" i="1" s="1"/>
  <c r="AX73" i="1"/>
  <c r="AX153" i="1"/>
  <c r="BR135" i="1"/>
  <c r="BS135" i="1" s="1"/>
  <c r="BR131" i="1"/>
  <c r="BR160" i="1"/>
  <c r="BB163" i="1"/>
  <c r="BC163" i="1" s="1"/>
  <c r="BO74" i="1"/>
  <c r="BF164" i="1"/>
  <c r="BG164" i="1" s="1"/>
  <c r="BF140" i="1"/>
  <c r="BG140" i="1" s="1"/>
  <c r="BF124" i="1"/>
  <c r="BG124" i="1" s="1"/>
  <c r="BK73" i="1"/>
  <c r="AZ73" i="1"/>
  <c r="AZ124" i="1"/>
  <c r="BA124" i="1" s="1"/>
  <c r="AZ160" i="1"/>
  <c r="BI73" i="1"/>
  <c r="AV154" i="1"/>
  <c r="AW154" i="1" s="1"/>
  <c r="AV145" i="1"/>
  <c r="BD159" i="1"/>
  <c r="BD154" i="1"/>
  <c r="BE154" i="1" s="1"/>
  <c r="BT131" i="1"/>
  <c r="BT74" i="1"/>
  <c r="AT147" i="1"/>
  <c r="AU147" i="1" s="1"/>
  <c r="AT146" i="1"/>
  <c r="AU146" i="1" s="1"/>
  <c r="AN160" i="1"/>
  <c r="BN146" i="1"/>
  <c r="BO146" i="1" s="1"/>
  <c r="BP126" i="1"/>
  <c r="BQ126" i="1" s="1"/>
  <c r="BP154" i="1"/>
  <c r="BQ154" i="1" s="1"/>
  <c r="BP144" i="1"/>
  <c r="BP74" i="1"/>
  <c r="AX150" i="1"/>
  <c r="AY150" i="1" s="1"/>
  <c r="AX74" i="1"/>
  <c r="AX145" i="1"/>
  <c r="AX118" i="1"/>
  <c r="AY118" i="1" s="1"/>
  <c r="AX159" i="1"/>
  <c r="AX143" i="1"/>
  <c r="AY143" i="1" s="1"/>
  <c r="AX131" i="1"/>
  <c r="AX142" i="1"/>
  <c r="AY142" i="1" s="1"/>
  <c r="BN127" i="1"/>
  <c r="BO127" i="1" s="1"/>
  <c r="BR154" i="1"/>
  <c r="BS154" i="1" s="1"/>
  <c r="BF147" i="1"/>
  <c r="BG147" i="1" s="1"/>
  <c r="BN160" i="1"/>
  <c r="AQ74" i="1"/>
  <c r="BP142" i="1"/>
  <c r="BQ142" i="1" s="1"/>
  <c r="AZ132" i="1"/>
  <c r="AT143" i="1"/>
  <c r="AU143" i="1" s="1"/>
  <c r="BF152" i="1"/>
  <c r="BG152" i="1" s="1"/>
  <c r="AR127" i="1"/>
  <c r="AS127" i="1" s="1"/>
  <c r="BP131" i="1"/>
  <c r="BT124" i="1"/>
  <c r="BU124" i="1" s="1"/>
  <c r="BK74" i="1"/>
  <c r="AV153" i="1"/>
  <c r="AT118" i="1"/>
  <c r="AU118" i="1" s="1"/>
  <c r="BD142" i="1"/>
  <c r="BE142" i="1" s="1"/>
  <c r="AV119" i="1"/>
  <c r="BW74" i="1"/>
  <c r="BB151" i="1"/>
  <c r="BC151" i="1" s="1"/>
  <c r="BO73" i="1"/>
  <c r="AV144" i="1"/>
  <c r="BP73" i="1"/>
  <c r="AT132" i="1"/>
  <c r="AT151" i="1"/>
  <c r="AU151" i="1" s="1"/>
  <c r="AP150" i="1"/>
  <c r="AQ150" i="1" s="1"/>
  <c r="BF151" i="1"/>
  <c r="BG151" i="1" s="1"/>
  <c r="AZ159" i="1"/>
  <c r="BN137" i="1"/>
  <c r="BO137" i="1" s="1"/>
  <c r="AZ135" i="1"/>
  <c r="BA135" i="1" s="1"/>
  <c r="AP151" i="1"/>
  <c r="AQ151" i="1" s="1"/>
  <c r="BU73" i="1"/>
  <c r="AZ151" i="1"/>
  <c r="BA151" i="1" s="1"/>
  <c r="BD135" i="1"/>
  <c r="BE135" i="1" s="1"/>
  <c r="BR133" i="1"/>
  <c r="BF142" i="1"/>
  <c r="BG142" i="1" s="1"/>
  <c r="AP119" i="1"/>
  <c r="BD160" i="1"/>
  <c r="BN135" i="1"/>
  <c r="BO135" i="1" s="1"/>
  <c r="BB150" i="1"/>
  <c r="BC150" i="1" s="1"/>
  <c r="BF74" i="1"/>
  <c r="BB155" i="1"/>
  <c r="BC155" i="1" s="1"/>
  <c r="BD151" i="1"/>
  <c r="BE151" i="1" s="1"/>
  <c r="AN74" i="1"/>
  <c r="AT154" i="1"/>
  <c r="AU154" i="1" s="1"/>
  <c r="AN131" i="1"/>
  <c r="BU74" i="1"/>
  <c r="BP133" i="1"/>
  <c r="BD127" i="1"/>
  <c r="BE127" i="1" s="1"/>
  <c r="BF117" i="1"/>
  <c r="BG117" i="1" s="1"/>
  <c r="BR155" i="1"/>
  <c r="BS155" i="1" s="1"/>
  <c r="BB143" i="1"/>
  <c r="BC143" i="1" s="1"/>
  <c r="BR159" i="1"/>
  <c r="BP155" i="1"/>
  <c r="BQ155" i="1" s="1"/>
  <c r="BD145" i="1"/>
  <c r="AP159" i="1"/>
  <c r="AR126" i="1"/>
  <c r="AS126" i="1" s="1"/>
  <c r="AV160" i="1"/>
  <c r="BT145" i="1"/>
  <c r="AT152" i="1"/>
  <c r="AU152" i="1" s="1"/>
  <c r="AZ144" i="1"/>
  <c r="AN164" i="1"/>
  <c r="AO164" i="1" s="1"/>
  <c r="BR149" i="1"/>
  <c r="BS149" i="1" s="1"/>
  <c r="AQ73" i="1"/>
  <c r="AR153" i="1"/>
  <c r="AT137" i="1"/>
  <c r="AU137" i="1" s="1"/>
  <c r="AV118" i="1"/>
  <c r="AW118" i="1" s="1"/>
  <c r="BR124" i="1"/>
  <c r="BS124" i="1" s="1"/>
  <c r="BN151" i="1"/>
  <c r="BO151" i="1" s="1"/>
  <c r="BP132" i="1"/>
  <c r="AT150" i="1"/>
  <c r="AU150" i="1" s="1"/>
  <c r="BB159" i="1"/>
  <c r="AR154" i="1"/>
  <c r="AS154" i="1" s="1"/>
  <c r="AP137" i="1"/>
  <c r="AQ137" i="1" s="1"/>
  <c r="BT151" i="1"/>
  <c r="BU151" i="1" s="1"/>
  <c r="AP133" i="1"/>
  <c r="AV150" i="1"/>
  <c r="AW150" i="1" s="1"/>
  <c r="AV127" i="1"/>
  <c r="AW127" i="1" s="1"/>
  <c r="AP152" i="1"/>
  <c r="AQ152" i="1" s="1"/>
  <c r="AP144" i="1"/>
  <c r="BN150" i="1"/>
  <c r="BO150" i="1" s="1"/>
  <c r="AV142" i="1"/>
  <c r="AW142" i="1" s="1"/>
  <c r="AR73" i="1"/>
  <c r="AR131" i="1"/>
  <c r="AP163" i="1"/>
  <c r="AQ163" i="1" s="1"/>
  <c r="BQ74" i="1"/>
  <c r="AZ147" i="1"/>
  <c r="BA147" i="1" s="1"/>
  <c r="AR151" i="1"/>
  <c r="AS151" i="1" s="1"/>
  <c r="AR150" i="1"/>
  <c r="AS150" i="1" s="1"/>
  <c r="AP132" i="1"/>
  <c r="BD149" i="1"/>
  <c r="BE149" i="1" s="1"/>
  <c r="BN132" i="1"/>
  <c r="BW73" i="1"/>
  <c r="BF146" i="1"/>
  <c r="BG146" i="1" s="1"/>
  <c r="AV164" i="1"/>
  <c r="AW164" i="1" s="1"/>
  <c r="BT73" i="1"/>
  <c r="BN131" i="1"/>
  <c r="AZ125" i="1"/>
  <c r="BA125" i="1" s="1"/>
  <c r="BT152" i="1"/>
  <c r="BU152" i="1" s="1"/>
  <c r="AV151" i="1"/>
  <c r="AW151" i="1" s="1"/>
  <c r="BB131" i="1"/>
  <c r="AT142" i="1"/>
  <c r="AU142" i="1" s="1"/>
  <c r="AR152" i="1"/>
  <c r="AS152" i="1" s="1"/>
  <c r="BN149" i="1"/>
  <c r="BO149" i="1" s="1"/>
  <c r="AT124" i="1"/>
  <c r="AU124" i="1" s="1"/>
  <c r="AZ133" i="1"/>
  <c r="BT125" i="1"/>
  <c r="BU125" i="1" s="1"/>
  <c r="BR152" i="1"/>
  <c r="BS152" i="1" s="1"/>
  <c r="BN164" i="1"/>
  <c r="BO164" i="1" s="1"/>
  <c r="BB147" i="1"/>
  <c r="BC147" i="1" s="1"/>
  <c r="AR118" i="1"/>
  <c r="AS118" i="1" s="1"/>
  <c r="BT46" i="1"/>
  <c r="C144" i="1"/>
  <c r="C179" i="1" s="1"/>
  <c r="I159" i="1"/>
  <c r="AQ22" i="1"/>
  <c r="BO25" i="1"/>
  <c r="AS35" i="1"/>
  <c r="O122" i="1"/>
  <c r="BG24" i="1"/>
  <c r="BP20" i="1"/>
  <c r="BS51" i="1"/>
  <c r="BV45" i="1"/>
  <c r="BP45" i="1"/>
  <c r="BE13" i="1"/>
  <c r="BP25" i="1"/>
  <c r="BD14" i="1"/>
  <c r="U124" i="1"/>
  <c r="F133" i="1"/>
  <c r="G73" i="1"/>
  <c r="BV51" i="1"/>
  <c r="BW24" i="1"/>
  <c r="F124" i="1"/>
  <c r="BO8" i="1"/>
  <c r="AX47" i="1"/>
  <c r="V135" i="1"/>
  <c r="V131" i="1" s="1"/>
  <c r="Q79" i="1"/>
  <c r="BD35" i="1"/>
  <c r="BE35" i="1"/>
  <c r="AZ13" i="1"/>
  <c r="T160" i="1"/>
  <c r="AW51" i="1"/>
  <c r="AR25" i="1"/>
  <c r="AI25" i="1"/>
  <c r="O125" i="1"/>
  <c r="T164" i="1"/>
  <c r="BF51" i="1"/>
  <c r="R171" i="1"/>
  <c r="BC51" i="1"/>
  <c r="BE8" i="1"/>
  <c r="BE231" i="1" s="1"/>
  <c r="AN20" i="1"/>
  <c r="AS15" i="1"/>
  <c r="D126" i="1"/>
  <c r="D154" i="1" s="1"/>
  <c r="BV133" i="1"/>
  <c r="AT14" i="1"/>
  <c r="R159" i="1"/>
  <c r="H79" i="1"/>
  <c r="AV8" i="1"/>
  <c r="AI36" i="1"/>
  <c r="BU25" i="1"/>
  <c r="M124" i="1"/>
  <c r="U118" i="1"/>
  <c r="R79" i="1"/>
  <c r="BB47" i="1"/>
  <c r="BI35" i="1"/>
  <c r="BW47" i="1"/>
  <c r="BK51" i="1"/>
  <c r="AS9" i="1"/>
  <c r="P136" i="1"/>
  <c r="BV143" i="1"/>
  <c r="BW143" i="1" s="1"/>
  <c r="BN47" i="1"/>
  <c r="BR13" i="1"/>
  <c r="BR22" i="1"/>
  <c r="Q124" i="1"/>
  <c r="D147" i="1"/>
  <c r="L163" i="1"/>
  <c r="BC8" i="1"/>
  <c r="H153" i="1"/>
  <c r="H183" i="1" s="1"/>
  <c r="BW32" i="1"/>
  <c r="BW194" i="1" s="1"/>
  <c r="BV160" i="1"/>
  <c r="BR25" i="1"/>
  <c r="AI46" i="1"/>
  <c r="AQ8" i="1"/>
  <c r="S135" i="1"/>
  <c r="S131" i="1" s="1"/>
  <c r="BJ9" i="1"/>
  <c r="BJ10" i="1" s="1"/>
  <c r="BJ16" i="1" s="1"/>
  <c r="BH22" i="1"/>
  <c r="J144" i="1"/>
  <c r="J179" i="1" s="1"/>
  <c r="AT15" i="1"/>
  <c r="N133" i="1"/>
  <c r="S143" i="1"/>
  <c r="BS14" i="1"/>
  <c r="BI46" i="1"/>
  <c r="C155" i="1"/>
  <c r="AO15" i="1"/>
  <c r="R117" i="1"/>
  <c r="R160" i="1"/>
  <c r="AZ45" i="1"/>
  <c r="BC21" i="1"/>
  <c r="AS8" i="1"/>
  <c r="W73" i="1"/>
  <c r="AW39" i="1"/>
  <c r="BD45" i="1"/>
  <c r="E153" i="1"/>
  <c r="E183" i="1" s="1"/>
  <c r="AO20" i="1"/>
  <c r="R170" i="1"/>
  <c r="D64" i="1"/>
  <c r="BA32" i="1"/>
  <c r="V153" i="1"/>
  <c r="V183" i="1" s="1"/>
  <c r="BQ13" i="1"/>
  <c r="D160" i="1"/>
  <c r="BJ46" i="1"/>
  <c r="L171" i="1"/>
  <c r="BF25" i="1"/>
  <c r="B122" i="1"/>
  <c r="S140" i="1"/>
  <c r="B171" i="1"/>
  <c r="AQ15" i="1"/>
  <c r="T137" i="1"/>
  <c r="AO13" i="1"/>
  <c r="BV9" i="1"/>
  <c r="B119" i="1"/>
  <c r="K153" i="1"/>
  <c r="K183" i="1" s="1"/>
  <c r="L125" i="1"/>
  <c r="H78" i="1"/>
  <c r="BV126" i="1"/>
  <c r="BW126" i="1" s="1"/>
  <c r="Q159" i="1"/>
  <c r="R73" i="1"/>
  <c r="P149" i="1"/>
  <c r="AQ21" i="1"/>
  <c r="V122" i="1"/>
  <c r="BE36" i="1"/>
  <c r="BU39" i="1"/>
  <c r="C135" i="1"/>
  <c r="AW21" i="1"/>
  <c r="V143" i="1"/>
  <c r="AT22" i="1"/>
  <c r="J140" i="1"/>
  <c r="BN13" i="1"/>
  <c r="AI20" i="1"/>
  <c r="BH118" i="1"/>
  <c r="BI118" i="1" s="1"/>
  <c r="M125" i="1"/>
  <c r="BI32" i="1"/>
  <c r="F73" i="1"/>
  <c r="AZ126" i="1"/>
  <c r="BA126" i="1" s="1"/>
  <c r="AT159" i="1"/>
  <c r="BN73" i="1"/>
  <c r="AT125" i="1"/>
  <c r="AU125" i="1" s="1"/>
  <c r="BN145" i="1"/>
  <c r="AN135" i="1"/>
  <c r="AO135" i="1" s="1"/>
  <c r="BT149" i="1"/>
  <c r="BU149" i="1" s="1"/>
  <c r="AZ142" i="1"/>
  <c r="BA142" i="1" s="1"/>
  <c r="AN117" i="1"/>
  <c r="AO117" i="1" s="1"/>
  <c r="BR147" i="1"/>
  <c r="BS147" i="1" s="1"/>
  <c r="AZ146" i="1"/>
  <c r="BA146" i="1" s="1"/>
  <c r="BD152" i="1"/>
  <c r="BE152" i="1" s="1"/>
  <c r="BP127" i="1"/>
  <c r="BQ127" i="1" s="1"/>
  <c r="AZ137" i="1"/>
  <c r="BA137" i="1" s="1"/>
  <c r="BT146" i="1"/>
  <c r="BU146" i="1" s="1"/>
  <c r="BD73" i="1"/>
  <c r="AN155" i="1"/>
  <c r="AO155" i="1" s="1"/>
  <c r="AN153" i="1"/>
  <c r="BR117" i="1"/>
  <c r="BS117" i="1" s="1"/>
  <c r="BD144" i="1"/>
  <c r="BE73" i="1"/>
  <c r="AR143" i="1"/>
  <c r="AS143" i="1" s="1"/>
  <c r="AR135" i="1"/>
  <c r="AS135" i="1" s="1"/>
  <c r="BD74" i="1"/>
  <c r="AZ145" i="1"/>
  <c r="AN122" i="1"/>
  <c r="AO122" i="1" s="1"/>
  <c r="BT117" i="1"/>
  <c r="BU117" i="1" s="1"/>
  <c r="AP118" i="1"/>
  <c r="AQ118" i="1" s="1"/>
  <c r="AN159" i="1"/>
  <c r="BA74" i="1"/>
  <c r="AP149" i="1"/>
  <c r="AQ149" i="1" s="1"/>
  <c r="AR132" i="1"/>
  <c r="AN154" i="1"/>
  <c r="AO154" i="1" s="1"/>
  <c r="BD133" i="1"/>
  <c r="AN144" i="1"/>
  <c r="AN126" i="1"/>
  <c r="AO126" i="1" s="1"/>
  <c r="BM73" i="1"/>
  <c r="AT122" i="1"/>
  <c r="AU122" i="1" s="1"/>
  <c r="AT163" i="1"/>
  <c r="AU163" i="1" s="1"/>
  <c r="BS74" i="1"/>
  <c r="BT144" i="1"/>
  <c r="AP154" i="1"/>
  <c r="AQ154" i="1" s="1"/>
  <c r="BN119" i="1"/>
  <c r="AR142" i="1"/>
  <c r="AS142" i="1" s="1"/>
  <c r="BR143" i="1"/>
  <c r="BS143" i="1" s="1"/>
  <c r="AR160" i="1"/>
  <c r="BT155" i="1"/>
  <c r="BU155" i="1" s="1"/>
  <c r="AR163" i="1"/>
  <c r="AS163" i="1" s="1"/>
  <c r="AP73" i="1"/>
  <c r="BN126" i="1"/>
  <c r="BO126" i="1" s="1"/>
  <c r="BN153" i="1"/>
  <c r="AZ143" i="1"/>
  <c r="BA143" i="1" s="1"/>
  <c r="BN143" i="1"/>
  <c r="BO143" i="1" s="1"/>
  <c r="BT142" i="1"/>
  <c r="BU142" i="1" s="1"/>
  <c r="BF150" i="1"/>
  <c r="BG150" i="1" s="1"/>
  <c r="BT126" i="1"/>
  <c r="BU126" i="1" s="1"/>
  <c r="AR159" i="1"/>
  <c r="BT137" i="1"/>
  <c r="BU137" i="1" s="1"/>
  <c r="AT74" i="1"/>
  <c r="BN144" i="1"/>
  <c r="BT153" i="1"/>
  <c r="AY24" i="1"/>
  <c r="AU13" i="1"/>
  <c r="BQ14" i="1"/>
  <c r="D127" i="1"/>
  <c r="AO47" i="1"/>
  <c r="BV32" i="1"/>
  <c r="BV194" i="1" s="1"/>
  <c r="AQ45" i="1"/>
  <c r="I117" i="1"/>
  <c r="BU23" i="1"/>
  <c r="BQ47" i="1"/>
  <c r="AY35" i="1"/>
  <c r="AR23" i="1"/>
  <c r="M122" i="1"/>
  <c r="AV20" i="1"/>
  <c r="AS20" i="1"/>
  <c r="AP47" i="1"/>
  <c r="AZ24" i="1"/>
  <c r="AI13" i="1"/>
  <c r="BR14" i="1"/>
  <c r="BV14" i="1"/>
  <c r="AV9" i="1"/>
  <c r="BB23" i="1"/>
  <c r="AR46" i="1"/>
  <c r="AZ39" i="1"/>
  <c r="G127" i="1"/>
  <c r="BP8" i="1"/>
  <c r="BK22" i="1"/>
  <c r="AX45" i="1"/>
  <c r="BA36" i="1"/>
  <c r="BF46" i="1"/>
  <c r="BV15" i="1"/>
  <c r="H135" i="1"/>
  <c r="H131" i="1" s="1"/>
  <c r="BM46" i="1"/>
  <c r="BN25" i="1"/>
  <c r="AY8" i="1"/>
  <c r="AZ22" i="1"/>
  <c r="AR22" i="1"/>
  <c r="BV24" i="1"/>
  <c r="BW15" i="1"/>
  <c r="M164" i="1"/>
  <c r="AM51" i="1"/>
  <c r="BF15" i="1"/>
  <c r="BE51" i="1"/>
  <c r="BU22" i="1"/>
  <c r="AR14" i="1"/>
  <c r="BN22" i="1"/>
  <c r="BB24" i="1"/>
  <c r="AP24" i="1"/>
  <c r="V67" i="1"/>
  <c r="V68" i="1" s="1"/>
  <c r="AQ32" i="1"/>
  <c r="AQ194" i="1" s="1"/>
  <c r="BR36" i="1"/>
  <c r="AW15" i="1"/>
  <c r="BF9" i="1"/>
  <c r="AV51" i="1"/>
  <c r="H159" i="1"/>
  <c r="BT32" i="1"/>
  <c r="BT194" i="1" s="1"/>
  <c r="E164" i="1"/>
  <c r="L67" i="1"/>
  <c r="L68" i="1" s="1"/>
  <c r="AU45" i="1"/>
  <c r="AX35" i="1"/>
  <c r="R133" i="1"/>
  <c r="BR23" i="1"/>
  <c r="E77" i="1"/>
  <c r="H144" i="1"/>
  <c r="H179" i="1" s="1"/>
  <c r="AT8" i="1"/>
  <c r="AT231" i="1" s="1"/>
  <c r="AU36" i="1"/>
  <c r="BB15" i="1"/>
  <c r="AO25" i="1"/>
  <c r="AM46" i="1"/>
  <c r="AP13" i="1"/>
  <c r="AS23" i="1"/>
  <c r="BA13" i="1"/>
  <c r="P79" i="1"/>
  <c r="K146" i="1"/>
  <c r="J137" i="1"/>
  <c r="D164" i="1"/>
  <c r="AN47" i="1"/>
  <c r="E140" i="1"/>
  <c r="BU45" i="1"/>
  <c r="BP36" i="1"/>
  <c r="BP252" i="1" s="1"/>
  <c r="AQ51" i="1"/>
  <c r="BE39" i="1"/>
  <c r="BQ39" i="1"/>
  <c r="AT35" i="1"/>
  <c r="M159" i="1"/>
  <c r="AX36" i="1"/>
  <c r="J149" i="1"/>
  <c r="BT14" i="1"/>
  <c r="AS14" i="1"/>
  <c r="BD15" i="1"/>
  <c r="BH32" i="1"/>
  <c r="B136" i="1"/>
  <c r="F164" i="1"/>
  <c r="AY20" i="1"/>
  <c r="E149" i="1"/>
  <c r="R135" i="1"/>
  <c r="R131" i="1" s="1"/>
  <c r="Q144" i="1"/>
  <c r="Q179" i="1" s="1"/>
  <c r="AV35" i="1"/>
  <c r="T74" i="1"/>
  <c r="BM32" i="1"/>
  <c r="BM23" i="1"/>
  <c r="J132" i="1"/>
  <c r="C63" i="1"/>
  <c r="BS20" i="1"/>
  <c r="D79" i="1"/>
  <c r="BC35" i="1"/>
  <c r="M136" i="1"/>
  <c r="AR35" i="1"/>
  <c r="BH164" i="1"/>
  <c r="BI164" i="1" s="1"/>
  <c r="L136" i="1"/>
  <c r="BH159" i="1"/>
  <c r="BA24" i="1"/>
  <c r="J73" i="1"/>
  <c r="H119" i="1"/>
  <c r="BU21" i="1"/>
  <c r="BU32" i="1"/>
  <c r="BF14" i="1"/>
  <c r="AP46" i="1"/>
  <c r="BP9" i="1"/>
  <c r="S117" i="1"/>
  <c r="P143" i="1"/>
  <c r="AV24" i="1"/>
  <c r="N127" i="1"/>
  <c r="N78" i="1"/>
  <c r="N89" i="1" s="1"/>
  <c r="W119" i="1"/>
  <c r="BD51" i="1"/>
  <c r="BN39" i="1"/>
  <c r="Q125" i="1"/>
  <c r="AO21" i="1"/>
  <c r="AM73" i="1"/>
  <c r="E74" i="1"/>
  <c r="AN46" i="1"/>
  <c r="AX14" i="1"/>
  <c r="BP151" i="1"/>
  <c r="BQ151" i="1" s="1"/>
  <c r="BM74" i="1"/>
  <c r="BF137" i="1"/>
  <c r="BG137" i="1" s="1"/>
  <c r="AR164" i="1"/>
  <c r="AS164" i="1" s="1"/>
  <c r="AR119" i="1"/>
  <c r="AZ164" i="1"/>
  <c r="BA164" i="1" s="1"/>
  <c r="BN122" i="1"/>
  <c r="BO122" i="1" s="1"/>
  <c r="BN133" i="1"/>
  <c r="AP74" i="1"/>
  <c r="AP160" i="1"/>
  <c r="AP143" i="1"/>
  <c r="AQ143" i="1" s="1"/>
  <c r="BR150" i="1"/>
  <c r="BS150" i="1" s="1"/>
  <c r="AR125" i="1"/>
  <c r="AS125" i="1" s="1"/>
  <c r="AZ153" i="1"/>
  <c r="BN74" i="1"/>
  <c r="AZ118" i="1"/>
  <c r="BA118" i="1" s="1"/>
  <c r="AY74" i="1"/>
  <c r="BT133" i="1"/>
  <c r="AZ150" i="1"/>
  <c r="BA150" i="1" s="1"/>
  <c r="BR74" i="1"/>
  <c r="AN73" i="1"/>
  <c r="BF125" i="1"/>
  <c r="BG125" i="1" s="1"/>
  <c r="BP147" i="1"/>
  <c r="BQ147" i="1" s="1"/>
  <c r="AN150" i="1"/>
  <c r="AO150" i="1" s="1"/>
  <c r="BP153" i="1"/>
  <c r="BN142" i="1"/>
  <c r="BO142" i="1" s="1"/>
  <c r="BF160" i="1"/>
  <c r="BR164" i="1"/>
  <c r="BS164" i="1" s="1"/>
  <c r="AZ122" i="1"/>
  <c r="BA122" i="1" s="1"/>
  <c r="BF119" i="1"/>
  <c r="BD146" i="1"/>
  <c r="BE146" i="1" s="1"/>
  <c r="BP137" i="1"/>
  <c r="BQ137" i="1" s="1"/>
  <c r="AZ154" i="1"/>
  <c r="BA154" i="1" s="1"/>
  <c r="BT140" i="1"/>
  <c r="BU140" i="1" s="1"/>
  <c r="AP126" i="1"/>
  <c r="AQ126" i="1" s="1"/>
  <c r="BF73" i="1"/>
  <c r="BN159" i="1"/>
  <c r="AU73" i="1"/>
  <c r="BN155" i="1"/>
  <c r="BO155" i="1" s="1"/>
  <c r="AN142" i="1"/>
  <c r="AO142" i="1" s="1"/>
  <c r="AT73" i="1"/>
  <c r="BD125" i="1"/>
  <c r="BE125" i="1" s="1"/>
  <c r="BP146" i="1"/>
  <c r="BQ146" i="1" s="1"/>
  <c r="BT118" i="1"/>
  <c r="BU118" i="1" s="1"/>
  <c r="BR122" i="1"/>
  <c r="BS122" i="1" s="1"/>
  <c r="AT149" i="1"/>
  <c r="AU149" i="1" s="1"/>
  <c r="BR146" i="1"/>
  <c r="BS146" i="1" s="1"/>
  <c r="AN146" i="1"/>
  <c r="AO146" i="1" s="1"/>
  <c r="BE74" i="1"/>
  <c r="AT127" i="1"/>
  <c r="AU127" i="1" s="1"/>
  <c r="BR151" i="1"/>
  <c r="BS151" i="1" s="1"/>
  <c r="BP135" i="1"/>
  <c r="BQ135" i="1" s="1"/>
  <c r="AR117" i="1"/>
  <c r="AS117" i="1" s="1"/>
  <c r="AR74" i="1"/>
  <c r="BP119" i="1"/>
  <c r="BD126" i="1"/>
  <c r="BE126" i="1" s="1"/>
  <c r="AR149" i="1"/>
  <c r="AS149" i="1" s="1"/>
  <c r="AU74" i="1"/>
  <c r="AN143" i="1"/>
  <c r="AO143" i="1" s="1"/>
  <c r="AN145" i="1"/>
  <c r="BD153" i="1"/>
  <c r="AP125" i="1"/>
  <c r="AQ125" i="1" s="1"/>
  <c r="AT164" i="1"/>
  <c r="AU164" i="1" s="1"/>
  <c r="BR144" i="1"/>
  <c r="AN119" i="1"/>
  <c r="BR125" i="1"/>
  <c r="BS125" i="1" s="1"/>
  <c r="AP140" i="1"/>
  <c r="AQ140" i="1" s="1"/>
  <c r="BT132" i="1"/>
  <c r="BR163" i="1"/>
  <c r="BS163" i="1" s="1"/>
  <c r="AP155" i="1"/>
  <c r="AQ155" i="1" s="1"/>
  <c r="BT164" i="1"/>
  <c r="BU164" i="1" s="1"/>
  <c r="AR145" i="1"/>
  <c r="BN163" i="1"/>
  <c r="BO163" i="1" s="1"/>
  <c r="AR155" i="1"/>
  <c r="AS155" i="1" s="1"/>
  <c r="BC74" i="1"/>
  <c r="BN147" i="1"/>
  <c r="BO147" i="1" s="1"/>
  <c r="AN118" i="1"/>
  <c r="AO118" i="1" s="1"/>
  <c r="AT117" i="1"/>
  <c r="AU117" i="1" s="1"/>
  <c r="BN117" i="1"/>
  <c r="BO117" i="1" s="1"/>
  <c r="AT160" i="1"/>
  <c r="AR140" i="1"/>
  <c r="AS140" i="1" s="1"/>
  <c r="BD150" i="1"/>
  <c r="BE150" i="1" s="1"/>
  <c r="BD163" i="1"/>
  <c r="BE163" i="1" s="1"/>
  <c r="BI39" i="1"/>
  <c r="AR13" i="1"/>
  <c r="F160" i="1"/>
  <c r="I118" i="1"/>
  <c r="AQ23" i="1"/>
  <c r="AZ20" i="1"/>
  <c r="N137" i="1"/>
  <c r="BI24" i="1"/>
  <c r="AR51" i="1"/>
  <c r="BE14" i="1"/>
  <c r="AX21" i="1"/>
  <c r="P150" i="1"/>
  <c r="AY25" i="1"/>
  <c r="AX51" i="1"/>
  <c r="BN14" i="1"/>
  <c r="L147" i="1"/>
  <c r="N117" i="1"/>
  <c r="BB21" i="1"/>
  <c r="BO47" i="1"/>
  <c r="AN25" i="1"/>
  <c r="G77" i="1"/>
  <c r="V117" i="1"/>
  <c r="AT21" i="1"/>
  <c r="BI15" i="1"/>
  <c r="BJ45" i="1"/>
  <c r="BO24" i="1"/>
  <c r="BQ45" i="1"/>
  <c r="BM22" i="1"/>
  <c r="BI45" i="1"/>
  <c r="W146" i="1"/>
  <c r="AO14" i="1"/>
  <c r="AQ35" i="1"/>
  <c r="BP14" i="1"/>
  <c r="AQ47" i="1"/>
  <c r="AZ23" i="1"/>
  <c r="S146" i="1"/>
  <c r="W147" i="1"/>
  <c r="G164" i="1"/>
  <c r="BT39" i="1"/>
  <c r="AI32" i="1"/>
  <c r="BK14" i="1"/>
  <c r="AS22" i="1"/>
  <c r="BV73" i="1"/>
  <c r="AP35" i="1"/>
  <c r="D124" i="1"/>
  <c r="BM45" i="1"/>
  <c r="AW36" i="1"/>
  <c r="BT35" i="1"/>
  <c r="BW36" i="1"/>
  <c r="BA25" i="1"/>
  <c r="BV142" i="1"/>
  <c r="BW142" i="1" s="1"/>
  <c r="G117" i="1"/>
  <c r="BT20" i="1"/>
  <c r="Q126" i="1"/>
  <c r="Q154" i="1" s="1"/>
  <c r="BU46" i="1"/>
  <c r="AO22" i="1"/>
  <c r="O127" i="1"/>
  <c r="BG23" i="1"/>
  <c r="BK32" i="1"/>
  <c r="BK203" i="1" s="1"/>
  <c r="BK201" i="1" s="1"/>
  <c r="BK46" i="1"/>
  <c r="BK39" i="1"/>
  <c r="BC47" i="1"/>
  <c r="AZ47" i="1"/>
  <c r="AX32" i="1"/>
  <c r="S122" i="1"/>
  <c r="BN15" i="1"/>
  <c r="V163" i="1"/>
  <c r="W126" i="1"/>
  <c r="W154" i="1" s="1"/>
  <c r="BE9" i="1"/>
  <c r="AR9" i="1"/>
  <c r="G155" i="1"/>
  <c r="BV119" i="1"/>
  <c r="W142" i="1"/>
  <c r="K171" i="1"/>
  <c r="BB45" i="1"/>
  <c r="AY47" i="1"/>
  <c r="AN35" i="1"/>
  <c r="G159" i="1"/>
  <c r="T135" i="1"/>
  <c r="T131" i="1" s="1"/>
  <c r="N135" i="1"/>
  <c r="N131" i="1" s="1"/>
  <c r="AU47" i="1"/>
  <c r="BB36" i="1"/>
  <c r="M79" i="1"/>
  <c r="BU13" i="1"/>
  <c r="P144" i="1"/>
  <c r="P179" i="1" s="1"/>
  <c r="S153" i="1"/>
  <c r="S183" i="1" s="1"/>
  <c r="I132" i="1"/>
  <c r="U140" i="1"/>
  <c r="BJ47" i="1"/>
  <c r="P126" i="1"/>
  <c r="P154" i="1" s="1"/>
  <c r="BF21" i="1"/>
  <c r="AQ25" i="1"/>
  <c r="BM47" i="1"/>
  <c r="BW35" i="1"/>
  <c r="H155" i="1"/>
  <c r="N172" i="1"/>
  <c r="K144" i="1"/>
  <c r="K179" i="1" s="1"/>
  <c r="V126" i="1"/>
  <c r="V154" i="1" s="1"/>
  <c r="L122" i="1"/>
  <c r="AR21" i="1"/>
  <c r="U78" i="1"/>
  <c r="BK13" i="1"/>
  <c r="U142" i="1"/>
  <c r="BE47" i="1"/>
  <c r="BI47" i="1"/>
  <c r="AY46" i="1"/>
  <c r="BC39" i="1"/>
  <c r="G143" i="1"/>
  <c r="V151" i="1"/>
  <c r="V124" i="1"/>
  <c r="BP46" i="1"/>
  <c r="AW25" i="1"/>
  <c r="E163" i="1"/>
  <c r="C127" i="1"/>
  <c r="AZ51" i="1"/>
  <c r="AX9" i="1"/>
  <c r="AX10" i="1" s="1"/>
  <c r="U145" i="1"/>
  <c r="U180" i="1" s="1"/>
  <c r="BB9" i="1"/>
  <c r="N143" i="1"/>
  <c r="V170" i="1"/>
  <c r="BA45" i="1"/>
  <c r="BJ36" i="1"/>
  <c r="BJ252" i="1" s="1"/>
  <c r="BA20" i="1"/>
  <c r="BA21" i="1"/>
  <c r="AV21" i="1"/>
  <c r="W153" i="1"/>
  <c r="C164" i="1"/>
  <c r="AY39" i="1"/>
  <c r="BD131" i="1"/>
  <c r="AN140" i="1"/>
  <c r="AO140" i="1" s="1"/>
  <c r="BT135" i="1"/>
  <c r="BU135" i="1" s="1"/>
  <c r="BP125" i="1"/>
  <c r="BQ125" i="1" s="1"/>
  <c r="BF163" i="1"/>
  <c r="BG163" i="1" s="1"/>
  <c r="BP150" i="1"/>
  <c r="BQ150" i="1" s="1"/>
  <c r="BA73" i="1"/>
  <c r="AP122" i="1"/>
  <c r="AQ122" i="1" s="1"/>
  <c r="BD122" i="1"/>
  <c r="BE122" i="1" s="1"/>
  <c r="AS74" i="1"/>
  <c r="AT145" i="1"/>
  <c r="AR146" i="1"/>
  <c r="AS146" i="1" s="1"/>
  <c r="BF153" i="1"/>
  <c r="BP117" i="1"/>
  <c r="BQ117" i="1" s="1"/>
  <c r="BT119" i="1"/>
  <c r="BN125" i="1"/>
  <c r="BO125" i="1" s="1"/>
  <c r="BD164" i="1"/>
  <c r="BE164" i="1" s="1"/>
  <c r="BT143" i="1"/>
  <c r="BU143" i="1" s="1"/>
  <c r="BT127" i="1"/>
  <c r="BU127" i="1" s="1"/>
  <c r="AT131" i="1"/>
  <c r="AR124" i="1"/>
  <c r="AS124" i="1" s="1"/>
  <c r="BC73" i="1"/>
  <c r="AP124" i="1"/>
  <c r="AQ124" i="1" s="1"/>
  <c r="BP124" i="1"/>
  <c r="BQ124" i="1" s="1"/>
  <c r="BD155" i="1"/>
  <c r="BE155" i="1" s="1"/>
  <c r="BF122" i="1"/>
  <c r="BG122" i="1" s="1"/>
  <c r="BP164" i="1"/>
  <c r="BQ164" i="1" s="1"/>
  <c r="BQ73" i="1"/>
  <c r="AR133" i="1"/>
  <c r="BF143" i="1"/>
  <c r="BG143" i="1" s="1"/>
  <c r="AY73" i="1"/>
  <c r="BF154" i="1"/>
  <c r="BG154" i="1" s="1"/>
  <c r="AP135" i="1"/>
  <c r="AQ135" i="1" s="1"/>
  <c r="AN147" i="1"/>
  <c r="AO147" i="1" s="1"/>
  <c r="AP117" i="1"/>
  <c r="AQ117" i="1" s="1"/>
  <c r="AR144" i="1"/>
  <c r="AP147" i="1"/>
  <c r="AQ147" i="1" s="1"/>
  <c r="AR122" i="1"/>
  <c r="AS122" i="1" s="1"/>
  <c r="AP127" i="1"/>
  <c r="AQ127" i="1" s="1"/>
  <c r="AP164" i="1"/>
  <c r="AQ164" i="1" s="1"/>
  <c r="BT147" i="1"/>
  <c r="BU147" i="1" s="1"/>
  <c r="AP146" i="1"/>
  <c r="AQ146" i="1" s="1"/>
  <c r="AR137" i="1"/>
  <c r="AS137" i="1" s="1"/>
  <c r="AN151" i="1"/>
  <c r="AO151" i="1" s="1"/>
  <c r="AP145" i="1"/>
  <c r="AN132" i="1"/>
  <c r="BD119" i="1"/>
  <c r="AT153" i="1"/>
  <c r="AT144" i="1"/>
  <c r="AT179" i="1" s="1"/>
  <c r="AU179" i="1" s="1"/>
  <c r="BD137" i="1"/>
  <c r="BE137" i="1" s="1"/>
  <c r="AN152" i="1"/>
  <c r="AO152" i="1" s="1"/>
  <c r="AP153" i="1"/>
  <c r="BT160" i="1"/>
  <c r="AP142" i="1"/>
  <c r="AQ142" i="1" s="1"/>
  <c r="BN154" i="1"/>
  <c r="BO154" i="1" s="1"/>
  <c r="AS73" i="1"/>
  <c r="BN140" i="1"/>
  <c r="BN202" i="1" s="1"/>
  <c r="AR147" i="1"/>
  <c r="AS147" i="1" s="1"/>
  <c r="AT140" i="1"/>
  <c r="AU140" i="1" s="1"/>
  <c r="AP131" i="1"/>
  <c r="AT155" i="1"/>
  <c r="AU155" i="1" s="1"/>
  <c r="BG8" i="1"/>
  <c r="BA15" i="1"/>
  <c r="P135" i="1"/>
  <c r="P131" i="1" s="1"/>
  <c r="AX8" i="1"/>
  <c r="AX231" i="1" s="1"/>
  <c r="J79" i="1"/>
  <c r="J104" i="1" s="1"/>
  <c r="F74" i="1"/>
  <c r="R147" i="1"/>
  <c r="AZ46" i="1"/>
  <c r="BF23" i="1"/>
  <c r="C74" i="1"/>
  <c r="D125" i="1"/>
  <c r="BH142" i="1"/>
  <c r="BI142" i="1" s="1"/>
  <c r="I147" i="1"/>
  <c r="AP15" i="1"/>
  <c r="BB32" i="1"/>
  <c r="BB194" i="1" s="1"/>
  <c r="BN9" i="1"/>
  <c r="AN22" i="1"/>
  <c r="N153" i="1"/>
  <c r="N183" i="1" s="1"/>
  <c r="H136" i="1"/>
  <c r="BH23" i="1"/>
  <c r="BF47" i="1"/>
  <c r="BA23" i="1"/>
  <c r="AR24" i="1"/>
  <c r="AZ9" i="1"/>
  <c r="E133" i="1"/>
  <c r="BK47" i="1"/>
  <c r="AI15" i="1"/>
  <c r="AX22" i="1"/>
  <c r="BU15" i="1"/>
  <c r="AN24" i="1"/>
  <c r="AO36" i="1"/>
  <c r="P73" i="1"/>
  <c r="BK35" i="1"/>
  <c r="AX13" i="1"/>
  <c r="V118" i="1"/>
  <c r="R119" i="1"/>
  <c r="AX20" i="1"/>
  <c r="BW46" i="1"/>
  <c r="D74" i="1"/>
  <c r="BA47" i="1"/>
  <c r="BQ32" i="1"/>
  <c r="BV39" i="1"/>
  <c r="BE45" i="1"/>
  <c r="BA8" i="1"/>
  <c r="BA231" i="1" s="1"/>
  <c r="AJ73" i="1"/>
  <c r="AY32" i="1"/>
  <c r="W124" i="1"/>
  <c r="AY45" i="1"/>
  <c r="AU14" i="1"/>
  <c r="BE23" i="1"/>
  <c r="AP25" i="1"/>
  <c r="BS45" i="1"/>
  <c r="AO51" i="1"/>
  <c r="BO39" i="1"/>
  <c r="BC23" i="1"/>
  <c r="BU36" i="1"/>
  <c r="G118" i="1"/>
  <c r="R146" i="1"/>
  <c r="BH51" i="1"/>
  <c r="H67" i="1"/>
  <c r="H68" i="1" s="1"/>
  <c r="BV21" i="1"/>
  <c r="T147" i="1"/>
  <c r="H146" i="1"/>
  <c r="O118" i="1"/>
  <c r="R155" i="1"/>
  <c r="J117" i="1"/>
  <c r="BM21" i="1"/>
  <c r="AS13" i="1"/>
  <c r="BH24" i="1"/>
  <c r="BO45" i="1"/>
  <c r="Q78" i="1"/>
  <c r="BT24" i="1"/>
  <c r="AW8" i="1"/>
  <c r="AY98" i="1" s="1"/>
  <c r="AY99" i="1" s="1"/>
  <c r="O145" i="1"/>
  <c r="O180" i="1" s="1"/>
  <c r="B155" i="1"/>
  <c r="BV117" i="1"/>
  <c r="BW117" i="1" s="1"/>
  <c r="BS32" i="1"/>
  <c r="P171" i="1"/>
  <c r="BV22" i="1"/>
  <c r="AU9" i="1"/>
  <c r="BV135" i="1"/>
  <c r="BW135" i="1" s="1"/>
  <c r="AS25" i="1"/>
  <c r="G136" i="1"/>
  <c r="AS21" i="1"/>
  <c r="K126" i="1"/>
  <c r="K154" i="1" s="1"/>
  <c r="N159" i="1"/>
  <c r="B125" i="1"/>
  <c r="BE24" i="1"/>
  <c r="BQ15" i="1"/>
  <c r="P133" i="1"/>
  <c r="BH144" i="1"/>
  <c r="AS45" i="1"/>
  <c r="AM47" i="1"/>
  <c r="F126" i="1"/>
  <c r="F154" i="1" s="1"/>
  <c r="BW23" i="1"/>
  <c r="BQ25" i="1"/>
  <c r="BV13" i="1"/>
  <c r="BQ46" i="1"/>
  <c r="BH151" i="1"/>
  <c r="BI151" i="1" s="1"/>
  <c r="AU23" i="1"/>
  <c r="S163" i="1"/>
  <c r="S67" i="1"/>
  <c r="S68" i="1" s="1"/>
  <c r="BV147" i="1"/>
  <c r="BW147" i="1" s="1"/>
  <c r="K132" i="1"/>
  <c r="AT13" i="1"/>
  <c r="BP24" i="1"/>
  <c r="G124" i="1"/>
  <c r="BI8" i="1"/>
  <c r="BK9" i="1"/>
  <c r="BQ21" i="1"/>
  <c r="J143" i="1"/>
  <c r="F153" i="1"/>
  <c r="F183" i="1" s="1"/>
  <c r="L118" i="1"/>
  <c r="C119" i="1"/>
  <c r="BI14" i="1"/>
  <c r="C79" i="1"/>
  <c r="AQ46" i="1"/>
  <c r="BD39" i="1"/>
  <c r="BD36" i="1"/>
  <c r="W78" i="1"/>
  <c r="E136" i="1"/>
  <c r="BB20" i="1"/>
  <c r="BS21" i="1"/>
  <c r="I67" i="1"/>
  <c r="I68" i="1" s="1"/>
  <c r="AN21" i="1"/>
  <c r="N136" i="1"/>
  <c r="J135" i="1"/>
  <c r="J131" i="1" s="1"/>
  <c r="O140" i="1"/>
  <c r="F118" i="1"/>
  <c r="P146" i="1"/>
  <c r="O142" i="1"/>
  <c r="BM25" i="1"/>
  <c r="M146" i="1"/>
  <c r="BV36" i="1"/>
  <c r="BI21" i="1"/>
  <c r="AI51" i="1"/>
  <c r="BD47" i="1"/>
  <c r="BC13" i="1"/>
  <c r="R145" i="1"/>
  <c r="R180" i="1" s="1"/>
  <c r="AP20" i="1"/>
  <c r="BT15" i="1"/>
  <c r="BV46" i="1"/>
  <c r="AO46" i="1"/>
  <c r="BH39" i="1"/>
  <c r="AS24" i="1"/>
  <c r="BU47" i="1"/>
  <c r="P74" i="1"/>
  <c r="C131" i="1"/>
  <c r="N119" i="1"/>
  <c r="U117" i="1"/>
  <c r="U153" i="1"/>
  <c r="U183" i="1" s="1"/>
  <c r="K149" i="1"/>
  <c r="AK74" i="1"/>
  <c r="AP21" i="1"/>
  <c r="H145" i="1"/>
  <c r="H180" i="1" s="1"/>
  <c r="S77" i="1"/>
  <c r="AT39" i="1"/>
  <c r="K117" i="1"/>
  <c r="V127" i="1"/>
  <c r="BP39" i="1"/>
  <c r="AR45" i="1"/>
  <c r="BJ22" i="1"/>
  <c r="BJ26" i="1" s="1"/>
  <c r="AP8" i="1"/>
  <c r="AP231" i="1" s="1"/>
  <c r="B77" i="1"/>
  <c r="AU15" i="1"/>
  <c r="W150" i="1"/>
  <c r="S155" i="1"/>
  <c r="BR8" i="1"/>
  <c r="V136" i="1"/>
  <c r="AY22" i="1"/>
  <c r="AZ14" i="1"/>
  <c r="BT47" i="1"/>
  <c r="BW51" i="1"/>
  <c r="AV46" i="1"/>
  <c r="BQ9" i="1"/>
  <c r="BG13" i="1"/>
  <c r="BR21" i="1"/>
  <c r="T122" i="1"/>
  <c r="N151" i="1"/>
  <c r="BJ39" i="1"/>
  <c r="AV36" i="1"/>
  <c r="AV252" i="1" s="1"/>
  <c r="W127" i="1"/>
  <c r="AO35" i="1"/>
  <c r="J124" i="1"/>
  <c r="G171" i="1"/>
  <c r="BS39" i="1"/>
  <c r="BN8" i="1"/>
  <c r="BT45" i="1"/>
  <c r="T133" i="1"/>
  <c r="BI13" i="1"/>
  <c r="BG51" i="1"/>
  <c r="N142" i="1"/>
  <c r="Q132" i="1"/>
  <c r="AX39" i="1"/>
  <c r="AK73" i="1"/>
  <c r="BS24" i="1"/>
  <c r="AT32" i="1"/>
  <c r="L127" i="1"/>
  <c r="E73" i="1"/>
  <c r="E122" i="1"/>
  <c r="AW22" i="1"/>
  <c r="BG47" i="1"/>
  <c r="F172" i="1"/>
  <c r="AP23" i="1"/>
  <c r="D119" i="1"/>
  <c r="AW13" i="1"/>
  <c r="V142" i="1"/>
  <c r="K133" i="1"/>
  <c r="BV122" i="1"/>
  <c r="BW122" i="1" s="1"/>
  <c r="BV163" i="1"/>
  <c r="BW163" i="1" s="1"/>
  <c r="F78" i="1"/>
  <c r="AU32" i="1"/>
  <c r="AU194" i="1" s="1"/>
  <c r="S79" i="1"/>
  <c r="R126" i="1"/>
  <c r="R154" i="1" s="1"/>
  <c r="L140" i="1"/>
  <c r="BH122" i="1"/>
  <c r="BI122" i="1" s="1"/>
  <c r="BC9" i="1"/>
  <c r="Q140" i="1"/>
  <c r="U127" i="1"/>
  <c r="BO51" i="1"/>
  <c r="Q171" i="1"/>
  <c r="AJ74" i="1"/>
  <c r="I171" i="1"/>
  <c r="J78" i="1"/>
  <c r="BA14" i="1"/>
  <c r="P137" i="1"/>
  <c r="Q155" i="1"/>
  <c r="BJ35" i="1"/>
  <c r="BH20" i="1"/>
  <c r="BK8" i="1"/>
  <c r="BT22" i="1"/>
  <c r="BS13" i="1"/>
  <c r="AI35" i="1"/>
  <c r="AI37" i="1" s="1"/>
  <c r="BB39" i="1"/>
  <c r="C142" i="1"/>
  <c r="BS47" i="1"/>
  <c r="AW24" i="1"/>
  <c r="AP32" i="1"/>
  <c r="AT51" i="1"/>
  <c r="BB51" i="1"/>
  <c r="S142" i="1"/>
  <c r="D140" i="1"/>
  <c r="BH145" i="1"/>
  <c r="I125" i="1"/>
  <c r="Q143" i="1"/>
  <c r="BV8" i="1"/>
  <c r="C133" i="1"/>
  <c r="AS51" i="1"/>
  <c r="V155" i="1"/>
  <c r="S125" i="1"/>
  <c r="BC20" i="1"/>
  <c r="K137" i="1"/>
  <c r="BS35" i="1"/>
  <c r="T150" i="1"/>
  <c r="AZ8" i="1"/>
  <c r="AZ231" i="1" s="1"/>
  <c r="AY9" i="1"/>
  <c r="Q136" i="1"/>
  <c r="BG39" i="1"/>
  <c r="Q172" i="1"/>
  <c r="BT23" i="1"/>
  <c r="BH150" i="1"/>
  <c r="BI150" i="1" s="1"/>
  <c r="U136" i="1"/>
  <c r="F135" i="1"/>
  <c r="F131" i="1" s="1"/>
  <c r="AW9" i="1"/>
  <c r="BV124" i="1"/>
  <c r="E119" i="1"/>
  <c r="BF39" i="1"/>
  <c r="BR9" i="1"/>
  <c r="BW13" i="1"/>
  <c r="AN36" i="1"/>
  <c r="AI23" i="1"/>
  <c r="BN51" i="1"/>
  <c r="AX23" i="1"/>
  <c r="B64" i="1"/>
  <c r="BO15" i="1"/>
  <c r="R164" i="1"/>
  <c r="BV146" i="1"/>
  <c r="BW146" i="1" s="1"/>
  <c r="S172" i="1"/>
  <c r="G140" i="1"/>
  <c r="M172" i="1"/>
  <c r="BS36" i="1"/>
  <c r="G132" i="1"/>
  <c r="BW8" i="1"/>
  <c r="BZ98" i="1" s="1"/>
  <c r="BZ99" i="1" s="1"/>
  <c r="AN8" i="1"/>
  <c r="AN45" i="1"/>
  <c r="AP51" i="1"/>
  <c r="V164" i="1"/>
  <c r="T146" i="1"/>
  <c r="BW25" i="1"/>
  <c r="M140" i="1"/>
  <c r="V160" i="1"/>
  <c r="E150" i="1"/>
  <c r="BA46" i="1"/>
  <c r="E126" i="1"/>
  <c r="E154" i="1" s="1"/>
  <c r="M149" i="1"/>
  <c r="O74" i="1"/>
  <c r="N122" i="1"/>
  <c r="L74" i="1"/>
  <c r="S119" i="1"/>
  <c r="AN15" i="1"/>
  <c r="M142" i="1"/>
  <c r="W122" i="1"/>
  <c r="B135" i="1"/>
  <c r="F137" i="1"/>
  <c r="AO32" i="1"/>
  <c r="BV47" i="1"/>
  <c r="AU21" i="1"/>
  <c r="G137" i="1"/>
  <c r="P163" i="1"/>
  <c r="G142" i="1"/>
  <c r="V73" i="1"/>
  <c r="BB25" i="1"/>
  <c r="AY14" i="1"/>
  <c r="B170" i="1"/>
  <c r="R77" i="1"/>
  <c r="I149" i="1"/>
  <c r="K147" i="1"/>
  <c r="L151" i="1"/>
  <c r="BE21" i="1"/>
  <c r="BF36" i="1"/>
  <c r="BH147" i="1"/>
  <c r="BI147" i="1" s="1"/>
  <c r="W160" i="1"/>
  <c r="AR8" i="1"/>
  <c r="AR231" i="1" s="1"/>
  <c r="S164" i="1"/>
  <c r="G170" i="1"/>
  <c r="BI9" i="1"/>
  <c r="E79" i="1"/>
  <c r="E108" i="1" s="1"/>
  <c r="M77" i="1"/>
  <c r="K119" i="1"/>
  <c r="K151" i="1"/>
  <c r="W164" i="1"/>
  <c r="BH45" i="1"/>
  <c r="BO14" i="1"/>
  <c r="BG36" i="1"/>
  <c r="E117" i="1"/>
  <c r="M170" i="1"/>
  <c r="U170" i="1"/>
  <c r="M118" i="1"/>
  <c r="U149" i="1"/>
  <c r="S147" i="1"/>
  <c r="T67" i="1"/>
  <c r="T68" i="1" s="1"/>
  <c r="BI23" i="1"/>
  <c r="C147" i="1"/>
  <c r="BM39" i="1"/>
  <c r="AQ39" i="1"/>
  <c r="V79" i="1"/>
  <c r="K163" i="1"/>
  <c r="U67" i="1"/>
  <c r="U68" i="1" s="1"/>
  <c r="N160" i="1"/>
  <c r="N161" i="1" s="1"/>
  <c r="O209" i="1" s="1"/>
  <c r="D78" i="1"/>
  <c r="D89" i="1" s="1"/>
  <c r="M147" i="1"/>
  <c r="B151" i="1"/>
  <c r="AW47" i="1"/>
  <c r="I136" i="1"/>
  <c r="BQ24" i="1"/>
  <c r="E147" i="1"/>
  <c r="R149" i="1"/>
  <c r="U74" i="1"/>
  <c r="AW20" i="1"/>
  <c r="AW26" i="1" s="1"/>
  <c r="BV154" i="1"/>
  <c r="BW154" i="1" s="1"/>
  <c r="D143" i="1"/>
  <c r="AO45" i="1"/>
  <c r="S150" i="1"/>
  <c r="D159" i="1"/>
  <c r="N170" i="1"/>
  <c r="N173" i="1" s="1"/>
  <c r="D117" i="1"/>
  <c r="K73" i="1"/>
  <c r="E124" i="1"/>
  <c r="BR35" i="1"/>
  <c r="L124" i="1"/>
  <c r="S137" i="1"/>
  <c r="BH25" i="1"/>
  <c r="V159" i="1"/>
  <c r="V161" i="1" s="1"/>
  <c r="W209" i="1" s="1"/>
  <c r="T144" i="1"/>
  <c r="T179" i="1" s="1"/>
  <c r="P164" i="1"/>
  <c r="N149" i="1"/>
  <c r="O77" i="1"/>
  <c r="BR32" i="1"/>
  <c r="P124" i="1"/>
  <c r="P147" i="1"/>
  <c r="F136" i="1"/>
  <c r="AP22" i="1"/>
  <c r="I160" i="1"/>
  <c r="I161" i="1" s="1"/>
  <c r="BF8" i="1"/>
  <c r="U133" i="1"/>
  <c r="L77" i="1"/>
  <c r="L137" i="1"/>
  <c r="U172" i="1"/>
  <c r="N164" i="1"/>
  <c r="U159" i="1"/>
  <c r="W145" i="1"/>
  <c r="S171" i="1"/>
  <c r="BN36" i="1"/>
  <c r="T170" i="1"/>
  <c r="U144" i="1"/>
  <c r="U179" i="1" s="1"/>
  <c r="W79" i="1"/>
  <c r="W108" i="1" s="1"/>
  <c r="P67" i="1"/>
  <c r="P68" i="1" s="1"/>
  <c r="C136" i="1"/>
  <c r="BH74" i="1"/>
  <c r="BH15" i="1"/>
  <c r="BG45" i="1"/>
  <c r="T163" i="1"/>
  <c r="BG46" i="1"/>
  <c r="H127" i="1"/>
  <c r="T125" i="1"/>
  <c r="H137" i="1"/>
  <c r="AV45" i="1"/>
  <c r="U79" i="1"/>
  <c r="BI25" i="1"/>
  <c r="E155" i="1"/>
  <c r="V145" i="1"/>
  <c r="V180" i="1" s="1"/>
  <c r="S133" i="1"/>
  <c r="T159" i="1"/>
  <c r="AR39" i="1"/>
  <c r="L150" i="1"/>
  <c r="B131" i="1"/>
  <c r="B133" i="1"/>
  <c r="BV132" i="1"/>
  <c r="K143" i="1"/>
  <c r="K67" i="1"/>
  <c r="K68" i="1" s="1"/>
  <c r="AU46" i="1"/>
  <c r="N145" i="1"/>
  <c r="N180" i="1" s="1"/>
  <c r="AZ32" i="1"/>
  <c r="AZ194" i="1" s="1"/>
  <c r="B67" i="1"/>
  <c r="S126" i="1"/>
  <c r="S154" i="1" s="1"/>
  <c r="M153" i="1"/>
  <c r="M183" i="1" s="1"/>
  <c r="BH132" i="1"/>
  <c r="D142" i="1"/>
  <c r="BV25" i="1"/>
  <c r="BD13" i="1"/>
  <c r="I150" i="1"/>
  <c r="G149" i="1"/>
  <c r="L155" i="1"/>
  <c r="L73" i="1"/>
  <c r="BO22" i="1"/>
  <c r="BM20" i="1"/>
  <c r="E142" i="1"/>
  <c r="O163" i="1"/>
  <c r="AU24" i="1"/>
  <c r="N77" i="1"/>
  <c r="F127" i="1"/>
  <c r="J133" i="1"/>
  <c r="AV39" i="1"/>
  <c r="O164" i="1"/>
  <c r="BI36" i="1"/>
  <c r="BI252" i="1" s="1"/>
  <c r="BE20" i="1"/>
  <c r="H164" i="1"/>
  <c r="I124" i="1"/>
  <c r="T73" i="1"/>
  <c r="BR51" i="1"/>
  <c r="AI9" i="1"/>
  <c r="BA9" i="1"/>
  <c r="R125" i="1"/>
  <c r="R127" i="1"/>
  <c r="BI51" i="1"/>
  <c r="E67" i="1"/>
  <c r="E68" i="1" s="1"/>
  <c r="O73" i="1"/>
  <c r="D131" i="1"/>
  <c r="AO24" i="1"/>
  <c r="AN23" i="1"/>
  <c r="K155" i="1"/>
  <c r="M163" i="1"/>
  <c r="B142" i="1"/>
  <c r="BH14" i="1"/>
  <c r="AS47" i="1"/>
  <c r="S151" i="1"/>
  <c r="S159" i="1"/>
  <c r="N155" i="1"/>
  <c r="U160" i="1"/>
  <c r="U161" i="1" s="1"/>
  <c r="C145" i="1"/>
  <c r="C180" i="1" s="1"/>
  <c r="M137" i="1"/>
  <c r="BR39" i="1"/>
  <c r="BP22" i="1"/>
  <c r="BJ51" i="1"/>
  <c r="P117" i="1"/>
  <c r="P120" i="1" s="1"/>
  <c r="AN14" i="1"/>
  <c r="F170" i="1"/>
  <c r="S124" i="1"/>
  <c r="BF20" i="1"/>
  <c r="J125" i="1"/>
  <c r="BK24" i="1"/>
  <c r="B140" i="1"/>
  <c r="BH152" i="1"/>
  <c r="BI152" i="1" s="1"/>
  <c r="I140" i="1"/>
  <c r="U155" i="1"/>
  <c r="N140" i="1"/>
  <c r="U126" i="1"/>
  <c r="U154" i="1" s="1"/>
  <c r="B78" i="1"/>
  <c r="BP51" i="1"/>
  <c r="AW35" i="1"/>
  <c r="O124" i="1"/>
  <c r="D155" i="1"/>
  <c r="W149" i="1"/>
  <c r="BW22" i="1"/>
  <c r="I145" i="1"/>
  <c r="I180" i="1" s="1"/>
  <c r="BU51" i="1"/>
  <c r="AI45" i="1"/>
  <c r="BK25" i="1"/>
  <c r="Q133" i="1"/>
  <c r="C143" i="1"/>
  <c r="M132" i="1"/>
  <c r="AI24" i="1"/>
  <c r="BF22" i="1"/>
  <c r="BS8" i="1"/>
  <c r="BS231" i="1" s="1"/>
  <c r="AT23" i="1"/>
  <c r="BN35" i="1"/>
  <c r="BV125" i="1"/>
  <c r="BW125" i="1" s="1"/>
  <c r="E172" i="1"/>
  <c r="BP23" i="1"/>
  <c r="BM9" i="1"/>
  <c r="BH35" i="1"/>
  <c r="AW23" i="1"/>
  <c r="BR20" i="1"/>
  <c r="C170" i="1"/>
  <c r="C149" i="1"/>
  <c r="I172" i="1"/>
  <c r="BO32" i="1"/>
  <c r="BO253" i="1" s="1"/>
  <c r="BT13" i="1"/>
  <c r="AY13" i="1"/>
  <c r="BR47" i="1"/>
  <c r="BU20" i="1"/>
  <c r="H125" i="1"/>
  <c r="R74" i="1"/>
  <c r="R144" i="1"/>
  <c r="R179" i="1" s="1"/>
  <c r="C132" i="1"/>
  <c r="C134" i="1" s="1"/>
  <c r="H163" i="1"/>
  <c r="BV23" i="1"/>
  <c r="BV26" i="1" s="1"/>
  <c r="R122" i="1"/>
  <c r="BH155" i="1"/>
  <c r="BI155" i="1" s="1"/>
  <c r="Q122" i="1"/>
  <c r="C117" i="1"/>
  <c r="C120" i="1" s="1"/>
  <c r="AO23" i="1"/>
  <c r="D77" i="1"/>
  <c r="BM24" i="1"/>
  <c r="J160" i="1"/>
  <c r="D153" i="1"/>
  <c r="D183" i="1" s="1"/>
  <c r="H142" i="1"/>
  <c r="O132" i="1"/>
  <c r="B159" i="1"/>
  <c r="L117" i="1"/>
  <c r="AX25" i="1"/>
  <c r="AP45" i="1"/>
  <c r="H132" i="1"/>
  <c r="H134" i="1" s="1"/>
  <c r="G150" i="1"/>
  <c r="BV127" i="1"/>
  <c r="BW127" i="1" s="1"/>
  <c r="G144" i="1"/>
  <c r="G179" i="1" s="1"/>
  <c r="BG20" i="1"/>
  <c r="J146" i="1"/>
  <c r="J126" i="1"/>
  <c r="J154" i="1" s="1"/>
  <c r="W133" i="1"/>
  <c r="W136" i="1"/>
  <c r="N144" i="1"/>
  <c r="N179" i="1" s="1"/>
  <c r="G145" i="1"/>
  <c r="G180" i="1" s="1"/>
  <c r="BD46" i="1"/>
  <c r="B163" i="1"/>
  <c r="BQ22" i="1"/>
  <c r="M171" i="1"/>
  <c r="AW32" i="1"/>
  <c r="Q146" i="1"/>
  <c r="AS46" i="1"/>
  <c r="W151" i="1"/>
  <c r="O136" i="1"/>
  <c r="J127" i="1"/>
  <c r="BS22" i="1"/>
  <c r="N126" i="1"/>
  <c r="N154" i="1" s="1"/>
  <c r="BH124" i="1"/>
  <c r="BI124" i="1" s="1"/>
  <c r="M67" i="1"/>
  <c r="M68" i="1" s="1"/>
  <c r="U73" i="1"/>
  <c r="D73" i="1"/>
  <c r="P118" i="1"/>
  <c r="BH13" i="1"/>
  <c r="H126" i="1"/>
  <c r="H154" i="1" s="1"/>
  <c r="BB35" i="1"/>
  <c r="D149" i="1"/>
  <c r="K122" i="1"/>
  <c r="H73" i="1"/>
  <c r="Q145" i="1"/>
  <c r="Q180" i="1" s="1"/>
  <c r="T143" i="1"/>
  <c r="BV74" i="1"/>
  <c r="BO23" i="1"/>
  <c r="BH133" i="1"/>
  <c r="N171" i="1"/>
  <c r="B149" i="1"/>
  <c r="H133" i="1"/>
  <c r="AZ35" i="1"/>
  <c r="R118" i="1"/>
  <c r="F132" i="1"/>
  <c r="W155" i="1"/>
  <c r="O143" i="1"/>
  <c r="K140" i="1"/>
  <c r="O78" i="1"/>
  <c r="O86" i="1" s="1"/>
  <c r="AV23" i="1"/>
  <c r="BH135" i="1"/>
  <c r="BI135" i="1" s="1"/>
  <c r="B147" i="1"/>
  <c r="P159" i="1"/>
  <c r="P161" i="1" s="1"/>
  <c r="Q209" i="1" s="1"/>
  <c r="AP39" i="1"/>
  <c r="Q77" i="1"/>
  <c r="Q102" i="1" s="1"/>
  <c r="M133" i="1"/>
  <c r="L135" i="1"/>
  <c r="L131" i="1" s="1"/>
  <c r="S132" i="1"/>
  <c r="Q119" i="1"/>
  <c r="V150" i="1"/>
  <c r="T119" i="1"/>
  <c r="O147" i="1"/>
  <c r="V140" i="1"/>
  <c r="B144" i="1"/>
  <c r="B179" i="1" s="1"/>
  <c r="H124" i="1"/>
  <c r="H128" i="1" s="1"/>
  <c r="BV152" i="1"/>
  <c r="BW152" i="1" s="1"/>
  <c r="J136" i="1"/>
  <c r="M151" i="1"/>
  <c r="M117" i="1"/>
  <c r="M120" i="1" s="1"/>
  <c r="O137" i="1"/>
  <c r="BB14" i="1"/>
  <c r="BV149" i="1"/>
  <c r="BW149" i="1" s="1"/>
  <c r="T79" i="1"/>
  <c r="T87" i="1" s="1"/>
  <c r="T77" i="1"/>
  <c r="BF45" i="1"/>
  <c r="BA51" i="1"/>
  <c r="R163" i="1"/>
  <c r="U143" i="1"/>
  <c r="L149" i="1"/>
  <c r="V149" i="1"/>
  <c r="Q137" i="1"/>
  <c r="K125" i="1"/>
  <c r="F67" i="1"/>
  <c r="F68" i="1" s="1"/>
  <c r="O153" i="1"/>
  <c r="O183" i="1" s="1"/>
  <c r="F122" i="1"/>
  <c r="F155" i="1"/>
  <c r="BH143" i="1"/>
  <c r="BI143" i="1" s="1"/>
  <c r="L142" i="1"/>
  <c r="BK20" i="1"/>
  <c r="W67" i="1"/>
  <c r="G78" i="1"/>
  <c r="G103" i="1" s="1"/>
  <c r="W163" i="1"/>
  <c r="R143" i="1"/>
  <c r="BF24" i="1"/>
  <c r="K164" i="1"/>
  <c r="W135" i="1"/>
  <c r="W131" i="1" s="1"/>
  <c r="T124" i="1"/>
  <c r="T128" i="1" s="1"/>
  <c r="W172" i="1"/>
  <c r="D144" i="1"/>
  <c r="D179" i="1" s="1"/>
  <c r="T132" i="1"/>
  <c r="G172" i="1"/>
  <c r="BF13" i="1"/>
  <c r="R153" i="1"/>
  <c r="R183" i="1" s="1"/>
  <c r="T172" i="1"/>
  <c r="BV131" i="1"/>
  <c r="BV134" i="1" s="1"/>
  <c r="AV15" i="1"/>
  <c r="BN32" i="1"/>
  <c r="BN253" i="1" s="1"/>
  <c r="F144" i="1"/>
  <c r="F179" i="1" s="1"/>
  <c r="P78" i="1"/>
  <c r="P89" i="1" s="1"/>
  <c r="Q170" i="1"/>
  <c r="S149" i="1"/>
  <c r="S156" i="1" s="1"/>
  <c r="S185" i="1" s="1"/>
  <c r="S184" i="1" s="1"/>
  <c r="C77" i="1"/>
  <c r="E78" i="1"/>
  <c r="E86" i="1" s="1"/>
  <c r="BT9" i="1"/>
  <c r="BG25" i="1"/>
  <c r="W77" i="1"/>
  <c r="W102" i="1" s="1"/>
  <c r="R67" i="1"/>
  <c r="R68" i="1" s="1"/>
  <c r="I143" i="1"/>
  <c r="BD32" i="1"/>
  <c r="BD194" i="1" s="1"/>
  <c r="BV140" i="1"/>
  <c r="BA39" i="1"/>
  <c r="D133" i="1"/>
  <c r="BG9" i="1"/>
  <c r="K127" i="1"/>
  <c r="I170" i="1"/>
  <c r="I173" i="1" s="1"/>
  <c r="R137" i="1"/>
  <c r="S144" i="1"/>
  <c r="S179" i="1" s="1"/>
  <c r="T142" i="1"/>
  <c r="C73" i="1"/>
  <c r="Q150" i="1"/>
  <c r="I146" i="1"/>
  <c r="W118" i="1"/>
  <c r="BH125" i="1"/>
  <c r="BI125" i="1" s="1"/>
  <c r="O151" i="1"/>
  <c r="S74" i="1"/>
  <c r="P119" i="1"/>
  <c r="O159" i="1"/>
  <c r="AS39" i="1"/>
  <c r="M145" i="1"/>
  <c r="M180" i="1" s="1"/>
  <c r="O79" i="1"/>
  <c r="O87" i="1" s="1"/>
  <c r="U163" i="1"/>
  <c r="BM14" i="1"/>
  <c r="AQ9" i="1"/>
  <c r="AQ10" i="1" s="1"/>
  <c r="P132" i="1"/>
  <c r="BR45" i="1"/>
  <c r="B172" i="1"/>
  <c r="V171" i="1"/>
  <c r="E135" i="1"/>
  <c r="E131" i="1" s="1"/>
  <c r="W143" i="1"/>
  <c r="F147" i="1"/>
  <c r="BP15" i="1"/>
  <c r="AZ36" i="1"/>
  <c r="AV47" i="1"/>
  <c r="D171" i="1"/>
  <c r="E151" i="1"/>
  <c r="E156" i="1" s="1"/>
  <c r="T155" i="1"/>
  <c r="BR15" i="1"/>
  <c r="C118" i="1"/>
  <c r="BV155" i="1"/>
  <c r="BW155" i="1" s="1"/>
  <c r="BF35" i="1"/>
  <c r="AM45" i="1"/>
  <c r="BW9" i="1"/>
  <c r="V137" i="1"/>
  <c r="AO9" i="1"/>
  <c r="BW39" i="1"/>
  <c r="U151" i="1"/>
  <c r="AV32" i="1"/>
  <c r="AV194" i="1" s="1"/>
  <c r="AI21" i="1"/>
  <c r="Q67" i="1"/>
  <c r="Q68" i="1" s="1"/>
  <c r="BQ35" i="1"/>
  <c r="BG22" i="1"/>
  <c r="BC46" i="1"/>
  <c r="BM36" i="1"/>
  <c r="BM252" i="1" s="1"/>
  <c r="AS32" i="1"/>
  <c r="BU14" i="1"/>
  <c r="BH146" i="1"/>
  <c r="BI146" i="1" s="1"/>
  <c r="AN51" i="1"/>
  <c r="C163" i="1"/>
  <c r="K170" i="1"/>
  <c r="AI47" i="1"/>
  <c r="H143" i="1"/>
  <c r="R172" i="1"/>
  <c r="D136" i="1"/>
  <c r="V146" i="1"/>
  <c r="BN20" i="1"/>
  <c r="BW45" i="1"/>
  <c r="BG21" i="1"/>
  <c r="B117" i="1"/>
  <c r="J150" i="1"/>
  <c r="I155" i="1"/>
  <c r="AN13" i="1"/>
  <c r="BS46" i="1"/>
  <c r="C172" i="1"/>
  <c r="BO46" i="1"/>
  <c r="D163" i="1"/>
  <c r="J67" i="1"/>
  <c r="J68" i="1" s="1"/>
  <c r="F146" i="1"/>
  <c r="B150" i="1"/>
  <c r="F140" i="1"/>
  <c r="F202" i="1" s="1"/>
  <c r="N150" i="1"/>
  <c r="BD21" i="1"/>
  <c r="T140" i="1"/>
  <c r="S127" i="1"/>
  <c r="AQ14" i="1"/>
  <c r="I74" i="1"/>
  <c r="BB13" i="1"/>
  <c r="BF32" i="1"/>
  <c r="BF253" i="1" s="1"/>
  <c r="BH149" i="1"/>
  <c r="BI149" i="1" s="1"/>
  <c r="L119" i="1"/>
  <c r="BU24" i="1"/>
  <c r="AW14" i="1"/>
  <c r="M143" i="1"/>
  <c r="AV22" i="1"/>
  <c r="AV26" i="1" s="1"/>
  <c r="G74" i="1"/>
  <c r="BR46" i="1"/>
  <c r="L172" i="1"/>
  <c r="BS9" i="1"/>
  <c r="BS10" i="1" s="1"/>
  <c r="H172" i="1"/>
  <c r="K160" i="1"/>
  <c r="K161" i="1" s="1"/>
  <c r="BU9" i="1"/>
  <c r="H151" i="1"/>
  <c r="K78" i="1"/>
  <c r="C125" i="1"/>
  <c r="C128" i="1" s="1"/>
  <c r="C37" i="1" s="1"/>
  <c r="F142" i="1"/>
  <c r="E137" i="1"/>
  <c r="BI22" i="1"/>
  <c r="S170" i="1"/>
  <c r="J153" i="1"/>
  <c r="J183" i="1" s="1"/>
  <c r="C151" i="1"/>
  <c r="T117" i="1"/>
  <c r="V78" i="1"/>
  <c r="V86" i="1" s="1"/>
  <c r="AX46" i="1"/>
  <c r="BH153" i="1"/>
  <c r="S73" i="1"/>
  <c r="BQ8" i="1"/>
  <c r="BT98" i="1" s="1"/>
  <c r="BT99" i="1" s="1"/>
  <c r="J142" i="1"/>
  <c r="AR36" i="1"/>
  <c r="AR252" i="1" s="1"/>
  <c r="B127" i="1"/>
  <c r="R151" i="1"/>
  <c r="T136" i="1"/>
  <c r="R136" i="1"/>
  <c r="AR15" i="1"/>
  <c r="BH140" i="1"/>
  <c r="BH202" i="1" s="1"/>
  <c r="F163" i="1"/>
  <c r="Q163" i="1"/>
  <c r="T151" i="1"/>
  <c r="O170" i="1"/>
  <c r="K135" i="1"/>
  <c r="K131" i="1" s="1"/>
  <c r="M160" i="1"/>
  <c r="M161" i="1" s="1"/>
  <c r="N209" i="1" s="1"/>
  <c r="Q73" i="1"/>
  <c r="BV35" i="1"/>
  <c r="U77" i="1"/>
  <c r="BD23" i="1"/>
  <c r="AT47" i="1"/>
  <c r="O133" i="1"/>
  <c r="V125" i="1"/>
  <c r="P172" i="1"/>
  <c r="B160" i="1"/>
  <c r="BO13" i="1"/>
  <c r="H122" i="1"/>
  <c r="D150" i="1"/>
  <c r="V172" i="1"/>
  <c r="G151" i="1"/>
  <c r="AU39" i="1"/>
  <c r="I77" i="1"/>
  <c r="I85" i="1" s="1"/>
  <c r="K74" i="1"/>
  <c r="B126" i="1"/>
  <c r="B154" i="1" s="1"/>
  <c r="BV20" i="1"/>
  <c r="AN32" i="1"/>
  <c r="AN33" i="1" s="1"/>
  <c r="BV118" i="1"/>
  <c r="BW118" i="1" s="1"/>
  <c r="E145" i="1"/>
  <c r="E180" i="1" s="1"/>
  <c r="L170" i="1"/>
  <c r="BD24" i="1"/>
  <c r="J118" i="1"/>
  <c r="E160" i="1"/>
  <c r="E161" i="1" s="1"/>
  <c r="F209" i="1" s="1"/>
  <c r="AT36" i="1"/>
  <c r="AT252" i="1" s="1"/>
  <c r="AI73" i="1"/>
  <c r="L164" i="1"/>
  <c r="Q135" i="1"/>
  <c r="Q131" i="1" s="1"/>
  <c r="G119" i="1"/>
  <c r="I164" i="1"/>
  <c r="I78" i="1"/>
  <c r="BH119" i="1"/>
  <c r="AZ15" i="1"/>
  <c r="L146" i="1"/>
  <c r="G146" i="1"/>
  <c r="AO8" i="1"/>
  <c r="AO231" i="1" s="1"/>
  <c r="BN24" i="1"/>
  <c r="BV153" i="1"/>
  <c r="BV183" i="1" s="1"/>
  <c r="BW183" i="1" s="1"/>
  <c r="U125" i="1"/>
  <c r="K142" i="1"/>
  <c r="K148" i="1" s="1"/>
  <c r="T145" i="1"/>
  <c r="T180" i="1" s="1"/>
  <c r="E143" i="1"/>
  <c r="AV25" i="1"/>
  <c r="AI14" i="1"/>
  <c r="D132" i="1"/>
  <c r="AQ36" i="1"/>
  <c r="AQ252" i="1" s="1"/>
  <c r="Q147" i="1"/>
  <c r="K124" i="1"/>
  <c r="K128" i="1" s="1"/>
  <c r="K37" i="1" s="1"/>
  <c r="V74" i="1"/>
  <c r="C171" i="1"/>
  <c r="C173" i="1" s="1"/>
  <c r="BC14" i="1"/>
  <c r="BA22" i="1"/>
  <c r="L79" i="1"/>
  <c r="B63" i="1"/>
  <c r="B65" i="1" s="1"/>
  <c r="AW46" i="1"/>
  <c r="BD25" i="1"/>
  <c r="R78" i="1"/>
  <c r="D146" i="1"/>
  <c r="K145" i="1"/>
  <c r="K180" i="1" s="1"/>
  <c r="S118" i="1"/>
  <c r="U171" i="1"/>
  <c r="G147" i="1"/>
  <c r="BV144" i="1"/>
  <c r="O67" i="1"/>
  <c r="O68" i="1" s="1"/>
  <c r="BQ51" i="1"/>
  <c r="BI20" i="1"/>
  <c r="F159" i="1"/>
  <c r="F161" i="1" s="1"/>
  <c r="G209" i="1" s="1"/>
  <c r="BQ36" i="1"/>
  <c r="B79" i="1"/>
  <c r="B164" i="1"/>
  <c r="BH8" i="1"/>
  <c r="BH231" i="1" s="1"/>
  <c r="V132" i="1"/>
  <c r="Q74" i="1"/>
  <c r="BH127" i="1"/>
  <c r="BI127" i="1" s="1"/>
  <c r="E170" i="1"/>
  <c r="BH137" i="1"/>
  <c r="BI137" i="1" s="1"/>
  <c r="BB8" i="1"/>
  <c r="AQ24" i="1"/>
  <c r="AQ26" i="1" s="1"/>
  <c r="AQ27" i="1" s="1"/>
  <c r="J163" i="1"/>
  <c r="P122" i="1"/>
  <c r="K150" i="1"/>
  <c r="B146" i="1"/>
  <c r="L159" i="1"/>
  <c r="W159" i="1"/>
  <c r="BP35" i="1"/>
  <c r="BH9" i="1"/>
  <c r="N79" i="1"/>
  <c r="G79" i="1"/>
  <c r="G104" i="1" s="1"/>
  <c r="BH163" i="1"/>
  <c r="BI163" i="1" s="1"/>
  <c r="BH46" i="1"/>
  <c r="BM35" i="1"/>
  <c r="D151" i="1"/>
  <c r="I137" i="1"/>
  <c r="G126" i="1"/>
  <c r="G154" i="1" s="1"/>
  <c r="H74" i="1"/>
  <c r="AU51" i="1"/>
  <c r="D135" i="1"/>
  <c r="E125" i="1"/>
  <c r="T126" i="1"/>
  <c r="T154" i="1" s="1"/>
  <c r="N118" i="1"/>
  <c r="V147" i="1"/>
  <c r="G125" i="1"/>
  <c r="G128" i="1" s="1"/>
  <c r="M119" i="1"/>
  <c r="L153" i="1"/>
  <c r="L183" i="1" s="1"/>
  <c r="BH154" i="1"/>
  <c r="BI154" i="1" s="1"/>
  <c r="K118" i="1"/>
  <c r="BT8" i="1"/>
  <c r="F171" i="1"/>
  <c r="J170" i="1"/>
  <c r="U132" i="1"/>
  <c r="BD20" i="1"/>
  <c r="N125" i="1"/>
  <c r="N128" i="1" s="1"/>
  <c r="AY51" i="1"/>
  <c r="BK36" i="1"/>
  <c r="BK252" i="1" s="1"/>
  <c r="H170" i="1"/>
  <c r="C159" i="1"/>
  <c r="I133" i="1"/>
  <c r="W137" i="1"/>
  <c r="AT46" i="1"/>
  <c r="F79" i="1"/>
  <c r="F104" i="1" s="1"/>
  <c r="H160" i="1"/>
  <c r="S160" i="1"/>
  <c r="P142" i="1"/>
  <c r="L143" i="1"/>
  <c r="P77" i="1"/>
  <c r="U146" i="1"/>
  <c r="J151" i="1"/>
  <c r="E127" i="1"/>
  <c r="F151" i="1"/>
  <c r="D67" i="1"/>
  <c r="W170" i="1"/>
  <c r="BQ23" i="1"/>
  <c r="AT20" i="1"/>
  <c r="BW21" i="1"/>
  <c r="BW26" i="1" s="1"/>
  <c r="AM74" i="1"/>
  <c r="BT21" i="1"/>
  <c r="BT26" i="1" s="1"/>
  <c r="AZ21" i="1"/>
  <c r="BV145" i="1"/>
  <c r="BV148" i="1" s="1"/>
  <c r="AT9" i="1"/>
  <c r="E132" i="1"/>
  <c r="E134" i="1" s="1"/>
  <c r="T171" i="1"/>
  <c r="P125" i="1"/>
  <c r="P128" i="1" s="1"/>
  <c r="BB22" i="1"/>
  <c r="BK21" i="1"/>
  <c r="AY21" i="1"/>
  <c r="BP32" i="1"/>
  <c r="BP194" i="1" s="1"/>
  <c r="BG15" i="1"/>
  <c r="BM13" i="1"/>
  <c r="BU35" i="1"/>
  <c r="AY23" i="1"/>
  <c r="AY26" i="1" s="1"/>
  <c r="AY27" i="1" s="1"/>
  <c r="AQ13" i="1"/>
  <c r="BH47" i="1"/>
  <c r="BH131" i="1"/>
  <c r="P170" i="1"/>
  <c r="P173" i="1" s="1"/>
  <c r="AQ20" i="1"/>
  <c r="M135" i="1"/>
  <c r="M131" i="1" s="1"/>
  <c r="BP47" i="1"/>
  <c r="O172" i="1"/>
  <c r="BC45" i="1"/>
  <c r="BP21" i="1"/>
  <c r="AW45" i="1"/>
  <c r="Q160" i="1"/>
  <c r="Q161" i="1" s="1"/>
  <c r="AU8" i="1"/>
  <c r="BO36" i="1"/>
  <c r="BD9" i="1"/>
  <c r="AP36" i="1"/>
  <c r="G67" i="1"/>
  <c r="G68" i="1" s="1"/>
  <c r="BD8" i="1"/>
  <c r="BD231" i="1" s="1"/>
  <c r="BO9" i="1"/>
  <c r="K136" i="1"/>
  <c r="G135" i="1"/>
  <c r="G131" i="1" s="1"/>
  <c r="V144" i="1"/>
  <c r="V179" i="1" s="1"/>
  <c r="N67" i="1"/>
  <c r="N68" i="1" s="1"/>
  <c r="BD22" i="1"/>
  <c r="AI22" i="1"/>
  <c r="J74" i="1"/>
  <c r="N163" i="1"/>
  <c r="AO39" i="1"/>
  <c r="T127" i="1"/>
  <c r="BO20" i="1"/>
  <c r="BO26" i="1" s="1"/>
  <c r="U150" i="1"/>
  <c r="I135" i="1"/>
  <c r="I131" i="1" s="1"/>
  <c r="I134" i="1" s="1"/>
  <c r="BC32" i="1"/>
  <c r="M155" i="1"/>
  <c r="N124" i="1"/>
  <c r="BH36" i="1"/>
  <c r="BE22" i="1"/>
  <c r="BK15" i="1"/>
  <c r="BO35" i="1"/>
  <c r="T149" i="1"/>
  <c r="BV137" i="1"/>
  <c r="BW137" i="1" s="1"/>
  <c r="BV164" i="1"/>
  <c r="BW164" i="1" s="1"/>
  <c r="B145" i="1"/>
  <c r="B180" i="1" s="1"/>
  <c r="BM15" i="1"/>
  <c r="F150" i="1"/>
  <c r="O135" i="1"/>
  <c r="O131" i="1" s="1"/>
  <c r="O134" i="1" s="1"/>
  <c r="O33" i="1" s="1"/>
  <c r="BN21" i="1"/>
  <c r="AZ25" i="1"/>
  <c r="AZ26" i="1" s="1"/>
  <c r="AZ27" i="1" s="1"/>
  <c r="BW14" i="1"/>
  <c r="AV14" i="1"/>
  <c r="BC15" i="1"/>
  <c r="N147" i="1"/>
  <c r="B124" i="1"/>
  <c r="AT25" i="1"/>
  <c r="C67" i="1"/>
  <c r="T153" i="1"/>
  <c r="T183" i="1" s="1"/>
  <c r="BN46" i="1"/>
  <c r="R124" i="1"/>
  <c r="R128" i="1" s="1"/>
  <c r="L133" i="1"/>
  <c r="J159" i="1"/>
  <c r="J161" i="1" s="1"/>
  <c r="R150" i="1"/>
  <c r="O146" i="1"/>
  <c r="BT51" i="1"/>
  <c r="BG35" i="1"/>
  <c r="N74" i="1"/>
  <c r="BV151" i="1"/>
  <c r="BW151" i="1" s="1"/>
  <c r="AY36" i="1"/>
  <c r="AY252" i="1" s="1"/>
  <c r="BC36" i="1"/>
  <c r="O117" i="1"/>
  <c r="BH126" i="1"/>
  <c r="BI126" i="1" s="1"/>
  <c r="AU25" i="1"/>
  <c r="L126" i="1"/>
  <c r="L154" i="1" s="1"/>
  <c r="BQ20" i="1"/>
  <c r="BR24" i="1"/>
  <c r="F119" i="1"/>
  <c r="BS23" i="1"/>
  <c r="BS26" i="1" s="1"/>
  <c r="BT25" i="1"/>
  <c r="O144" i="1"/>
  <c r="O179" i="1" s="1"/>
  <c r="AI8" i="1"/>
  <c r="W74" i="1"/>
  <c r="BB46" i="1"/>
  <c r="D172" i="1"/>
  <c r="BM8" i="1"/>
  <c r="G133" i="1"/>
  <c r="G134" i="1" s="1"/>
  <c r="G138" i="1" s="1"/>
  <c r="AX15" i="1"/>
  <c r="BA35" i="1"/>
  <c r="J145" i="1"/>
  <c r="J180" i="1" s="1"/>
  <c r="B143" i="1"/>
  <c r="AR20" i="1"/>
  <c r="BC25" i="1"/>
  <c r="BO21" i="1"/>
  <c r="I163" i="1"/>
  <c r="P145" i="1"/>
  <c r="P180" i="1" s="1"/>
  <c r="S136" i="1"/>
  <c r="BS25" i="1"/>
  <c r="BK23" i="1"/>
  <c r="BH73" i="1"/>
  <c r="H150" i="1"/>
  <c r="H156" i="1" s="1"/>
  <c r="H185" i="1" s="1"/>
  <c r="H184" i="1" s="1"/>
  <c r="S78" i="1"/>
  <c r="BK45" i="1"/>
  <c r="V119" i="1"/>
  <c r="C160" i="1"/>
  <c r="U119" i="1"/>
  <c r="N146" i="1"/>
  <c r="N148" i="1" s="1"/>
  <c r="N182" i="1" s="1"/>
  <c r="N181" i="1" s="1"/>
  <c r="M144" i="1"/>
  <c r="M179" i="1" s="1"/>
  <c r="AS36" i="1"/>
  <c r="AS252" i="1" s="1"/>
  <c r="M150" i="1"/>
  <c r="AX24" i="1"/>
  <c r="AU22" i="1"/>
  <c r="D145" i="1"/>
  <c r="D180" i="1" s="1"/>
  <c r="K172" i="1"/>
  <c r="M126" i="1"/>
  <c r="M154" i="1" s="1"/>
  <c r="D137" i="1"/>
  <c r="M74" i="1"/>
  <c r="C153" i="1"/>
  <c r="C183" i="1" s="1"/>
  <c r="U164" i="1"/>
  <c r="J155" i="1"/>
  <c r="Q164" i="1"/>
  <c r="T118" i="1"/>
  <c r="I142" i="1"/>
  <c r="BC22" i="1"/>
  <c r="BE15" i="1"/>
  <c r="BW20" i="1"/>
  <c r="D63" i="1"/>
  <c r="D65" i="1" s="1"/>
  <c r="D108" i="1" s="1"/>
  <c r="H140" i="1"/>
  <c r="BJ32" i="1"/>
  <c r="BJ194" i="1" s="1"/>
  <c r="BM51" i="1"/>
  <c r="J122" i="1"/>
  <c r="B137" i="1"/>
  <c r="BJ74" i="1"/>
  <c r="J77" i="1"/>
  <c r="F125" i="1"/>
  <c r="F128" i="1" s="1"/>
  <c r="O171" i="1"/>
  <c r="Q118" i="1"/>
  <c r="F77" i="1"/>
  <c r="J164" i="1"/>
  <c r="N73" i="1"/>
  <c r="M127" i="1"/>
  <c r="U122" i="1"/>
  <c r="L144" i="1"/>
  <c r="L179" i="1" s="1"/>
  <c r="AR32" i="1"/>
  <c r="S145" i="1"/>
  <c r="S180" i="1" s="1"/>
  <c r="AY15" i="1"/>
  <c r="J172" i="1"/>
  <c r="U137" i="1"/>
  <c r="C140" i="1"/>
  <c r="D202" i="1" s="1"/>
  <c r="L145" i="1"/>
  <c r="L180" i="1" s="1"/>
  <c r="J147" i="1"/>
  <c r="O155" i="1"/>
  <c r="BN23" i="1"/>
  <c r="B132" i="1"/>
  <c r="C137" i="1"/>
  <c r="H171" i="1"/>
  <c r="BJ73" i="1"/>
  <c r="C126" i="1"/>
  <c r="C154" i="1" s="1"/>
  <c r="L160" i="1"/>
  <c r="L161" i="1" s="1"/>
  <c r="M209" i="1" s="1"/>
  <c r="O126" i="1"/>
  <c r="O154" i="1" s="1"/>
  <c r="BN45" i="1"/>
  <c r="AP9" i="1"/>
  <c r="V133" i="1"/>
  <c r="D170" i="1"/>
  <c r="E171" i="1"/>
  <c r="Q151" i="1"/>
  <c r="C150" i="1"/>
  <c r="I153" i="1"/>
  <c r="I183" i="1" s="1"/>
  <c r="G122" i="1"/>
  <c r="AI39" i="1"/>
  <c r="BH117" i="1"/>
  <c r="BI117" i="1" s="1"/>
  <c r="B153" i="1"/>
  <c r="B183" i="1" s="1"/>
  <c r="W171" i="1"/>
  <c r="W173" i="1" s="1"/>
  <c r="R132" i="1"/>
  <c r="D118" i="1"/>
  <c r="D120" i="1" s="1"/>
  <c r="L132" i="1"/>
  <c r="F143" i="1"/>
  <c r="I119" i="1"/>
  <c r="AP14" i="1"/>
  <c r="C64" i="1"/>
  <c r="M73" i="1"/>
  <c r="O119" i="1"/>
  <c r="I79" i="1"/>
  <c r="I87" i="1" s="1"/>
  <c r="Q142" i="1"/>
  <c r="BC24" i="1"/>
  <c r="BC26" i="1" s="1"/>
  <c r="BV150" i="1"/>
  <c r="BW150" i="1" s="1"/>
  <c r="BU8" i="1"/>
  <c r="BU253" i="1" s="1"/>
  <c r="R140" i="1"/>
  <c r="F145" i="1"/>
  <c r="F180" i="1" s="1"/>
  <c r="O149" i="1"/>
  <c r="I151" i="1"/>
  <c r="I156" i="1" s="1"/>
  <c r="V77" i="1"/>
  <c r="U135" i="1"/>
  <c r="U131" i="1" s="1"/>
  <c r="E118" i="1"/>
  <c r="I144" i="1"/>
  <c r="I179" i="1" s="1"/>
  <c r="B118" i="1"/>
  <c r="H118" i="1"/>
  <c r="H149" i="1"/>
  <c r="H117" i="1"/>
  <c r="AT24" i="1"/>
  <c r="Q149" i="1"/>
  <c r="Q156" i="1" s="1"/>
  <c r="W125" i="1"/>
  <c r="K79" i="1"/>
  <c r="K108" i="1" s="1"/>
  <c r="O160" i="1"/>
  <c r="R142" i="1"/>
  <c r="R148" i="1" s="1"/>
  <c r="R182" i="1" s="1"/>
  <c r="R181" i="1" s="1"/>
  <c r="BH160" i="1"/>
  <c r="AV13" i="1"/>
  <c r="C78" i="1"/>
  <c r="BH21" i="1"/>
  <c r="U147" i="1"/>
  <c r="I126" i="1"/>
  <c r="I154" i="1" s="1"/>
  <c r="W140" i="1"/>
  <c r="X202" i="1" s="1"/>
  <c r="T78" i="1"/>
  <c r="T107" i="1" s="1"/>
  <c r="AU20" i="1"/>
  <c r="H77" i="1"/>
  <c r="H102" i="1" s="1"/>
  <c r="F117" i="1"/>
  <c r="L78" i="1"/>
  <c r="L86" i="1" s="1"/>
  <c r="AR47" i="1"/>
  <c r="BE32" i="1"/>
  <c r="BE194" i="1" s="1"/>
  <c r="C122" i="1"/>
  <c r="Q117" i="1"/>
  <c r="Q120" i="1" s="1"/>
  <c r="F149" i="1"/>
  <c r="P151" i="1"/>
  <c r="P156" i="1" s="1"/>
  <c r="E146" i="1"/>
  <c r="BP13" i="1"/>
  <c r="Q127" i="1"/>
  <c r="O150" i="1"/>
  <c r="O156" i="1" s="1"/>
  <c r="N132" i="1"/>
  <c r="E144" i="1"/>
  <c r="E179" i="1" s="1"/>
  <c r="M78" i="1"/>
  <c r="AT45" i="1"/>
  <c r="K77" i="1"/>
  <c r="I127" i="1"/>
  <c r="BG32" i="1"/>
  <c r="AN39" i="1"/>
  <c r="W144" i="1"/>
  <c r="C146" i="1"/>
  <c r="P140" i="1"/>
  <c r="I73" i="1"/>
  <c r="G160" i="1"/>
  <c r="BS15" i="1"/>
  <c r="BV159" i="1"/>
  <c r="BE25" i="1"/>
  <c r="AU35" i="1"/>
  <c r="BT36" i="1"/>
  <c r="BE46" i="1"/>
  <c r="J171" i="1"/>
  <c r="K159" i="1"/>
  <c r="AN9" i="1"/>
  <c r="I122" i="1"/>
  <c r="BG14" i="1"/>
  <c r="H147" i="1"/>
  <c r="G161" i="1"/>
  <c r="H209" i="1" s="1"/>
  <c r="S134" i="1"/>
  <c r="S33" i="1" s="1"/>
  <c r="P134" i="1"/>
  <c r="P138" i="1" s="1"/>
  <c r="P202" i="1"/>
  <c r="AI26" i="1"/>
  <c r="AY10" i="1"/>
  <c r="AY12" i="1" s="1"/>
  <c r="U202" i="1"/>
  <c r="F134" i="1"/>
  <c r="F33" i="1" s="1"/>
  <c r="AN252" i="1"/>
  <c r="AP98" i="1"/>
  <c r="AP99" i="1" s="1"/>
  <c r="AP102" i="1" s="1"/>
  <c r="I202" i="1"/>
  <c r="E120" i="1"/>
  <c r="E92" i="1" s="1"/>
  <c r="W128" i="1"/>
  <c r="X206" i="1" s="1"/>
  <c r="BN252" i="1"/>
  <c r="BG26" i="1"/>
  <c r="B134" i="1"/>
  <c r="B138" i="1" s="1"/>
  <c r="AR179" i="1"/>
  <c r="AS179" i="1" s="1"/>
  <c r="BD183" i="1"/>
  <c r="BE183" i="1" s="1"/>
  <c r="AR180" i="1"/>
  <c r="AS180" i="1" s="1"/>
  <c r="BV10" i="1"/>
  <c r="BV179" i="1"/>
  <c r="BW179" i="1" s="1"/>
  <c r="I120" i="1"/>
  <c r="AS26" i="1"/>
  <c r="R173" i="1"/>
  <c r="AZ98" i="1"/>
  <c r="AZ99" i="1" s="1"/>
  <c r="J134" i="1"/>
  <c r="BR252" i="1"/>
  <c r="AO26" i="1"/>
  <c r="Q128" i="1"/>
  <c r="BE10" i="1"/>
  <c r="BJ28" i="1"/>
  <c r="BO252" i="1"/>
  <c r="BA10" i="1"/>
  <c r="BA16" i="1" s="1"/>
  <c r="BA17" i="1" s="1"/>
  <c r="R202" i="1"/>
  <c r="BW10" i="1"/>
  <c r="X58" i="1" s="1"/>
  <c r="BH26" i="1"/>
  <c r="O202" i="1"/>
  <c r="O120" i="1"/>
  <c r="O92" i="1" s="1"/>
  <c r="B173" i="1"/>
  <c r="BI10" i="1"/>
  <c r="B156" i="1"/>
  <c r="B185" i="1" s="1"/>
  <c r="B184" i="1" s="1"/>
  <c r="L134" i="1"/>
  <c r="BQ252" i="1"/>
  <c r="W134" i="1"/>
  <c r="T148" i="1"/>
  <c r="T182" i="1" s="1"/>
  <c r="T181" i="1" s="1"/>
  <c r="AZ179" i="1"/>
  <c r="BA179" i="1" s="1"/>
  <c r="AZ183" i="1"/>
  <c r="BA183" i="1" s="1"/>
  <c r="BR179" i="1"/>
  <c r="BS179" i="1" s="1"/>
  <c r="BR180" i="1"/>
  <c r="BS180" i="1" s="1"/>
  <c r="BV202" i="1"/>
  <c r="BN183" i="1"/>
  <c r="BO183" i="1" s="1"/>
  <c r="BN180" i="1"/>
  <c r="BO180" i="1" s="1"/>
  <c r="AT183" i="1"/>
  <c r="AU183" i="1" s="1"/>
  <c r="BB183" i="1"/>
  <c r="BC183" i="1" s="1"/>
  <c r="AT180" i="1"/>
  <c r="AU180" i="1" s="1"/>
  <c r="BB180" i="1"/>
  <c r="BC180" i="1" s="1"/>
  <c r="BP183" i="1"/>
  <c r="BQ183" i="1" s="1"/>
  <c r="BN179" i="1"/>
  <c r="BO179" i="1" s="1"/>
  <c r="BB98" i="1"/>
  <c r="BB99" i="1" s="1"/>
  <c r="AY231" i="1"/>
  <c r="AI194" i="1"/>
  <c r="AI203" i="1"/>
  <c r="AI201" i="1" s="1"/>
  <c r="AI33" i="1"/>
  <c r="AY194" i="1"/>
  <c r="AY253" i="1"/>
  <c r="P104" i="1"/>
  <c r="P87" i="1"/>
  <c r="P108" i="1"/>
  <c r="BS194" i="1"/>
  <c r="BS253" i="1"/>
  <c r="AQ231" i="1"/>
  <c r="AQ253" i="1"/>
  <c r="S138" i="1"/>
  <c r="BA253" i="1"/>
  <c r="BA194" i="1"/>
  <c r="H103" i="1"/>
  <c r="H107" i="1"/>
  <c r="BU194" i="1"/>
  <c r="W103" i="1"/>
  <c r="W107" i="1"/>
  <c r="BI253" i="1"/>
  <c r="BI194" i="1"/>
  <c r="N85" i="1"/>
  <c r="N102" i="1"/>
  <c r="BK10" i="1"/>
  <c r="BK12" i="1" s="1"/>
  <c r="BV231" i="1"/>
  <c r="BY98" i="1"/>
  <c r="BY99" i="1" s="1"/>
  <c r="BV253" i="1"/>
  <c r="AZ10" i="1"/>
  <c r="AZ253" i="1"/>
  <c r="K103" i="1"/>
  <c r="K89" i="1"/>
  <c r="S173" i="1"/>
  <c r="V107" i="1"/>
  <c r="D66" i="1"/>
  <c r="I86" i="1"/>
  <c r="I89" i="1"/>
  <c r="I107" i="1"/>
  <c r="I103" i="1"/>
  <c r="O103" i="1"/>
  <c r="L108" i="1"/>
  <c r="L87" i="1"/>
  <c r="L104" i="1"/>
  <c r="I108" i="1"/>
  <c r="BU252" i="1"/>
  <c r="P103" i="1"/>
  <c r="P86" i="1"/>
  <c r="BW140" i="1"/>
  <c r="BX202" i="1" s="1"/>
  <c r="BW202" i="1"/>
  <c r="M107" i="1"/>
  <c r="M86" i="1"/>
  <c r="AZ161" i="1"/>
  <c r="BA209" i="1" s="1"/>
  <c r="BT179" i="1"/>
  <c r="BU179" i="1" s="1"/>
  <c r="BH183" i="1"/>
  <c r="J87" i="1"/>
  <c r="P148" i="1"/>
  <c r="P244" i="1" s="1"/>
  <c r="V156" i="1"/>
  <c r="V185" i="1" s="1"/>
  <c r="V184" i="1" s="1"/>
  <c r="U128" i="1"/>
  <c r="U249" i="1" s="1"/>
  <c r="U251" i="1" s="1"/>
  <c r="J156" i="1"/>
  <c r="J185" i="1" s="1"/>
  <c r="BA26" i="1"/>
  <c r="BD252" i="1"/>
  <c r="AP26" i="1"/>
  <c r="L173" i="1"/>
  <c r="D156" i="1"/>
  <c r="BI98" i="1"/>
  <c r="BI99" i="1" s="1"/>
  <c r="BI103" i="1" s="1"/>
  <c r="BI26" i="1"/>
  <c r="C156" i="1"/>
  <c r="C185" i="1" s="1"/>
  <c r="C184" i="1" s="1"/>
  <c r="AP252" i="1"/>
  <c r="V173" i="1"/>
  <c r="R156" i="1"/>
  <c r="R185" i="1" s="1"/>
  <c r="R184" i="1" s="1"/>
  <c r="T161" i="1"/>
  <c r="U209" i="1" s="1"/>
  <c r="AV98" i="1"/>
  <c r="AV99" i="1" s="1"/>
  <c r="AU252" i="1"/>
  <c r="L156" i="1"/>
  <c r="M173" i="1"/>
  <c r="J148" i="1"/>
  <c r="G202" i="1"/>
  <c r="F173" i="1"/>
  <c r="BV252" i="1"/>
  <c r="BQ10" i="1"/>
  <c r="R134" i="1"/>
  <c r="H161" i="1"/>
  <c r="I209" i="1" s="1"/>
  <c r="D128" i="1"/>
  <c r="AU231" i="1"/>
  <c r="AW98" i="1"/>
  <c r="AW99" i="1" s="1"/>
  <c r="AW102" i="1" s="1"/>
  <c r="BK253" i="1"/>
  <c r="BM37" i="1"/>
  <c r="T104" i="1"/>
  <c r="J108" i="1"/>
  <c r="BT252" i="1"/>
  <c r="K120" i="1"/>
  <c r="BT183" i="1"/>
  <c r="BU183" i="1" s="1"/>
  <c r="AN183" i="1"/>
  <c r="AO183" i="1" s="1"/>
  <c r="E104" i="1"/>
  <c r="AU10" i="1"/>
  <c r="AR98" i="1"/>
  <c r="AR99" i="1" s="1"/>
  <c r="BH98" i="1"/>
  <c r="BH99" i="1" s="1"/>
  <c r="Q173" i="1"/>
  <c r="V128" i="1"/>
  <c r="AN180" i="1"/>
  <c r="AO180" i="1" s="1"/>
  <c r="AU253" i="1"/>
  <c r="T108" i="1"/>
  <c r="C65" i="1"/>
  <c r="C107" i="1" s="1"/>
  <c r="K134" i="1"/>
  <c r="AP183" i="1"/>
  <c r="AQ183" i="1" s="1"/>
  <c r="BH10" i="1"/>
  <c r="BT180" i="1"/>
  <c r="BU180" i="1" s="1"/>
  <c r="AN179" i="1"/>
  <c r="AO179" i="1" s="1"/>
  <c r="AV183" i="1"/>
  <c r="AW183" i="1" s="1"/>
  <c r="E87" i="1"/>
  <c r="J202" i="1"/>
  <c r="AP179" i="1"/>
  <c r="AQ179" i="1" s="1"/>
  <c r="J173" i="1"/>
  <c r="BS252" i="1"/>
  <c r="AM48" i="1"/>
  <c r="BV161" i="1"/>
  <c r="BW209" i="1" s="1"/>
  <c r="BH161" i="1"/>
  <c r="BI209" i="1" s="1"/>
  <c r="U37" i="1"/>
  <c r="D185" i="1"/>
  <c r="E107" i="1"/>
  <c r="E103" i="1"/>
  <c r="AO194" i="1"/>
  <c r="AI185" i="1"/>
  <c r="AL98" i="1"/>
  <c r="AL99" i="1" s="1"/>
  <c r="AI183" i="1"/>
  <c r="AI180" i="1"/>
  <c r="T202" i="1"/>
  <c r="AS231" i="1"/>
  <c r="AS10" i="1"/>
  <c r="BF10" i="1"/>
  <c r="BG98" i="1"/>
  <c r="BG99" i="1" s="1"/>
  <c r="BG104" i="1" s="1"/>
  <c r="G156" i="1"/>
  <c r="BT231" i="1"/>
  <c r="BT10" i="1"/>
  <c r="O161" i="1"/>
  <c r="P209" i="1" s="1"/>
  <c r="U173" i="1"/>
  <c r="I102" i="1"/>
  <c r="AN10" i="1"/>
  <c r="AN231" i="1"/>
  <c r="AN98" i="1"/>
  <c r="AN99" i="1" s="1"/>
  <c r="BF194" i="1"/>
  <c r="S128" i="1"/>
  <c r="M202" i="1"/>
  <c r="BB10" i="1"/>
  <c r="BT253" i="1"/>
  <c r="AI231" i="1"/>
  <c r="N120" i="1"/>
  <c r="G108" i="1"/>
  <c r="V102" i="1"/>
  <c r="V85" i="1"/>
  <c r="AN194" i="1"/>
  <c r="B161" i="1"/>
  <c r="I128" i="1"/>
  <c r="M134" i="1"/>
  <c r="K202" i="1"/>
  <c r="AT10" i="1"/>
  <c r="R120" i="1"/>
  <c r="BK33" i="1"/>
  <c r="BK194" i="1"/>
  <c r="AV231" i="1"/>
  <c r="AV10" i="1"/>
  <c r="BZ225" i="1"/>
  <c r="BF180" i="1"/>
  <c r="BG180" i="1" s="1"/>
  <c r="BF231" i="1"/>
  <c r="Q202" i="1"/>
  <c r="T173" i="1"/>
  <c r="K104" i="1"/>
  <c r="V87" i="1"/>
  <c r="V108" i="1"/>
  <c r="BW231" i="1"/>
  <c r="S103" i="1"/>
  <c r="S86" i="1"/>
  <c r="BC252" i="1"/>
  <c r="S102" i="1"/>
  <c r="S85" i="1"/>
  <c r="H87" i="1"/>
  <c r="H108" i="1"/>
  <c r="H104" i="1"/>
  <c r="AR26" i="1"/>
  <c r="AS253" i="1"/>
  <c r="AS194" i="1"/>
  <c r="AQ128" i="1"/>
  <c r="H173" i="1"/>
  <c r="H85" i="1"/>
  <c r="T89" i="1"/>
  <c r="N104" i="1"/>
  <c r="N108" i="1"/>
  <c r="N87" i="1"/>
  <c r="H120" i="1"/>
  <c r="B120" i="1"/>
  <c r="R89" i="1"/>
  <c r="R107" i="1"/>
  <c r="R103" i="1"/>
  <c r="R86" i="1"/>
  <c r="D173" i="1"/>
  <c r="V120" i="1"/>
  <c r="K86" i="1"/>
  <c r="K107" i="1"/>
  <c r="BO194" i="1"/>
  <c r="BH180" i="1"/>
  <c r="BI180" i="1" s="1"/>
  <c r="AV253" i="1"/>
  <c r="BH194" i="1"/>
  <c r="BH253" i="1"/>
  <c r="AW10" i="1"/>
  <c r="AW231" i="1"/>
  <c r="R108" i="1"/>
  <c r="R104" i="1"/>
  <c r="R87" i="1"/>
  <c r="AN26" i="1"/>
  <c r="V175" i="1"/>
  <c r="S107" i="1"/>
  <c r="S89" i="1"/>
  <c r="F138" i="1"/>
  <c r="P85" i="1"/>
  <c r="P102" i="1"/>
  <c r="F87" i="1"/>
  <c r="L89" i="1"/>
  <c r="T156" i="1"/>
  <c r="G107" i="1"/>
  <c r="G86" i="1"/>
  <c r="S202" i="1"/>
  <c r="M85" i="1"/>
  <c r="M102" i="1"/>
  <c r="BQ231" i="1"/>
  <c r="BQ26" i="1"/>
  <c r="BC194" i="1"/>
  <c r="BC253" i="1"/>
  <c r="BN10" i="1"/>
  <c r="BN11" i="1" s="1"/>
  <c r="BN231" i="1"/>
  <c r="BR231" i="1"/>
  <c r="BR10" i="1"/>
  <c r="K156" i="1"/>
  <c r="Q89" i="1"/>
  <c r="Q86" i="1"/>
  <c r="Q103" i="1"/>
  <c r="Q107" i="1"/>
  <c r="BF26" i="1"/>
  <c r="U85" i="1"/>
  <c r="U102" i="1"/>
  <c r="AN161" i="1"/>
  <c r="AO209" i="1" s="1"/>
  <c r="BF183" i="1"/>
  <c r="BG183" i="1" s="1"/>
  <c r="AT98" i="1"/>
  <c r="AT99" i="1" s="1"/>
  <c r="L102" i="1"/>
  <c r="L85" i="1"/>
  <c r="Q134" i="1"/>
  <c r="BF252" i="1"/>
  <c r="BU26" i="1"/>
  <c r="AT194" i="1"/>
  <c r="AT253" i="1"/>
  <c r="AT26" i="1"/>
  <c r="D161" i="1"/>
  <c r="BM194" i="1"/>
  <c r="BM203" i="1"/>
  <c r="BM201" i="1" s="1"/>
  <c r="BM33" i="1"/>
  <c r="M108" i="1"/>
  <c r="M87" i="1"/>
  <c r="M104" i="1"/>
  <c r="N134" i="1"/>
  <c r="BM26" i="1"/>
  <c r="Q87" i="1"/>
  <c r="Q104" i="1"/>
  <c r="Q108" i="1"/>
  <c r="U87" i="1"/>
  <c r="U108" i="1"/>
  <c r="U104" i="1"/>
  <c r="BR253" i="1"/>
  <c r="BR194" i="1"/>
  <c r="BW124" i="1"/>
  <c r="BW128" i="1" s="1"/>
  <c r="E173" i="1"/>
  <c r="C202" i="1"/>
  <c r="D134" i="1"/>
  <c r="BD253" i="1"/>
  <c r="U89" i="1"/>
  <c r="U86" i="1"/>
  <c r="U107" i="1"/>
  <c r="U103" i="1"/>
  <c r="J107" i="1"/>
  <c r="J103" i="1"/>
  <c r="J86" i="1"/>
  <c r="J89" i="1"/>
  <c r="BC231" i="1"/>
  <c r="BC10" i="1"/>
  <c r="BQ194" i="1"/>
  <c r="BW253" i="1"/>
  <c r="AS98" i="1"/>
  <c r="AS99" i="1" s="1"/>
  <c r="M103" i="1"/>
  <c r="M89" i="1"/>
  <c r="U134" i="1"/>
  <c r="BC98" i="1"/>
  <c r="BC99" i="1" s="1"/>
  <c r="BB231" i="1"/>
  <c r="AR194" i="1"/>
  <c r="AR253" i="1"/>
  <c r="AW194" i="1"/>
  <c r="AW253" i="1"/>
  <c r="R85" i="1"/>
  <c r="R102" i="1"/>
  <c r="BM231" i="1"/>
  <c r="BO98" i="1"/>
  <c r="BO99" i="1" s="1"/>
  <c r="N107" i="1"/>
  <c r="N86" i="1"/>
  <c r="N103" i="1"/>
  <c r="BB252" i="1"/>
  <c r="K173" i="1"/>
  <c r="U120" i="1"/>
  <c r="AW252" i="1"/>
  <c r="R161" i="1"/>
  <c r="BP231" i="1"/>
  <c r="BP10" i="1"/>
  <c r="BS98" i="1"/>
  <c r="BS99" i="1" s="1"/>
  <c r="BO10" i="1"/>
  <c r="BR98" i="1"/>
  <c r="BR99" i="1" s="1"/>
  <c r="BO231" i="1"/>
  <c r="BG231" i="1"/>
  <c r="BJ98" i="1"/>
  <c r="BJ99" i="1" s="1"/>
  <c r="BG10" i="1"/>
  <c r="BN194" i="1"/>
  <c r="W104" i="1"/>
  <c r="BJ27" i="1"/>
  <c r="AI182" i="1"/>
  <c r="AI179" i="1"/>
  <c r="BD98" i="1"/>
  <c r="BD99" i="1" s="1"/>
  <c r="BE253" i="1"/>
  <c r="F85" i="1"/>
  <c r="F102" i="1"/>
  <c r="H148" i="1"/>
  <c r="BH252" i="1"/>
  <c r="BB26" i="1"/>
  <c r="H89" i="1"/>
  <c r="H86" i="1"/>
  <c r="V202" i="1"/>
  <c r="AX194" i="1"/>
  <c r="AX253" i="1"/>
  <c r="AX26" i="1"/>
  <c r="AX27" i="1" s="1"/>
  <c r="BA252" i="1"/>
  <c r="BP26" i="1"/>
  <c r="BF179" i="1"/>
  <c r="BG179" i="1" s="1"/>
  <c r="BJ17" i="1"/>
  <c r="V104" i="1"/>
  <c r="V148" i="1"/>
  <c r="K102" i="1"/>
  <c r="K85" i="1"/>
  <c r="T102" i="1"/>
  <c r="T85" i="1"/>
  <c r="Q85" i="1"/>
  <c r="D107" i="1"/>
  <c r="N202" i="1"/>
  <c r="AP194" i="1"/>
  <c r="AP253" i="1"/>
  <c r="BK98" i="1"/>
  <c r="BK99" i="1" s="1"/>
  <c r="BK231" i="1"/>
  <c r="BM98" i="1"/>
  <c r="BM99" i="1" s="1"/>
  <c r="F156" i="1"/>
  <c r="AO10" i="1"/>
  <c r="AO27" i="1" s="1"/>
  <c r="S87" i="1"/>
  <c r="S108" i="1"/>
  <c r="S104" i="1"/>
  <c r="AZ252" i="1"/>
  <c r="O104" i="1"/>
  <c r="O108" i="1"/>
  <c r="BP253" i="1"/>
  <c r="BI231" i="1"/>
  <c r="BL98" i="1"/>
  <c r="BL99" i="1" s="1"/>
  <c r="T134" i="1"/>
  <c r="AR10" i="1"/>
  <c r="E102" i="1"/>
  <c r="E85" i="1"/>
  <c r="BW252" i="1"/>
  <c r="P33" i="1"/>
  <c r="BB202" i="1"/>
  <c r="BB161" i="1"/>
  <c r="BC209" i="1" s="1"/>
  <c r="W37" i="1"/>
  <c r="B33" i="1"/>
  <c r="C197" i="1"/>
  <c r="AU128" i="1"/>
  <c r="BA202" i="1"/>
  <c r="AZ202" i="1"/>
  <c r="AY202" i="1"/>
  <c r="AZ120" i="1"/>
  <c r="AW103" i="1"/>
  <c r="E175" i="1"/>
  <c r="E54" i="1"/>
  <c r="BF161" i="1"/>
  <c r="BG209" i="1" s="1"/>
  <c r="O54" i="1"/>
  <c r="BE128" i="1"/>
  <c r="AS202" i="1"/>
  <c r="AO128" i="1"/>
  <c r="AN120" i="1"/>
  <c r="AN92" i="1" s="1"/>
  <c r="AN95" i="1" s="1"/>
  <c r="AX134" i="1"/>
  <c r="AY33" i="1" s="1"/>
  <c r="AN128" i="1"/>
  <c r="AN206" i="1" s="1"/>
  <c r="BP128" i="1"/>
  <c r="BG202" i="1"/>
  <c r="BN120" i="1"/>
  <c r="BN92" i="1" s="1"/>
  <c r="BR161" i="1"/>
  <c r="BS209" i="1" s="1"/>
  <c r="AX148" i="1"/>
  <c r="AX182" i="1" s="1"/>
  <c r="BE202" i="1"/>
  <c r="AT202" i="1"/>
  <c r="AY128" i="1"/>
  <c r="AP134" i="1"/>
  <c r="AP138" i="1" s="1"/>
  <c r="AV202" i="1"/>
  <c r="BT161" i="1"/>
  <c r="BU209" i="1" s="1"/>
  <c r="BN128" i="1"/>
  <c r="BN249" i="1" s="1"/>
  <c r="BQ128" i="1"/>
  <c r="BP134" i="1"/>
  <c r="BQ33" i="1" s="1"/>
  <c r="AV120" i="1"/>
  <c r="AV92" i="1" s="1"/>
  <c r="BT128" i="1"/>
  <c r="BN134" i="1"/>
  <c r="BO134" i="1" s="1"/>
  <c r="BG128" i="1"/>
  <c r="AT148" i="1"/>
  <c r="AT182" i="1" s="1"/>
  <c r="AV134" i="1"/>
  <c r="AV138" i="1" s="1"/>
  <c r="BR148" i="1"/>
  <c r="BN148" i="1"/>
  <c r="BN182" i="1" s="1"/>
  <c r="AV148" i="1"/>
  <c r="AV182" i="1" s="1"/>
  <c r="AP128" i="1"/>
  <c r="BR120" i="1"/>
  <c r="BR92" i="1" s="1"/>
  <c r="BR96" i="1" s="1"/>
  <c r="AN148" i="1"/>
  <c r="AN182" i="1" s="1"/>
  <c r="AX120" i="1"/>
  <c r="AW140" i="1"/>
  <c r="AX202" i="1" s="1"/>
  <c r="AR161" i="1"/>
  <c r="AS209" i="1" s="1"/>
  <c r="BP161" i="1"/>
  <c r="BQ209" i="1" s="1"/>
  <c r="AT134" i="1"/>
  <c r="AT138" i="1" s="1"/>
  <c r="BP120" i="1"/>
  <c r="BP92" i="1" s="1"/>
  <c r="BP94" i="1" s="1"/>
  <c r="AT156" i="1"/>
  <c r="AT185" i="1" s="1"/>
  <c r="BQ202" i="1"/>
  <c r="AX128" i="1"/>
  <c r="AT120" i="1"/>
  <c r="AT92" i="1" s="1"/>
  <c r="AT95" i="1" s="1"/>
  <c r="BF202" i="1"/>
  <c r="AP161" i="1"/>
  <c r="AQ209" i="1" s="1"/>
  <c r="BF148" i="1"/>
  <c r="BF182" i="1" s="1"/>
  <c r="BN161" i="1"/>
  <c r="BO209" i="1" s="1"/>
  <c r="BB134" i="1"/>
  <c r="BC134" i="1" s="1"/>
  <c r="AU202" i="1"/>
  <c r="AP156" i="1"/>
  <c r="AP185" i="1" s="1"/>
  <c r="BD156" i="1"/>
  <c r="BF128" i="1"/>
  <c r="BR202" i="1"/>
  <c r="BU202" i="1"/>
  <c r="BB120" i="1"/>
  <c r="BB92" i="1" s="1"/>
  <c r="BB96" i="1" s="1"/>
  <c r="BD161" i="1"/>
  <c r="BE209" i="1" s="1"/>
  <c r="AX161" i="1"/>
  <c r="AY209" i="1" s="1"/>
  <c r="BC202" i="1"/>
  <c r="AZ148" i="1"/>
  <c r="AZ182" i="1" s="1"/>
  <c r="BP156" i="1"/>
  <c r="BP185" i="1" s="1"/>
  <c r="BO140" i="1"/>
  <c r="BP202" i="1" s="1"/>
  <c r="BA128" i="1"/>
  <c r="AS128" i="1"/>
  <c r="BR134" i="1"/>
  <c r="BS134" i="1" s="1"/>
  <c r="AN134" i="1"/>
  <c r="AO134" i="1" s="1"/>
  <c r="AW128" i="1"/>
  <c r="BT120" i="1"/>
  <c r="BT92" i="1" s="1"/>
  <c r="AV161" i="1"/>
  <c r="AW209" i="1" s="1"/>
  <c r="BD134" i="1"/>
  <c r="BF134" i="1"/>
  <c r="BG33" i="1" s="1"/>
  <c r="AT161" i="1"/>
  <c r="AU209" i="1" s="1"/>
  <c r="AZ134" i="1"/>
  <c r="BA134" i="1" s="1"/>
  <c r="BS128" i="1"/>
  <c r="AP148" i="1"/>
  <c r="AP182" i="1" s="1"/>
  <c r="BT134" i="1"/>
  <c r="BT138" i="1" s="1"/>
  <c r="AZ156" i="1"/>
  <c r="AZ185" i="1" s="1"/>
  <c r="BF120" i="1"/>
  <c r="AT128" i="1"/>
  <c r="AN156" i="1"/>
  <c r="AN185" i="1" s="1"/>
  <c r="AP120" i="1"/>
  <c r="AP92" i="1" s="1"/>
  <c r="AP95" i="1" s="1"/>
  <c r="AZ128" i="1"/>
  <c r="BT156" i="1"/>
  <c r="BT185" i="1" s="1"/>
  <c r="BU128" i="1"/>
  <c r="BO128" i="1"/>
  <c r="AR120" i="1"/>
  <c r="AR92" i="1" s="1"/>
  <c r="AR128" i="1"/>
  <c r="BT148" i="1"/>
  <c r="BT182" i="1" s="1"/>
  <c r="BD148" i="1"/>
  <c r="BD182" i="1" s="1"/>
  <c r="BB148" i="1"/>
  <c r="BB182" i="1" s="1"/>
  <c r="BD128" i="1"/>
  <c r="AV156" i="1"/>
  <c r="AV185" i="1" s="1"/>
  <c r="BN156" i="1"/>
  <c r="BN185" i="1" s="1"/>
  <c r="BP148" i="1"/>
  <c r="BP182" i="1" s="1"/>
  <c r="AR156" i="1"/>
  <c r="AR185" i="1" s="1"/>
  <c r="AN202" i="1"/>
  <c r="AV128" i="1"/>
  <c r="AX156" i="1"/>
  <c r="AX185" i="1" s="1"/>
  <c r="BD120" i="1"/>
  <c r="BB128" i="1"/>
  <c r="AR148" i="1"/>
  <c r="AR182" i="1" s="1"/>
  <c r="AR181" i="1" s="1"/>
  <c r="BD202" i="1"/>
  <c r="BR128" i="1"/>
  <c r="BF156" i="1"/>
  <c r="BF185" i="1" s="1"/>
  <c r="BB156" i="1"/>
  <c r="BB185" i="1" s="1"/>
  <c r="BR156" i="1"/>
  <c r="BR185" i="1" s="1"/>
  <c r="BC128" i="1"/>
  <c r="AR134" i="1"/>
  <c r="J209" i="1"/>
  <c r="I248" i="1"/>
  <c r="D184" i="1"/>
  <c r="D69" i="1"/>
  <c r="AR202" i="1"/>
  <c r="AQ202" i="1"/>
  <c r="BT202" i="1"/>
  <c r="BS202" i="1"/>
  <c r="AP202" i="1"/>
  <c r="AO202" i="1"/>
  <c r="CR194" i="1"/>
  <c r="CR132" i="1"/>
  <c r="CQ203" i="1"/>
  <c r="CQ201" i="1" s="1"/>
  <c r="AB206" i="1"/>
  <c r="DB63" i="1"/>
  <c r="DA65" i="1"/>
  <c r="BH120" i="1" l="1"/>
  <c r="BH156" i="1"/>
  <c r="BH185" i="1" s="1"/>
  <c r="BV120" i="1"/>
  <c r="BV92" i="1" s="1"/>
  <c r="R207" i="1"/>
  <c r="X249" i="1"/>
  <c r="X251" i="1" s="1"/>
  <c r="L107" i="1"/>
  <c r="BJ253" i="1"/>
  <c r="F148" i="1"/>
  <c r="L148" i="1"/>
  <c r="C161" i="1"/>
  <c r="V134" i="1"/>
  <c r="O173" i="1"/>
  <c r="E197" i="1"/>
  <c r="W202" i="1"/>
  <c r="O148" i="1"/>
  <c r="E148" i="1"/>
  <c r="E182" i="1" s="1"/>
  <c r="E181" i="1" s="1"/>
  <c r="D148" i="1"/>
  <c r="G173" i="1"/>
  <c r="AO253" i="1"/>
  <c r="M148" i="1"/>
  <c r="M182" i="1" s="1"/>
  <c r="M181" i="1" s="1"/>
  <c r="Q148" i="1"/>
  <c r="S148" i="1"/>
  <c r="G120" i="1"/>
  <c r="AX252" i="1"/>
  <c r="O175" i="1"/>
  <c r="BP27" i="1"/>
  <c r="AP104" i="1"/>
  <c r="BW98" i="1"/>
  <c r="BW99" i="1" s="1"/>
  <c r="T86" i="1"/>
  <c r="L128" i="1"/>
  <c r="BV98" i="1"/>
  <c r="BV99" i="1" s="1"/>
  <c r="BV104" i="1" s="1"/>
  <c r="BU231" i="1"/>
  <c r="BK37" i="1"/>
  <c r="E207" i="1"/>
  <c r="I148" i="1"/>
  <c r="D68" i="1"/>
  <c r="E128" i="1"/>
  <c r="E129" i="1" s="1"/>
  <c r="E55" i="1" s="1"/>
  <c r="BD26" i="1"/>
  <c r="BN26" i="1"/>
  <c r="BK26" i="1"/>
  <c r="BK27" i="1" s="1"/>
  <c r="T120" i="1"/>
  <c r="BV27" i="1"/>
  <c r="O128" i="1"/>
  <c r="O37" i="1" s="1"/>
  <c r="P207" i="1"/>
  <c r="S161" i="1"/>
  <c r="B148" i="1"/>
  <c r="AI10" i="1"/>
  <c r="AI27" i="1" s="1"/>
  <c r="U156" i="1"/>
  <c r="U197" i="1" s="1"/>
  <c r="BE26" i="1"/>
  <c r="AU26" i="1"/>
  <c r="M156" i="1"/>
  <c r="H202" i="1"/>
  <c r="C148" i="1"/>
  <c r="BP98" i="1"/>
  <c r="BP99" i="1" s="1"/>
  <c r="BP104" i="1" s="1"/>
  <c r="N156" i="1"/>
  <c r="BH179" i="1"/>
  <c r="BI179" i="1" s="1"/>
  <c r="BV96" i="1"/>
  <c r="BI140" i="1"/>
  <c r="BJ202" i="1" s="1"/>
  <c r="BH128" i="1"/>
  <c r="BI128" i="1"/>
  <c r="BJ249" i="1" s="1"/>
  <c r="BH134" i="1"/>
  <c r="BI134" i="1" s="1"/>
  <c r="I182" i="1"/>
  <c r="I181" i="1" s="1"/>
  <c r="K209" i="1"/>
  <c r="I138" i="1"/>
  <c r="I244" i="1" s="1"/>
  <c r="I33" i="1"/>
  <c r="B108" i="1"/>
  <c r="B66" i="1"/>
  <c r="B107" i="1"/>
  <c r="BJ206" i="1"/>
  <c r="T37" i="1"/>
  <c r="T168" i="1"/>
  <c r="T109" i="1" s="1"/>
  <c r="U185" i="1"/>
  <c r="U184" i="1" s="1"/>
  <c r="V197" i="1"/>
  <c r="Q185" i="1"/>
  <c r="Q184" i="1" s="1"/>
  <c r="R197" i="1"/>
  <c r="M196" i="1"/>
  <c r="L182" i="1"/>
  <c r="L181" i="1" s="1"/>
  <c r="V33" i="1"/>
  <c r="V138" i="1"/>
  <c r="L196" i="1"/>
  <c r="U168" i="1"/>
  <c r="U109" i="1" s="1"/>
  <c r="V209" i="1"/>
  <c r="Q182" i="1"/>
  <c r="Q181" i="1" s="1"/>
  <c r="R196" i="1"/>
  <c r="Q157" i="1"/>
  <c r="G248" i="1"/>
  <c r="N248" i="1"/>
  <c r="BS27" i="1"/>
  <c r="BD185" i="1"/>
  <c r="BD184" i="1" s="1"/>
  <c r="I175" i="1"/>
  <c r="BQ253" i="1"/>
  <c r="BV128" i="1"/>
  <c r="BH148" i="1"/>
  <c r="BH182" i="1" s="1"/>
  <c r="J128" i="1"/>
  <c r="J168" i="1" s="1"/>
  <c r="J109" i="1" s="1"/>
  <c r="G89" i="1"/>
  <c r="L103" i="1"/>
  <c r="F108" i="1"/>
  <c r="G148" i="1"/>
  <c r="G246" i="1" s="1"/>
  <c r="T103" i="1"/>
  <c r="BF98" i="1"/>
  <c r="BF99" i="1" s="1"/>
  <c r="K87" i="1"/>
  <c r="M128" i="1"/>
  <c r="BI202" i="1"/>
  <c r="G87" i="1"/>
  <c r="AO98" i="1"/>
  <c r="AO99" i="1" s="1"/>
  <c r="BV156" i="1"/>
  <c r="BV185" i="1" s="1"/>
  <c r="BV184" i="1" s="1"/>
  <c r="E89" i="1"/>
  <c r="AY16" i="1"/>
  <c r="AY17" i="1" s="1"/>
  <c r="U206" i="1"/>
  <c r="P182" i="1"/>
  <c r="O89" i="1"/>
  <c r="BD10" i="1"/>
  <c r="AQ98" i="1"/>
  <c r="AQ99" i="1" s="1"/>
  <c r="AQ104" i="1" s="1"/>
  <c r="BV180" i="1"/>
  <c r="BW180" i="1" s="1"/>
  <c r="B128" i="1"/>
  <c r="B37" i="1" s="1"/>
  <c r="AP10" i="1"/>
  <c r="P107" i="1"/>
  <c r="I104" i="1"/>
  <c r="V103" i="1"/>
  <c r="BN98" i="1"/>
  <c r="BN99" i="1" s="1"/>
  <c r="BN104" i="1" s="1"/>
  <c r="BA98" i="1"/>
  <c r="BA99" i="1" s="1"/>
  <c r="BA104" i="1" s="1"/>
  <c r="AZ180" i="1"/>
  <c r="BA180" i="1" s="1"/>
  <c r="O138" i="1"/>
  <c r="P203" i="1" s="1"/>
  <c r="P201" i="1" s="1"/>
  <c r="BD180" i="1"/>
  <c r="BE180" i="1" s="1"/>
  <c r="BG194" i="1"/>
  <c r="BG253" i="1"/>
  <c r="J102" i="1"/>
  <c r="J85" i="1"/>
  <c r="BB253" i="1"/>
  <c r="L202" i="1"/>
  <c r="BM10" i="1"/>
  <c r="BM11" i="1" s="1"/>
  <c r="BG252" i="1"/>
  <c r="E202" i="1"/>
  <c r="J120" i="1"/>
  <c r="J248" i="1" s="1"/>
  <c r="BE252" i="1"/>
  <c r="AV179" i="1"/>
  <c r="AW179" i="1" s="1"/>
  <c r="AX183" i="1"/>
  <c r="AY183" i="1" s="1"/>
  <c r="AX179" i="1"/>
  <c r="AY179" i="1" s="1"/>
  <c r="BR183" i="1"/>
  <c r="BS183" i="1" s="1"/>
  <c r="I196" i="1"/>
  <c r="O102" i="1"/>
  <c r="O85" i="1"/>
  <c r="BR26" i="1"/>
  <c r="AV180" i="1"/>
  <c r="AW180" i="1" s="1"/>
  <c r="BP180" i="1"/>
  <c r="BQ180" i="1" s="1"/>
  <c r="BK188" i="1"/>
  <c r="BH27" i="1"/>
  <c r="AX184" i="1"/>
  <c r="BE33" i="1"/>
  <c r="AW104" i="1"/>
  <c r="BN33" i="1"/>
  <c r="BW16" i="1"/>
  <c r="BC11" i="1"/>
  <c r="AP103" i="1"/>
  <c r="BM27" i="1"/>
  <c r="BX98" i="1"/>
  <c r="BX99" i="1" s="1"/>
  <c r="BX103" i="1" s="1"/>
  <c r="AO252" i="1"/>
  <c r="BU98" i="1"/>
  <c r="BU99" i="1" s="1"/>
  <c r="BU102" i="1" s="1"/>
  <c r="AZ225" i="1"/>
  <c r="AN253" i="1"/>
  <c r="U148" i="1"/>
  <c r="AU98" i="1"/>
  <c r="AU99" i="1" s="1"/>
  <c r="AU104" i="1" s="1"/>
  <c r="BE98" i="1"/>
  <c r="BE99" i="1" s="1"/>
  <c r="BU10" i="1"/>
  <c r="O107" i="1"/>
  <c r="AP180" i="1"/>
  <c r="AQ180" i="1" s="1"/>
  <c r="BE11" i="1"/>
  <c r="BD179" i="1"/>
  <c r="BE179" i="1" s="1"/>
  <c r="AR183" i="1"/>
  <c r="AS183" i="1" s="1"/>
  <c r="F120" i="1"/>
  <c r="G207" i="1" s="1"/>
  <c r="AX98" i="1"/>
  <c r="AX99" i="1" s="1"/>
  <c r="L120" i="1"/>
  <c r="G85" i="1"/>
  <c r="G102" i="1"/>
  <c r="AX16" i="1"/>
  <c r="AX17" i="1" s="1"/>
  <c r="AX180" i="1"/>
  <c r="AY180" i="1" s="1"/>
  <c r="BP179" i="1"/>
  <c r="BQ179" i="1" s="1"/>
  <c r="BB179" i="1"/>
  <c r="BC179" i="1" s="1"/>
  <c r="S120" i="1"/>
  <c r="T207" i="1" s="1"/>
  <c r="F107" i="1"/>
  <c r="F103" i="1"/>
  <c r="F86" i="1"/>
  <c r="F89" i="1"/>
  <c r="BQ98" i="1"/>
  <c r="BQ99" i="1" s="1"/>
  <c r="BM253" i="1"/>
  <c r="BE188" i="1"/>
  <c r="BE27" i="1"/>
  <c r="BA27" i="1"/>
  <c r="T111" i="1"/>
  <c r="T114" i="1" s="1"/>
  <c r="I207" i="1"/>
  <c r="BQ27" i="1"/>
  <c r="U248" i="1"/>
  <c r="BW27" i="1"/>
  <c r="B157" i="1"/>
  <c r="B165" i="1" s="1"/>
  <c r="B244" i="1" s="1"/>
  <c r="AV27" i="1"/>
  <c r="AQ206" i="1"/>
  <c r="BP184" i="1"/>
  <c r="AZ184" i="1"/>
  <c r="BN184" i="1"/>
  <c r="BB184" i="1"/>
  <c r="BP102" i="1"/>
  <c r="BP103" i="1"/>
  <c r="BV16" i="1"/>
  <c r="BV17" i="1" s="1"/>
  <c r="BZ188" i="1"/>
  <c r="BZ11" i="1"/>
  <c r="BW12" i="1"/>
  <c r="BY225" i="1"/>
  <c r="J138" i="1"/>
  <c r="J33" i="1"/>
  <c r="AY103" i="1"/>
  <c r="AY102" i="1"/>
  <c r="AY104" i="1"/>
  <c r="Q129" i="1"/>
  <c r="Q55" i="1" s="1"/>
  <c r="Q249" i="1"/>
  <c r="Q251" i="1" s="1"/>
  <c r="Q206" i="1"/>
  <c r="Q37" i="1"/>
  <c r="BE16" i="1"/>
  <c r="BE17" i="1" s="1"/>
  <c r="BI11" i="1"/>
  <c r="BJ34" i="1"/>
  <c r="BJ38" i="1" s="1"/>
  <c r="BJ232" i="1"/>
  <c r="BJ233" i="1" s="1"/>
  <c r="BJ29" i="1"/>
  <c r="E33" i="1"/>
  <c r="E138" i="1"/>
  <c r="O129" i="1"/>
  <c r="O55" i="1" s="1"/>
  <c r="O207" i="1"/>
  <c r="BL244" i="1"/>
  <c r="BJ188" i="1"/>
  <c r="L138" i="1"/>
  <c r="L33" i="1"/>
  <c r="O197" i="1"/>
  <c r="N185" i="1"/>
  <c r="W138" i="1"/>
  <c r="X203" i="1" s="1"/>
  <c r="X201" i="1" s="1"/>
  <c r="W33" i="1"/>
  <c r="M185" i="1"/>
  <c r="M184" i="1" s="1"/>
  <c r="N197" i="1"/>
  <c r="BA103" i="1"/>
  <c r="M197" i="1"/>
  <c r="L185" i="1"/>
  <c r="L184" i="1" s="1"/>
  <c r="L157" i="1"/>
  <c r="L165" i="1" s="1"/>
  <c r="J182" i="1"/>
  <c r="J181" i="1" s="1"/>
  <c r="K196" i="1"/>
  <c r="C138" i="1"/>
  <c r="C203" i="1" s="1"/>
  <c r="C201" i="1" s="1"/>
  <c r="C33" i="1"/>
  <c r="R33" i="1"/>
  <c r="R138" i="1"/>
  <c r="W249" i="1"/>
  <c r="W251" i="1" s="1"/>
  <c r="V206" i="1"/>
  <c r="J186" i="1"/>
  <c r="AP181" i="1"/>
  <c r="AN184" i="1"/>
  <c r="BV206" i="1"/>
  <c r="BF184" i="1"/>
  <c r="AX92" i="1"/>
  <c r="AX248" i="1"/>
  <c r="AZ103" i="1"/>
  <c r="AZ104" i="1"/>
  <c r="AZ102" i="1"/>
  <c r="G92" i="1"/>
  <c r="G175" i="1"/>
  <c r="G54" i="1"/>
  <c r="BX12" i="1"/>
  <c r="CB188" i="1"/>
  <c r="BI16" i="1"/>
  <c r="BI28" i="1" s="1"/>
  <c r="M54" i="1"/>
  <c r="M92" i="1"/>
  <c r="M175" i="1"/>
  <c r="P37" i="1"/>
  <c r="P168" i="1"/>
  <c r="P109" i="1" s="1"/>
  <c r="C168" i="1"/>
  <c r="C109" i="1" s="1"/>
  <c r="C110" i="1" s="1"/>
  <c r="C113" i="1" s="1"/>
  <c r="D209" i="1"/>
  <c r="BN102" i="1"/>
  <c r="BN103" i="1"/>
  <c r="BK16" i="1"/>
  <c r="BL12" i="1"/>
  <c r="BT27" i="1"/>
  <c r="AP27" i="1"/>
  <c r="BI27" i="1"/>
  <c r="G203" i="1"/>
  <c r="G201" i="1" s="1"/>
  <c r="AS225" i="1"/>
  <c r="I206" i="1"/>
  <c r="Q248" i="1"/>
  <c r="BU225" i="1"/>
  <c r="K197" i="1"/>
  <c r="BF27" i="1"/>
  <c r="BU27" i="1"/>
  <c r="BN27" i="1"/>
  <c r="U110" i="1"/>
  <c r="U113" i="1" s="1"/>
  <c r="BH168" i="1"/>
  <c r="H206" i="1"/>
  <c r="BU188" i="1"/>
  <c r="AZ248" i="1"/>
  <c r="BP206" i="1"/>
  <c r="AV186" i="1"/>
  <c r="AT184" i="1"/>
  <c r="BS249" i="1"/>
  <c r="I92" i="1"/>
  <c r="J207" i="1"/>
  <c r="I54" i="1"/>
  <c r="P185" i="1"/>
  <c r="Q197" i="1"/>
  <c r="BZ244" i="1"/>
  <c r="CA11" i="1"/>
  <c r="CA188" i="1"/>
  <c r="BJ12" i="1"/>
  <c r="BM188" i="1"/>
  <c r="P206" i="1"/>
  <c r="P205" i="1" s="1"/>
  <c r="P249" i="1"/>
  <c r="P251" i="1" s="1"/>
  <c r="E168" i="1"/>
  <c r="E109" i="1" s="1"/>
  <c r="E37" i="1"/>
  <c r="F249" i="1"/>
  <c r="F251" i="1" s="1"/>
  <c r="F206" i="1"/>
  <c r="BB104" i="1"/>
  <c r="BB102" i="1"/>
  <c r="BB103" i="1"/>
  <c r="AQ188" i="1"/>
  <c r="AQ11" i="1"/>
  <c r="AQ16" i="1"/>
  <c r="AQ17" i="1" s="1"/>
  <c r="AR12" i="1"/>
  <c r="BM225" i="1"/>
  <c r="BL225" i="1"/>
  <c r="BY104" i="1"/>
  <c r="BY102" i="1"/>
  <c r="BY103" i="1"/>
  <c r="AZ16" i="1"/>
  <c r="AZ19" i="1" s="1"/>
  <c r="BA225" i="1"/>
  <c r="AZ12" i="1"/>
  <c r="BB225" i="1"/>
  <c r="BA12" i="1"/>
  <c r="R58" i="1"/>
  <c r="BX225" i="1"/>
  <c r="BX244" i="1"/>
  <c r="BV12" i="1"/>
  <c r="BU16" i="1"/>
  <c r="BY11" i="1"/>
  <c r="BY188" i="1"/>
  <c r="BI183" i="1"/>
  <c r="BH184" i="1"/>
  <c r="H168" i="1"/>
  <c r="H109" i="1" s="1"/>
  <c r="H110" i="1" s="1"/>
  <c r="H113" i="1" s="1"/>
  <c r="H37" i="1"/>
  <c r="AP11" i="1"/>
  <c r="AP16" i="1"/>
  <c r="AQ12" i="1"/>
  <c r="Q54" i="1"/>
  <c r="Q207" i="1"/>
  <c r="Q92" i="1"/>
  <c r="Q175" i="1"/>
  <c r="S182" i="1"/>
  <c r="S181" i="1" s="1"/>
  <c r="S157" i="1"/>
  <c r="S165" i="1" s="1"/>
  <c r="O185" i="1"/>
  <c r="O184" i="1" s="1"/>
  <c r="P197" i="1"/>
  <c r="J196" i="1"/>
  <c r="J157" i="1"/>
  <c r="J165" i="1" s="1"/>
  <c r="BQ11" i="1"/>
  <c r="BU11" i="1"/>
  <c r="BQ16" i="1"/>
  <c r="D37" i="1"/>
  <c r="D249" i="1"/>
  <c r="D251" i="1" s="1"/>
  <c r="F244" i="1"/>
  <c r="F182" i="1"/>
  <c r="F181" i="1" s="1"/>
  <c r="G196" i="1"/>
  <c r="L209" i="1"/>
  <c r="K248" i="1"/>
  <c r="BS16" i="1"/>
  <c r="BV225" i="1"/>
  <c r="BW11" i="1"/>
  <c r="N168" i="1"/>
  <c r="N109" i="1" s="1"/>
  <c r="N129" i="1"/>
  <c r="N55" i="1" s="1"/>
  <c r="AQ103" i="1"/>
  <c r="L207" i="1"/>
  <c r="K92" i="1"/>
  <c r="K95" i="1" s="1"/>
  <c r="K54" i="1"/>
  <c r="K129" i="1"/>
  <c r="K55" i="1" s="1"/>
  <c r="K207" i="1"/>
  <c r="AU16" i="1"/>
  <c r="AV12" i="1"/>
  <c r="BH103" i="1"/>
  <c r="BH104" i="1"/>
  <c r="BH102" i="1"/>
  <c r="BK225" i="1"/>
  <c r="BI12" i="1"/>
  <c r="AM193" i="1"/>
  <c r="AM195" i="1" s="1"/>
  <c r="AM66" i="1"/>
  <c r="AM69" i="1" s="1"/>
  <c r="AM87" i="1" s="1"/>
  <c r="I157" i="1"/>
  <c r="I165" i="1" s="1"/>
  <c r="J197" i="1"/>
  <c r="BG102" i="1"/>
  <c r="BG103" i="1"/>
  <c r="BX188" i="1"/>
  <c r="BW225" i="1"/>
  <c r="L37" i="1"/>
  <c r="L129" i="1"/>
  <c r="L55" i="1" s="1"/>
  <c r="AZ11" i="1"/>
  <c r="AV188" i="1"/>
  <c r="B68" i="1"/>
  <c r="B69" i="1"/>
  <c r="B87" i="1" s="1"/>
  <c r="T185" i="1"/>
  <c r="T197" i="1"/>
  <c r="BG27" i="1"/>
  <c r="BH12" i="1"/>
  <c r="BJ244" i="1"/>
  <c r="BJ225" i="1"/>
  <c r="U111" i="1"/>
  <c r="U114" i="1" s="1"/>
  <c r="N111" i="1"/>
  <c r="N114" i="1" s="1"/>
  <c r="DB65" i="1"/>
  <c r="AE63" i="1"/>
  <c r="AE65" i="1" s="1"/>
  <c r="T110" i="1"/>
  <c r="T113" i="1" s="1"/>
  <c r="BQ249" i="1"/>
  <c r="AP94" i="1"/>
  <c r="AV104" i="1"/>
  <c r="AV103" i="1"/>
  <c r="AV102" i="1"/>
  <c r="T92" i="1"/>
  <c r="T54" i="1"/>
  <c r="N110" i="1"/>
  <c r="N113" i="1" s="1"/>
  <c r="D197" i="1"/>
  <c r="AY188" i="1"/>
  <c r="E185" i="1"/>
  <c r="E184" i="1" s="1"/>
  <c r="K33" i="1"/>
  <c r="K138" i="1"/>
  <c r="W206" i="1"/>
  <c r="G33" i="1"/>
  <c r="L168" i="1"/>
  <c r="L109" i="1" s="1"/>
  <c r="AV225" i="1"/>
  <c r="BI104" i="1"/>
  <c r="E157" i="1"/>
  <c r="E165" i="1" s="1"/>
  <c r="E166" i="1" s="1"/>
  <c r="N175" i="1"/>
  <c r="P157" i="1"/>
  <c r="P165" i="1" s="1"/>
  <c r="C66" i="1"/>
  <c r="C108" i="1"/>
  <c r="C111" i="1" s="1"/>
  <c r="C114" i="1" s="1"/>
  <c r="T129" i="1"/>
  <c r="T55" i="1" s="1"/>
  <c r="M248" i="1"/>
  <c r="D206" i="1"/>
  <c r="AU188" i="1"/>
  <c r="H111" i="1"/>
  <c r="H114" i="1" s="1"/>
  <c r="AU18" i="1"/>
  <c r="I246" i="1"/>
  <c r="AR206" i="1"/>
  <c r="S244" i="1"/>
  <c r="AZ188" i="1"/>
  <c r="P58" i="1"/>
  <c r="K175" i="1"/>
  <c r="T196" i="1"/>
  <c r="T198" i="1" s="1"/>
  <c r="T199" i="1" s="1"/>
  <c r="V249" i="1"/>
  <c r="V251" i="1" s="1"/>
  <c r="Q186" i="1"/>
  <c r="BE12" i="1"/>
  <c r="BH11" i="1"/>
  <c r="BD16" i="1"/>
  <c r="T175" i="1"/>
  <c r="V157" i="1"/>
  <c r="V165" i="1" s="1"/>
  <c r="L186" i="1"/>
  <c r="I129" i="1"/>
  <c r="T248" i="1"/>
  <c r="N206" i="1"/>
  <c r="S196" i="1"/>
  <c r="AQ18" i="1"/>
  <c r="O246" i="1"/>
  <c r="J184" i="1"/>
  <c r="G244" i="1"/>
  <c r="S246" i="1"/>
  <c r="L206" i="1"/>
  <c r="O206" i="1"/>
  <c r="O205" i="1" s="1"/>
  <c r="AU225" i="1"/>
  <c r="AT225" i="1"/>
  <c r="N37" i="1"/>
  <c r="AS27" i="1"/>
  <c r="R157" i="1"/>
  <c r="BD27" i="1"/>
  <c r="E206" i="1"/>
  <c r="E205" i="1" s="1"/>
  <c r="AU103" i="1"/>
  <c r="AU102" i="1"/>
  <c r="BE28" i="1"/>
  <c r="BD11" i="1"/>
  <c r="R198" i="1"/>
  <c r="R199" i="1" s="1"/>
  <c r="AW33" i="1"/>
  <c r="S186" i="1"/>
  <c r="BT184" i="1"/>
  <c r="O248" i="1"/>
  <c r="C206" i="1"/>
  <c r="S197" i="1"/>
  <c r="Q196" i="1"/>
  <c r="Q198" i="1" s="1"/>
  <c r="Q199" i="1" s="1"/>
  <c r="C249" i="1"/>
  <c r="C251" i="1" s="1"/>
  <c r="BB27" i="1"/>
  <c r="L249" i="1"/>
  <c r="L251" i="1" s="1"/>
  <c r="AT27" i="1"/>
  <c r="O168" i="1"/>
  <c r="O109" i="1" s="1"/>
  <c r="M157" i="1"/>
  <c r="H129" i="1"/>
  <c r="H55" i="1" s="1"/>
  <c r="F37" i="1"/>
  <c r="F129" i="1"/>
  <c r="F55" i="1" s="1"/>
  <c r="F168" i="1"/>
  <c r="F109" i="1" s="1"/>
  <c r="V37" i="1"/>
  <c r="V168" i="1"/>
  <c r="V109" i="1" s="1"/>
  <c r="P181" i="1"/>
  <c r="B168" i="1"/>
  <c r="B109" i="1" s="1"/>
  <c r="BV248" i="1"/>
  <c r="F197" i="1"/>
  <c r="BI102" i="1"/>
  <c r="N196" i="1"/>
  <c r="N198" i="1" s="1"/>
  <c r="N199" i="1" s="1"/>
  <c r="BR27" i="1"/>
  <c r="AV184" i="1"/>
  <c r="K168" i="1"/>
  <c r="K109" i="1" s="1"/>
  <c r="K111" i="1" s="1"/>
  <c r="K114" i="1" s="1"/>
  <c r="AU27" i="1"/>
  <c r="AU11" i="1"/>
  <c r="AY11" i="1"/>
  <c r="N157" i="1"/>
  <c r="BL11" i="1"/>
  <c r="BH16" i="1"/>
  <c r="BI188" i="1"/>
  <c r="AR103" i="1"/>
  <c r="AR102" i="1"/>
  <c r="AR104" i="1"/>
  <c r="BV103" i="1"/>
  <c r="BV102" i="1"/>
  <c r="J110" i="1"/>
  <c r="J113" i="1" s="1"/>
  <c r="J111" i="1"/>
  <c r="J114" i="1" s="1"/>
  <c r="BH129" i="1"/>
  <c r="AM119" i="1"/>
  <c r="AM120" i="1" s="1"/>
  <c r="F157" i="1"/>
  <c r="F165" i="1" s="1"/>
  <c r="BS33" i="1"/>
  <c r="BO206" i="1"/>
  <c r="BI206" i="1"/>
  <c r="K206" i="1"/>
  <c r="AM52" i="1"/>
  <c r="M198" i="1"/>
  <c r="M199" i="1" s="1"/>
  <c r="K94" i="1"/>
  <c r="K249" i="1"/>
  <c r="K251" i="1" s="1"/>
  <c r="BH157" i="1"/>
  <c r="I197" i="1"/>
  <c r="I198" i="1" s="1"/>
  <c r="I199" i="1" s="1"/>
  <c r="I185" i="1"/>
  <c r="BZ18" i="1"/>
  <c r="U33" i="1"/>
  <c r="U138" i="1"/>
  <c r="AW16" i="1"/>
  <c r="AX188" i="1"/>
  <c r="AX12" i="1"/>
  <c r="BA11" i="1"/>
  <c r="AW188" i="1"/>
  <c r="R168" i="1"/>
  <c r="R109" i="1" s="1"/>
  <c r="R249" i="1"/>
  <c r="R251" i="1" s="1"/>
  <c r="R37" i="1"/>
  <c r="R206" i="1"/>
  <c r="R205" i="1" s="1"/>
  <c r="R129" i="1"/>
  <c r="R55" i="1" s="1"/>
  <c r="BI33" i="1"/>
  <c r="H138" i="1"/>
  <c r="H246" i="1" s="1"/>
  <c r="H33" i="1"/>
  <c r="AO103" i="1"/>
  <c r="AO102" i="1"/>
  <c r="AO104" i="1"/>
  <c r="BS104" i="1"/>
  <c r="BS102" i="1"/>
  <c r="BS103" i="1"/>
  <c r="BT104" i="1"/>
  <c r="BT103" i="1"/>
  <c r="BT102" i="1"/>
  <c r="BR102" i="1"/>
  <c r="BR104" i="1"/>
  <c r="BR103" i="1"/>
  <c r="BB138" i="1"/>
  <c r="BB246" i="1" s="1"/>
  <c r="W203" i="1"/>
  <c r="W201" i="1" s="1"/>
  <c r="O196" i="1"/>
  <c r="O198" i="1" s="1"/>
  <c r="O199" i="1" s="1"/>
  <c r="P196" i="1"/>
  <c r="O182" i="1"/>
  <c r="AS102" i="1"/>
  <c r="AS104" i="1"/>
  <c r="AS103" i="1"/>
  <c r="BU103" i="1"/>
  <c r="BU104" i="1"/>
  <c r="O157" i="1"/>
  <c r="O165" i="1" s="1"/>
  <c r="O166" i="1" s="1"/>
  <c r="D54" i="1"/>
  <c r="D175" i="1"/>
  <c r="D207" i="1"/>
  <c r="D129" i="1"/>
  <c r="D55" i="1" s="1"/>
  <c r="AQ225" i="1"/>
  <c r="AN11" i="1"/>
  <c r="O58" i="1"/>
  <c r="AO225" i="1"/>
  <c r="AN16" i="1"/>
  <c r="AN12" i="1"/>
  <c r="AN225" i="1"/>
  <c r="AO12" i="1"/>
  <c r="AR11" i="1"/>
  <c r="AP225" i="1"/>
  <c r="AN188" i="1"/>
  <c r="AL104" i="1"/>
  <c r="AL102" i="1"/>
  <c r="AL103" i="1"/>
  <c r="AX225" i="1"/>
  <c r="AN168" i="1"/>
  <c r="AO37" i="1" s="1"/>
  <c r="N138" i="1"/>
  <c r="N33" i="1"/>
  <c r="M186" i="1"/>
  <c r="M189" i="1" s="1"/>
  <c r="M190" i="1" s="1"/>
  <c r="S58" i="1"/>
  <c r="BC188" i="1"/>
  <c r="BF225" i="1"/>
  <c r="BC16" i="1"/>
  <c r="BC18" i="1" s="1"/>
  <c r="BD12" i="1"/>
  <c r="BG11" i="1"/>
  <c r="BC27" i="1"/>
  <c r="D33" i="1"/>
  <c r="D138" i="1"/>
  <c r="AM85" i="1"/>
  <c r="B86" i="1"/>
  <c r="BC33" i="1"/>
  <c r="V246" i="1"/>
  <c r="B182" i="1"/>
  <c r="C196" i="1"/>
  <c r="C198" i="1" s="1"/>
  <c r="C199" i="1" s="1"/>
  <c r="C213" i="1" s="1"/>
  <c r="R248" i="1"/>
  <c r="S209" i="1"/>
  <c r="BH92" i="1"/>
  <c r="BH248" i="1"/>
  <c r="AR27" i="1"/>
  <c r="BZ103" i="1"/>
  <c r="BZ102" i="1"/>
  <c r="BZ104" i="1"/>
  <c r="AT16" i="1"/>
  <c r="AT11" i="1"/>
  <c r="AU12" i="1"/>
  <c r="AT188" i="1"/>
  <c r="AX11" i="1"/>
  <c r="N58" i="1"/>
  <c r="AL244" i="1"/>
  <c r="AJ12" i="1"/>
  <c r="AM11" i="1"/>
  <c r="AL225" i="1"/>
  <c r="AI16" i="1"/>
  <c r="C54" i="1"/>
  <c r="C207" i="1"/>
  <c r="C205" i="1" s="1"/>
  <c r="C175" i="1"/>
  <c r="C248" i="1"/>
  <c r="AW27" i="1"/>
  <c r="Q138" i="1"/>
  <c r="Q33" i="1"/>
  <c r="AY19" i="1"/>
  <c r="B85" i="1"/>
  <c r="V244" i="1"/>
  <c r="I205" i="1"/>
  <c r="BD188" i="1"/>
  <c r="AW225" i="1"/>
  <c r="BD103" i="1"/>
  <c r="BD104" i="1"/>
  <c r="BD102" i="1"/>
  <c r="BH181" i="1"/>
  <c r="BH186" i="1"/>
  <c r="BL189" i="1" s="1"/>
  <c r="J206" i="1"/>
  <c r="J37" i="1"/>
  <c r="J249" i="1"/>
  <c r="J251" i="1" s="1"/>
  <c r="J129" i="1"/>
  <c r="J55" i="1" s="1"/>
  <c r="AI184" i="1"/>
  <c r="AX28" i="1"/>
  <c r="BT168" i="1"/>
  <c r="BU37" i="1" s="1"/>
  <c r="U54" i="1"/>
  <c r="U175" i="1"/>
  <c r="U92" i="1"/>
  <c r="U207" i="1"/>
  <c r="U205" i="1" s="1"/>
  <c r="AT102" i="1"/>
  <c r="AT104" i="1"/>
  <c r="AT103" i="1"/>
  <c r="BO27" i="1"/>
  <c r="B175" i="1"/>
  <c r="B54" i="1"/>
  <c r="BF103" i="1"/>
  <c r="BF104" i="1"/>
  <c r="BF102" i="1"/>
  <c r="M138" i="1"/>
  <c r="M33" i="1"/>
  <c r="BC12" i="1"/>
  <c r="BB11" i="1"/>
  <c r="BE225" i="1"/>
  <c r="BF11" i="1"/>
  <c r="BD225" i="1"/>
  <c r="BB12" i="1"/>
  <c r="BB188" i="1"/>
  <c r="BB16" i="1"/>
  <c r="P92" i="1"/>
  <c r="P175" i="1"/>
  <c r="P129" i="1"/>
  <c r="P54" i="1"/>
  <c r="P248" i="1"/>
  <c r="U129" i="1"/>
  <c r="U55" i="1" s="1"/>
  <c r="BK104" i="1"/>
  <c r="BK103" i="1"/>
  <c r="BK102" i="1"/>
  <c r="BW33" i="1"/>
  <c r="BW134" i="1"/>
  <c r="BV138" i="1"/>
  <c r="N249" i="1"/>
  <c r="N251" i="1" s="1"/>
  <c r="BT11" i="1"/>
  <c r="BP16" i="1"/>
  <c r="BP188" i="1"/>
  <c r="BP11" i="1"/>
  <c r="BS225" i="1"/>
  <c r="BQ12" i="1"/>
  <c r="BQ188" i="1"/>
  <c r="AY18" i="1"/>
  <c r="AY28" i="1"/>
  <c r="BP95" i="1"/>
  <c r="BC225" i="1"/>
  <c r="AV11" i="1"/>
  <c r="AR188" i="1"/>
  <c r="AS12" i="1"/>
  <c r="AR16" i="1"/>
  <c r="T209" i="1"/>
  <c r="S248" i="1"/>
  <c r="AI186" i="1"/>
  <c r="AI181" i="1"/>
  <c r="T58" i="1"/>
  <c r="BL188" i="1"/>
  <c r="BG16" i="1"/>
  <c r="BG188" i="1"/>
  <c r="BK11" i="1"/>
  <c r="K157" i="1"/>
  <c r="K182" i="1"/>
  <c r="BV168" i="1"/>
  <c r="BV129" i="1"/>
  <c r="E209" i="1"/>
  <c r="D168" i="1"/>
  <c r="D109" i="1" s="1"/>
  <c r="D248" i="1"/>
  <c r="BX102" i="1"/>
  <c r="BX104" i="1"/>
  <c r="BN12" i="1"/>
  <c r="BN225" i="1"/>
  <c r="BR11" i="1"/>
  <c r="U58" i="1"/>
  <c r="BP225" i="1"/>
  <c r="BO225" i="1"/>
  <c r="BQ225" i="1"/>
  <c r="BO12" i="1"/>
  <c r="BN188" i="1"/>
  <c r="BN16" i="1"/>
  <c r="AN27" i="1"/>
  <c r="H54" i="1"/>
  <c r="H207" i="1"/>
  <c r="H205" i="1" s="1"/>
  <c r="H248" i="1"/>
  <c r="H92" i="1"/>
  <c r="H175" i="1"/>
  <c r="R209" i="1"/>
  <c r="Q168" i="1"/>
  <c r="Q109" i="1" s="1"/>
  <c r="P246" i="1"/>
  <c r="T157" i="1"/>
  <c r="H157" i="1"/>
  <c r="H165" i="1" s="1"/>
  <c r="H182" i="1"/>
  <c r="AN102" i="1"/>
  <c r="AN103" i="1"/>
  <c r="AN104" i="1"/>
  <c r="G206" i="1"/>
  <c r="G249" i="1"/>
  <c r="G251" i="1" s="1"/>
  <c r="G129" i="1"/>
  <c r="G55" i="1" s="1"/>
  <c r="G37" i="1"/>
  <c r="G168" i="1"/>
  <c r="G109" i="1" s="1"/>
  <c r="BR12" i="1"/>
  <c r="BV11" i="1"/>
  <c r="BS12" i="1"/>
  <c r="BS188" i="1"/>
  <c r="BR188" i="1"/>
  <c r="BR16" i="1"/>
  <c r="BT225" i="1"/>
  <c r="BA19" i="1"/>
  <c r="U182" i="1"/>
  <c r="U181" i="1" s="1"/>
  <c r="U157" i="1"/>
  <c r="BP129" i="1"/>
  <c r="AZ138" i="1"/>
  <c r="BB168" i="1"/>
  <c r="T33" i="1"/>
  <c r="T138" i="1"/>
  <c r="AO16" i="1"/>
  <c r="AR225" i="1"/>
  <c r="AP188" i="1"/>
  <c r="AO11" i="1"/>
  <c r="AO188" i="1"/>
  <c r="AS11" i="1"/>
  <c r="AP12" i="1"/>
  <c r="BJ102" i="1"/>
  <c r="BJ103" i="1"/>
  <c r="BJ104" i="1"/>
  <c r="BX249" i="1"/>
  <c r="BW206" i="1"/>
  <c r="BW249" i="1"/>
  <c r="BX206" i="1"/>
  <c r="BW104" i="1"/>
  <c r="BW102" i="1"/>
  <c r="BW103" i="1"/>
  <c r="I37" i="1"/>
  <c r="I249" i="1"/>
  <c r="I251" i="1" s="1"/>
  <c r="C157" i="1"/>
  <c r="C165" i="1" s="1"/>
  <c r="C244" i="1" s="1"/>
  <c r="C182" i="1"/>
  <c r="D196" i="1"/>
  <c r="D198" i="1" s="1"/>
  <c r="D199" i="1" s="1"/>
  <c r="D182" i="1"/>
  <c r="D157" i="1"/>
  <c r="E196" i="1"/>
  <c r="E198" i="1" s="1"/>
  <c r="E199" i="1" s="1"/>
  <c r="BW188" i="1"/>
  <c r="R165" i="1"/>
  <c r="R166" i="1" s="1"/>
  <c r="M37" i="1"/>
  <c r="M206" i="1"/>
  <c r="M249" i="1"/>
  <c r="M251" i="1" s="1"/>
  <c r="M129" i="1"/>
  <c r="M55" i="1" s="1"/>
  <c r="M168" i="1"/>
  <c r="M109" i="1" s="1"/>
  <c r="BO16" i="1"/>
  <c r="BO11" i="1"/>
  <c r="BO188" i="1"/>
  <c r="BP12" i="1"/>
  <c r="BR225" i="1"/>
  <c r="V58" i="1"/>
  <c r="BS11" i="1"/>
  <c r="BO102" i="1"/>
  <c r="BO103" i="1"/>
  <c r="BO104" i="1"/>
  <c r="H197" i="1"/>
  <c r="G185" i="1"/>
  <c r="G184" i="1" s="1"/>
  <c r="BA33" i="1"/>
  <c r="AP206" i="1"/>
  <c r="U196" i="1"/>
  <c r="V196" i="1"/>
  <c r="V198" i="1" s="1"/>
  <c r="V199" i="1" s="1"/>
  <c r="BH188" i="1"/>
  <c r="BL104" i="1"/>
  <c r="BL102" i="1"/>
  <c r="BL103" i="1"/>
  <c r="F185" i="1"/>
  <c r="G197" i="1"/>
  <c r="G182" i="1"/>
  <c r="G157" i="1"/>
  <c r="G165" i="1" s="1"/>
  <c r="H196" i="1"/>
  <c r="I168" i="1"/>
  <c r="I109" i="1" s="1"/>
  <c r="AW12" i="1"/>
  <c r="AY225" i="1"/>
  <c r="Q58" i="1"/>
  <c r="AV16" i="1"/>
  <c r="S37" i="1"/>
  <c r="S129" i="1"/>
  <c r="S55" i="1" s="1"/>
  <c r="S206" i="1"/>
  <c r="S249" i="1"/>
  <c r="S251" i="1" s="1"/>
  <c r="T249" i="1"/>
  <c r="T251" i="1" s="1"/>
  <c r="S168" i="1"/>
  <c r="S109" i="1" s="1"/>
  <c r="S111" i="1" s="1"/>
  <c r="S114" i="1" s="1"/>
  <c r="T206" i="1"/>
  <c r="BG225" i="1"/>
  <c r="BI225" i="1"/>
  <c r="BG12" i="1"/>
  <c r="BJ11" i="1"/>
  <c r="BF16" i="1"/>
  <c r="BF12" i="1"/>
  <c r="BF188" i="1"/>
  <c r="K185" i="1"/>
  <c r="K184" i="1" s="1"/>
  <c r="L197" i="1"/>
  <c r="L198" i="1" s="1"/>
  <c r="L199" i="1" s="1"/>
  <c r="BA28" i="1"/>
  <c r="R54" i="1"/>
  <c r="S207" i="1"/>
  <c r="R92" i="1"/>
  <c r="R175" i="1"/>
  <c r="BV188" i="1"/>
  <c r="H249" i="1"/>
  <c r="H251" i="1" s="1"/>
  <c r="BA188" i="1"/>
  <c r="C129" i="1"/>
  <c r="C55" i="1" s="1"/>
  <c r="V182" i="1"/>
  <c r="BH225" i="1"/>
  <c r="BM104" i="1"/>
  <c r="BM102" i="1"/>
  <c r="BM103" i="1"/>
  <c r="BC104" i="1"/>
  <c r="BC103" i="1"/>
  <c r="BC102" i="1"/>
  <c r="V207" i="1"/>
  <c r="V248" i="1"/>
  <c r="V92" i="1"/>
  <c r="V54" i="1"/>
  <c r="V129" i="1"/>
  <c r="V55" i="1" s="1"/>
  <c r="BV157" i="1"/>
  <c r="BV182" i="1"/>
  <c r="C209" i="1"/>
  <c r="B248" i="1"/>
  <c r="N54" i="1"/>
  <c r="N207" i="1"/>
  <c r="N92" i="1"/>
  <c r="BT12" i="1"/>
  <c r="BT188" i="1"/>
  <c r="W58" i="1"/>
  <c r="BX11" i="1"/>
  <c r="BT16" i="1"/>
  <c r="BU12" i="1"/>
  <c r="AS16" i="1"/>
  <c r="AW11" i="1"/>
  <c r="AT12" i="1"/>
  <c r="AS188" i="1"/>
  <c r="BO249" i="1"/>
  <c r="BP249" i="1"/>
  <c r="BP96" i="1"/>
  <c r="BN206" i="1"/>
  <c r="AN249" i="1"/>
  <c r="AO249" i="1"/>
  <c r="AP129" i="1"/>
  <c r="R186" i="1"/>
  <c r="AZ92" i="1"/>
  <c r="AZ95" i="1" s="1"/>
  <c r="AO206" i="1"/>
  <c r="AU249" i="1"/>
  <c r="BR138" i="1"/>
  <c r="BR246" i="1" s="1"/>
  <c r="BF129" i="1"/>
  <c r="BF206" i="1"/>
  <c r="AN248" i="1"/>
  <c r="BA249" i="1"/>
  <c r="AQ134" i="1"/>
  <c r="AR33" i="1" s="1"/>
  <c r="BD138" i="1"/>
  <c r="BD244" i="1" s="1"/>
  <c r="K96" i="1"/>
  <c r="AV206" i="1"/>
  <c r="AP249" i="1"/>
  <c r="BP248" i="1"/>
  <c r="AW134" i="1"/>
  <c r="L166" i="1"/>
  <c r="BF249" i="1"/>
  <c r="AX206" i="1"/>
  <c r="BT129" i="1"/>
  <c r="BR157" i="1"/>
  <c r="AX129" i="1"/>
  <c r="AV249" i="1"/>
  <c r="AZ129" i="1"/>
  <c r="BB95" i="1"/>
  <c r="AX94" i="1"/>
  <c r="AX96" i="1"/>
  <c r="AX95" i="1"/>
  <c r="BD248" i="1"/>
  <c r="AW202" i="1"/>
  <c r="BC206" i="1"/>
  <c r="O94" i="1"/>
  <c r="O96" i="1"/>
  <c r="O95" i="1"/>
  <c r="BF248" i="1"/>
  <c r="BE249" i="1"/>
  <c r="AZ157" i="1"/>
  <c r="AP96" i="1"/>
  <c r="BF168" i="1"/>
  <c r="BG37" i="1" s="1"/>
  <c r="AX138" i="1"/>
  <c r="AX246" i="1" s="1"/>
  <c r="BR249" i="1"/>
  <c r="BR168" i="1"/>
  <c r="BS37" i="1" s="1"/>
  <c r="AN129" i="1"/>
  <c r="AR248" i="1"/>
  <c r="AP168" i="1"/>
  <c r="AQ37" i="1" s="1"/>
  <c r="BT249" i="1"/>
  <c r="BE206" i="1"/>
  <c r="E94" i="1"/>
  <c r="E95" i="1"/>
  <c r="E96" i="1"/>
  <c r="AT96" i="1"/>
  <c r="BN138" i="1"/>
  <c r="BN246" i="1" s="1"/>
  <c r="AV157" i="1"/>
  <c r="AV165" i="1" s="1"/>
  <c r="BP138" i="1"/>
  <c r="BP244" i="1" s="1"/>
  <c r="BU33" i="1"/>
  <c r="BC249" i="1"/>
  <c r="AW249" i="1"/>
  <c r="AY134" i="1"/>
  <c r="AZ33" i="1" s="1"/>
  <c r="BQ206" i="1"/>
  <c r="AU206" i="1"/>
  <c r="BO202" i="1"/>
  <c r="BN248" i="1"/>
  <c r="BO33" i="1"/>
  <c r="AQ33" i="1"/>
  <c r="BE134" i="1"/>
  <c r="BF33" i="1" s="1"/>
  <c r="BG134" i="1"/>
  <c r="BG138" i="1" s="1"/>
  <c r="AT248" i="1"/>
  <c r="BN129" i="1"/>
  <c r="AN138" i="1"/>
  <c r="AN244" i="1" s="1"/>
  <c r="AQ249" i="1"/>
  <c r="AU134" i="1"/>
  <c r="AV33" i="1" s="1"/>
  <c r="AT94" i="1"/>
  <c r="BF157" i="1"/>
  <c r="BG206" i="1"/>
  <c r="BB206" i="1"/>
  <c r="BQ134" i="1"/>
  <c r="BR33" i="1" s="1"/>
  <c r="AS249" i="1"/>
  <c r="AY206" i="1"/>
  <c r="AT157" i="1"/>
  <c r="AT165" i="1" s="1"/>
  <c r="BB129" i="1"/>
  <c r="AY249" i="1"/>
  <c r="BH249" i="1"/>
  <c r="AV248" i="1"/>
  <c r="AZ249" i="1"/>
  <c r="BB248" i="1"/>
  <c r="BB94" i="1"/>
  <c r="BU134" i="1"/>
  <c r="BV33" i="1" s="1"/>
  <c r="BN168" i="1"/>
  <c r="BN109" i="1" s="1"/>
  <c r="BD157" i="1"/>
  <c r="AZ206" i="1"/>
  <c r="BS206" i="1"/>
  <c r="BT248" i="1"/>
  <c r="BU206" i="1"/>
  <c r="AR157" i="1"/>
  <c r="BG249" i="1"/>
  <c r="AT206" i="1"/>
  <c r="AU33" i="1"/>
  <c r="BR94" i="1"/>
  <c r="BR182" i="1"/>
  <c r="BR186" i="1" s="1"/>
  <c r="BF92" i="1"/>
  <c r="BF95" i="1" s="1"/>
  <c r="BR248" i="1"/>
  <c r="AP248" i="1"/>
  <c r="BR206" i="1"/>
  <c r="BB249" i="1"/>
  <c r="AT249" i="1"/>
  <c r="AZ168" i="1"/>
  <c r="AZ109" i="1" s="1"/>
  <c r="AW206" i="1"/>
  <c r="BP168" i="1"/>
  <c r="BQ37" i="1" s="1"/>
  <c r="BF138" i="1"/>
  <c r="BF244" i="1" s="1"/>
  <c r="AO33" i="1"/>
  <c r="AV168" i="1"/>
  <c r="AV109" i="1" s="1"/>
  <c r="BR95" i="1"/>
  <c r="BA206" i="1"/>
  <c r="AX249" i="1"/>
  <c r="BR129" i="1"/>
  <c r="BN157" i="1"/>
  <c r="AV129" i="1"/>
  <c r="AP157" i="1"/>
  <c r="AP165" i="1" s="1"/>
  <c r="BT206" i="1"/>
  <c r="AX168" i="1"/>
  <c r="AX109" i="1" s="1"/>
  <c r="AR168" i="1"/>
  <c r="AS37" i="1" s="1"/>
  <c r="BB157" i="1"/>
  <c r="AT168" i="1"/>
  <c r="AU37" i="1" s="1"/>
  <c r="BD129" i="1"/>
  <c r="BU249" i="1"/>
  <c r="BD168" i="1"/>
  <c r="BE37" i="1" s="1"/>
  <c r="BD206" i="1"/>
  <c r="AT129" i="1"/>
  <c r="BV249" i="1"/>
  <c r="BD92" i="1"/>
  <c r="BD94" i="1" s="1"/>
  <c r="AS206" i="1"/>
  <c r="AR249" i="1"/>
  <c r="BD249" i="1"/>
  <c r="AN157" i="1"/>
  <c r="BT157" i="1"/>
  <c r="BT165" i="1" s="1"/>
  <c r="AX157" i="1"/>
  <c r="BP157" i="1"/>
  <c r="BP186" i="1"/>
  <c r="BP189" i="1" s="1"/>
  <c r="AR129" i="1"/>
  <c r="AS134" i="1"/>
  <c r="AS33" i="1"/>
  <c r="AR138" i="1"/>
  <c r="BS138" i="1"/>
  <c r="BT33" i="1"/>
  <c r="AP33" i="1"/>
  <c r="AO138" i="1"/>
  <c r="AN94" i="1"/>
  <c r="AN96" i="1"/>
  <c r="D85" i="1"/>
  <c r="D86" i="1"/>
  <c r="D87" i="1"/>
  <c r="C89" i="1"/>
  <c r="E70" i="1"/>
  <c r="BN96" i="1"/>
  <c r="BN95" i="1"/>
  <c r="BN94" i="1"/>
  <c r="AP246" i="1"/>
  <c r="AP244" i="1"/>
  <c r="BD33" i="1"/>
  <c r="BC138" i="1"/>
  <c r="BT246" i="1"/>
  <c r="BT244" i="1"/>
  <c r="BA138" i="1"/>
  <c r="BB33" i="1"/>
  <c r="AN181" i="1"/>
  <c r="AN186" i="1"/>
  <c r="AV244" i="1"/>
  <c r="AV246" i="1"/>
  <c r="AR94" i="1"/>
  <c r="AR96" i="1"/>
  <c r="AR95" i="1"/>
  <c r="AT186" i="1"/>
  <c r="AT181" i="1"/>
  <c r="AR186" i="1"/>
  <c r="AR184" i="1"/>
  <c r="AV96" i="1"/>
  <c r="AV94" i="1"/>
  <c r="AV95" i="1"/>
  <c r="BP33" i="1"/>
  <c r="BO138" i="1"/>
  <c r="AT246" i="1"/>
  <c r="AT24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AV181" i="1"/>
  <c r="BN181" i="1"/>
  <c r="BN186" i="1"/>
  <c r="BB186" i="1"/>
  <c r="BB181" i="1"/>
  <c r="BD181" i="1"/>
  <c r="BD186" i="1"/>
  <c r="BT186" i="1"/>
  <c r="BT181" i="1"/>
  <c r="AZ186" i="1"/>
  <c r="AZ181" i="1"/>
  <c r="CR134" i="1"/>
  <c r="AE142" i="1"/>
  <c r="AC124" i="1"/>
  <c r="BV94" i="1" l="1"/>
  <c r="BV95" i="1"/>
  <c r="U198" i="1"/>
  <c r="U199" i="1" s="1"/>
  <c r="F246" i="1"/>
  <c r="O249" i="1"/>
  <c r="O251" i="1" s="1"/>
  <c r="K198" i="1"/>
  <c r="K199" i="1" s="1"/>
  <c r="G205" i="1"/>
  <c r="BI249" i="1"/>
  <c r="F198" i="1"/>
  <c r="F199" i="1" s="1"/>
  <c r="F196" i="1"/>
  <c r="BH138" i="1"/>
  <c r="BH244" i="1" s="1"/>
  <c r="BH206" i="1"/>
  <c r="AM86" i="1"/>
  <c r="H244" i="1"/>
  <c r="BI18" i="1"/>
  <c r="B129" i="1"/>
  <c r="B55" i="1" s="1"/>
  <c r="AQ102" i="1"/>
  <c r="BA102" i="1"/>
  <c r="BQ103" i="1"/>
  <c r="BQ102" i="1"/>
  <c r="BQ104" i="1"/>
  <c r="L92" i="1"/>
  <c r="L248" i="1"/>
  <c r="L175" i="1"/>
  <c r="L54" i="1"/>
  <c r="BW17" i="1"/>
  <c r="BW28" i="1"/>
  <c r="X59" i="1"/>
  <c r="CA18" i="1"/>
  <c r="BX19" i="1"/>
  <c r="BP181" i="1"/>
  <c r="J54" i="1"/>
  <c r="J175" i="1"/>
  <c r="J92" i="1"/>
  <c r="M207" i="1"/>
  <c r="O244" i="1"/>
  <c r="S54" i="1"/>
  <c r="S92" i="1"/>
  <c r="AX102" i="1"/>
  <c r="AX104" i="1"/>
  <c r="AX103" i="1"/>
  <c r="BE102" i="1"/>
  <c r="BE104" i="1"/>
  <c r="BE103" i="1"/>
  <c r="S175" i="1"/>
  <c r="E186" i="1"/>
  <c r="BE18" i="1"/>
  <c r="K205" i="1"/>
  <c r="AQ28" i="1"/>
  <c r="AQ232" i="1" s="1"/>
  <c r="AQ233" i="1" s="1"/>
  <c r="L205" i="1"/>
  <c r="Q205" i="1"/>
  <c r="F248" i="1"/>
  <c r="F92" i="1"/>
  <c r="F207" i="1"/>
  <c r="F205" i="1" s="1"/>
  <c r="F54" i="1"/>
  <c r="F175" i="1"/>
  <c r="BR184" i="1"/>
  <c r="M205" i="1"/>
  <c r="S189" i="1"/>
  <c r="S190" i="1" s="1"/>
  <c r="BJ40" i="1"/>
  <c r="BJ41" i="1"/>
  <c r="BM12" i="1"/>
  <c r="BM16" i="1"/>
  <c r="BW19" i="1"/>
  <c r="BV28" i="1"/>
  <c r="J203" i="1"/>
  <c r="J201" i="1" s="1"/>
  <c r="J244" i="1"/>
  <c r="J246" i="1"/>
  <c r="F203" i="1"/>
  <c r="F201" i="1" s="1"/>
  <c r="F213" i="1" s="1"/>
  <c r="E246" i="1"/>
  <c r="E244" i="1"/>
  <c r="L246" i="1"/>
  <c r="L244" i="1"/>
  <c r="N186" i="1"/>
  <c r="N189" i="1" s="1"/>
  <c r="N190" i="1" s="1"/>
  <c r="N184" i="1"/>
  <c r="F166" i="1"/>
  <c r="P198" i="1"/>
  <c r="P199" i="1" s="1"/>
  <c r="P213" i="1" s="1"/>
  <c r="J205" i="1"/>
  <c r="R59" i="1"/>
  <c r="G166" i="1"/>
  <c r="V205" i="1"/>
  <c r="S203" i="1"/>
  <c r="S201" i="1" s="1"/>
  <c r="R244" i="1"/>
  <c r="R246" i="1"/>
  <c r="BH109" i="1"/>
  <c r="BH110" i="1" s="1"/>
  <c r="BI37" i="1"/>
  <c r="BY18" i="1"/>
  <c r="BV19" i="1"/>
  <c r="BU28" i="1"/>
  <c r="BU18" i="1"/>
  <c r="BU17" i="1"/>
  <c r="Q96" i="1"/>
  <c r="Q95" i="1"/>
  <c r="Q94" i="1"/>
  <c r="BW18" i="1"/>
  <c r="BS28" i="1"/>
  <c r="BS17" i="1"/>
  <c r="AU17" i="1"/>
  <c r="AU28" i="1"/>
  <c r="L111" i="1"/>
  <c r="L114" i="1" s="1"/>
  <c r="L110" i="1"/>
  <c r="L113" i="1" s="1"/>
  <c r="BJ31" i="1"/>
  <c r="BJ250" i="1"/>
  <c r="BJ251" i="1" s="1"/>
  <c r="BI34" i="1"/>
  <c r="BI38" i="1" s="1"/>
  <c r="BI29" i="1"/>
  <c r="BI232" i="1"/>
  <c r="BI233" i="1" s="1"/>
  <c r="I55" i="1"/>
  <c r="I166" i="1"/>
  <c r="BE232" i="1"/>
  <c r="BE233" i="1" s="1"/>
  <c r="BE34" i="1"/>
  <c r="BE38" i="1" s="1"/>
  <c r="AX232" i="1"/>
  <c r="AX233" i="1" s="1"/>
  <c r="AY31" i="1"/>
  <c r="AY232" i="1"/>
  <c r="AY233" i="1" s="1"/>
  <c r="AY250" i="1"/>
  <c r="AY251" i="1" s="1"/>
  <c r="G198" i="1"/>
  <c r="G199" i="1" s="1"/>
  <c r="G213" i="1" s="1"/>
  <c r="T205" i="1"/>
  <c r="AZ189" i="1"/>
  <c r="I94" i="1"/>
  <c r="I95" i="1"/>
  <c r="I96" i="1"/>
  <c r="P184" i="1"/>
  <c r="P186" i="1"/>
  <c r="Q189" i="1" s="1"/>
  <c r="Q190" i="1" s="1"/>
  <c r="T184" i="1"/>
  <c r="T186" i="1"/>
  <c r="T189" i="1" s="1"/>
  <c r="T190" i="1" s="1"/>
  <c r="BH111" i="1"/>
  <c r="G96" i="1"/>
  <c r="G94" i="1"/>
  <c r="G95" i="1"/>
  <c r="BJ19" i="1"/>
  <c r="BM18" i="1"/>
  <c r="BI17" i="1"/>
  <c r="M95" i="1"/>
  <c r="M96" i="1"/>
  <c r="M94" i="1"/>
  <c r="P110" i="1"/>
  <c r="P113" i="1" s="1"/>
  <c r="P111" i="1"/>
  <c r="P114" i="1" s="1"/>
  <c r="BK17" i="1"/>
  <c r="BK28" i="1"/>
  <c r="BL19" i="1"/>
  <c r="BK19" i="1"/>
  <c r="E110" i="1"/>
  <c r="E113" i="1" s="1"/>
  <c r="E111" i="1"/>
  <c r="E114" i="1" s="1"/>
  <c r="AZ28" i="1"/>
  <c r="BA31" i="1" s="1"/>
  <c r="AZ17" i="1"/>
  <c r="AP17" i="1"/>
  <c r="AP18" i="1"/>
  <c r="AP28" i="1"/>
  <c r="BQ28" i="1"/>
  <c r="BQ17" i="1"/>
  <c r="BQ18" i="1"/>
  <c r="AQ19" i="1"/>
  <c r="J198" i="1"/>
  <c r="J199" i="1" s="1"/>
  <c r="D205" i="1"/>
  <c r="N205" i="1"/>
  <c r="AP166" i="1"/>
  <c r="O110" i="1"/>
  <c r="O113" i="1" s="1"/>
  <c r="O111" i="1"/>
  <c r="O114" i="1" s="1"/>
  <c r="V110" i="1"/>
  <c r="V113" i="1" s="1"/>
  <c r="V111" i="1"/>
  <c r="V114" i="1" s="1"/>
  <c r="B111" i="1"/>
  <c r="B114" i="1" s="1"/>
  <c r="B110" i="1"/>
  <c r="B113" i="1" s="1"/>
  <c r="AM54" i="1"/>
  <c r="AM207" i="1"/>
  <c r="AM205" i="1" s="1"/>
  <c r="AZ244" i="1"/>
  <c r="AZ246" i="1"/>
  <c r="BB109" i="1"/>
  <c r="BC37" i="1"/>
  <c r="AW138" i="1"/>
  <c r="AX33" i="1"/>
  <c r="BP165" i="1"/>
  <c r="BP166" i="1" s="1"/>
  <c r="BH33" i="1"/>
  <c r="BT166" i="1"/>
  <c r="P210" i="1"/>
  <c r="P211" i="1" s="1"/>
  <c r="BA112" i="1"/>
  <c r="BE29" i="1"/>
  <c r="AY34" i="1"/>
  <c r="AY38" i="1" s="1"/>
  <c r="AQ250" i="1"/>
  <c r="AQ251" i="1" s="1"/>
  <c r="H166" i="1"/>
  <c r="AY29" i="1"/>
  <c r="BA226" i="1"/>
  <c r="BF94" i="1"/>
  <c r="AZ94" i="1"/>
  <c r="BT109" i="1"/>
  <c r="BT111" i="1" s="1"/>
  <c r="C166" i="1"/>
  <c r="S198" i="1"/>
  <c r="S199" i="1" s="1"/>
  <c r="S213" i="1" s="1"/>
  <c r="AQ31" i="1"/>
  <c r="C210" i="1"/>
  <c r="C211" i="1" s="1"/>
  <c r="BI30" i="1"/>
  <c r="AQ30" i="1"/>
  <c r="BF96" i="1"/>
  <c r="AZ96" i="1"/>
  <c r="F111" i="1"/>
  <c r="F114" i="1" s="1"/>
  <c r="F110" i="1"/>
  <c r="F113" i="1" s="1"/>
  <c r="AQ34" i="1"/>
  <c r="AQ38" i="1" s="1"/>
  <c r="AU30" i="1"/>
  <c r="BH28" i="1"/>
  <c r="BI19" i="1"/>
  <c r="BH17" i="1"/>
  <c r="BL18" i="1"/>
  <c r="K203" i="1"/>
  <c r="K201" i="1" s="1"/>
  <c r="K246" i="1"/>
  <c r="L203" i="1"/>
  <c r="L201" i="1" s="1"/>
  <c r="L213" i="1" s="1"/>
  <c r="T95" i="1"/>
  <c r="T94" i="1"/>
  <c r="T96" i="1"/>
  <c r="AQ29" i="1"/>
  <c r="AX29" i="1"/>
  <c r="BP246" i="1"/>
  <c r="K165" i="1"/>
  <c r="K166" i="1" s="1"/>
  <c r="BE19" i="1"/>
  <c r="BD17" i="1"/>
  <c r="BD28" i="1"/>
  <c r="BD18" i="1"/>
  <c r="BH18" i="1"/>
  <c r="C68" i="1"/>
  <c r="C69" i="1"/>
  <c r="B166" i="1"/>
  <c r="AX34" i="1"/>
  <c r="AX38" i="1" s="1"/>
  <c r="BR109" i="1"/>
  <c r="AZ165" i="1"/>
  <c r="AZ166" i="1" s="1"/>
  <c r="R189" i="1"/>
  <c r="R190" i="1" s="1"/>
  <c r="S166" i="1"/>
  <c r="K244" i="1"/>
  <c r="BE30" i="1"/>
  <c r="K110" i="1"/>
  <c r="K113" i="1" s="1"/>
  <c r="F210" i="1"/>
  <c r="F211" i="1" s="1"/>
  <c r="J166" i="1"/>
  <c r="G210" i="1"/>
  <c r="G211" i="1" s="1"/>
  <c r="AM129" i="1"/>
  <c r="AM55" i="1" s="1"/>
  <c r="AM92" i="1"/>
  <c r="BR165" i="1"/>
  <c r="BR166" i="1" s="1"/>
  <c r="BN165" i="1"/>
  <c r="BN166" i="1" s="1"/>
  <c r="H198" i="1"/>
  <c r="H199" i="1" s="1"/>
  <c r="U186" i="1"/>
  <c r="U189" i="1" s="1"/>
  <c r="U190" i="1" s="1"/>
  <c r="I184" i="1"/>
  <c r="I186" i="1"/>
  <c r="J189" i="1" s="1"/>
  <c r="J190" i="1" s="1"/>
  <c r="BR244" i="1"/>
  <c r="L210" i="1"/>
  <c r="L211" i="1" s="1"/>
  <c r="K181" i="1"/>
  <c r="K186" i="1"/>
  <c r="N59" i="1"/>
  <c r="AI17" i="1"/>
  <c r="AJ19" i="1"/>
  <c r="AI28" i="1"/>
  <c r="AM18" i="1"/>
  <c r="BU138" i="1"/>
  <c r="BV203" i="1" s="1"/>
  <c r="BV201" i="1" s="1"/>
  <c r="N95" i="1"/>
  <c r="N96" i="1"/>
  <c r="N94" i="1"/>
  <c r="H94" i="1"/>
  <c r="H96" i="1"/>
  <c r="H95" i="1"/>
  <c r="BT18" i="1"/>
  <c r="BP17" i="1"/>
  <c r="BP28" i="1"/>
  <c r="BP18" i="1"/>
  <c r="BQ19" i="1"/>
  <c r="U95" i="1"/>
  <c r="U96" i="1"/>
  <c r="U94" i="1"/>
  <c r="BF109" i="1"/>
  <c r="BF111" i="1" s="1"/>
  <c r="BF165" i="1"/>
  <c r="BF166" i="1" s="1"/>
  <c r="R96" i="1"/>
  <c r="R94" i="1"/>
  <c r="R95" i="1"/>
  <c r="I110" i="1"/>
  <c r="I113" i="1" s="1"/>
  <c r="I111" i="1"/>
  <c r="I114" i="1" s="1"/>
  <c r="BV18" i="1"/>
  <c r="BR17" i="1"/>
  <c r="BS19" i="1"/>
  <c r="BR19" i="1"/>
  <c r="BR28" i="1"/>
  <c r="P55" i="1"/>
  <c r="P166" i="1"/>
  <c r="M203" i="1"/>
  <c r="M201" i="1" s="1"/>
  <c r="M244" i="1"/>
  <c r="M246" i="1"/>
  <c r="N203" i="1"/>
  <c r="N201" i="1" s="1"/>
  <c r="N213" i="1" s="1"/>
  <c r="M165" i="1"/>
  <c r="M166" i="1" s="1"/>
  <c r="N244" i="1"/>
  <c r="N246" i="1"/>
  <c r="N165" i="1"/>
  <c r="N166" i="1" s="1"/>
  <c r="O203" i="1"/>
  <c r="O201" i="1" s="1"/>
  <c r="AN28" i="1"/>
  <c r="AO19" i="1"/>
  <c r="AN18" i="1"/>
  <c r="AR18" i="1"/>
  <c r="O59" i="1"/>
  <c r="AN17" i="1"/>
  <c r="AN19" i="1"/>
  <c r="I203" i="1"/>
  <c r="I201" i="1" s="1"/>
  <c r="H203" i="1"/>
  <c r="H201" i="1" s="1"/>
  <c r="D203" i="1"/>
  <c r="D201" i="1" s="1"/>
  <c r="D213" i="1" s="1"/>
  <c r="E203" i="1"/>
  <c r="E201" i="1" s="1"/>
  <c r="E210" i="1" s="1"/>
  <c r="E211" i="1" s="1"/>
  <c r="BA232" i="1"/>
  <c r="BA233" i="1" s="1"/>
  <c r="BA34" i="1"/>
  <c r="BA38" i="1" s="1"/>
  <c r="BA29" i="1"/>
  <c r="G181" i="1"/>
  <c r="G186" i="1"/>
  <c r="D181" i="1"/>
  <c r="D186" i="1"/>
  <c r="E189" i="1" s="1"/>
  <c r="E190" i="1" s="1"/>
  <c r="BV246" i="1"/>
  <c r="BV244" i="1"/>
  <c r="BB17" i="1"/>
  <c r="BB28" i="1"/>
  <c r="BF18" i="1"/>
  <c r="BB18" i="1"/>
  <c r="BC19" i="1"/>
  <c r="BH246" i="1"/>
  <c r="U244" i="1"/>
  <c r="V203" i="1"/>
  <c r="V201" i="1" s="1"/>
  <c r="V210" i="1" s="1"/>
  <c r="V211" i="1" s="1"/>
  <c r="AS18" i="1"/>
  <c r="AO28" i="1"/>
  <c r="AO17" i="1"/>
  <c r="AO18" i="1"/>
  <c r="AP19" i="1"/>
  <c r="T246" i="1"/>
  <c r="T203" i="1"/>
  <c r="T201" i="1" s="1"/>
  <c r="T213" i="1" s="1"/>
  <c r="U203" i="1"/>
  <c r="U201" i="1" s="1"/>
  <c r="U210" i="1" s="1"/>
  <c r="U211" i="1" s="1"/>
  <c r="T244" i="1"/>
  <c r="AW18" i="1"/>
  <c r="AT19" i="1"/>
  <c r="AS17" i="1"/>
  <c r="AS28" i="1"/>
  <c r="BV181" i="1"/>
  <c r="BV186" i="1"/>
  <c r="BZ189" i="1" s="1"/>
  <c r="U59" i="1"/>
  <c r="BN17" i="1"/>
  <c r="BN18" i="1"/>
  <c r="BN28" i="1"/>
  <c r="BN19" i="1"/>
  <c r="BO19" i="1"/>
  <c r="BR18" i="1"/>
  <c r="BW138" i="1"/>
  <c r="BX33" i="1"/>
  <c r="BB19" i="1"/>
  <c r="Q203" i="1"/>
  <c r="Q201" i="1" s="1"/>
  <c r="Q244" i="1"/>
  <c r="Q246" i="1"/>
  <c r="R203" i="1"/>
  <c r="R201" i="1" s="1"/>
  <c r="BI138" i="1"/>
  <c r="BJ33" i="1"/>
  <c r="BP109" i="1"/>
  <c r="BP110" i="1" s="1"/>
  <c r="BV165" i="1"/>
  <c r="BV166" i="1" s="1"/>
  <c r="S205" i="1"/>
  <c r="F184" i="1"/>
  <c r="F186" i="1"/>
  <c r="F189" i="1" s="1"/>
  <c r="F190" i="1" s="1"/>
  <c r="BO17" i="1"/>
  <c r="V59" i="1"/>
  <c r="BO18" i="1"/>
  <c r="BP19" i="1"/>
  <c r="BO28" i="1"/>
  <c r="BS18" i="1"/>
  <c r="C181" i="1"/>
  <c r="C186" i="1"/>
  <c r="O181" i="1"/>
  <c r="O186" i="1"/>
  <c r="D165" i="1"/>
  <c r="BH96" i="1"/>
  <c r="BH94" i="1"/>
  <c r="BH95" i="1"/>
  <c r="AT166" i="1"/>
  <c r="BT19" i="1"/>
  <c r="BU19" i="1"/>
  <c r="BX18" i="1"/>
  <c r="BT28" i="1"/>
  <c r="BV226" i="1" s="1"/>
  <c r="BT17" i="1"/>
  <c r="V181" i="1"/>
  <c r="V186" i="1"/>
  <c r="M111" i="1"/>
  <c r="M114" i="1" s="1"/>
  <c r="M110" i="1"/>
  <c r="M113" i="1" s="1"/>
  <c r="G110" i="1"/>
  <c r="G113" i="1" s="1"/>
  <c r="G111" i="1"/>
  <c r="G114" i="1" s="1"/>
  <c r="T165" i="1"/>
  <c r="T166" i="1" s="1"/>
  <c r="D110" i="1"/>
  <c r="D113" i="1" s="1"/>
  <c r="D111" i="1"/>
  <c r="D114" i="1" s="1"/>
  <c r="B186" i="1"/>
  <c r="B181" i="1"/>
  <c r="BD19" i="1"/>
  <c r="S59" i="1"/>
  <c r="BC28" i="1"/>
  <c r="BC17" i="1"/>
  <c r="BG18" i="1"/>
  <c r="V166" i="1"/>
  <c r="BA18" i="1"/>
  <c r="AW17" i="1"/>
  <c r="AW28" i="1"/>
  <c r="AX19" i="1"/>
  <c r="S110" i="1"/>
  <c r="S113" i="1" s="1"/>
  <c r="AN109" i="1"/>
  <c r="AN111" i="1" s="1"/>
  <c r="BH165" i="1"/>
  <c r="BH166" i="1" s="1"/>
  <c r="U246" i="1"/>
  <c r="T59" i="1"/>
  <c r="BG28" i="1"/>
  <c r="BH19" i="1"/>
  <c r="BK18" i="1"/>
  <c r="BG17" i="1"/>
  <c r="BB244" i="1"/>
  <c r="BD165" i="1"/>
  <c r="BD166" i="1" s="1"/>
  <c r="V95" i="1"/>
  <c r="V94" i="1"/>
  <c r="V96" i="1"/>
  <c r="BF28" i="1"/>
  <c r="BF17" i="1"/>
  <c r="BJ18" i="1"/>
  <c r="BF19" i="1"/>
  <c r="BG19" i="1"/>
  <c r="AW19" i="1"/>
  <c r="AZ18" i="1"/>
  <c r="Q59" i="1"/>
  <c r="AV17" i="1"/>
  <c r="AV19" i="1"/>
  <c r="AV28" i="1"/>
  <c r="U165" i="1"/>
  <c r="U166" i="1" s="1"/>
  <c r="Q111" i="1"/>
  <c r="Q114" i="1" s="1"/>
  <c r="Q110" i="1"/>
  <c r="Q113" i="1" s="1"/>
  <c r="AT28" i="1"/>
  <c r="AT18" i="1"/>
  <c r="AU19" i="1"/>
  <c r="AT17" i="1"/>
  <c r="AX18" i="1"/>
  <c r="R110" i="1"/>
  <c r="R113" i="1" s="1"/>
  <c r="R111" i="1"/>
  <c r="R114" i="1" s="1"/>
  <c r="H181" i="1"/>
  <c r="H186" i="1"/>
  <c r="P96" i="1"/>
  <c r="P94" i="1"/>
  <c r="P95" i="1"/>
  <c r="BB165" i="1"/>
  <c r="BB166" i="1" s="1"/>
  <c r="BV109" i="1"/>
  <c r="BW37" i="1"/>
  <c r="AR28" i="1"/>
  <c r="AV18" i="1"/>
  <c r="AR19" i="1"/>
  <c r="AS19" i="1"/>
  <c r="P59" i="1"/>
  <c r="AR17" i="1"/>
  <c r="Q165" i="1"/>
  <c r="Q166" i="1" s="1"/>
  <c r="BU29" i="1"/>
  <c r="AQ138" i="1"/>
  <c r="BN203" i="1"/>
  <c r="BN201" i="1" s="1"/>
  <c r="BX112" i="1"/>
  <c r="AY37" i="1"/>
  <c r="AX244" i="1"/>
  <c r="AX165" i="1"/>
  <c r="AX166" i="1" s="1"/>
  <c r="BQ138" i="1"/>
  <c r="AP109" i="1"/>
  <c r="BD246" i="1"/>
  <c r="AU138" i="1"/>
  <c r="AV203" i="1" s="1"/>
  <c r="AV201" i="1" s="1"/>
  <c r="AY138" i="1"/>
  <c r="AY203" i="1" s="1"/>
  <c r="AY201" i="1" s="1"/>
  <c r="AN246" i="1"/>
  <c r="AN165" i="1"/>
  <c r="AN166" i="1" s="1"/>
  <c r="BO37" i="1"/>
  <c r="BE138" i="1"/>
  <c r="BF203" i="1" s="1"/>
  <c r="BF201" i="1" s="1"/>
  <c r="BN244" i="1"/>
  <c r="BF246" i="1"/>
  <c r="AR165" i="1"/>
  <c r="AR166" i="1" s="1"/>
  <c r="AX111" i="1"/>
  <c r="AX110" i="1"/>
  <c r="AW37" i="1"/>
  <c r="AN203" i="1"/>
  <c r="AN201" i="1" s="1"/>
  <c r="BA37" i="1"/>
  <c r="BD95" i="1"/>
  <c r="AV166" i="1"/>
  <c r="BR181" i="1"/>
  <c r="AT109" i="1"/>
  <c r="AT111" i="1" s="1"/>
  <c r="BD109" i="1"/>
  <c r="BD111" i="1" s="1"/>
  <c r="BD96" i="1"/>
  <c r="AR244" i="1"/>
  <c r="AR246" i="1"/>
  <c r="AT33" i="1"/>
  <c r="AS138" i="1"/>
  <c r="AV110" i="1"/>
  <c r="AV111" i="1"/>
  <c r="BT203" i="1"/>
  <c r="BT201" i="1" s="1"/>
  <c r="BS203" i="1"/>
  <c r="BS201" i="1" s="1"/>
  <c r="AP203" i="1"/>
  <c r="AP201" i="1" s="1"/>
  <c r="AO203" i="1"/>
  <c r="AO201" i="1" s="1"/>
  <c r="BN111" i="1"/>
  <c r="BN110" i="1"/>
  <c r="BC203" i="1"/>
  <c r="BC201" i="1" s="1"/>
  <c r="BD203" i="1"/>
  <c r="BD201" i="1" s="1"/>
  <c r="BB203" i="1"/>
  <c r="BB201" i="1" s="1"/>
  <c r="BA203" i="1"/>
  <c r="BA201" i="1" s="1"/>
  <c r="BH203" i="1"/>
  <c r="BH201" i="1" s="1"/>
  <c r="BG203" i="1"/>
  <c r="BG201" i="1" s="1"/>
  <c r="AR189" i="1"/>
  <c r="AV189" i="1"/>
  <c r="AT189" i="1"/>
  <c r="AX189" i="1"/>
  <c r="BO203" i="1"/>
  <c r="BO201" i="1" s="1"/>
  <c r="BP203" i="1"/>
  <c r="BP201" i="1" s="1"/>
  <c r="AZ110" i="1"/>
  <c r="AZ111" i="1"/>
  <c r="BH189" i="1"/>
  <c r="BD189" i="1"/>
  <c r="BN189" i="1"/>
  <c r="BR189" i="1"/>
  <c r="BB189" i="1"/>
  <c r="BF189" i="1"/>
  <c r="BT189" i="1"/>
  <c r="BX189" i="1"/>
  <c r="CR138" i="1"/>
  <c r="CS32" i="1"/>
  <c r="BV189" i="1" l="1"/>
  <c r="BJ48" i="1"/>
  <c r="BJ234" i="1"/>
  <c r="BJ42" i="1"/>
  <c r="BJ245" i="1" s="1"/>
  <c r="F95" i="1"/>
  <c r="F96" i="1"/>
  <c r="F94" i="1"/>
  <c r="BM19" i="1"/>
  <c r="BM17" i="1"/>
  <c r="BM28" i="1"/>
  <c r="BW34" i="1"/>
  <c r="BW29" i="1"/>
  <c r="CA30" i="1"/>
  <c r="BZ112" i="1"/>
  <c r="BW232" i="1"/>
  <c r="BW233" i="1" s="1"/>
  <c r="BX250" i="1"/>
  <c r="BX251" i="1" s="1"/>
  <c r="BX31" i="1"/>
  <c r="BZ226" i="1"/>
  <c r="X60" i="1"/>
  <c r="S96" i="1"/>
  <c r="S95" i="1"/>
  <c r="S94" i="1"/>
  <c r="J94" i="1"/>
  <c r="J96" i="1"/>
  <c r="J95" i="1"/>
  <c r="L95" i="1"/>
  <c r="L94" i="1"/>
  <c r="L96" i="1"/>
  <c r="BY226" i="1"/>
  <c r="BY112" i="1"/>
  <c r="BW250" i="1"/>
  <c r="BW251" i="1" s="1"/>
  <c r="BW31" i="1"/>
  <c r="BV232" i="1"/>
  <c r="BV233" i="1" s="1"/>
  <c r="BV34" i="1"/>
  <c r="BZ30" i="1"/>
  <c r="BV29" i="1"/>
  <c r="BU34" i="1"/>
  <c r="BY30" i="1"/>
  <c r="BU232" i="1"/>
  <c r="BU233" i="1" s="1"/>
  <c r="BV31" i="1"/>
  <c r="BX226" i="1"/>
  <c r="BV250" i="1"/>
  <c r="BV251" i="1" s="1"/>
  <c r="BW30" i="1"/>
  <c r="BS232" i="1"/>
  <c r="BS233" i="1" s="1"/>
  <c r="BS29" i="1"/>
  <c r="BS34" i="1"/>
  <c r="BS38" i="1" s="1"/>
  <c r="AY30" i="1"/>
  <c r="AU34" i="1"/>
  <c r="AU38" i="1" s="1"/>
  <c r="AU29" i="1"/>
  <c r="AU232" i="1"/>
  <c r="AU233" i="1" s="1"/>
  <c r="BE40" i="1"/>
  <c r="BE41" i="1"/>
  <c r="AQ203" i="1"/>
  <c r="AQ201" i="1" s="1"/>
  <c r="AR203" i="1"/>
  <c r="AR201" i="1" s="1"/>
  <c r="BX114" i="1"/>
  <c r="BX113" i="1"/>
  <c r="BQ203" i="1"/>
  <c r="BQ201" i="1" s="1"/>
  <c r="BR203" i="1"/>
  <c r="BR201" i="1" s="1"/>
  <c r="AP110" i="1"/>
  <c r="AP111" i="1"/>
  <c r="BB111" i="1"/>
  <c r="BB110" i="1"/>
  <c r="AX203" i="1"/>
  <c r="AX201" i="1" s="1"/>
  <c r="AW203" i="1"/>
  <c r="AW201" i="1" s="1"/>
  <c r="BL226" i="1"/>
  <c r="BM226" i="1"/>
  <c r="BM112" i="1"/>
  <c r="BL250" i="1"/>
  <c r="BL251" i="1" s="1"/>
  <c r="BK250" i="1"/>
  <c r="BK251" i="1" s="1"/>
  <c r="BK34" i="1"/>
  <c r="BK232" i="1"/>
  <c r="BK233" i="1" s="1"/>
  <c r="BL31" i="1"/>
  <c r="BK29" i="1"/>
  <c r="BK31" i="1"/>
  <c r="BL112" i="1"/>
  <c r="AZ31" i="1"/>
  <c r="AZ250" i="1"/>
  <c r="AZ251" i="1" s="1"/>
  <c r="AZ29" i="1"/>
  <c r="AZ34" i="1"/>
  <c r="AZ38" i="1" s="1"/>
  <c r="AZ232" i="1"/>
  <c r="AZ233" i="1" s="1"/>
  <c r="BA250" i="1"/>
  <c r="BA251" i="1" s="1"/>
  <c r="AP34" i="1"/>
  <c r="AP38" i="1" s="1"/>
  <c r="AP232" i="1"/>
  <c r="AP233" i="1" s="1"/>
  <c r="AP30" i="1"/>
  <c r="AP29" i="1"/>
  <c r="BQ30" i="1"/>
  <c r="BU30" i="1"/>
  <c r="BQ232" i="1"/>
  <c r="BQ233" i="1" s="1"/>
  <c r="BQ29" i="1"/>
  <c r="BQ34" i="1"/>
  <c r="BQ38" i="1" s="1"/>
  <c r="J213" i="1"/>
  <c r="J210" i="1"/>
  <c r="J211" i="1" s="1"/>
  <c r="S210" i="1"/>
  <c r="S211" i="1" s="1"/>
  <c r="AY40" i="1"/>
  <c r="AY41" i="1"/>
  <c r="BR110" i="1"/>
  <c r="BR111" i="1"/>
  <c r="BU203" i="1"/>
  <c r="BU201" i="1" s="1"/>
  <c r="C189" i="1"/>
  <c r="C190" i="1" s="1"/>
  <c r="D70" i="1"/>
  <c r="C87" i="1"/>
  <c r="C85" i="1"/>
  <c r="C70" i="1"/>
  <c r="C86" i="1"/>
  <c r="B89" i="1"/>
  <c r="BD34" i="1"/>
  <c r="BD38" i="1" s="1"/>
  <c r="BE31" i="1"/>
  <c r="BD29" i="1"/>
  <c r="BD232" i="1"/>
  <c r="BD233" i="1" s="1"/>
  <c r="BD30" i="1"/>
  <c r="BH30" i="1"/>
  <c r="K213" i="1"/>
  <c r="K210" i="1"/>
  <c r="K211" i="1" s="1"/>
  <c r="BF110" i="1"/>
  <c r="BT110" i="1"/>
  <c r="BK226" i="1"/>
  <c r="BL30" i="1"/>
  <c r="BH29" i="1"/>
  <c r="BK112" i="1"/>
  <c r="BH34" i="1"/>
  <c r="BH38" i="1" s="1"/>
  <c r="BH232" i="1"/>
  <c r="BH233" i="1" s="1"/>
  <c r="BI250" i="1"/>
  <c r="BI251" i="1" s="1"/>
  <c r="BI31" i="1"/>
  <c r="BE250" i="1"/>
  <c r="BE251" i="1" s="1"/>
  <c r="H210" i="1"/>
  <c r="H211" i="1" s="1"/>
  <c r="G189" i="1"/>
  <c r="G190" i="1" s="1"/>
  <c r="V189" i="1"/>
  <c r="V190" i="1" s="1"/>
  <c r="V213" i="1"/>
  <c r="AM94" i="1"/>
  <c r="AM95" i="1"/>
  <c r="AM96" i="1"/>
  <c r="AT34" i="1"/>
  <c r="AT38" i="1" s="1"/>
  <c r="AT29" i="1"/>
  <c r="AT232" i="1"/>
  <c r="AT233" i="1" s="1"/>
  <c r="AU250" i="1"/>
  <c r="AU251" i="1" s="1"/>
  <c r="AX30" i="1"/>
  <c r="AT30" i="1"/>
  <c r="AW112" i="1"/>
  <c r="AT250" i="1"/>
  <c r="AT251" i="1" s="1"/>
  <c r="AU31" i="1"/>
  <c r="AW226" i="1"/>
  <c r="BG250" i="1"/>
  <c r="BG251" i="1" s="1"/>
  <c r="BG34" i="1"/>
  <c r="BH250" i="1"/>
  <c r="BH251" i="1" s="1"/>
  <c r="BG29" i="1"/>
  <c r="BG232" i="1"/>
  <c r="BG233" i="1" s="1"/>
  <c r="BH31" i="1"/>
  <c r="BJ226" i="1"/>
  <c r="BK30" i="1"/>
  <c r="T60" i="1"/>
  <c r="BJ112" i="1"/>
  <c r="D244" i="1"/>
  <c r="D166" i="1"/>
  <c r="BX203" i="1"/>
  <c r="BX201" i="1" s="1"/>
  <c r="BW203" i="1"/>
  <c r="BW201" i="1" s="1"/>
  <c r="M213" i="1"/>
  <c r="M210" i="1"/>
  <c r="M211" i="1" s="1"/>
  <c r="L189" i="1"/>
  <c r="L190" i="1" s="1"/>
  <c r="K189" i="1"/>
  <c r="K190" i="1" s="1"/>
  <c r="BF226" i="1"/>
  <c r="BD31" i="1"/>
  <c r="BG30" i="1"/>
  <c r="BF112" i="1"/>
  <c r="BF114" i="1" s="1"/>
  <c r="BD250" i="1"/>
  <c r="BD251" i="1" s="1"/>
  <c r="BC30" i="1"/>
  <c r="BC34" i="1"/>
  <c r="BC250" i="1"/>
  <c r="BC251" i="1" s="1"/>
  <c r="BC29" i="1"/>
  <c r="BC232" i="1"/>
  <c r="BC233" i="1" s="1"/>
  <c r="S60" i="1"/>
  <c r="O189" i="1"/>
  <c r="O190" i="1" s="1"/>
  <c r="P189" i="1"/>
  <c r="P190" i="1" s="1"/>
  <c r="AZ203" i="1"/>
  <c r="AZ201" i="1" s="1"/>
  <c r="BJ30" i="1"/>
  <c r="BF29" i="1"/>
  <c r="BF34" i="1"/>
  <c r="BF232" i="1"/>
  <c r="BF233" i="1" s="1"/>
  <c r="BI226" i="1"/>
  <c r="BH112" i="1"/>
  <c r="BF31" i="1"/>
  <c r="BI112" i="1"/>
  <c r="BH226" i="1"/>
  <c r="BG226" i="1"/>
  <c r="BG31" i="1"/>
  <c r="BF250" i="1"/>
  <c r="BF251" i="1" s="1"/>
  <c r="BG112" i="1"/>
  <c r="U213" i="1"/>
  <c r="BP111" i="1"/>
  <c r="BV112" i="1"/>
  <c r="BT34" i="1"/>
  <c r="BT29" i="1"/>
  <c r="BW226" i="1"/>
  <c r="BX30" i="1"/>
  <c r="BU31" i="1"/>
  <c r="BT232" i="1"/>
  <c r="BT233" i="1" s="1"/>
  <c r="BW112" i="1"/>
  <c r="BT250" i="1"/>
  <c r="BT251" i="1" s="1"/>
  <c r="BT31" i="1"/>
  <c r="U60" i="1"/>
  <c r="BQ112" i="1"/>
  <c r="BN30" i="1"/>
  <c r="BP112" i="1"/>
  <c r="BP113" i="1" s="1"/>
  <c r="BN29" i="1"/>
  <c r="BO31" i="1"/>
  <c r="BN250" i="1"/>
  <c r="BN251" i="1" s="1"/>
  <c r="BN31" i="1"/>
  <c r="BN232" i="1"/>
  <c r="BN233" i="1" s="1"/>
  <c r="BN34" i="1"/>
  <c r="BP226" i="1"/>
  <c r="BQ226" i="1"/>
  <c r="BN112" i="1"/>
  <c r="BO226" i="1"/>
  <c r="BO112" i="1"/>
  <c r="BN226" i="1"/>
  <c r="BR30" i="1"/>
  <c r="BJ203" i="1"/>
  <c r="BJ201" i="1" s="1"/>
  <c r="BI203" i="1"/>
  <c r="BI201" i="1" s="1"/>
  <c r="E213" i="1"/>
  <c r="BS250" i="1"/>
  <c r="BS251" i="1" s="1"/>
  <c r="BT112" i="1"/>
  <c r="BT114" i="1" s="1"/>
  <c r="BR250" i="1"/>
  <c r="BR251" i="1" s="1"/>
  <c r="BR29" i="1"/>
  <c r="BR31" i="1"/>
  <c r="BS31" i="1"/>
  <c r="BR232" i="1"/>
  <c r="BR233" i="1" s="1"/>
  <c r="BU112" i="1"/>
  <c r="BV30" i="1"/>
  <c r="BR34" i="1"/>
  <c r="BT226" i="1"/>
  <c r="BO232" i="1"/>
  <c r="BO233" i="1" s="1"/>
  <c r="BP31" i="1"/>
  <c r="BR226" i="1"/>
  <c r="BR112" i="1"/>
  <c r="BO250" i="1"/>
  <c r="BO251" i="1" s="1"/>
  <c r="V60" i="1"/>
  <c r="BS30" i="1"/>
  <c r="BO30" i="1"/>
  <c r="BO34" i="1"/>
  <c r="BO29" i="1"/>
  <c r="R210" i="1"/>
  <c r="R211" i="1" s="1"/>
  <c r="R213" i="1"/>
  <c r="R60" i="1"/>
  <c r="BB29" i="1"/>
  <c r="BB30" i="1"/>
  <c r="BB250" i="1"/>
  <c r="BB251" i="1" s="1"/>
  <c r="BB31" i="1"/>
  <c r="BE226" i="1"/>
  <c r="BF30" i="1"/>
  <c r="BE112" i="1"/>
  <c r="BC31" i="1"/>
  <c r="BB34" i="1"/>
  <c r="BD226" i="1"/>
  <c r="BC112" i="1"/>
  <c r="BB232" i="1"/>
  <c r="BB233" i="1" s="1"/>
  <c r="BC226" i="1"/>
  <c r="BB112" i="1"/>
  <c r="BB226" i="1"/>
  <c r="BD112" i="1"/>
  <c r="BD114" i="1" s="1"/>
  <c r="T210" i="1"/>
  <c r="T211" i="1" s="1"/>
  <c r="AZ30" i="1"/>
  <c r="AX112" i="1"/>
  <c r="AX113" i="1" s="1"/>
  <c r="AY112" i="1"/>
  <c r="AV34" i="1"/>
  <c r="AV31" i="1"/>
  <c r="AV29" i="1"/>
  <c r="AY226" i="1"/>
  <c r="AW31" i="1"/>
  <c r="AV250" i="1"/>
  <c r="AV251" i="1" s="1"/>
  <c r="Q60" i="1"/>
  <c r="AV232" i="1"/>
  <c r="AV233" i="1" s="1"/>
  <c r="AX226" i="1"/>
  <c r="AN110" i="1"/>
  <c r="BA30" i="1"/>
  <c r="AW29" i="1"/>
  <c r="AW232" i="1"/>
  <c r="AW233" i="1" s="1"/>
  <c r="AW34" i="1"/>
  <c r="AZ226" i="1"/>
  <c r="AZ112" i="1"/>
  <c r="AX31" i="1"/>
  <c r="AW250" i="1"/>
  <c r="AW251" i="1" s="1"/>
  <c r="AX250" i="1"/>
  <c r="AX251" i="1" s="1"/>
  <c r="AZ114" i="1"/>
  <c r="BU250" i="1"/>
  <c r="BU251" i="1" s="1"/>
  <c r="AR29" i="1"/>
  <c r="AR232" i="1"/>
  <c r="AR233" i="1" s="1"/>
  <c r="AR34" i="1"/>
  <c r="AR250" i="1"/>
  <c r="AR251" i="1" s="1"/>
  <c r="AR31" i="1"/>
  <c r="AT226" i="1"/>
  <c r="AT112" i="1"/>
  <c r="AU226" i="1"/>
  <c r="AS226" i="1"/>
  <c r="AS112" i="1"/>
  <c r="AU112" i="1"/>
  <c r="AV30" i="1"/>
  <c r="P60" i="1"/>
  <c r="I210" i="1"/>
  <c r="I211" i="1" s="1"/>
  <c r="I213" i="1"/>
  <c r="BT30" i="1"/>
  <c r="BP250" i="1"/>
  <c r="BP251" i="1" s="1"/>
  <c r="BQ31" i="1"/>
  <c r="BS226" i="1"/>
  <c r="BP29" i="1"/>
  <c r="BP30" i="1"/>
  <c r="BP232" i="1"/>
  <c r="BP233" i="1" s="1"/>
  <c r="BQ250" i="1"/>
  <c r="BQ251" i="1" s="1"/>
  <c r="BP34" i="1"/>
  <c r="BP38" i="1" s="1"/>
  <c r="BS112" i="1"/>
  <c r="AI34" i="1"/>
  <c r="N60" i="1"/>
  <c r="AJ31" i="1"/>
  <c r="AL226" i="1"/>
  <c r="AI232" i="1"/>
  <c r="AI233" i="1" s="1"/>
  <c r="AL112" i="1"/>
  <c r="AM30" i="1"/>
  <c r="AI29" i="1"/>
  <c r="H213" i="1"/>
  <c r="AZ113" i="1"/>
  <c r="Q213" i="1"/>
  <c r="Q210" i="1"/>
  <c r="Q211" i="1" s="1"/>
  <c r="AP250" i="1"/>
  <c r="AP251" i="1" s="1"/>
  <c r="AO34" i="1"/>
  <c r="AO30" i="1"/>
  <c r="AO250" i="1"/>
  <c r="AO251" i="1" s="1"/>
  <c r="AR112" i="1"/>
  <c r="AO232" i="1"/>
  <c r="AO233" i="1" s="1"/>
  <c r="AP31" i="1"/>
  <c r="AS30" i="1"/>
  <c r="AR226" i="1"/>
  <c r="AO29" i="1"/>
  <c r="BA41" i="1"/>
  <c r="BA40" i="1"/>
  <c r="O210" i="1"/>
  <c r="O211" i="1" s="1"/>
  <c r="O213" i="1"/>
  <c r="AT114" i="1"/>
  <c r="BV111" i="1"/>
  <c r="BV110" i="1"/>
  <c r="AS31" i="1"/>
  <c r="AS232" i="1"/>
  <c r="AS233" i="1" s="1"/>
  <c r="AS34" i="1"/>
  <c r="AV112" i="1"/>
  <c r="AW30" i="1"/>
  <c r="AT31" i="1"/>
  <c r="AS250" i="1"/>
  <c r="AS251" i="1" s="1"/>
  <c r="AS29" i="1"/>
  <c r="AV226" i="1"/>
  <c r="D189" i="1"/>
  <c r="D190" i="1" s="1"/>
  <c r="N210" i="1"/>
  <c r="N211" i="1" s="1"/>
  <c r="AQ226" i="1"/>
  <c r="AN232" i="1"/>
  <c r="AN233" i="1" s="1"/>
  <c r="AP112" i="1"/>
  <c r="AN226" i="1"/>
  <c r="AO112" i="1"/>
  <c r="AN30" i="1"/>
  <c r="AN34" i="1"/>
  <c r="AR30" i="1"/>
  <c r="O60" i="1"/>
  <c r="AN112" i="1"/>
  <c r="AN114" i="1" s="1"/>
  <c r="AO31" i="1"/>
  <c r="AQ112" i="1"/>
  <c r="AN250" i="1"/>
  <c r="AN251" i="1" s="1"/>
  <c r="AO226" i="1"/>
  <c r="AP226" i="1"/>
  <c r="AN29" i="1"/>
  <c r="AN31" i="1"/>
  <c r="H189" i="1"/>
  <c r="H190" i="1" s="1"/>
  <c r="I189" i="1"/>
  <c r="I190" i="1" s="1"/>
  <c r="D210" i="1"/>
  <c r="D211" i="1" s="1"/>
  <c r="BE203" i="1"/>
  <c r="BE201" i="1" s="1"/>
  <c r="AU203" i="1"/>
  <c r="AU201" i="1" s="1"/>
  <c r="BD110" i="1"/>
  <c r="BD113" i="1" s="1"/>
  <c r="AT110" i="1"/>
  <c r="AT113" i="1" s="1"/>
  <c r="AS203" i="1"/>
  <c r="AS201" i="1" s="1"/>
  <c r="AT203" i="1"/>
  <c r="AT201" i="1" s="1"/>
  <c r="BI41" i="1"/>
  <c r="BI40" i="1"/>
  <c r="BE42" i="1"/>
  <c r="BE245" i="1" s="1"/>
  <c r="BE48" i="1"/>
  <c r="BE234" i="1"/>
  <c r="BE43" i="1"/>
  <c r="AQ41" i="1"/>
  <c r="AQ40" i="1"/>
  <c r="AX41" i="1"/>
  <c r="AX40" i="1"/>
  <c r="CS194" i="1"/>
  <c r="CS132" i="1"/>
  <c r="CR203" i="1"/>
  <c r="CR201" i="1" s="1"/>
  <c r="AC125" i="1"/>
  <c r="AC128" i="1" s="1"/>
  <c r="AC249" i="1" s="1"/>
  <c r="BT113" i="1" l="1"/>
  <c r="BF113" i="1"/>
  <c r="BB113" i="1"/>
  <c r="BR114" i="1"/>
  <c r="BZ55" i="1"/>
  <c r="BW38" i="1"/>
  <c r="BZ113" i="1"/>
  <c r="BZ114" i="1"/>
  <c r="BM31" i="1"/>
  <c r="BM232" i="1"/>
  <c r="BM233" i="1" s="1"/>
  <c r="BM34" i="1"/>
  <c r="BM38" i="1" s="1"/>
  <c r="BM250" i="1"/>
  <c r="BM251" i="1" s="1"/>
  <c r="BM29" i="1"/>
  <c r="BM30" i="1"/>
  <c r="BJ52" i="1"/>
  <c r="BJ193" i="1"/>
  <c r="BJ195" i="1" s="1"/>
  <c r="BJ66" i="1"/>
  <c r="BY55" i="1"/>
  <c r="BV38" i="1"/>
  <c r="BX55" i="1"/>
  <c r="BU38" i="1"/>
  <c r="BS41" i="1"/>
  <c r="BS40" i="1"/>
  <c r="AU40" i="1"/>
  <c r="AU41" i="1"/>
  <c r="AU43" i="1" s="1"/>
  <c r="BB114" i="1"/>
  <c r="AP114" i="1"/>
  <c r="BR113" i="1"/>
  <c r="BL55" i="1"/>
  <c r="BK38" i="1"/>
  <c r="BL114" i="1"/>
  <c r="BL113" i="1"/>
  <c r="AZ40" i="1"/>
  <c r="AZ41" i="1"/>
  <c r="AZ44" i="1" s="1"/>
  <c r="AP41" i="1"/>
  <c r="AQ44" i="1" s="1"/>
  <c r="AP40" i="1"/>
  <c r="BQ41" i="1"/>
  <c r="BQ40" i="1"/>
  <c r="AY234" i="1"/>
  <c r="AY42" i="1"/>
  <c r="AY245" i="1" s="1"/>
  <c r="AY48" i="1"/>
  <c r="BN113" i="1"/>
  <c r="BN114" i="1"/>
  <c r="AV114" i="1"/>
  <c r="AV113" i="1"/>
  <c r="BD41" i="1"/>
  <c r="BD40" i="1"/>
  <c r="BH41" i="1"/>
  <c r="BH40" i="1"/>
  <c r="BV114" i="1"/>
  <c r="AI38" i="1"/>
  <c r="AL55" i="1"/>
  <c r="AV38" i="1"/>
  <c r="AX55" i="1"/>
  <c r="BJ113" i="1"/>
  <c r="BJ114" i="1"/>
  <c r="BV113" i="1"/>
  <c r="BP40" i="1"/>
  <c r="BP41" i="1"/>
  <c r="BB55" i="1"/>
  <c r="BB38" i="1"/>
  <c r="BT55" i="1"/>
  <c r="BR38" i="1"/>
  <c r="AN113" i="1"/>
  <c r="BV55" i="1"/>
  <c r="BT38" i="1"/>
  <c r="BH114" i="1"/>
  <c r="BH113" i="1"/>
  <c r="BP114" i="1"/>
  <c r="BO38" i="1"/>
  <c r="BR55" i="1"/>
  <c r="BD55" i="1"/>
  <c r="AL113" i="1"/>
  <c r="AL114" i="1"/>
  <c r="AX114" i="1"/>
  <c r="BF38" i="1"/>
  <c r="BH55" i="1"/>
  <c r="AN55" i="1"/>
  <c r="AP55" i="1"/>
  <c r="AN38" i="1"/>
  <c r="AO38" i="1"/>
  <c r="AR55" i="1"/>
  <c r="BC38" i="1"/>
  <c r="BF55" i="1"/>
  <c r="AT41" i="1"/>
  <c r="AT40" i="1"/>
  <c r="AP113" i="1"/>
  <c r="BJ55" i="1"/>
  <c r="BG38" i="1"/>
  <c r="BP55" i="1"/>
  <c r="BN38" i="1"/>
  <c r="BN55" i="1"/>
  <c r="AS38" i="1"/>
  <c r="AV55" i="1"/>
  <c r="BA234" i="1"/>
  <c r="BA42" i="1"/>
  <c r="BA245" i="1" s="1"/>
  <c r="BA48" i="1"/>
  <c r="AR38" i="1"/>
  <c r="AT55" i="1"/>
  <c r="AW38" i="1"/>
  <c r="AZ55" i="1"/>
  <c r="BI43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AQ43" i="1"/>
  <c r="AQ234" i="1"/>
  <c r="AQ48" i="1"/>
  <c r="AQ42" i="1"/>
  <c r="AQ245" i="1" s="1"/>
  <c r="AX48" i="1"/>
  <c r="AX234" i="1"/>
  <c r="AX42" i="1"/>
  <c r="AX245" i="1" s="1"/>
  <c r="AY44" i="1"/>
  <c r="CS134" i="1"/>
  <c r="AC206" i="1"/>
  <c r="CA226" i="1"/>
  <c r="CB226" i="1"/>
  <c r="BU226" i="1"/>
  <c r="BM40" i="1" l="1"/>
  <c r="BM41" i="1"/>
  <c r="BQ43" i="1" s="1"/>
  <c r="BW41" i="1"/>
  <c r="BW43" i="1" s="1"/>
  <c r="BW40" i="1"/>
  <c r="BV41" i="1"/>
  <c r="BV40" i="1"/>
  <c r="BU40" i="1"/>
  <c r="BU41" i="1"/>
  <c r="BU43" i="1" s="1"/>
  <c r="BS42" i="1"/>
  <c r="BS245" i="1" s="1"/>
  <c r="BS234" i="1"/>
  <c r="BS48" i="1"/>
  <c r="AU42" i="1"/>
  <c r="AU245" i="1" s="1"/>
  <c r="AU48" i="1"/>
  <c r="AU234" i="1"/>
  <c r="AY43" i="1"/>
  <c r="BA44" i="1"/>
  <c r="BA227" i="1"/>
  <c r="AY66" i="1"/>
  <c r="AY119" i="1"/>
  <c r="AY120" i="1" s="1"/>
  <c r="AY52" i="1"/>
  <c r="AY193" i="1"/>
  <c r="AY195" i="1" s="1"/>
  <c r="BK41" i="1"/>
  <c r="BK40" i="1"/>
  <c r="AZ42" i="1"/>
  <c r="AZ245" i="1" s="1"/>
  <c r="AZ48" i="1"/>
  <c r="AZ234" i="1"/>
  <c r="AP42" i="1"/>
  <c r="AP245" i="1" s="1"/>
  <c r="AP48" i="1"/>
  <c r="AP234" i="1"/>
  <c r="AP43" i="1"/>
  <c r="BQ234" i="1"/>
  <c r="BQ48" i="1"/>
  <c r="BQ42" i="1"/>
  <c r="BQ245" i="1" s="1"/>
  <c r="BH42" i="1"/>
  <c r="BH245" i="1" s="1"/>
  <c r="BH48" i="1"/>
  <c r="BL43" i="1"/>
  <c r="BH234" i="1"/>
  <c r="BI44" i="1"/>
  <c r="BH43" i="1"/>
  <c r="BD42" i="1"/>
  <c r="BD245" i="1" s="1"/>
  <c r="BE44" i="1"/>
  <c r="BD48" i="1"/>
  <c r="BD234" i="1"/>
  <c r="BD43" i="1"/>
  <c r="AT234" i="1"/>
  <c r="AT42" i="1"/>
  <c r="AT245" i="1" s="1"/>
  <c r="AT48" i="1"/>
  <c r="AU44" i="1"/>
  <c r="AT43" i="1"/>
  <c r="AS40" i="1"/>
  <c r="AS41" i="1"/>
  <c r="AO40" i="1"/>
  <c r="AO41" i="1"/>
  <c r="BA119" i="1"/>
  <c r="BA120" i="1" s="1"/>
  <c r="BA66" i="1"/>
  <c r="BA52" i="1"/>
  <c r="BA193" i="1"/>
  <c r="BA195" i="1" s="1"/>
  <c r="BQ44" i="1"/>
  <c r="BP234" i="1"/>
  <c r="BP42" i="1"/>
  <c r="BP245" i="1" s="1"/>
  <c r="BP43" i="1"/>
  <c r="BP48" i="1"/>
  <c r="AN41" i="1"/>
  <c r="AN40" i="1"/>
  <c r="BB40" i="1"/>
  <c r="BB41" i="1"/>
  <c r="BN41" i="1"/>
  <c r="BN40" i="1"/>
  <c r="BT41" i="1"/>
  <c r="BT40" i="1"/>
  <c r="BC40" i="1"/>
  <c r="BC41" i="1"/>
  <c r="AW40" i="1"/>
  <c r="AW41" i="1"/>
  <c r="BG40" i="1"/>
  <c r="BG41" i="1"/>
  <c r="AV40" i="1"/>
  <c r="AV41" i="1"/>
  <c r="AW227" i="1" s="1"/>
  <c r="BO41" i="1"/>
  <c r="BO40" i="1"/>
  <c r="AX43" i="1"/>
  <c r="BF41" i="1"/>
  <c r="BF40" i="1"/>
  <c r="AR40" i="1"/>
  <c r="AR41" i="1"/>
  <c r="BR41" i="1"/>
  <c r="BR40" i="1"/>
  <c r="AI41" i="1"/>
  <c r="AI40" i="1"/>
  <c r="BI52" i="1"/>
  <c r="BI193" i="1"/>
  <c r="BI195" i="1" s="1"/>
  <c r="BI66" i="1"/>
  <c r="BI119" i="1"/>
  <c r="BI120" i="1" s="1"/>
  <c r="BE92" i="1"/>
  <c r="BE129" i="1"/>
  <c r="BE55" i="1" s="1"/>
  <c r="BE207" i="1"/>
  <c r="BE205" i="1" s="1"/>
  <c r="AX52" i="1"/>
  <c r="AX66" i="1"/>
  <c r="AX193" i="1"/>
  <c r="AX195" i="1" s="1"/>
  <c r="AQ119" i="1"/>
  <c r="AQ120" i="1" s="1"/>
  <c r="AQ193" i="1"/>
  <c r="AQ195" i="1" s="1"/>
  <c r="AQ52" i="1"/>
  <c r="AQ66" i="1"/>
  <c r="CS138" i="1"/>
  <c r="CT32" i="1"/>
  <c r="AD124" i="1"/>
  <c r="AA138" i="1"/>
  <c r="W59" i="1"/>
  <c r="BM42" i="1" l="1"/>
  <c r="BM245" i="1" s="1"/>
  <c r="BM48" i="1"/>
  <c r="BM44" i="1"/>
  <c r="BM234" i="1"/>
  <c r="BM43" i="1"/>
  <c r="BW42" i="1"/>
  <c r="BW245" i="1" s="1"/>
  <c r="BW48" i="1"/>
  <c r="BZ227" i="1"/>
  <c r="BW234" i="1"/>
  <c r="BX44" i="1"/>
  <c r="X61" i="1"/>
  <c r="CA43" i="1"/>
  <c r="AZ207" i="1"/>
  <c r="AZ205" i="1" s="1"/>
  <c r="BW44" i="1"/>
  <c r="BY227" i="1"/>
  <c r="BZ43" i="1"/>
  <c r="BV234" i="1"/>
  <c r="BV48" i="1"/>
  <c r="BV42" i="1"/>
  <c r="BV245" i="1" s="1"/>
  <c r="BX227" i="1"/>
  <c r="BU234" i="1"/>
  <c r="BU48" i="1"/>
  <c r="BV44" i="1"/>
  <c r="BU42" i="1"/>
  <c r="BU245" i="1" s="1"/>
  <c r="BY43" i="1"/>
  <c r="BS119" i="1"/>
  <c r="BS120" i="1" s="1"/>
  <c r="BS52" i="1"/>
  <c r="BS66" i="1"/>
  <c r="BS193" i="1"/>
  <c r="BS195" i="1" s="1"/>
  <c r="AU52" i="1"/>
  <c r="AU119" i="1"/>
  <c r="AU120" i="1" s="1"/>
  <c r="AU193" i="1"/>
  <c r="AU195" i="1" s="1"/>
  <c r="AU66" i="1"/>
  <c r="AY92" i="1"/>
  <c r="AY207" i="1"/>
  <c r="AY205" i="1" s="1"/>
  <c r="AY129" i="1"/>
  <c r="AY55" i="1" s="1"/>
  <c r="BK227" i="1"/>
  <c r="BL227" i="1"/>
  <c r="BM227" i="1"/>
  <c r="BK234" i="1"/>
  <c r="BK44" i="1"/>
  <c r="BK42" i="1"/>
  <c r="BK245" i="1" s="1"/>
  <c r="BK48" i="1"/>
  <c r="BL44" i="1"/>
  <c r="AZ193" i="1"/>
  <c r="AZ195" i="1" s="1"/>
  <c r="AZ52" i="1"/>
  <c r="AZ66" i="1"/>
  <c r="BA69" i="1" s="1"/>
  <c r="AP52" i="1"/>
  <c r="AP66" i="1"/>
  <c r="AP193" i="1"/>
  <c r="AP195" i="1" s="1"/>
  <c r="BQ52" i="1"/>
  <c r="BQ119" i="1"/>
  <c r="BQ120" i="1" s="1"/>
  <c r="BQ193" i="1"/>
  <c r="BQ195" i="1" s="1"/>
  <c r="BQ66" i="1"/>
  <c r="BD66" i="1"/>
  <c r="BD52" i="1"/>
  <c r="BD193" i="1"/>
  <c r="BD195" i="1" s="1"/>
  <c r="BH66" i="1"/>
  <c r="BH193" i="1"/>
  <c r="BH195" i="1" s="1"/>
  <c r="BH52" i="1"/>
  <c r="AO234" i="1"/>
  <c r="AS43" i="1"/>
  <c r="AO42" i="1"/>
  <c r="AO245" i="1" s="1"/>
  <c r="AP44" i="1"/>
  <c r="AO48" i="1"/>
  <c r="AO43" i="1"/>
  <c r="AR227" i="1"/>
  <c r="BC234" i="1"/>
  <c r="BC42" i="1"/>
  <c r="BC245" i="1" s="1"/>
  <c r="BC48" i="1"/>
  <c r="BG43" i="1"/>
  <c r="BF227" i="1"/>
  <c r="BC43" i="1"/>
  <c r="BD44" i="1"/>
  <c r="BP52" i="1"/>
  <c r="BP193" i="1"/>
  <c r="BP195" i="1" s="1"/>
  <c r="BP66" i="1"/>
  <c r="AM43" i="1"/>
  <c r="AI48" i="1"/>
  <c r="AL227" i="1"/>
  <c r="AJ44" i="1"/>
  <c r="AI234" i="1"/>
  <c r="AI42" i="1"/>
  <c r="AS44" i="1"/>
  <c r="AS234" i="1"/>
  <c r="AS48" i="1"/>
  <c r="AS42" i="1"/>
  <c r="AS245" i="1" s="1"/>
  <c r="AT44" i="1"/>
  <c r="AW43" i="1"/>
  <c r="AV227" i="1"/>
  <c r="BR234" i="1"/>
  <c r="BT227" i="1"/>
  <c r="BR48" i="1"/>
  <c r="BV43" i="1"/>
  <c r="BR42" i="1"/>
  <c r="BR245" i="1" s="1"/>
  <c r="BS44" i="1"/>
  <c r="BR44" i="1"/>
  <c r="AR42" i="1"/>
  <c r="AR245" i="1" s="1"/>
  <c r="AR48" i="1"/>
  <c r="AR207" i="1" s="1"/>
  <c r="AR205" i="1" s="1"/>
  <c r="AR234" i="1"/>
  <c r="AU227" i="1"/>
  <c r="AT227" i="1"/>
  <c r="AS227" i="1"/>
  <c r="AV43" i="1"/>
  <c r="AR44" i="1"/>
  <c r="BJ43" i="1"/>
  <c r="BF234" i="1"/>
  <c r="BF42" i="1"/>
  <c r="BF245" i="1" s="1"/>
  <c r="BF48" i="1"/>
  <c r="BF44" i="1"/>
  <c r="BG44" i="1"/>
  <c r="BH227" i="1"/>
  <c r="BG227" i="1"/>
  <c r="BI227" i="1"/>
  <c r="AW48" i="1"/>
  <c r="AW234" i="1"/>
  <c r="BA43" i="1"/>
  <c r="AW42" i="1"/>
  <c r="AW245" i="1" s="1"/>
  <c r="AZ227" i="1"/>
  <c r="AX44" i="1"/>
  <c r="BT42" i="1"/>
  <c r="BT245" i="1" s="1"/>
  <c r="BT44" i="1"/>
  <c r="BT48" i="1"/>
  <c r="BW227" i="1"/>
  <c r="BX43" i="1"/>
  <c r="BU44" i="1"/>
  <c r="BT234" i="1"/>
  <c r="BV227" i="1"/>
  <c r="AT66" i="1"/>
  <c r="AT193" i="1"/>
  <c r="AT195" i="1" s="1"/>
  <c r="AT52" i="1"/>
  <c r="BC44" i="1"/>
  <c r="BB227" i="1"/>
  <c r="BD227" i="1"/>
  <c r="BB48" i="1"/>
  <c r="BB44" i="1"/>
  <c r="BC227" i="1"/>
  <c r="BE227" i="1"/>
  <c r="BB43" i="1"/>
  <c r="BB42" i="1"/>
  <c r="BB245" i="1" s="1"/>
  <c r="BB234" i="1"/>
  <c r="BF43" i="1"/>
  <c r="BA207" i="1"/>
  <c r="BA205" i="1" s="1"/>
  <c r="BA129" i="1"/>
  <c r="BA55" i="1" s="1"/>
  <c r="BA92" i="1"/>
  <c r="AO227" i="1"/>
  <c r="AN234" i="1"/>
  <c r="AN227" i="1"/>
  <c r="AN48" i="1"/>
  <c r="AQ227" i="1"/>
  <c r="AR43" i="1"/>
  <c r="AN44" i="1"/>
  <c r="AP227" i="1"/>
  <c r="AN42" i="1"/>
  <c r="AN245" i="1" s="1"/>
  <c r="AO44" i="1"/>
  <c r="AN43" i="1"/>
  <c r="BA54" i="1"/>
  <c r="BP44" i="1"/>
  <c r="BO234" i="1"/>
  <c r="BO43" i="1"/>
  <c r="BO42" i="1"/>
  <c r="BO245" i="1" s="1"/>
  <c r="BS43" i="1"/>
  <c r="BO48" i="1"/>
  <c r="BR227" i="1"/>
  <c r="BN43" i="1"/>
  <c r="BN42" i="1"/>
  <c r="BN245" i="1" s="1"/>
  <c r="BQ227" i="1"/>
  <c r="BO227" i="1"/>
  <c r="BO44" i="1"/>
  <c r="BN227" i="1"/>
  <c r="BN44" i="1"/>
  <c r="BR43" i="1"/>
  <c r="BP227" i="1"/>
  <c r="BN48" i="1"/>
  <c r="BN234" i="1"/>
  <c r="BG42" i="1"/>
  <c r="BG245" i="1" s="1"/>
  <c r="BH44" i="1"/>
  <c r="BG234" i="1"/>
  <c r="BJ227" i="1"/>
  <c r="BK43" i="1"/>
  <c r="BG48" i="1"/>
  <c r="AZ43" i="1"/>
  <c r="AW44" i="1"/>
  <c r="AV42" i="1"/>
  <c r="AV245" i="1" s="1"/>
  <c r="AY227" i="1"/>
  <c r="AV234" i="1"/>
  <c r="AV48" i="1"/>
  <c r="AV44" i="1"/>
  <c r="AX227" i="1"/>
  <c r="BS227" i="1"/>
  <c r="BT43" i="1"/>
  <c r="BI92" i="1"/>
  <c r="BI129" i="1"/>
  <c r="BI55" i="1" s="1"/>
  <c r="BI207" i="1"/>
  <c r="BI205" i="1" s="1"/>
  <c r="BJ207" i="1"/>
  <c r="BJ205" i="1" s="1"/>
  <c r="BE94" i="1"/>
  <c r="BE96" i="1"/>
  <c r="BE95" i="1"/>
  <c r="AQ129" i="1"/>
  <c r="AQ55" i="1" s="1"/>
  <c r="AQ207" i="1"/>
  <c r="AQ205" i="1" s="1"/>
  <c r="AQ92" i="1"/>
  <c r="AC32" i="1"/>
  <c r="CT194" i="1"/>
  <c r="CT132" i="1"/>
  <c r="CS203" i="1"/>
  <c r="CS201" i="1" s="1"/>
  <c r="AA33" i="1"/>
  <c r="W60" i="1"/>
  <c r="BW193" i="1" l="1"/>
  <c r="BW195" i="1" s="1"/>
  <c r="BW119" i="1"/>
  <c r="BW120" i="1" s="1"/>
  <c r="BW52" i="1"/>
  <c r="BZ54" i="1"/>
  <c r="BW66" i="1"/>
  <c r="BZ69" i="1" s="1"/>
  <c r="BM52" i="1"/>
  <c r="BM119" i="1"/>
  <c r="BM120" i="1" s="1"/>
  <c r="BM54" i="1" s="1"/>
  <c r="BM66" i="1"/>
  <c r="BM193" i="1"/>
  <c r="BM195" i="1" s="1"/>
  <c r="BI54" i="1"/>
  <c r="BY54" i="1"/>
  <c r="BV66" i="1"/>
  <c r="BV193" i="1"/>
  <c r="BV195" i="1" s="1"/>
  <c r="BV52" i="1"/>
  <c r="BX54" i="1"/>
  <c r="BU66" i="1"/>
  <c r="BX69" i="1" s="1"/>
  <c r="BU193" i="1"/>
  <c r="BU195" i="1" s="1"/>
  <c r="BU52" i="1"/>
  <c r="BU119" i="1"/>
  <c r="BU120" i="1" s="1"/>
  <c r="BS207" i="1"/>
  <c r="BS205" i="1" s="1"/>
  <c r="BS129" i="1"/>
  <c r="BS55" i="1" s="1"/>
  <c r="BS92" i="1"/>
  <c r="AU129" i="1"/>
  <c r="AU55" i="1" s="1"/>
  <c r="AU207" i="1"/>
  <c r="AU205" i="1" s="1"/>
  <c r="AU92" i="1"/>
  <c r="BW54" i="1"/>
  <c r="AY94" i="1"/>
  <c r="AY95" i="1"/>
  <c r="AY96" i="1"/>
  <c r="BL54" i="1"/>
  <c r="BK66" i="1"/>
  <c r="BK119" i="1"/>
  <c r="BK120" i="1" s="1"/>
  <c r="BK193" i="1"/>
  <c r="BK195" i="1" s="1"/>
  <c r="BK52" i="1"/>
  <c r="BQ92" i="1"/>
  <c r="BQ207" i="1"/>
  <c r="BQ205" i="1" s="1"/>
  <c r="BQ129" i="1"/>
  <c r="BQ55" i="1" s="1"/>
  <c r="AQ54" i="1"/>
  <c r="AY54" i="1"/>
  <c r="AV193" i="1"/>
  <c r="AV195" i="1" s="1"/>
  <c r="AX54" i="1"/>
  <c r="AV52" i="1"/>
  <c r="AV66" i="1"/>
  <c r="Q61" i="1"/>
  <c r="AV207" i="1"/>
  <c r="AV205" i="1" s="1"/>
  <c r="BO119" i="1"/>
  <c r="BO120" i="1" s="1"/>
  <c r="BO52" i="1"/>
  <c r="BO66" i="1"/>
  <c r="BO193" i="1"/>
  <c r="BO195" i="1" s="1"/>
  <c r="BR54" i="1"/>
  <c r="V61" i="1"/>
  <c r="AW66" i="1"/>
  <c r="AZ69" i="1" s="1"/>
  <c r="AW193" i="1"/>
  <c r="AW195" i="1" s="1"/>
  <c r="AW52" i="1"/>
  <c r="AW119" i="1"/>
  <c r="AW120" i="1" s="1"/>
  <c r="AZ54" i="1"/>
  <c r="N61" i="1"/>
  <c r="AI207" i="1"/>
  <c r="AI205" i="1" s="1"/>
  <c r="AI193" i="1"/>
  <c r="AI195" i="1" s="1"/>
  <c r="AI199" i="1" s="1"/>
  <c r="AI213" i="1" s="1"/>
  <c r="AI52" i="1"/>
  <c r="AI66" i="1"/>
  <c r="AL69" i="1" s="1"/>
  <c r="AL54" i="1"/>
  <c r="BQ54" i="1"/>
  <c r="BP54" i="1"/>
  <c r="BN207" i="1"/>
  <c r="BN205" i="1" s="1"/>
  <c r="BN54" i="1"/>
  <c r="U61" i="1"/>
  <c r="BN52" i="1"/>
  <c r="BN66" i="1"/>
  <c r="BN193" i="1"/>
  <c r="BN195" i="1" s="1"/>
  <c r="AN52" i="1"/>
  <c r="O61" i="1"/>
  <c r="AP54" i="1"/>
  <c r="AN66" i="1"/>
  <c r="AN193" i="1"/>
  <c r="AN195" i="1" s="1"/>
  <c r="AN54" i="1"/>
  <c r="AN207" i="1"/>
  <c r="AN205" i="1" s="1"/>
  <c r="AO193" i="1"/>
  <c r="AO195" i="1" s="1"/>
  <c r="AO66" i="1"/>
  <c r="AO52" i="1"/>
  <c r="AO119" i="1"/>
  <c r="AO120" i="1" s="1"/>
  <c r="AR54" i="1"/>
  <c r="BF54" i="1"/>
  <c r="BC66" i="1"/>
  <c r="BC52" i="1"/>
  <c r="BC119" i="1"/>
  <c r="BC120" i="1" s="1"/>
  <c r="S61" i="1"/>
  <c r="BC193" i="1"/>
  <c r="BC195" i="1" s="1"/>
  <c r="BB207" i="1"/>
  <c r="BB205" i="1" s="1"/>
  <c r="BB193" i="1"/>
  <c r="BB195" i="1" s="1"/>
  <c r="BB52" i="1"/>
  <c r="BE54" i="1"/>
  <c r="BB66" i="1"/>
  <c r="BD54" i="1"/>
  <c r="BB54" i="1"/>
  <c r="R61" i="1"/>
  <c r="BT207" i="1"/>
  <c r="BT205" i="1" s="1"/>
  <c r="BT66" i="1"/>
  <c r="BT52" i="1"/>
  <c r="BT193" i="1"/>
  <c r="BT195" i="1" s="1"/>
  <c r="BV54" i="1"/>
  <c r="AR66" i="1"/>
  <c r="AR52" i="1"/>
  <c r="AR193" i="1"/>
  <c r="AR195" i="1" s="1"/>
  <c r="AU54" i="1"/>
  <c r="AT54" i="1"/>
  <c r="P61" i="1"/>
  <c r="AS66" i="1"/>
  <c r="AS119" i="1"/>
  <c r="AS120" i="1" s="1"/>
  <c r="AS193" i="1"/>
  <c r="AS195" i="1" s="1"/>
  <c r="AS52" i="1"/>
  <c r="AV54" i="1"/>
  <c r="BR207" i="1"/>
  <c r="BR205" i="1" s="1"/>
  <c r="BT54" i="1"/>
  <c r="BR52" i="1"/>
  <c r="BR193" i="1"/>
  <c r="BR195" i="1" s="1"/>
  <c r="BR66" i="1"/>
  <c r="BS54" i="1"/>
  <c r="BG66" i="1"/>
  <c r="BJ69" i="1" s="1"/>
  <c r="BF89" i="1" s="1"/>
  <c r="T61" i="1"/>
  <c r="BG52" i="1"/>
  <c r="BG119" i="1"/>
  <c r="BG120" i="1" s="1"/>
  <c r="BJ54" i="1"/>
  <c r="BG193" i="1"/>
  <c r="BG195" i="1" s="1"/>
  <c r="BA95" i="1"/>
  <c r="BA94" i="1"/>
  <c r="BA96" i="1"/>
  <c r="BF52" i="1"/>
  <c r="BF193" i="1"/>
  <c r="BF195" i="1" s="1"/>
  <c r="BF66" i="1"/>
  <c r="BH54" i="1"/>
  <c r="BF207" i="1"/>
  <c r="BF205" i="1" s="1"/>
  <c r="BV89" i="1"/>
  <c r="BI95" i="1"/>
  <c r="BI96" i="1"/>
  <c r="BI94" i="1"/>
  <c r="AW89" i="1"/>
  <c r="BA87" i="1"/>
  <c r="CD70" i="1"/>
  <c r="BZ87" i="1"/>
  <c r="BX86" i="1"/>
  <c r="BT89" i="1"/>
  <c r="BX87" i="1"/>
  <c r="CB70" i="1"/>
  <c r="BX85" i="1"/>
  <c r="BA85" i="1"/>
  <c r="BA86" i="1"/>
  <c r="BZ86" i="1"/>
  <c r="CC90" i="1" s="1"/>
  <c r="BZ8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A203" i="1"/>
  <c r="AA201" i="1" s="1"/>
  <c r="AR109" i="1"/>
  <c r="W61" i="1"/>
  <c r="BY69" i="1" l="1"/>
  <c r="BM129" i="1"/>
  <c r="BM55" i="1" s="1"/>
  <c r="BM207" i="1"/>
  <c r="BM205" i="1" s="1"/>
  <c r="BM92" i="1"/>
  <c r="BW92" i="1"/>
  <c r="BW207" i="1"/>
  <c r="BW205" i="1" s="1"/>
  <c r="BX207" i="1"/>
  <c r="BX205" i="1" s="1"/>
  <c r="BW129" i="1"/>
  <c r="BW55" i="1" s="1"/>
  <c r="BU129" i="1"/>
  <c r="BU55" i="1" s="1"/>
  <c r="BU92" i="1"/>
  <c r="BU207" i="1"/>
  <c r="BU205" i="1" s="1"/>
  <c r="BS96" i="1"/>
  <c r="BS95" i="1"/>
  <c r="BS94" i="1"/>
  <c r="AU94" i="1"/>
  <c r="AU96" i="1"/>
  <c r="AU95" i="1"/>
  <c r="BV207" i="1"/>
  <c r="BV205" i="1" s="1"/>
  <c r="BU54" i="1"/>
  <c r="AV69" i="1"/>
  <c r="BM69" i="1"/>
  <c r="BK69" i="1"/>
  <c r="BL69" i="1"/>
  <c r="AV89" i="1"/>
  <c r="AZ87" i="1"/>
  <c r="AZ86" i="1"/>
  <c r="AZ85" i="1"/>
  <c r="BK129" i="1"/>
  <c r="BK55" i="1" s="1"/>
  <c r="BK207" i="1"/>
  <c r="BK205" i="1" s="1"/>
  <c r="BL207" i="1"/>
  <c r="BL205" i="1" s="1"/>
  <c r="BK92" i="1"/>
  <c r="BK54" i="1"/>
  <c r="BQ96" i="1"/>
  <c r="BQ95" i="1"/>
  <c r="BQ94" i="1"/>
  <c r="BF69" i="1"/>
  <c r="BR69" i="1"/>
  <c r="AR69" i="1"/>
  <c r="BE69" i="1"/>
  <c r="BD69" i="1"/>
  <c r="BB69" i="1"/>
  <c r="BC69" i="1"/>
  <c r="BQ69" i="1"/>
  <c r="BM89" i="1" s="1"/>
  <c r="BO69" i="1"/>
  <c r="BP69" i="1"/>
  <c r="BN69" i="1"/>
  <c r="BU69" i="1"/>
  <c r="BU85" i="1" s="1"/>
  <c r="BT69" i="1"/>
  <c r="BJ85" i="1"/>
  <c r="AU69" i="1"/>
  <c r="AU86" i="1" s="1"/>
  <c r="AS69" i="1"/>
  <c r="AT69" i="1"/>
  <c r="BJ86" i="1"/>
  <c r="BI69" i="1"/>
  <c r="BI86" i="1" s="1"/>
  <c r="BH69" i="1"/>
  <c r="BG69" i="1"/>
  <c r="AY69" i="1"/>
  <c r="AX69" i="1"/>
  <c r="AQ69" i="1"/>
  <c r="AO69" i="1"/>
  <c r="AN69" i="1"/>
  <c r="AP69" i="1"/>
  <c r="AW69" i="1"/>
  <c r="BS69" i="1"/>
  <c r="AS129" i="1"/>
  <c r="AS55" i="1" s="1"/>
  <c r="AS54" i="1"/>
  <c r="AS207" i="1"/>
  <c r="AS205" i="1" s="1"/>
  <c r="AT207" i="1"/>
  <c r="AT205" i="1" s="1"/>
  <c r="AS92" i="1"/>
  <c r="AL85" i="1"/>
  <c r="AL86" i="1"/>
  <c r="AL87" i="1"/>
  <c r="AI210" i="1"/>
  <c r="AI211" i="1" s="1"/>
  <c r="BP207" i="1"/>
  <c r="BP205" i="1" s="1"/>
  <c r="BO207" i="1"/>
  <c r="BO205" i="1" s="1"/>
  <c r="BO129" i="1"/>
  <c r="BO55" i="1" s="1"/>
  <c r="BO92" i="1"/>
  <c r="BO54" i="1"/>
  <c r="BV69" i="1"/>
  <c r="BW69" i="1"/>
  <c r="AO54" i="1"/>
  <c r="AO92" i="1"/>
  <c r="AP207" i="1"/>
  <c r="AP205" i="1" s="1"/>
  <c r="AO129" i="1"/>
  <c r="AO55" i="1" s="1"/>
  <c r="AO207" i="1"/>
  <c r="AO205" i="1" s="1"/>
  <c r="AW129" i="1"/>
  <c r="AW55" i="1" s="1"/>
  <c r="AW207" i="1"/>
  <c r="AW205" i="1" s="1"/>
  <c r="AW92" i="1"/>
  <c r="AW54" i="1"/>
  <c r="AX207" i="1"/>
  <c r="AX205" i="1" s="1"/>
  <c r="BJ87" i="1"/>
  <c r="BC207" i="1"/>
  <c r="BC205" i="1" s="1"/>
  <c r="BC129" i="1"/>
  <c r="BC55" i="1" s="1"/>
  <c r="BC92" i="1"/>
  <c r="BC54" i="1"/>
  <c r="BD207" i="1"/>
  <c r="BD205" i="1" s="1"/>
  <c r="BG207" i="1"/>
  <c r="BG205" i="1" s="1"/>
  <c r="BG54" i="1"/>
  <c r="BG129" i="1"/>
  <c r="BG55" i="1" s="1"/>
  <c r="BG92" i="1"/>
  <c r="BH207" i="1"/>
  <c r="BH205" i="1" s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B90" i="1" l="1"/>
  <c r="AQ89" i="1"/>
  <c r="BY86" i="1"/>
  <c r="CA90" i="1" s="1"/>
  <c r="CC70" i="1"/>
  <c r="BY85" i="1"/>
  <c r="BU89" i="1"/>
  <c r="BY87" i="1"/>
  <c r="AU87" i="1"/>
  <c r="BW95" i="1"/>
  <c r="BW96" i="1"/>
  <c r="BW94" i="1"/>
  <c r="BM96" i="1"/>
  <c r="BM94" i="1"/>
  <c r="BM95" i="1"/>
  <c r="BU95" i="1"/>
  <c r="BU96" i="1"/>
  <c r="BU94" i="1"/>
  <c r="BM87" i="1"/>
  <c r="BM86" i="1"/>
  <c r="BM85" i="1"/>
  <c r="BI89" i="1"/>
  <c r="BG89" i="1"/>
  <c r="BK87" i="1"/>
  <c r="BK86" i="1"/>
  <c r="BK85" i="1"/>
  <c r="BL87" i="1"/>
  <c r="BH89" i="1"/>
  <c r="BL86" i="1"/>
  <c r="BL85" i="1"/>
  <c r="AV70" i="1"/>
  <c r="BM90" i="1"/>
  <c r="AV86" i="1"/>
  <c r="AR89" i="1"/>
  <c r="AZ70" i="1"/>
  <c r="AV87" i="1"/>
  <c r="AV85" i="1"/>
  <c r="BK95" i="1"/>
  <c r="BK94" i="1"/>
  <c r="BK96" i="1"/>
  <c r="BJ70" i="1"/>
  <c r="BB89" i="1"/>
  <c r="BF86" i="1"/>
  <c r="BF85" i="1"/>
  <c r="BF87" i="1"/>
  <c r="BR86" i="1"/>
  <c r="BR87" i="1"/>
  <c r="BR85" i="1"/>
  <c r="BN89" i="1"/>
  <c r="BV70" i="1"/>
  <c r="AM89" i="1"/>
  <c r="AQ86" i="1"/>
  <c r="AQ87" i="1"/>
  <c r="BL90" i="1"/>
  <c r="AQ85" i="1"/>
  <c r="AN89" i="1"/>
  <c r="AR87" i="1"/>
  <c r="AU85" i="1"/>
  <c r="AY70" i="1"/>
  <c r="AR86" i="1"/>
  <c r="AR85" i="1"/>
  <c r="BY70" i="1"/>
  <c r="BS86" i="1"/>
  <c r="BS85" i="1"/>
  <c r="BW70" i="1"/>
  <c r="BO89" i="1"/>
  <c r="BS87" i="1"/>
  <c r="BP86" i="1"/>
  <c r="BL89" i="1"/>
  <c r="BP87" i="1"/>
  <c r="BP70" i="1"/>
  <c r="BP85" i="1"/>
  <c r="BT70" i="1"/>
  <c r="BU87" i="1"/>
  <c r="BO70" i="1"/>
  <c r="BO85" i="1"/>
  <c r="BS70" i="1"/>
  <c r="BO87" i="1"/>
  <c r="BK89" i="1"/>
  <c r="BO86" i="1"/>
  <c r="BI87" i="1"/>
  <c r="BM70" i="1"/>
  <c r="BA70" i="1"/>
  <c r="AW87" i="1"/>
  <c r="AS89" i="1"/>
  <c r="AW85" i="1"/>
  <c r="AW86" i="1"/>
  <c r="AN87" i="1"/>
  <c r="AN85" i="1"/>
  <c r="AR70" i="1"/>
  <c r="AN86" i="1"/>
  <c r="AP89" i="1"/>
  <c r="AT87" i="1"/>
  <c r="AT86" i="1"/>
  <c r="AW90" i="1" s="1"/>
  <c r="AT85" i="1"/>
  <c r="AX70" i="1"/>
  <c r="AY89" i="1"/>
  <c r="BC85" i="1"/>
  <c r="BC87" i="1"/>
  <c r="BG70" i="1"/>
  <c r="BC86" i="1"/>
  <c r="BL70" i="1"/>
  <c r="BH87" i="1"/>
  <c r="BD89" i="1"/>
  <c r="BH85" i="1"/>
  <c r="BH86" i="1"/>
  <c r="BK90" i="1" s="1"/>
  <c r="BR70" i="1"/>
  <c r="BJ89" i="1"/>
  <c r="BN86" i="1"/>
  <c r="BN87" i="1"/>
  <c r="BN85" i="1"/>
  <c r="BI85" i="1"/>
  <c r="BQ85" i="1"/>
  <c r="BU70" i="1"/>
  <c r="BQ70" i="1"/>
  <c r="BQ87" i="1"/>
  <c r="AO85" i="1"/>
  <c r="AS70" i="1"/>
  <c r="AO86" i="1"/>
  <c r="AO87" i="1"/>
  <c r="AW70" i="1"/>
  <c r="AO89" i="1"/>
  <c r="AS87" i="1"/>
  <c r="AS85" i="1"/>
  <c r="AS86" i="1"/>
  <c r="AX89" i="1"/>
  <c r="BB86" i="1"/>
  <c r="BB85" i="1"/>
  <c r="BB87" i="1"/>
  <c r="BF70" i="1"/>
  <c r="BK70" i="1"/>
  <c r="BG85" i="1"/>
  <c r="BC89" i="1"/>
  <c r="BG86" i="1"/>
  <c r="BG87" i="1"/>
  <c r="AU70" i="1"/>
  <c r="AQ70" i="1"/>
  <c r="BD70" i="1"/>
  <c r="BD86" i="1"/>
  <c r="AZ89" i="1"/>
  <c r="BD85" i="1"/>
  <c r="BD87" i="1"/>
  <c r="BH70" i="1"/>
  <c r="BN90" i="1"/>
  <c r="BU86" i="1"/>
  <c r="BN70" i="1"/>
  <c r="BQ86" i="1"/>
  <c r="BQ89" i="1"/>
  <c r="BE86" i="1"/>
  <c r="BE87" i="1"/>
  <c r="BA89" i="1"/>
  <c r="BI70" i="1"/>
  <c r="BE85" i="1"/>
  <c r="BE70" i="1"/>
  <c r="AY86" i="1"/>
  <c r="AY87" i="1"/>
  <c r="AY85" i="1"/>
  <c r="AU89" i="1"/>
  <c r="BC70" i="1"/>
  <c r="AL89" i="1"/>
  <c r="AP86" i="1"/>
  <c r="AT70" i="1"/>
  <c r="AP85" i="1"/>
  <c r="AP87" i="1"/>
  <c r="BE89" i="1"/>
  <c r="AP70" i="1"/>
  <c r="AT89" i="1"/>
  <c r="AX86" i="1"/>
  <c r="AX87" i="1"/>
  <c r="AX85" i="1"/>
  <c r="BB70" i="1"/>
  <c r="BX70" i="1"/>
  <c r="BP89" i="1"/>
  <c r="BT87" i="1"/>
  <c r="BT85" i="1"/>
  <c r="BT86" i="1"/>
  <c r="BR89" i="1"/>
  <c r="BV87" i="1"/>
  <c r="BV86" i="1"/>
  <c r="BV85" i="1"/>
  <c r="BZ70" i="1"/>
  <c r="BC96" i="1"/>
  <c r="BC95" i="1"/>
  <c r="BC94" i="1"/>
  <c r="BG94" i="1"/>
  <c r="BG96" i="1"/>
  <c r="BG95" i="1"/>
  <c r="BO94" i="1"/>
  <c r="BO95" i="1"/>
  <c r="BO96" i="1"/>
  <c r="AS96" i="1"/>
  <c r="AS94" i="1"/>
  <c r="AS95" i="1"/>
  <c r="BW87" i="1"/>
  <c r="CA70" i="1"/>
  <c r="BW86" i="1"/>
  <c r="BZ90" i="1" s="1"/>
  <c r="BS89" i="1"/>
  <c r="BW85" i="1"/>
  <c r="AW95" i="1"/>
  <c r="AW94" i="1"/>
  <c r="AW96" i="1"/>
  <c r="AO95" i="1"/>
  <c r="AO96" i="1"/>
  <c r="AO94" i="1"/>
  <c r="CT203" i="1"/>
  <c r="CT201" i="1" s="1"/>
  <c r="CU194" i="1"/>
  <c r="CU132" i="1"/>
  <c r="AB203" i="1"/>
  <c r="AB201" i="1" s="1"/>
  <c r="AE124" i="1"/>
  <c r="CA89" i="1"/>
  <c r="BR90" i="1" l="1"/>
  <c r="BG90" i="1"/>
  <c r="BB90" i="1"/>
  <c r="AU90" i="1"/>
  <c r="BI90" i="1"/>
  <c r="AT90" i="1"/>
  <c r="BE90" i="1"/>
  <c r="BD90" i="1"/>
  <c r="BC90" i="1"/>
  <c r="BS90" i="1"/>
  <c r="BW90" i="1"/>
  <c r="AS90" i="1"/>
  <c r="AV90" i="1"/>
  <c r="BF90" i="1"/>
  <c r="BH90" i="1"/>
  <c r="AZ90" i="1"/>
  <c r="AY90" i="1"/>
  <c r="BT90" i="1"/>
  <c r="BJ90" i="1"/>
  <c r="BX90" i="1"/>
  <c r="BV90" i="1"/>
  <c r="AX90" i="1"/>
  <c r="BA90" i="1"/>
  <c r="BU90" i="1"/>
  <c r="AO90" i="1"/>
  <c r="AQ90" i="1"/>
  <c r="AP90" i="1"/>
  <c r="BY90" i="1"/>
  <c r="BQ90" i="1"/>
  <c r="BO90" i="1"/>
  <c r="BP90" i="1"/>
  <c r="AR90" i="1"/>
  <c r="CU134" i="1"/>
  <c r="CF89" i="1"/>
  <c r="W89" i="1"/>
  <c r="W69" i="1"/>
  <c r="W68" i="1"/>
  <c r="CU138" i="1" l="1"/>
  <c r="CV32" i="1"/>
  <c r="AE125" i="1"/>
  <c r="AE128" i="1" s="1"/>
  <c r="AE249" i="1" s="1"/>
  <c r="W70" i="1"/>
  <c r="X70" i="1"/>
  <c r="X89" i="1"/>
  <c r="W87" i="1"/>
  <c r="V89" i="1"/>
  <c r="W85" i="1"/>
  <c r="W86" i="1"/>
  <c r="CV194" i="1" l="1"/>
  <c r="CV132" i="1"/>
  <c r="CU203" i="1"/>
  <c r="CU201" i="1" s="1"/>
  <c r="AE206" i="1"/>
  <c r="AC138" i="1"/>
  <c r="W120" i="1"/>
  <c r="CV134" i="1" l="1"/>
  <c r="W54" i="1"/>
  <c r="W92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W95" i="1"/>
  <c r="W94" i="1"/>
  <c r="W96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11" i="1"/>
  <c r="W114" i="1" s="1"/>
  <c r="W110" i="1"/>
  <c r="W113" i="1" s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Y89" i="1"/>
  <c r="AA209" i="1" l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AA8" i="1"/>
  <c r="AA253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AA10" i="1"/>
  <c r="AA145" i="1"/>
  <c r="AA180" i="1" s="1"/>
  <c r="AA153" i="1"/>
  <c r="AA183" i="1" s="1"/>
  <c r="AA146" i="1"/>
  <c r="CN225" i="1"/>
  <c r="CO225" i="1" l="1"/>
  <c r="CS8" i="1"/>
  <c r="AA23" i="1"/>
  <c r="AA26" i="1" s="1"/>
  <c r="AA27" i="1" s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AA98" i="1"/>
  <c r="AA99" i="1" s="1"/>
  <c r="AA102" i="1" s="1"/>
  <c r="AA188" i="1"/>
  <c r="CK148" i="1"/>
  <c r="AA15" i="1"/>
  <c r="AA16" i="1" s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AA152" i="1"/>
  <c r="AA156" i="1" s="1"/>
  <c r="CO144" i="1"/>
  <c r="CO16" i="1"/>
  <c r="CO152" i="1"/>
  <c r="CO153" i="1"/>
  <c r="CO26" i="1"/>
  <c r="CO23" i="1" s="1"/>
  <c r="CO145" i="1"/>
  <c r="CO146" i="1"/>
  <c r="CO12" i="1"/>
  <c r="AA11" i="1"/>
  <c r="AA58" i="1"/>
  <c r="AA144" i="1"/>
  <c r="CK197" i="1" l="1"/>
  <c r="CL197" i="1"/>
  <c r="CK196" i="1"/>
  <c r="CK198" i="1" s="1"/>
  <c r="CL196" i="1"/>
  <c r="CL198" i="1" s="1"/>
  <c r="CL199" i="1" s="1"/>
  <c r="CL213" i="1" s="1"/>
  <c r="CN112" i="1"/>
  <c r="CM112" i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AA18" i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AA28" i="1"/>
  <c r="AA250" i="1" s="1"/>
  <c r="AA251" i="1" s="1"/>
  <c r="AA17" i="1"/>
  <c r="AA59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AA197" i="1"/>
  <c r="AA185" i="1"/>
  <c r="AA184" i="1" s="1"/>
  <c r="AA179" i="1"/>
  <c r="AA148" i="1"/>
  <c r="CQ225" i="1"/>
  <c r="CO15" i="1"/>
  <c r="CM226" i="1"/>
  <c r="CM31" i="1"/>
  <c r="CO112" i="1" l="1"/>
  <c r="CO111" i="1" s="1"/>
  <c r="CM111" i="1"/>
  <c r="CN111" i="1"/>
  <c r="CU253" i="1"/>
  <c r="CU231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250" i="1"/>
  <c r="CO251" i="1" s="1"/>
  <c r="AB98" i="1"/>
  <c r="AB99" i="1" s="1"/>
  <c r="AB102" i="1" s="1"/>
  <c r="AB188" i="1"/>
  <c r="AA30" i="1"/>
  <c r="CQ19" i="1"/>
  <c r="AB15" i="1"/>
  <c r="AB16" i="1" s="1"/>
  <c r="CM198" i="1"/>
  <c r="AA34" i="1"/>
  <c r="AA112" i="1"/>
  <c r="AA29" i="1"/>
  <c r="AA60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AA196" i="1"/>
  <c r="AA198" i="1" s="1"/>
  <c r="AA182" i="1"/>
  <c r="AA157" i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12" i="1" s="1"/>
  <c r="CP111" i="1" s="1"/>
  <c r="CP19" i="1"/>
  <c r="CT231" i="1"/>
  <c r="CT10" i="1"/>
  <c r="AB152" i="1"/>
  <c r="AB156" i="1" s="1"/>
  <c r="CP156" i="1"/>
  <c r="CU98" i="1"/>
  <c r="CU99" i="1" s="1"/>
  <c r="CU102" i="1" s="1"/>
  <c r="CQ112" i="1" l="1"/>
  <c r="CQ111" i="1" s="1"/>
  <c r="CR112" i="1"/>
  <c r="CR111" i="1" s="1"/>
  <c r="CY8" i="1"/>
  <c r="CY253" i="1" s="1"/>
  <c r="CU26" i="1"/>
  <c r="CU23" i="1" s="1"/>
  <c r="CU16" i="1"/>
  <c r="CU153" i="1"/>
  <c r="CU144" i="1"/>
  <c r="CU145" i="1"/>
  <c r="CU146" i="1"/>
  <c r="CU152" i="1"/>
  <c r="CU156" i="1" s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112" i="1" s="1"/>
  <c r="CS111" i="1" s="1"/>
  <c r="CS18" i="1"/>
  <c r="CS19" i="1"/>
  <c r="AC10" i="1"/>
  <c r="CO198" i="1"/>
  <c r="CW231" i="1"/>
  <c r="CW10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AA181" i="1"/>
  <c r="AA186" i="1"/>
  <c r="AA189" i="1" s="1"/>
  <c r="AA190" i="1" s="1"/>
  <c r="CQ196" i="1"/>
  <c r="CP157" i="1"/>
  <c r="CP196" i="1"/>
  <c r="AB185" i="1"/>
  <c r="AB184" i="1" s="1"/>
  <c r="AB197" i="1"/>
  <c r="AB148" i="1"/>
  <c r="AB179" i="1"/>
  <c r="CY231" i="1" l="1"/>
  <c r="CY10" i="1"/>
  <c r="CS250" i="1"/>
  <c r="CS251" i="1" s="1"/>
  <c r="CU148" i="1"/>
  <c r="CU157" i="1" s="1"/>
  <c r="CU15" i="1"/>
  <c r="CU28" i="1"/>
  <c r="CU34" i="1" s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99" i="1" s="1"/>
  <c r="AC102" i="1" s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Y146" i="1"/>
  <c r="CY152" i="1"/>
  <c r="CY26" i="1"/>
  <c r="CY23" i="1" s="1"/>
  <c r="CY144" i="1"/>
  <c r="CY148" i="1" s="1"/>
  <c r="CT112" i="1"/>
  <c r="CT111" i="1" s="1"/>
  <c r="CV112" i="1"/>
  <c r="CV111" i="1" s="1"/>
  <c r="CU112" i="1"/>
  <c r="CU111" i="1" s="1"/>
  <c r="CU29" i="1"/>
  <c r="CU232" i="1"/>
  <c r="CU233" i="1" s="1"/>
  <c r="CU30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Y156" i="1" l="1"/>
  <c r="CV198" i="1"/>
  <c r="CY19" i="1"/>
  <c r="CY15" i="1"/>
  <c r="CY18" i="1"/>
  <c r="CY28" i="1"/>
  <c r="CW112" i="1"/>
  <c r="CW111" i="1" s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99" i="1" s="1"/>
  <c r="AD102" i="1" s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X15" i="1"/>
  <c r="AD15" i="1" s="1"/>
  <c r="AD16" i="1" s="1"/>
  <c r="AE8" i="1"/>
  <c r="AE253" i="1" s="1"/>
  <c r="CY112" i="1" l="1"/>
  <c r="CY111" i="1" s="1"/>
  <c r="CY34" i="1"/>
  <c r="CY30" i="1"/>
  <c r="CY29" i="1"/>
  <c r="CY232" i="1"/>
  <c r="CY233" i="1" s="1"/>
  <c r="CX112" i="1"/>
  <c r="CX111" i="1" s="1"/>
  <c r="CZ112" i="1"/>
  <c r="CZ111" i="1" s="1"/>
  <c r="CY250" i="1"/>
  <c r="CY251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X250" i="1"/>
  <c r="CX251" i="1" s="1"/>
  <c r="CY226" i="1"/>
  <c r="CY31" i="1"/>
  <c r="CZ226" i="1"/>
  <c r="CX226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DA112" i="1" l="1"/>
  <c r="DA111" i="1" s="1"/>
  <c r="CK96" i="1"/>
  <c r="CK95" i="1"/>
  <c r="CK94" i="1"/>
  <c r="AE23" i="1"/>
  <c r="AE26" i="1" s="1"/>
  <c r="AE27" i="1" s="1"/>
  <c r="AE98" i="1"/>
  <c r="AE99" i="1" s="1"/>
  <c r="AE102" i="1" s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226" i="1"/>
  <c r="AE152" i="1"/>
  <c r="AE156" i="1" s="1"/>
  <c r="DB156" i="1"/>
  <c r="DB197" i="1" s="1"/>
  <c r="DA197" i="1"/>
  <c r="DA198" i="1" s="1"/>
  <c r="DB112" i="1" l="1"/>
  <c r="DB111" i="1" s="1"/>
  <c r="CK211" i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K110" i="1"/>
  <c r="CK113" i="1" s="1"/>
  <c r="CK111" i="1"/>
  <c r="CK114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AE186" i="1" l="1"/>
  <c r="AE189" i="1" s="1"/>
  <c r="AE190" i="1" s="1"/>
  <c r="AE181" i="1"/>
  <c r="AA36" i="1"/>
  <c r="AA252" i="1" s="1"/>
  <c r="AA39" i="1" l="1"/>
  <c r="AA37" i="1"/>
  <c r="AA38" i="1"/>
  <c r="AA41" i="1" l="1"/>
  <c r="AA40" i="1"/>
  <c r="AA43" i="1" l="1"/>
  <c r="AA42" i="1"/>
  <c r="AA245" i="1" s="1"/>
  <c r="AA48" i="1"/>
  <c r="AA66" i="1" s="1"/>
  <c r="AA61" i="1"/>
  <c r="AA193" i="1" l="1"/>
  <c r="AA195" i="1" s="1"/>
  <c r="AA199" i="1" s="1"/>
  <c r="AA213" i="1" s="1"/>
  <c r="AA51" i="1"/>
  <c r="AA52" i="1" s="1"/>
  <c r="AA68" i="1"/>
  <c r="AA69" i="1"/>
  <c r="AA119" i="1" l="1"/>
  <c r="AA120" i="1" s="1"/>
  <c r="AA85" i="1"/>
  <c r="Z89" i="1"/>
  <c r="AA70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AA207" i="1"/>
  <c r="AA205" i="1" s="1"/>
  <c r="AA210" i="1" s="1"/>
  <c r="AA92" i="1"/>
  <c r="AA94" i="1" s="1"/>
  <c r="AA129" i="1"/>
  <c r="AA55" i="1" s="1"/>
  <c r="AA175" i="1"/>
  <c r="AA54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AA160" i="1" l="1"/>
  <c r="AA161" i="1" s="1"/>
  <c r="AA248" i="1" l="1"/>
  <c r="AA246" i="1"/>
  <c r="AA244" i="1"/>
  <c r="CM209" i="1"/>
  <c r="AA168" i="1"/>
  <c r="AA109" i="1" s="1"/>
  <c r="AA165" i="1"/>
  <c r="AB209" i="1"/>
  <c r="AA211" i="1"/>
  <c r="CM36" i="1" l="1"/>
  <c r="CM252" i="1" s="1"/>
  <c r="AA166" i="1"/>
  <c r="CM38" i="1" l="1"/>
  <c r="AA78" i="1" l="1"/>
  <c r="AA79" i="1"/>
  <c r="CM39" i="1"/>
  <c r="AA103" i="1" l="1"/>
  <c r="AA86" i="1"/>
  <c r="AA95" i="1"/>
  <c r="AA107" i="1"/>
  <c r="AA110" i="1" s="1"/>
  <c r="AA113" i="1" s="1"/>
  <c r="AA81" i="1"/>
  <c r="AA104" i="1"/>
  <c r="AA82" i="1"/>
  <c r="AA108" i="1"/>
  <c r="AA111" i="1" s="1"/>
  <c r="AA114" i="1" s="1"/>
  <c r="AA96" i="1"/>
  <c r="AA87" i="1"/>
  <c r="CM41" i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I89" i="1"/>
  <c r="CM85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211" i="1" l="1"/>
  <c r="CM248" i="1"/>
  <c r="CM246" i="1"/>
  <c r="CM244" i="1"/>
  <c r="CN209" i="1"/>
  <c r="CM165" i="1"/>
  <c r="CM168" i="1"/>
  <c r="CM109" i="1" s="1"/>
  <c r="CM108" i="1" l="1"/>
  <c r="CM166" i="1"/>
  <c r="CN36" i="1"/>
  <c r="CN252" i="1" s="1"/>
  <c r="CN38" i="1" l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J89" i="1"/>
  <c r="CN160" i="1" l="1"/>
  <c r="CN161" i="1" s="1"/>
  <c r="CN211" i="1" l="1"/>
  <c r="CN248" i="1"/>
  <c r="CN246" i="1"/>
  <c r="CN244" i="1"/>
  <c r="CN165" i="1"/>
  <c r="CN168" i="1"/>
  <c r="CN109" i="1" s="1"/>
  <c r="CO209" i="1"/>
  <c r="CN108" i="1" l="1"/>
  <c r="CN166" i="1"/>
  <c r="CO36" i="1"/>
  <c r="CO252" i="1" s="1"/>
  <c r="CO38" i="1" l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85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211" i="1" l="1"/>
  <c r="CO246" i="1"/>
  <c r="CO244" i="1"/>
  <c r="CO248" i="1"/>
  <c r="CO165" i="1"/>
  <c r="CO168" i="1"/>
  <c r="CO109" i="1" s="1"/>
  <c r="CP209" i="1"/>
  <c r="CO108" i="1" l="1"/>
  <c r="CP36" i="1"/>
  <c r="CP252" i="1" s="1"/>
  <c r="CO166" i="1"/>
  <c r="CP38" i="1" l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66" i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AB92" i="1"/>
  <c r="AB94" i="1" s="1"/>
  <c r="AB68" i="1"/>
  <c r="AB69" i="1"/>
  <c r="AB70" i="1" s="1"/>
  <c r="CP85" i="1"/>
  <c r="CP207" i="1"/>
  <c r="CP205" i="1" s="1"/>
  <c r="CP210" i="1" s="1"/>
  <c r="CP129" i="1"/>
  <c r="CP55" i="1" s="1"/>
  <c r="CP92" i="1"/>
  <c r="CP94" i="1" s="1"/>
  <c r="CP54" i="1"/>
  <c r="CP160" i="1" l="1"/>
  <c r="AB85" i="1"/>
  <c r="AA89" i="1"/>
  <c r="CP161" i="1" l="1"/>
  <c r="AB160" i="1"/>
  <c r="AB161" i="1" s="1"/>
  <c r="AB248" i="1" l="1"/>
  <c r="AB246" i="1"/>
  <c r="AB244" i="1"/>
  <c r="CP246" i="1"/>
  <c r="CP244" i="1"/>
  <c r="CP248" i="1"/>
  <c r="CP165" i="1"/>
  <c r="CQ209" i="1"/>
  <c r="CP168" i="1"/>
  <c r="CP109" i="1" s="1"/>
  <c r="CP211" i="1"/>
  <c r="AB168" i="1"/>
  <c r="AB109" i="1" s="1"/>
  <c r="AB165" i="1"/>
  <c r="AC209" i="1"/>
  <c r="AB211" i="1"/>
  <c r="CP108" i="1" l="1"/>
  <c r="AB166" i="1"/>
  <c r="CQ36" i="1"/>
  <c r="CQ252" i="1" s="1"/>
  <c r="CP166" i="1"/>
  <c r="CQ38" i="1" l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248" i="1" l="1"/>
  <c r="CQ246" i="1"/>
  <c r="CQ244" i="1"/>
  <c r="CQ168" i="1"/>
  <c r="CQ109" i="1" s="1"/>
  <c r="CR209" i="1"/>
  <c r="CQ165" i="1"/>
  <c r="CQ108" i="1" l="1"/>
  <c r="CQ166" i="1"/>
  <c r="CR36" i="1"/>
  <c r="CR252" i="1" s="1"/>
  <c r="CR38" i="1" l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248" i="1" l="1"/>
  <c r="CR246" i="1"/>
  <c r="CR244" i="1"/>
  <c r="CS209" i="1"/>
  <c r="CR168" i="1"/>
  <c r="CR109" i="1" s="1"/>
  <c r="CR165" i="1"/>
  <c r="CR211" i="1"/>
  <c r="CR108" i="1" l="1"/>
  <c r="CR166" i="1"/>
  <c r="CS36" i="1"/>
  <c r="CS252" i="1" s="1"/>
  <c r="CS38" i="1" l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246" i="1" l="1"/>
  <c r="CS248" i="1"/>
  <c r="CS244" i="1"/>
  <c r="CT209" i="1"/>
  <c r="CS165" i="1"/>
  <c r="CS168" i="1"/>
  <c r="CS109" i="1" s="1"/>
  <c r="CS211" i="1"/>
  <c r="CS108" i="1" l="1"/>
  <c r="CT36" i="1"/>
  <c r="CT252" i="1" s="1"/>
  <c r="CS166" i="1"/>
  <c r="CT38" i="1" l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66" i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AC68" i="1"/>
  <c r="AC69" i="1"/>
  <c r="AC70" i="1" s="1"/>
  <c r="CT85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92" i="1"/>
  <c r="AC94" i="1" s="1"/>
  <c r="AC175" i="1"/>
  <c r="AC85" i="1"/>
  <c r="CT161" i="1" l="1"/>
  <c r="AC160" i="1"/>
  <c r="AC161" i="1" s="1"/>
  <c r="CT246" i="1" l="1"/>
  <c r="CT248" i="1"/>
  <c r="CT244" i="1"/>
  <c r="AC248" i="1"/>
  <c r="AC246" i="1"/>
  <c r="AC244" i="1"/>
  <c r="CU209" i="1"/>
  <c r="CT165" i="1"/>
  <c r="CT168" i="1"/>
  <c r="CT109" i="1" s="1"/>
  <c r="CT211" i="1"/>
  <c r="AD209" i="1"/>
  <c r="AC168" i="1"/>
  <c r="AC109" i="1" s="1"/>
  <c r="AC165" i="1"/>
  <c r="AC211" i="1"/>
  <c r="CT108" i="1" l="1"/>
  <c r="AC166" i="1"/>
  <c r="CT166" i="1"/>
  <c r="CU36" i="1"/>
  <c r="CU252" i="1" s="1"/>
  <c r="CU38" i="1" l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248" i="1" l="1"/>
  <c r="CU244" i="1"/>
  <c r="CU246" i="1"/>
  <c r="CU165" i="1"/>
  <c r="CU168" i="1"/>
  <c r="CU109" i="1" s="1"/>
  <c r="CV209" i="1"/>
  <c r="CU211" i="1"/>
  <c r="CU108" i="1" l="1"/>
  <c r="CU166" i="1"/>
  <c r="CV36" i="1"/>
  <c r="CV252" i="1" s="1"/>
  <c r="CV38" i="1" l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246" i="1" l="1"/>
  <c r="CV244" i="1"/>
  <c r="CV248" i="1"/>
  <c r="CV168" i="1"/>
  <c r="CV109" i="1" s="1"/>
  <c r="CW209" i="1"/>
  <c r="CV165" i="1"/>
  <c r="CV211" i="1"/>
  <c r="CV108" i="1" l="1"/>
  <c r="CV166" i="1"/>
  <c r="CW36" i="1"/>
  <c r="CW252" i="1" s="1"/>
  <c r="CW38" i="1" l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246" i="1" l="1"/>
  <c r="CW244" i="1"/>
  <c r="CW248" i="1"/>
  <c r="CW165" i="1"/>
  <c r="CX209" i="1"/>
  <c r="CW168" i="1"/>
  <c r="CW109" i="1" s="1"/>
  <c r="CW211" i="1"/>
  <c r="CW108" i="1" l="1"/>
  <c r="CX36" i="1"/>
  <c r="CX252" i="1" s="1"/>
  <c r="CW166" i="1"/>
  <c r="CX38" i="1" l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66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85" i="1"/>
  <c r="AD68" i="1"/>
  <c r="AD69" i="1"/>
  <c r="AD70" i="1" s="1"/>
  <c r="AD92" i="1" l="1"/>
  <c r="AD94" i="1" s="1"/>
  <c r="AD175" i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AD85" i="1"/>
  <c r="CX161" i="1" l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109" i="1" s="1"/>
  <c r="CX211" i="1"/>
  <c r="CX108" i="1" l="1"/>
  <c r="AD166" i="1"/>
  <c r="CY36" i="1"/>
  <c r="CY252" i="1" s="1"/>
  <c r="CX166" i="1"/>
  <c r="CY38" i="1" l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85" i="1" l="1"/>
  <c r="CY92" i="1"/>
  <c r="CY94" i="1" s="1"/>
  <c r="CY129" i="1"/>
  <c r="CY55" i="1" s="1"/>
  <c r="CY207" i="1"/>
  <c r="CY205" i="1" s="1"/>
  <c r="CY210" i="1" s="1"/>
  <c r="CY54" i="1"/>
  <c r="CY160" i="1" l="1"/>
  <c r="CY161" i="1" s="1"/>
  <c r="CY211" i="1" l="1"/>
  <c r="CY248" i="1"/>
  <c r="CY246" i="1"/>
  <c r="CY244" i="1"/>
  <c r="CZ209" i="1"/>
  <c r="CY165" i="1"/>
  <c r="CY168" i="1"/>
  <c r="CY109" i="1" s="1"/>
  <c r="CY108" i="1" l="1"/>
  <c r="CY166" i="1"/>
  <c r="CZ36" i="1"/>
  <c r="CZ252" i="1" s="1"/>
  <c r="CZ38" i="1" l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129" i="1"/>
  <c r="CZ55" i="1" s="1"/>
  <c r="CZ207" i="1"/>
  <c r="CZ205" i="1" s="1"/>
  <c r="CZ210" i="1" s="1"/>
  <c r="CZ92" i="1"/>
  <c r="CZ94" i="1" s="1"/>
  <c r="CZ54" i="1"/>
  <c r="CZ160" i="1" l="1"/>
  <c r="CZ161" i="1" s="1"/>
  <c r="CZ246" i="1" l="1"/>
  <c r="CZ244" i="1"/>
  <c r="CZ248" i="1"/>
  <c r="CZ165" i="1"/>
  <c r="CZ168" i="1"/>
  <c r="CZ109" i="1" s="1"/>
  <c r="DA209" i="1"/>
  <c r="CZ211" i="1"/>
  <c r="CZ108" i="1" l="1"/>
  <c r="DA36" i="1"/>
  <c r="DA252" i="1" s="1"/>
  <c r="CZ166" i="1"/>
  <c r="DA38" i="1" l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85" i="1" l="1"/>
  <c r="DA129" i="1"/>
  <c r="DA55" i="1" s="1"/>
  <c r="DA207" i="1"/>
  <c r="DA205" i="1" s="1"/>
  <c r="DA210" i="1" s="1"/>
  <c r="DA92" i="1"/>
  <c r="DA94" i="1" s="1"/>
  <c r="DA54" i="1"/>
  <c r="DA160" i="1" l="1"/>
  <c r="DA161" i="1" s="1"/>
  <c r="DA211" i="1" l="1"/>
  <c r="DA248" i="1"/>
  <c r="DA244" i="1"/>
  <c r="DA246" i="1"/>
  <c r="DA168" i="1"/>
  <c r="DA109" i="1" s="1"/>
  <c r="DB209" i="1"/>
  <c r="DA165" i="1"/>
  <c r="DA108" i="1" l="1"/>
  <c r="DA166" i="1"/>
  <c r="DB36" i="1"/>
  <c r="DB252" i="1" s="1"/>
  <c r="DB38" i="1" l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66" i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85" i="1"/>
  <c r="AE69" i="1"/>
  <c r="AE70" i="1" s="1"/>
  <c r="AE68" i="1"/>
  <c r="AE85" i="1" l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92" i="1"/>
  <c r="AE94" i="1" s="1"/>
  <c r="AE175" i="1"/>
  <c r="AE54" i="1"/>
  <c r="DB160" i="1" l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DB108" i="1" l="1"/>
  <c r="AE166" i="1"/>
  <c r="DB166" i="1"/>
  <c r="DB79" i="1" l="1"/>
  <c r="DB82" i="1" s="1"/>
  <c r="CT79" i="1"/>
  <c r="CT82" i="1" s="1"/>
  <c r="DA79" i="1"/>
  <c r="DA82" i="1" s="1"/>
  <c r="CS79" i="1"/>
  <c r="CS82" i="1" s="1"/>
  <c r="CZ79" i="1"/>
  <c r="CZ82" i="1" s="1"/>
  <c r="CV79" i="1"/>
  <c r="CV82" i="1" s="1"/>
  <c r="CR79" i="1"/>
  <c r="CR82" i="1" s="1"/>
  <c r="CN79" i="1"/>
  <c r="CN82" i="1" s="1"/>
  <c r="CX79" i="1"/>
  <c r="CX82" i="1" s="1"/>
  <c r="CP79" i="1"/>
  <c r="CP82" i="1" s="1"/>
  <c r="CW79" i="1"/>
  <c r="CW82" i="1" s="1"/>
  <c r="CO79" i="1"/>
  <c r="CO82" i="1" s="1"/>
  <c r="CY79" i="1"/>
  <c r="CU79" i="1"/>
  <c r="CU82" i="1" s="1"/>
  <c r="CQ79" i="1"/>
  <c r="CQ82" i="1" s="1"/>
  <c r="CM79" i="1"/>
  <c r="AE79" i="1" l="1"/>
  <c r="AE87" i="1" s="1"/>
  <c r="AB79" i="1"/>
  <c r="AB87" i="1" s="1"/>
  <c r="AC79" i="1"/>
  <c r="CY82" i="1"/>
  <c r="CM82" i="1"/>
  <c r="AD79" i="1"/>
  <c r="AE96" i="1" l="1"/>
  <c r="AE104" i="1"/>
  <c r="AE82" i="1"/>
  <c r="AE108" i="1"/>
  <c r="AE111" i="1" s="1"/>
  <c r="AE114" i="1" s="1"/>
  <c r="AB104" i="1"/>
  <c r="AB96" i="1"/>
  <c r="AB108" i="1"/>
  <c r="AB111" i="1" s="1"/>
  <c r="AB114" i="1" s="1"/>
  <c r="AB82" i="1"/>
  <c r="AD87" i="1"/>
  <c r="AD104" i="1"/>
  <c r="AD108" i="1"/>
  <c r="AD111" i="1" s="1"/>
  <c r="AD114" i="1" s="1"/>
  <c r="AD96" i="1"/>
  <c r="AD82" i="1"/>
  <c r="AC96" i="1"/>
  <c r="AC104" i="1"/>
  <c r="AC87" i="1"/>
  <c r="AC108" i="1"/>
  <c r="AC111" i="1" s="1"/>
  <c r="AC114" i="1" s="1"/>
  <c r="AC82" i="1"/>
  <c r="CM113" i="1" l="1"/>
  <c r="CN113" i="1" s="1"/>
  <c r="CN110" i="1" l="1"/>
  <c r="CN107" i="1" s="1"/>
  <c r="CN78" i="1" s="1"/>
  <c r="CN81" i="1" s="1"/>
  <c r="CO113" i="1"/>
  <c r="CM110" i="1"/>
  <c r="CM107" i="1" s="1"/>
  <c r="CM78" i="1" s="1"/>
  <c r="CM81" i="1" l="1"/>
  <c r="CO110" i="1"/>
  <c r="CO107" i="1" s="1"/>
  <c r="CO78" i="1" s="1"/>
  <c r="CO81" i="1" s="1"/>
  <c r="CP113" i="1"/>
  <c r="CP110" i="1" l="1"/>
  <c r="CP107" i="1" s="1"/>
  <c r="CP78" i="1" s="1"/>
  <c r="CP81" i="1" s="1"/>
  <c r="CQ113" i="1"/>
  <c r="AB78" i="1" l="1"/>
  <c r="AB86" i="1" s="1"/>
  <c r="CR113" i="1"/>
  <c r="CQ110" i="1"/>
  <c r="CQ107" i="1" s="1"/>
  <c r="CQ78" i="1" s="1"/>
  <c r="AB107" i="1" l="1"/>
  <c r="AB110" i="1" s="1"/>
  <c r="AB113" i="1" s="1"/>
  <c r="AB95" i="1"/>
  <c r="AB103" i="1"/>
  <c r="AB89" i="1"/>
  <c r="AB81" i="1"/>
  <c r="CQ81" i="1"/>
  <c r="CR110" i="1"/>
  <c r="CR107" i="1" s="1"/>
  <c r="CR78" i="1" s="1"/>
  <c r="CR81" i="1" s="1"/>
  <c r="CS113" i="1"/>
  <c r="CT113" i="1" l="1"/>
  <c r="CS110" i="1"/>
  <c r="CS107" i="1" s="1"/>
  <c r="CS78" i="1" s="1"/>
  <c r="CS81" i="1" s="1"/>
  <c r="CT110" i="1" l="1"/>
  <c r="CT107" i="1" s="1"/>
  <c r="CT78" i="1" s="1"/>
  <c r="CU113" i="1"/>
  <c r="CV113" i="1" l="1"/>
  <c r="CU110" i="1"/>
  <c r="CU107" i="1" s="1"/>
  <c r="CU78" i="1" s="1"/>
  <c r="CT81" i="1"/>
  <c r="AC78" i="1"/>
  <c r="AC103" i="1" l="1"/>
  <c r="AC81" i="1"/>
  <c r="AC107" i="1"/>
  <c r="AC110" i="1" s="1"/>
  <c r="AC113" i="1" s="1"/>
  <c r="AC86" i="1"/>
  <c r="AC89" i="1"/>
  <c r="AC95" i="1"/>
  <c r="CU81" i="1"/>
  <c r="CV110" i="1"/>
  <c r="CV107" i="1" s="1"/>
  <c r="CV78" i="1" s="1"/>
  <c r="CV81" i="1" s="1"/>
  <c r="CW113" i="1"/>
  <c r="CW110" i="1" l="1"/>
  <c r="CW107" i="1" s="1"/>
  <c r="CW78" i="1" s="1"/>
  <c r="CX113" i="1"/>
  <c r="CX110" i="1" l="1"/>
  <c r="CX107" i="1" s="1"/>
  <c r="CX78" i="1" s="1"/>
  <c r="CX81" i="1" s="1"/>
  <c r="CY113" i="1"/>
  <c r="CW81" i="1"/>
  <c r="AD78" i="1" l="1"/>
  <c r="AD89" i="1" s="1"/>
  <c r="CZ113" i="1"/>
  <c r="CY110" i="1"/>
  <c r="CY107" i="1" s="1"/>
  <c r="CY78" i="1" s="1"/>
  <c r="AD107" i="1" l="1"/>
  <c r="AD110" i="1" s="1"/>
  <c r="AD113" i="1" s="1"/>
  <c r="AD81" i="1"/>
  <c r="AD103" i="1"/>
  <c r="AD95" i="1"/>
  <c r="AD86" i="1"/>
  <c r="CY81" i="1"/>
  <c r="CZ110" i="1"/>
  <c r="CZ107" i="1" s="1"/>
  <c r="CZ78" i="1" s="1"/>
  <c r="CZ81" i="1" s="1"/>
  <c r="DA113" i="1"/>
  <c r="DA110" i="1" l="1"/>
  <c r="DA107" i="1" s="1"/>
  <c r="DA78" i="1" s="1"/>
  <c r="DA81" i="1" s="1"/>
  <c r="DB113" i="1"/>
  <c r="DB110" i="1" s="1"/>
  <c r="DB107" i="1" s="1"/>
  <c r="DB78" i="1" s="1"/>
  <c r="DB81" i="1" s="1"/>
  <c r="AE78" i="1" l="1"/>
  <c r="AE107" i="1" l="1"/>
  <c r="AE110" i="1" s="1"/>
  <c r="AE113" i="1" s="1"/>
  <c r="AE103" i="1"/>
  <c r="AE95" i="1"/>
  <c r="AE81" i="1"/>
  <c r="AE8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<sst xmlns="http://schemas.openxmlformats.org/spreadsheetml/2006/main" count="662" uniqueCount="523">
  <si>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</si>
  <si>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</si>
  <si>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</si>
  <si>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</si>
  <si>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</si>
  <si>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</si>
  <si>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</si>
  <si>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</si>
  <si>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</si>
  <si>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</si>
  <si>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</si>
  <si>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</si>
  <si>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</si>
  <si>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</si>
  <si>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</si>
  <si>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</si>
  <si>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</si>
  <si>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</si>
  <si>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</si>
  <si>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</si>
  <si>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</si>
  <si>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</si>
  <si>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</si>
  <si>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</si>
  <si>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</si>
  <si>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</si>
  <si>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</si>
  <si>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</si>
  <si>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</si>
  <si>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</si>
  <si>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</si>
  <si>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</si>
  <si>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</si>
  <si>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</si>
  <si>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</si>
  <si>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</si>
  <si>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</si>
  <si>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</si>
  <si>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</si>
  <si>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</si>
  <si>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</si>
  <si>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</si>
  <si>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</si>
  <si>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</si>
  <si>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</si>
  <si>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</si>
  <si>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</si>
  <si>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</si>
  <si>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</si>
  <si>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</si>
  <si>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</si>
  <si>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</si>
  <si>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</si>
  <si>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</si>
  <si>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</si>
  <si>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</si>
  <si>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</si>
  <si>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</si>
  <si>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</si>
  <si>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</si>
  <si>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</si>
  <si>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</si>
  <si>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</si>
  <si>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</si>
  <si>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</si>
  <si>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</si>
  <si>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</si>
  <si>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</si>
  <si>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</si>
  <si>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</si>
  <si>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</si>
  <si>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</si>
  <si>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</si>
  <si>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</si>
  <si>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</si>
  <si>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</si>
  <si>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</si>
  <si>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</si>
  <si>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</si>
  <si>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</si>
  <si>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</si>
  <si>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</si>
  <si>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</si>
  <si>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</si>
  <si>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</si>
  <si>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</si>
  <si>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</si>
  <si>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</si>
  <si>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</si>
  <si>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</si>
  <si>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</si>
  <si>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</si>
  <si>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</si>
  <si>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</si>
  <si>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</si>
  <si>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</si>
  <si>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</si>
  <si>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</si>
  <si>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</si>
  <si>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</si>
  <si>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</si>
  <si>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</si>
  <si>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</si>
  <si>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</si>
  <si>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</si>
  <si>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</si>
  <si>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</si>
  <si>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</si>
  <si>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</si>
  <si>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</si>
  <si>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</si>
  <si>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</si>
  <si>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</si>
  <si>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</si>
  <si>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</si>
  <si>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</si>
  <si>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</si>
  <si>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</si>
  <si>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</si>
  <si>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</si>
  <si>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</si>
  <si>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</si>
  <si>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</si>
  <si>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</si>
  <si>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</si>
  <si>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</si>
  <si>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</si>
  <si>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</si>
  <si>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</si>
  <si>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</si>
  <si>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</si>
  <si>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</si>
  <si>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</si>
  <si>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</si>
  <si>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</si>
  <si>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</si>
  <si>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</si>
  <si>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</si>
  <si>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</si>
  <si>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</si>
  <si>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</si>
  <si>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</si>
  <si>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</si>
  <si>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</si>
  <si>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</si>
  <si>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</si>
  <si>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</si>
  <si>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</si>
  <si>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</si>
  <si>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</si>
  <si>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</si>
  <si>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</si>
  <si>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</si>
  <si>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</si>
  <si>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</si>
  <si>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</si>
  <si>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</si>
  <si>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</si>
  <si>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</si>
  <si>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</si>
  <si>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</si>
  <si>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</si>
  <si>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</si>
  <si>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</si>
  <si>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</si>
  <si>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</si>
  <si>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</si>
  <si>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</si>
  <si>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</si>
  <si>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</si>
  <si>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</si>
  <si>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</si>
  <si>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</si>
  <si>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</si>
  <si>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</si>
  <si>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</si>
  <si>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</si>
  <si>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</si>
  <si>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</si>
  <si>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</si>
  <si>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</si>
  <si>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</si>
  <si>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</si>
  <si>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</si>
  <si>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</si>
  <si>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</si>
  <si>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</si>
  <si>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</si>
  <si>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</si>
  <si>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</si>
  <si>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</si>
  <si>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</si>
  <si>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</si>
  <si>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</si>
  <si>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</si>
  <si>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</si>
  <si>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</si>
  <si>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</si>
  <si>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</si>
  <si>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</si>
  <si>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</si>
  <si>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</si>
  <si>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</si>
  <si>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</si>
  <si>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</si>
  <si>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</si>
  <si>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</si>
  <si>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</si>
  <si>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</si>
  <si>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</si>
  <si>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</si>
  <si>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</si>
  <si>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</si>
  <si>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</si>
  <si>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</si>
  <si>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</si>
  <si>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</si>
  <si>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</si>
  <si>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</si>
  <si>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</si>
  <si>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</si>
  <si>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</si>
  <si>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</si>
  <si>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</si>
  <si>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</si>
  <si>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</si>
  <si>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</si>
  <si>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</si>
  <si>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</si>
  <si>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</si>
  <si>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</si>
  <si>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</si>
  <si>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</si>
  <si>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</si>
  <si>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</si>
  <si>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</si>
  <si>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</si>
  <si>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</si>
  <si>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</si>
  <si>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</si>
  <si>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</si>
  <si>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</si>
  <si>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</si>
  <si>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</si>
  <si>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</si>
  <si>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</si>
  <si>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</si>
  <si>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</si>
  <si>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</si>
  <si>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</si>
  <si>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</si>
  <si>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</si>
  <si>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</si>
  <si>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</si>
  <si>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</si>
  <si>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</si>
  <si>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</si>
  <si>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</si>
  <si>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</si>
  <si>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</si>
  <si>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</si>
  <si>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</si>
  <si>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</si>
  <si>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</si>
  <si>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</si>
  <si>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</si>
  <si>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</si>
  <si>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</si>
  <si>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</si>
  <si>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</si>
  <si>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</si>
  <si>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</si>
  <si>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</si>
  <si>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</si>
  <si>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</si>
  <si>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</si>
  <si>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</si>
  <si>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</si>
  <si>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</si>
  <si>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</si>
  <si>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</si>
  <si>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</si>
  <si>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</si>
  <si>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</si>
  <si>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</si>
  <si>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</si>
  <si>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</si>
  <si>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</si>
  <si>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</si>
  <si>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</si>
  <si>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</si>
  <si>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</si>
  <si>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</si>
  <si>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</si>
  <si>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</si>
  <si>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</si>
  <si>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</si>
  <si>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</si>
  <si>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</si>
  <si>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</si>
  <si>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</si>
  <si>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</si>
  <si>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</si>
  <si>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</si>
  <si>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</si>
  <si>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</si>
  <si>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</si>
  <si>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</si>
  <si>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</si>
  <si>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</si>
  <si>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</si>
  <si>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</si>
  <si>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</si>
  <si>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</si>
  <si>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</si>
  <si>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</si>
  <si>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</si>
  <si>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</si>
  <si>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</si>
  <si>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</si>
  <si>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</si>
  <si>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</si>
  <si>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</si>
  <si>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</si>
  <si>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</si>
  <si>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</si>
  <si>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</si>
  <si>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</si>
  <si>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</si>
  <si>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</si>
  <si>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</si>
  <si>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</si>
  <si>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</si>
  <si>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</si>
  <si>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</si>
  <si>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</si>
  <si>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</si>
  <si>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</si>
  <si>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</si>
  <si>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</si>
  <si>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</si>
  <si>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</si>
  <si>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</si>
  <si>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</si>
  <si>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</si>
  <si>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</si>
  <si>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</si>
  <si>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</si>
  <si>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</si>
  <si>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</si>
  <si>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</si>
  <si>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</si>
  <si>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</si>
  <si>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</si>
  <si>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</si>
  <si>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</si>
  <si>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</si>
  <si>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</si>
  <si>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</si>
  <si>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</si>
  <si>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</si>
  <si>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</si>
  <si>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</si>
  <si>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</si>
  <si>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</si>
  <si>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</si>
  <si>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</si>
  <si>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</si>
  <si>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</si>
  <si>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</si>
  <si>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</si>
  <si>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</si>
  <si>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</si>
  <si>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</si>
  <si>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</si>
  <si>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</si>
  <si>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</si>
  <si>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</si>
  <si>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</si>
  <si>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</si>
  <si>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</si>
  <si>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</si>
  <si>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</si>
  <si>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</si>
  <si>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</si>
  <si>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</si>
  <si>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</si>
  <si>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</si>
  <si>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</si>
  <si>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</si>
  <si>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</si>
  <si>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</si>
  <si>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</si>
  <si>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</si>
  <si>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</si>
  <si>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</si>
  <si>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</si>
  <si>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</si>
  <si>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</si>
  <si>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</si>
  <si>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</si>
  <si>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</si>
  <si>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</si>
  <si>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</si>
  <si>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</si>
  <si>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</si>
  <si>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</si>
  <si>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</si>
  <si>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</si>
  <si>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</si>
  <si>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</si>
  <si>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</si>
  <si>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</si>
  <si>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</si>
  <si>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</si>
  <si>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</si>
  <si>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</si>
  <si>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</si>
  <si>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</si>
  <si>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</si>
  <si>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</si>
  <si>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</si>
  <si>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</si>
  <si>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</si>
  <si>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</si>
  <si>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</si>
  <si>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</si>
  <si>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</si>
  <si>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</si>
  <si>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</si>
  <si>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</si>
  <si>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</si>
  <si>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</si>
  <si>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</si>
  <si>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</si>
  <si>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</si>
  <si>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</si>
  <si>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</si>
  <si>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</si>
  <si>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</si>
  <si>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</si>
  <si>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</si>
  <si>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</si>
  <si>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</si>
  <si>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</si>
  <si>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</si>
  <si>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</si>
  <si>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</si>
  <si>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</si>
  <si>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</si>
  <si>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</si>
  <si>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</si>
  <si>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</si>
  <si>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</si>
  <si>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</si>
  <si>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</si>
  <si>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</si>
  <si>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</si>
  <si>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</si>
  <si>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</si>
  <si>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</si>
  <si>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</si>
  <si>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</si>
  <si>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</si>
  <si>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</si>
  <si>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</si>
  <si>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</si>
  <si>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</si>
  <si>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</si>
  <si>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</si>
  <si>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</si>
  <si>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</si>
  <si>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</si>
  <si>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</si>
  <si>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</si>
  <si>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</si>
  <si>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</si>
  <si>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</si>
  <si>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</si>
  <si>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</si>
  <si>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</si>
  <si>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</si>
  <si>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</si>
  <si>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</si>
  <si>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</si>
  <si>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</si>
  <si>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</si>
  <si>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</si>
  <si>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</si>
  <si>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</si>
  <si>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</si>
  <si>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</si>
  <si>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</si>
  <si>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</si>
  <si>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</si>
  <si>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</si>
  <si>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</si>
  <si>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</si>
  <si>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</si>
  <si>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</si>
  <si>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</si>
  <si>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</si>
  <si>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</si>
  <si>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</si>
  <si>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</si>
  <si>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</si>
  <si>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</si>
  <si>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</si>
  <si>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</si>
  <si>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</si>
  <si>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</si>
  <si>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</si>
  <si>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</si>
  <si>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</si>
  <si>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</si>
  <si>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Reliance Industries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</si>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</sst>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F50" activePane="bottomRight" state="frozen"/>
      <selection pane="topRight" activeCell="B1" sqref="B1"/>
      <selection pane="bottomLeft" activeCell="A2" sqref="A2"/>
      <selection pane="bottomRight" activeCell="CM78" sqref="CM78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90" width="11.42578125" style="24" bestFit="1" customWidth="1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Reliance Industries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05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28008.25</v>
      </c>
      <c r="C8" s="25">
        <f>'Annual Raw'!D6</f>
        <v>57126.48</v>
      </c>
      <c r="D8" s="25">
        <f>'Annual Raw'!E6</f>
        <v>65073.72</v>
      </c>
      <c r="E8" s="25">
        <f>'Annual Raw'!F6</f>
        <v>74641.710000000006</v>
      </c>
      <c r="F8" s="25">
        <f>'Annual Raw'!G6</f>
        <v>73710.460000000006</v>
      </c>
      <c r="G8" s="25">
        <f>'Annual Raw'!H6</f>
        <v>90937.94</v>
      </c>
      <c r="H8" s="25">
        <f>'Annual Raw'!I6</f>
        <v>120431.1</v>
      </c>
      <c r="I8" s="25">
        <f>'Annual Raw'!J6</f>
        <v>143004.98000000001</v>
      </c>
      <c r="J8" s="25">
        <f>'Annual Raw'!K6</f>
        <v>155788.51</v>
      </c>
      <c r="K8" s="25">
        <f>'Annual Raw'!L6</f>
        <v>211727.07</v>
      </c>
      <c r="L8" s="25">
        <f>'Annual Raw'!M6</f>
        <v>276372</v>
      </c>
      <c r="M8" s="25">
        <f>'Annual Raw'!N6</f>
        <v>368571</v>
      </c>
      <c r="N8" s="25">
        <f>'Annual Raw'!O6</f>
        <v>408392</v>
      </c>
      <c r="O8" s="25">
        <f>'Annual Raw'!P6</f>
        <v>446339</v>
      </c>
      <c r="P8" s="25">
        <f>'Annual Raw'!Q6</f>
        <v>388494</v>
      </c>
      <c r="Q8" s="25">
        <f>'Annual Raw'!R6</f>
        <v>293298</v>
      </c>
      <c r="R8" s="25">
        <f>'Annual Raw'!S6</f>
        <v>330180</v>
      </c>
      <c r="S8" s="25">
        <f>'Annual Raw'!T6</f>
        <v>430731</v>
      </c>
      <c r="T8" s="25">
        <f>'Annual Raw'!U6</f>
        <v>625212</v>
      </c>
      <c r="U8" s="25">
        <f>'Annual Raw'!V6</f>
        <v>659997</v>
      </c>
      <c r="V8" s="25">
        <f>'Annual Raw'!W6</f>
        <v>539238</v>
      </c>
      <c r="W8" s="25">
        <f>'Annual Raw'!X6</f>
        <v>788743</v>
      </c>
      <c r="X8" s="25">
        <f>'Annual Raw'!Y6</f>
        <v>974864</v>
      </c>
      <c r="Y8" s="25">
        <f>'Annual Raw'!Z6</f>
        <v>1000122</v>
      </c>
      <c r="Z8" s="25">
        <f>'Annual Raw'!AA6</f>
        <v>1071174</v>
      </c>
      <c r="AA8" s="17">
        <f>SUM(CI8:CL8)</f>
        <v>1175919</v>
      </c>
      <c r="AB8" s="17">
        <f>+SUM(CM8:CP8)</f>
        <v>1167594.3709952498</v>
      </c>
      <c r="AC8" s="17">
        <f>+SUM(CQ8:CT8)</f>
        <v>1291252.1821896893</v>
      </c>
      <c r="AD8" s="17">
        <f>+SUM(CU8:CX8)</f>
        <v>1428331.59273047</v>
      </c>
      <c r="AE8" s="17">
        <f>+SUM(CY8:DB8)</f>
        <v>1580016.2066968512</v>
      </c>
      <c r="AI8" s="25">
        <f>'QTR Raw'!C6+'QTR Raw'!C8</f>
        <v>91876</v>
      </c>
      <c r="AJ8" s="25">
        <f>'QTR Raw'!D6+'QTR Raw'!D8</f>
        <v>90336</v>
      </c>
      <c r="AK8" s="25">
        <f>'QTR Raw'!E6+'QTR Raw'!E8</f>
        <v>93886</v>
      </c>
      <c r="AL8" s="25">
        <f>'QTR Raw'!F6+'QTR Raw'!F8</f>
        <v>84198</v>
      </c>
      <c r="AM8" s="25">
        <f>'QTR Raw'!G6+'QTR Raw'!G8</f>
        <v>97503</v>
      </c>
      <c r="AN8" s="25">
        <f>'QTR Raw'!H6+'QTR Raw'!H8</f>
        <v>115491</v>
      </c>
      <c r="AO8" s="25">
        <f>'QTR Raw'!I6+'QTR Raw'!I8</f>
        <v>118038</v>
      </c>
      <c r="AP8" s="25">
        <f>'QTR Raw'!J6+'QTR Raw'!J8</f>
        <v>103428</v>
      </c>
      <c r="AQ8" s="25">
        <f>'QTR Raw'!K6+'QTR Raw'!K8</f>
        <v>104640</v>
      </c>
      <c r="AR8" s="25">
        <f>'QTR Raw'!L6+'QTR Raw'!L8</f>
        <v>109797</v>
      </c>
      <c r="AS8" s="25">
        <f>'QTR Raw'!M6+'QTR Raw'!M8</f>
        <v>93528</v>
      </c>
      <c r="AT8" s="25">
        <f>'QTR Raw'!N6+'QTR Raw'!N8</f>
        <v>67470</v>
      </c>
      <c r="AU8" s="25">
        <f>'QTR Raw'!O6+'QTR Raw'!O8</f>
        <v>76615</v>
      </c>
      <c r="AV8" s="25">
        <f>'QTR Raw'!P6+'QTR Raw'!P8</f>
        <v>74490</v>
      </c>
      <c r="AW8" s="25">
        <f>'QTR Raw'!Q6+'QTR Raw'!Q8</f>
        <v>72513</v>
      </c>
      <c r="AX8" s="25">
        <f>'QTR Raw'!R6+'QTR Raw'!R8</f>
        <v>63954</v>
      </c>
      <c r="AY8" s="25">
        <f>'QTR Raw'!S6+'QTR Raw'!S8</f>
        <v>71451</v>
      </c>
      <c r="AZ8" s="25">
        <f>'QTR Raw'!T6+'QTR Raw'!T8</f>
        <v>81651</v>
      </c>
      <c r="BA8" s="25">
        <f>'QTR Raw'!U6+'QTR Raw'!U8</f>
        <v>84189</v>
      </c>
      <c r="BB8" s="25">
        <f>'QTR Raw'!V6+'QTR Raw'!V8</f>
        <v>92889</v>
      </c>
      <c r="BC8" s="25">
        <f>'QTR Raw'!W6+'QTR Raw'!W8</f>
        <v>90537</v>
      </c>
      <c r="BD8" s="25">
        <f>'QTR Raw'!X6+'QTR Raw'!X8</f>
        <v>101169</v>
      </c>
      <c r="BE8" s="25">
        <f>'QTR Raw'!Y6+'QTR Raw'!Y8</f>
        <v>109905</v>
      </c>
      <c r="BF8" s="25">
        <f>'QTR Raw'!Z6+'QTR Raw'!Z8</f>
        <v>129120</v>
      </c>
      <c r="BG8" s="25">
        <f>'QTR Raw'!AA6+'QTR Raw'!AA8</f>
        <v>141699</v>
      </c>
      <c r="BH8" s="25">
        <f>'QTR Raw'!AB6+'QTR Raw'!AB8</f>
        <v>156291</v>
      </c>
      <c r="BI8" s="25">
        <f>'QTR Raw'!AC6+'QTR Raw'!AC8</f>
        <v>171300</v>
      </c>
      <c r="BJ8" s="25">
        <f>'QTR Raw'!AD6+'QTR Raw'!AD8</f>
        <v>155151</v>
      </c>
      <c r="BK8" s="25">
        <f>'QTR Raw'!AE6+'QTR Raw'!AE8</f>
        <v>174087</v>
      </c>
      <c r="BL8" s="25">
        <f>'QTR Raw'!AF6+'QTR Raw'!AF8</f>
        <v>165228</v>
      </c>
      <c r="BM8" s="25">
        <f>'QTR Raw'!AG6+'QTR Raw'!AG8</f>
        <v>169221</v>
      </c>
      <c r="BN8" s="25">
        <f>'QTR Raw'!AH6+'QTR Raw'!AH8</f>
        <v>151461</v>
      </c>
      <c r="BO8" s="25">
        <f>'QTR Raw'!AI6+'QTR Raw'!AI8</f>
        <v>100929</v>
      </c>
      <c r="BP8" s="25">
        <f>'QTR Raw'!AJ6+'QTR Raw'!AJ8</f>
        <v>128385</v>
      </c>
      <c r="BQ8" s="25">
        <f>'QTR Raw'!AK6+'QTR Raw'!AK8</f>
        <v>137829</v>
      </c>
      <c r="BR8" s="25">
        <f>'QTR Raw'!AL6+'QTR Raw'!AL8</f>
        <v>172095</v>
      </c>
      <c r="BS8" s="25">
        <f>'QTR Raw'!AM6+'QTR Raw'!AM8</f>
        <v>158862</v>
      </c>
      <c r="BT8" s="25">
        <f>'QTR Raw'!AN6+'QTR Raw'!AN8</f>
        <v>191532</v>
      </c>
      <c r="BU8" s="25">
        <f>'QTR Raw'!AO6+'QTR Raw'!AO8</f>
        <v>209823</v>
      </c>
      <c r="BV8" s="25">
        <f>'QTR Raw'!AP6+'QTR Raw'!AP8</f>
        <v>232539</v>
      </c>
      <c r="BW8" s="25">
        <f>'QTR Raw'!AQ6+'QTR Raw'!AQ8</f>
        <v>242529</v>
      </c>
      <c r="BX8" s="25">
        <f>'QTR Raw'!AR6+'QTR Raw'!AR8</f>
        <v>252846</v>
      </c>
      <c r="BY8" s="25">
        <f>'QTR Raw'!AS6+'QTR Raw'!AS8</f>
        <v>240532</v>
      </c>
      <c r="BZ8" s="25">
        <f>'QTR Raw'!AT6+'QTR Raw'!AT8</f>
        <v>238957</v>
      </c>
      <c r="CA8" s="25">
        <f>'QTR Raw'!AU6+'QTR Raw'!AU8</f>
        <v>231132</v>
      </c>
      <c r="CB8" s="25">
        <f>'QTR Raw'!AV6+'QTR Raw'!AV8</f>
        <v>255996</v>
      </c>
      <c r="CC8" s="25">
        <f>'QTR Raw'!AW6+'QTR Raw'!AW8</f>
        <v>248160</v>
      </c>
      <c r="CD8" s="25">
        <f>'QTR Raw'!AX6+'QTR Raw'!AX8</f>
        <v>264834</v>
      </c>
      <c r="CE8" s="25">
        <f>'QTR Raw'!AY6+'QTR Raw'!AY8</f>
        <v>257823</v>
      </c>
      <c r="CF8" s="25">
        <f>'QTR Raw'!AZ6+'QTR Raw'!AZ8</f>
        <v>258027</v>
      </c>
      <c r="CG8" s="25">
        <f>'QTR Raw'!BA6+'QTR Raw'!BA8</f>
        <v>267186</v>
      </c>
      <c r="CH8" s="25">
        <f>'QTR Raw'!BB6+'QTR Raw'!BB8</f>
        <v>288138</v>
      </c>
      <c r="CI8" s="25">
        <f>'QTR Raw'!BC6+'QTR Raw'!BC8</f>
        <v>273252</v>
      </c>
      <c r="CJ8" s="25">
        <f>'QTR Raw'!BD6+'QTR Raw'!BD8</f>
        <v>283548</v>
      </c>
      <c r="CK8" s="25">
        <f>'QTR Raw'!BE6+'QTR Raw'!BE8</f>
        <v>293829</v>
      </c>
      <c r="CL8" s="25">
        <f>'QTR Raw'!BF6+'QTR Raw'!BF8</f>
        <v>325290</v>
      </c>
      <c r="CM8" s="17">
        <f t="shared" ref="CM8:DB8" si="33">+CI10+(CM11*CI10)</f>
        <v>266756.28995971073</v>
      </c>
      <c r="CN8" s="17">
        <f t="shared" si="33"/>
        <v>281578.51081562339</v>
      </c>
      <c r="CO8" s="17">
        <f t="shared" si="33"/>
        <v>293356.12075326167</v>
      </c>
      <c r="CP8" s="17">
        <f t="shared" si="33"/>
        <v>325903.44946665404</v>
      </c>
      <c r="CQ8" s="17">
        <f t="shared" si="33"/>
        <v>294530.49959085608</v>
      </c>
      <c r="CR8" s="17">
        <f t="shared" si="33"/>
        <v>311543.85912764521</v>
      </c>
      <c r="CS8" s="17">
        <f t="shared" si="33"/>
        <v>324615.51798450231</v>
      </c>
      <c r="CT8" s="17">
        <f t="shared" si="33"/>
        <v>360562.30548668554</v>
      </c>
      <c r="CU8" s="17">
        <f t="shared" si="33"/>
        <v>325709.6681540063</v>
      </c>
      <c r="CV8" s="17">
        <f t="shared" si="33"/>
        <v>344659.77117507166</v>
      </c>
      <c r="CW8" s="17">
        <f t="shared" si="33"/>
        <v>359110.9141633893</v>
      </c>
      <c r="CX8" s="17">
        <f t="shared" si="33"/>
        <v>398851.23923800292</v>
      </c>
      <c r="CY8" s="17">
        <f t="shared" si="33"/>
        <v>360284.92202144809</v>
      </c>
      <c r="CZ8" s="17">
        <f t="shared" si="33"/>
        <v>381271.89504068182</v>
      </c>
      <c r="DA8" s="17">
        <f t="shared" si="33"/>
        <v>397251.91666300833</v>
      </c>
      <c r="DB8" s="17">
        <f t="shared" si="33"/>
        <v>441207.472971713</v>
      </c>
      <c r="DE8" s="119"/>
      <c r="DF8" s="25">
        <v>277071.28000000003</v>
      </c>
    </row>
    <row r="9" spans="1:110" s="92" customFormat="1" outlineLevel="1" x14ac:dyDescent="0.2">
      <c r="A9" s="92" t="s">
        <v>109</v>
      </c>
      <c r="B9" s="92">
        <f>'Annual Raw'!C7+'Annual Raw'!C8+'Annual Raw'!C9</f>
        <v>7566.9</v>
      </c>
      <c r="C9" s="92">
        <f>'Annual Raw'!D7+'Annual Raw'!D8+'Annual Raw'!D9</f>
        <v>15030.67</v>
      </c>
      <c r="D9" s="92">
        <f>'Annual Raw'!E7+'Annual Raw'!E8+'Annual Raw'!E9</f>
        <v>19163.650000000001</v>
      </c>
      <c r="E9" s="92">
        <f>'Annual Raw'!F7+'Annual Raw'!F8+'Annual Raw'!F9</f>
        <v>22616.37</v>
      </c>
      <c r="F9" s="92">
        <f>'Annual Raw'!G7+'Annual Raw'!G8+'Annual Raw'!G9</f>
        <v>7112.8</v>
      </c>
      <c r="G9" s="92">
        <f>'Annual Raw'!H7+'Annual Raw'!H8+'Annual Raw'!H9</f>
        <v>7913.13</v>
      </c>
      <c r="H9" s="92">
        <f>'Annual Raw'!I7+'Annual Raw'!I8+'Annual Raw'!I9</f>
        <v>6660.99</v>
      </c>
      <c r="I9" s="92">
        <f>'Annual Raw'!J7+'Annual Raw'!J8+'Annual Raw'!J9</f>
        <v>5858.32</v>
      </c>
      <c r="J9" s="92">
        <f>'Annual Raw'!K7+'Annual Raw'!K8+'Annual Raw'!K9</f>
        <v>4564.5</v>
      </c>
      <c r="K9" s="92">
        <f>'Annual Raw'!L7+'Annual Raw'!L8+'Annual Raw'!L9</f>
        <v>7987.35</v>
      </c>
      <c r="L9" s="92">
        <f>'Annual Raw'!M7+'Annual Raw'!M8+'Annual Raw'!M9</f>
        <v>10561</v>
      </c>
      <c r="M9" s="92">
        <f>'Annual Raw'!N7+'Annual Raw'!N8+'Annual Raw'!N9</f>
        <v>10070</v>
      </c>
      <c r="N9" s="92">
        <f>'Annual Raw'!O7+'Annual Raw'!O8+'Annual Raw'!O9</f>
        <v>11330</v>
      </c>
      <c r="O9" s="92">
        <f>'Annual Raw'!P7+'Annual Raw'!P8+'Annual Raw'!P9</f>
        <v>11879</v>
      </c>
      <c r="P9" s="92">
        <f>'Annual Raw'!Q7+'Annual Raw'!Q8+'Annual Raw'!Q9</f>
        <v>13059</v>
      </c>
      <c r="Q9" s="92">
        <f>'Annual Raw'!R7+'Annual Raw'!R8+'Annual Raw'!R9</f>
        <v>19299</v>
      </c>
      <c r="R9" s="92">
        <f>'Annual Raw'!S7+'Annual Raw'!S8+'Annual Raw'!S9</f>
        <v>24798</v>
      </c>
      <c r="S9" s="92">
        <f>'Annual Raw'!T7+'Annual Raw'!T8+'Annual Raw'!T9</f>
        <v>39054</v>
      </c>
      <c r="T9" s="92">
        <f>'Annual Raw'!U7+'Annual Raw'!U8+'Annual Raw'!U9</f>
        <v>56003</v>
      </c>
      <c r="U9" s="92">
        <f>'Annual Raw'!V7+'Annual Raw'!V8+'Annual Raw'!V9</f>
        <v>62462</v>
      </c>
      <c r="V9" s="92">
        <f>'Annual Raw'!W7+'Annual Raw'!W8+'Annual Raw'!W9</f>
        <v>72314</v>
      </c>
      <c r="W9" s="92">
        <f>'Annual Raw'!X7+'Annual Raw'!X8+'Annual Raw'!X9</f>
        <v>92780</v>
      </c>
      <c r="X9" s="92">
        <f>'Annual Raw'!Y7+'Annual Raw'!Y8+'Annual Raw'!Y9</f>
        <v>97029</v>
      </c>
      <c r="Y9" s="92">
        <f>'Annual Raw'!Z7+'Annual Raw'!Z8+'Annual Raw'!Z9</f>
        <v>99058</v>
      </c>
      <c r="Z9" s="92">
        <f>'Annual Raw'!AA7+'Annual Raw'!AA8+'Annual Raw'!AA9</f>
        <v>106481</v>
      </c>
      <c r="AA9" s="76">
        <f>SUM(CI9:CL9)</f>
        <v>118700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4158</v>
      </c>
      <c r="AW9" s="92">
        <f>+'QTR Raw'!Q20+'QTR Raw'!Q19+'QTR Raw'!Q13+'QTR Raw'!Q7</f>
        <v>5005</v>
      </c>
      <c r="AX9" s="92">
        <f>+'QTR Raw'!R20+'QTR Raw'!R19+'QTR Raw'!R13+'QTR Raw'!R7</f>
        <v>4258</v>
      </c>
      <c r="AY9" s="92">
        <f>+'QTR Raw'!S20+'QTR Raw'!S19+'QTR Raw'!S13+'QTR Raw'!S7</f>
        <v>6461</v>
      </c>
      <c r="AZ9" s="92">
        <f>+'QTR Raw'!T20+'QTR Raw'!T19+'QTR Raw'!T13+'QTR Raw'!T7</f>
        <v>5490</v>
      </c>
      <c r="BA9" s="92">
        <f>+'QTR Raw'!U20+'QTR Raw'!U19+'QTR Raw'!U13+'QTR Raw'!U7</f>
        <v>4781</v>
      </c>
      <c r="BB9" s="92">
        <f>+'QTR Raw'!V20+'QTR Raw'!V19+'QTR Raw'!V13+'QTR Raw'!V7</f>
        <v>8066</v>
      </c>
      <c r="BC9" s="92">
        <f>+'QTR Raw'!W20+'QTR Raw'!W19+'QTR Raw'!W13+'QTR Raw'!W7</f>
        <v>7066</v>
      </c>
      <c r="BD9" s="92">
        <f>+'QTR Raw'!X20+'QTR Raw'!X19+'QTR Raw'!X13+'QTR Raw'!X7</f>
        <v>9688</v>
      </c>
      <c r="BE9" s="92">
        <f>+'QTR Raw'!Y20+'QTR Raw'!Y19+'QTR Raw'!Y13+'QTR Raw'!Y7</f>
        <v>10095</v>
      </c>
      <c r="BF9" s="92">
        <f>+'QTR Raw'!Z20+'QTR Raw'!Z19+'QTR Raw'!Z13+'QTR Raw'!Z7</f>
        <v>12205</v>
      </c>
      <c r="BG9" s="92">
        <f>+'QTR Raw'!AA20+'QTR Raw'!AA19+'QTR Raw'!AA13+'QTR Raw'!AA7</f>
        <v>12943</v>
      </c>
      <c r="BH9" s="92">
        <f>+'QTR Raw'!AB20+'QTR Raw'!AB19+'QTR Raw'!AB13+'QTR Raw'!AB7</f>
        <v>12968</v>
      </c>
      <c r="BI9" s="92">
        <f>+'QTR Raw'!AC20+'QTR Raw'!AC19+'QTR Raw'!AC13+'QTR Raw'!AC7</f>
        <v>14402</v>
      </c>
      <c r="BJ9" s="92">
        <f>+'QTR Raw'!AD20+'QTR Raw'!AD19+'QTR Raw'!AD13+'QTR Raw'!AD7</f>
        <v>15561</v>
      </c>
      <c r="BK9" s="92">
        <f>+'QTR Raw'!AE20+'QTR Raw'!AE19+'QTR Raw'!AE13+'QTR Raw'!AE7</f>
        <v>16107</v>
      </c>
      <c r="BL9" s="92">
        <f>+'QTR Raw'!AF20+'QTR Raw'!AF19+'QTR Raw'!AF13+'QTR Raw'!AF7</f>
        <v>15467</v>
      </c>
      <c r="BM9" s="92">
        <f>+'QTR Raw'!AG20+'QTR Raw'!AG19+'QTR Raw'!AG13+'QTR Raw'!AG7</f>
        <v>15919</v>
      </c>
      <c r="BN9" s="92">
        <f>+'QTR Raw'!AH20+'QTR Raw'!AH19+'QTR Raw'!AH13+'QTR Raw'!AH7</f>
        <v>14969</v>
      </c>
      <c r="BO9" s="92">
        <f>+'QTR Raw'!AI20+'QTR Raw'!AI19+'QTR Raw'!AI13+'QTR Raw'!AI7</f>
        <v>12676</v>
      </c>
      <c r="BP9" s="92">
        <f>+'QTR Raw'!AJ20+'QTR Raw'!AJ19+'QTR Raw'!AJ13+'QTR Raw'!AJ7</f>
        <v>17149</v>
      </c>
      <c r="BQ9" s="92">
        <f>+'QTR Raw'!AK20+'QTR Raw'!AK19+'QTR Raw'!AK13+'QTR Raw'!AK7</f>
        <v>19969</v>
      </c>
      <c r="BR9" s="92">
        <f>+'QTR Raw'!AL20+'QTR Raw'!AL19+'QTR Raw'!AL13+'QTR Raw'!AL7</f>
        <v>22520</v>
      </c>
      <c r="BS9" s="92">
        <f>+'QTR Raw'!AM20+'QTR Raw'!AM19+'QTR Raw'!AM13+'QTR Raw'!AM7</f>
        <v>18913</v>
      </c>
      <c r="BT9" s="92">
        <f>+'QTR Raw'!AN20+'QTR Raw'!AN19+'QTR Raw'!AN13+'QTR Raw'!AN7</f>
        <v>23921</v>
      </c>
      <c r="BU9" s="92">
        <f>+'QTR Raw'!AO20+'QTR Raw'!AO19+'QTR Raw'!AO13+'QTR Raw'!AO7</f>
        <v>24796</v>
      </c>
      <c r="BV9" s="92">
        <f>+'QTR Raw'!AP20+'QTR Raw'!AP19+'QTR Raw'!AP13+'QTR Raw'!AP7</f>
        <v>25164</v>
      </c>
      <c r="BW9" s="92">
        <f>+'QTR Raw'!AQ20+'QTR Raw'!AQ19+'QTR Raw'!AQ13+'QTR Raw'!AQ7</f>
        <v>23674</v>
      </c>
      <c r="BX9" s="92">
        <f>+'QTR Raw'!AR20+'QTR Raw'!AR19+'QTR Raw'!AR13+'QTR Raw'!AR7</f>
        <v>23437</v>
      </c>
      <c r="BY9" s="92">
        <f>+'QTR Raw'!AS20+'QTR Raw'!AS19+'QTR Raw'!AS13+'QTR Raw'!AS7</f>
        <v>23795</v>
      </c>
      <c r="BZ9" s="92">
        <f>+'QTR Raw'!AT20+'QTR Raw'!AT19+'QTR Raw'!AT13+'QTR Raw'!AT7</f>
        <v>26123</v>
      </c>
      <c r="CA9" s="92">
        <f>+'QTR Raw'!AU20+'QTR Raw'!AU19+'QTR Raw'!AU13+'QTR Raw'!AU7</f>
        <v>23573</v>
      </c>
      <c r="CB9" s="92">
        <f>+'QTR Raw'!AV20+'QTR Raw'!AV19+'QTR Raw'!AV13+'QTR Raw'!AV7</f>
        <v>24110</v>
      </c>
      <c r="CC9" s="92">
        <f>+'QTR Raw'!AW20+'QTR Raw'!AW19+'QTR Raw'!AW13+'QTR Raw'!AW7</f>
        <v>23074</v>
      </c>
      <c r="CD9" s="92">
        <f>+'QTR Raw'!AX20+'QTR Raw'!AX19+'QTR Raw'!AX13+'QTR Raw'!AX7</f>
        <v>28301</v>
      </c>
      <c r="CE9" s="92">
        <f>+'QTR Raw'!AY20+'QTR Raw'!AY19+'QTR Raw'!AY13+'QTR Raw'!AY7</f>
        <v>26039</v>
      </c>
      <c r="CF9" s="92">
        <f>+'QTR Raw'!AZ20+'QTR Raw'!AZ19+'QTR Raw'!AZ13+'QTR Raw'!AZ7</f>
        <v>26492</v>
      </c>
      <c r="CG9" s="92">
        <f>+'QTR Raw'!BA20+'QTR Raw'!BA19+'QTR Raw'!BA13+'QTR Raw'!BA7</f>
        <v>27200</v>
      </c>
      <c r="CH9" s="92">
        <f>+'QTR Raw'!BB20+'QTR Raw'!BB19+'QTR Raw'!BB13+'QTR Raw'!BB7</f>
        <v>26750</v>
      </c>
      <c r="CI9" s="92">
        <f>+'QTR Raw'!BC20+'QTR Raw'!BC19+'QTR Raw'!BC13+'QTR Raw'!BC7</f>
        <v>29620</v>
      </c>
      <c r="CJ9" s="92">
        <f>+'QTR Raw'!BD20+'QTR Raw'!BD19+'QTR Raw'!BD13+'QTR Raw'!BD7</f>
        <v>28925</v>
      </c>
      <c r="CK9" s="92">
        <f>+'QTR Raw'!BE20+'QTR Raw'!BE19+'QTR Raw'!BE13+'QTR Raw'!BE7</f>
        <v>28924</v>
      </c>
      <c r="CL9" s="92">
        <f>+'QTR Raw'!BF20+'QTR Raw'!BF19+'QTR Raw'!BF13+'QTR Raw'!BF7</f>
        <v>31231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</row>
    <row r="10" spans="1:110" s="26" customFormat="1" x14ac:dyDescent="0.2">
      <c r="A10" s="26" t="s">
        <v>431</v>
      </c>
      <c r="B10" s="26">
        <f>+B8-B9</f>
        <v>20441.349999999999</v>
      </c>
      <c r="C10" s="26">
        <f>+C8-C9</f>
        <v>42095.810000000005</v>
      </c>
      <c r="D10" s="26">
        <f t="shared" ref="D10:U10" si="34">+D8-D9</f>
        <v>45910.07</v>
      </c>
      <c r="E10" s="26">
        <f t="shared" si="34"/>
        <v>52025.340000000011</v>
      </c>
      <c r="F10" s="26">
        <f t="shared" si="34"/>
        <v>66597.66</v>
      </c>
      <c r="G10" s="26">
        <f t="shared" si="34"/>
        <v>83024.81</v>
      </c>
      <c r="H10" s="26">
        <f t="shared" si="34"/>
        <v>113770.11</v>
      </c>
      <c r="I10" s="26">
        <f t="shared" si="34"/>
        <v>137146.66</v>
      </c>
      <c r="J10" s="26">
        <f t="shared" si="34"/>
        <v>151224.01</v>
      </c>
      <c r="K10" s="26">
        <f t="shared" si="34"/>
        <v>203739.72</v>
      </c>
      <c r="L10" s="26">
        <f t="shared" si="34"/>
        <v>265811</v>
      </c>
      <c r="M10" s="26">
        <f t="shared" si="34"/>
        <v>358501</v>
      </c>
      <c r="N10" s="26">
        <f t="shared" si="34"/>
        <v>397062</v>
      </c>
      <c r="O10" s="26">
        <f t="shared" si="34"/>
        <v>434460</v>
      </c>
      <c r="P10" s="26">
        <f t="shared" si="34"/>
        <v>375435</v>
      </c>
      <c r="Q10" s="26">
        <f t="shared" si="34"/>
        <v>273999</v>
      </c>
      <c r="R10" s="26">
        <f t="shared" si="34"/>
        <v>305382</v>
      </c>
      <c r="S10" s="26">
        <f t="shared" si="34"/>
        <v>391677</v>
      </c>
      <c r="T10" s="26">
        <f t="shared" si="34"/>
        <v>569209</v>
      </c>
      <c r="U10" s="26">
        <f t="shared" si="34"/>
        <v>597535</v>
      </c>
      <c r="V10" s="26">
        <f>+V8-V9</f>
        <v>466924</v>
      </c>
      <c r="W10" s="26">
        <f>+W8-W9</f>
        <v>695963</v>
      </c>
      <c r="X10" s="26">
        <f>+X8-X9</f>
        <v>877835</v>
      </c>
      <c r="Y10" s="26">
        <f>+Y8-Y9</f>
        <v>901064</v>
      </c>
      <c r="Z10" s="26">
        <f>+Z8-Z9</f>
        <v>964693</v>
      </c>
      <c r="AA10" s="27">
        <f t="shared" ref="AA10" si="35">+AA8-AA9</f>
        <v>1057219</v>
      </c>
      <c r="AB10" s="27">
        <f t="shared" ref="AB10:AD10" si="36">+AB8-AB9</f>
        <v>1167594.3709952498</v>
      </c>
      <c r="AC10" s="27">
        <f t="shared" si="36"/>
        <v>1291252.1821896893</v>
      </c>
      <c r="AD10" s="27">
        <f t="shared" si="36"/>
        <v>1428331.59273047</v>
      </c>
      <c r="AE10" s="27">
        <f t="shared" ref="AE10" si="37">+AE8-AE9</f>
        <v>1580016.2066968512</v>
      </c>
      <c r="AI10" s="26">
        <f t="shared" ref="AI10" si="38">+AI8-AI9</f>
        <v>91876</v>
      </c>
      <c r="AJ10" s="26">
        <f t="shared" ref="AJ10" si="39">+AJ8-AJ9</f>
        <v>90336</v>
      </c>
      <c r="AK10" s="26">
        <f t="shared" ref="AK10:AM10" si="40">+AK8-AK9</f>
        <v>93886</v>
      </c>
      <c r="AL10" s="26">
        <f t="shared" si="40"/>
        <v>84198</v>
      </c>
      <c r="AM10" s="26">
        <f t="shared" si="40"/>
        <v>97503</v>
      </c>
      <c r="AN10" s="26">
        <f t="shared" ref="AN10:AO10" si="41">+AN8-AN9</f>
        <v>115491</v>
      </c>
      <c r="AO10" s="26">
        <f t="shared" si="41"/>
        <v>118038</v>
      </c>
      <c r="AP10" s="26">
        <f t="shared" ref="AP10:AW10" si="42">+AP8-AP9</f>
        <v>103428</v>
      </c>
      <c r="AQ10" s="26">
        <f t="shared" si="42"/>
        <v>104640</v>
      </c>
      <c r="AR10" s="26">
        <f t="shared" si="42"/>
        <v>109797</v>
      </c>
      <c r="AS10" s="26">
        <f t="shared" si="42"/>
        <v>93528</v>
      </c>
      <c r="AT10" s="26">
        <f t="shared" si="42"/>
        <v>67470</v>
      </c>
      <c r="AU10" s="26">
        <f t="shared" si="42"/>
        <v>76615</v>
      </c>
      <c r="AV10" s="26">
        <f t="shared" si="42"/>
        <v>70332</v>
      </c>
      <c r="AW10" s="26">
        <f t="shared" si="42"/>
        <v>67508</v>
      </c>
      <c r="AX10" s="26">
        <f t="shared" ref="AX10:CF10" si="43">+AX8-AX9</f>
        <v>59696</v>
      </c>
      <c r="AY10" s="26">
        <f t="shared" si="43"/>
        <v>64990</v>
      </c>
      <c r="AZ10" s="26">
        <f t="shared" si="43"/>
        <v>76161</v>
      </c>
      <c r="BA10" s="26">
        <f t="shared" si="43"/>
        <v>79408</v>
      </c>
      <c r="BB10" s="26">
        <f t="shared" si="43"/>
        <v>84823</v>
      </c>
      <c r="BC10" s="26">
        <f t="shared" si="43"/>
        <v>83471</v>
      </c>
      <c r="BD10" s="26">
        <f t="shared" si="43"/>
        <v>91481</v>
      </c>
      <c r="BE10" s="26">
        <f t="shared" si="43"/>
        <v>99810</v>
      </c>
      <c r="BF10" s="26">
        <f t="shared" si="43"/>
        <v>116915</v>
      </c>
      <c r="BG10" s="26">
        <f t="shared" si="43"/>
        <v>128756</v>
      </c>
      <c r="BH10" s="26">
        <f t="shared" si="43"/>
        <v>143323</v>
      </c>
      <c r="BI10" s="26">
        <f t="shared" si="43"/>
        <v>156898</v>
      </c>
      <c r="BJ10" s="26">
        <f t="shared" si="43"/>
        <v>139590</v>
      </c>
      <c r="BK10" s="26">
        <f t="shared" si="43"/>
        <v>157980</v>
      </c>
      <c r="BL10" s="26">
        <f t="shared" si="43"/>
        <v>149761</v>
      </c>
      <c r="BM10" s="26">
        <f t="shared" si="43"/>
        <v>153302</v>
      </c>
      <c r="BN10" s="26">
        <f t="shared" si="43"/>
        <v>136492</v>
      </c>
      <c r="BO10" s="26">
        <f t="shared" si="43"/>
        <v>88253</v>
      </c>
      <c r="BP10" s="26">
        <f t="shared" si="43"/>
        <v>111236</v>
      </c>
      <c r="BQ10" s="26">
        <f t="shared" si="43"/>
        <v>117860</v>
      </c>
      <c r="BR10" s="26">
        <f t="shared" si="43"/>
        <v>149575</v>
      </c>
      <c r="BS10" s="26">
        <f t="shared" si="43"/>
        <v>139949</v>
      </c>
      <c r="BT10" s="26">
        <f t="shared" si="43"/>
        <v>167611</v>
      </c>
      <c r="BU10" s="26">
        <f t="shared" si="43"/>
        <v>185027</v>
      </c>
      <c r="BV10" s="26">
        <f t="shared" si="43"/>
        <v>207375</v>
      </c>
      <c r="BW10" s="26">
        <f t="shared" si="43"/>
        <v>218855</v>
      </c>
      <c r="BX10" s="26">
        <f t="shared" si="43"/>
        <v>229409</v>
      </c>
      <c r="BY10" s="26">
        <f t="shared" si="43"/>
        <v>216737</v>
      </c>
      <c r="BZ10" s="26">
        <f t="shared" si="43"/>
        <v>212834</v>
      </c>
      <c r="CA10" s="26">
        <f t="shared" si="43"/>
        <v>207559</v>
      </c>
      <c r="CB10" s="26">
        <f t="shared" si="43"/>
        <v>231886</v>
      </c>
      <c r="CC10" s="26">
        <f t="shared" si="43"/>
        <v>225086</v>
      </c>
      <c r="CD10" s="26">
        <f t="shared" si="43"/>
        <v>236533</v>
      </c>
      <c r="CE10" s="26">
        <f t="shared" si="43"/>
        <v>231784</v>
      </c>
      <c r="CF10" s="26">
        <f t="shared" si="43"/>
        <v>231535</v>
      </c>
      <c r="CG10" s="26">
        <f t="shared" ref="CG10:CH10" si="44">+CG8-CG9</f>
        <v>239986</v>
      </c>
      <c r="CH10" s="26">
        <f t="shared" si="44"/>
        <v>261388</v>
      </c>
      <c r="CI10" s="26">
        <f t="shared" ref="CI10:CJ10" si="45">+CI8-CI9</f>
        <v>243632</v>
      </c>
      <c r="CJ10" s="26">
        <f t="shared" si="45"/>
        <v>254623</v>
      </c>
      <c r="CK10" s="26">
        <f t="shared" ref="CK10:CL10" si="46">+CK8-CK9</f>
        <v>264905</v>
      </c>
      <c r="CL10" s="26">
        <f t="shared" si="46"/>
        <v>294059</v>
      </c>
      <c r="CM10" s="27">
        <f t="shared" ref="CM10:DB10" si="47">+CM8-CM9</f>
        <v>266756.28995971073</v>
      </c>
      <c r="CN10" s="27">
        <f t="shared" si="47"/>
        <v>281578.51081562339</v>
      </c>
      <c r="CO10" s="27">
        <f t="shared" si="47"/>
        <v>293356.12075326167</v>
      </c>
      <c r="CP10" s="27">
        <f t="shared" si="47"/>
        <v>325903.44946665404</v>
      </c>
      <c r="CQ10" s="27">
        <f t="shared" si="47"/>
        <v>294530.49959085608</v>
      </c>
      <c r="CR10" s="27">
        <f t="shared" si="47"/>
        <v>311543.85912764521</v>
      </c>
      <c r="CS10" s="27">
        <f t="shared" si="47"/>
        <v>324615.51798450231</v>
      </c>
      <c r="CT10" s="27">
        <f t="shared" si="47"/>
        <v>360562.30548668554</v>
      </c>
      <c r="CU10" s="27">
        <f t="shared" si="47"/>
        <v>325709.6681540063</v>
      </c>
      <c r="CV10" s="27">
        <f t="shared" si="47"/>
        <v>344659.77117507166</v>
      </c>
      <c r="CW10" s="27">
        <f t="shared" si="47"/>
        <v>359110.9141633893</v>
      </c>
      <c r="CX10" s="27">
        <f t="shared" si="47"/>
        <v>398851.23923800292</v>
      </c>
      <c r="CY10" s="27">
        <f t="shared" si="47"/>
        <v>360284.92202144809</v>
      </c>
      <c r="CZ10" s="27">
        <f t="shared" si="47"/>
        <v>381271.89504068182</v>
      </c>
      <c r="DA10" s="27">
        <f t="shared" si="47"/>
        <v>397251.91666300833</v>
      </c>
      <c r="DB10" s="27">
        <f t="shared" si="47"/>
        <v>441207.472971713</v>
      </c>
      <c r="DE10" s="121"/>
      <c r="DF10" s="26">
        <v>277071.28000000003</v>
      </c>
    </row>
    <row r="11" spans="1:110" s="39" customFormat="1" x14ac:dyDescent="0.2">
      <c r="A11" s="39" t="s">
        <v>484</v>
      </c>
      <c r="C11" s="39">
        <f t="shared" ref="C11" si="48">C10/B10-1</f>
        <v>1.0593458846896122</v>
      </c>
      <c r="D11" s="39">
        <f t="shared" ref="D11" si="49">D10/C10-1</f>
        <v>9.0609017857121499E-2</v>
      </c>
      <c r="E11" s="39">
        <f t="shared" ref="E11" si="50">E10/D10-1</f>
        <v>0.13320106024669554</v>
      </c>
      <c r="F11" s="39">
        <f t="shared" ref="F11:R11" si="51">F10/E10-1</f>
        <v>0.28010042798374779</v>
      </c>
      <c r="G11" s="39">
        <f t="shared" si="51"/>
        <v>0.24666257042664852</v>
      </c>
      <c r="H11" s="39">
        <f t="shared" si="51"/>
        <v>0.37031460836826979</v>
      </c>
      <c r="I11" s="39">
        <f t="shared" si="51"/>
        <v>0.20547180625913075</v>
      </c>
      <c r="J11" s="39">
        <f t="shared" si="51"/>
        <v>0.10264449750362137</v>
      </c>
      <c r="K11" s="39">
        <f>K10/J10-1</f>
        <v>0.34727097899334902</v>
      </c>
      <c r="L11" s="39">
        <f t="shared" si="51"/>
        <v>0.30465969031468187</v>
      </c>
      <c r="M11" s="39">
        <f t="shared" si="51"/>
        <v>0.34870641169853767</v>
      </c>
      <c r="N11" s="39">
        <f t="shared" si="51"/>
        <v>0.10756176412339147</v>
      </c>
      <c r="O11" s="39">
        <f t="shared" si="51"/>
        <v>9.4186802061139163E-2</v>
      </c>
      <c r="P11" s="39">
        <f t="shared" si="51"/>
        <v>-0.13585830686369282</v>
      </c>
      <c r="Q11" s="39">
        <f t="shared" si="51"/>
        <v>-0.2701825881976907</v>
      </c>
      <c r="R11" s="39">
        <f t="shared" si="51"/>
        <v>0.1145369143683006</v>
      </c>
      <c r="S11" s="39">
        <f t="shared" ref="S11:Z11" si="52">S10/R10-1</f>
        <v>0.28258050572725302</v>
      </c>
      <c r="T11" s="39">
        <f t="shared" si="52"/>
        <v>0.45326123310789246</v>
      </c>
      <c r="U11" s="39">
        <f t="shared" si="52"/>
        <v>4.9763795020809631E-2</v>
      </c>
      <c r="V11" s="39">
        <f t="shared" si="52"/>
        <v>-0.21858301187378149</v>
      </c>
      <c r="W11" s="39">
        <f t="shared" si="52"/>
        <v>0.49052736633799077</v>
      </c>
      <c r="X11" s="39">
        <f t="shared" si="52"/>
        <v>0.26132423706432673</v>
      </c>
      <c r="Y11" s="39">
        <f t="shared" si="52"/>
        <v>2.6461692687122396E-2</v>
      </c>
      <c r="Z11" s="39">
        <f t="shared" si="52"/>
        <v>7.0615405786936369E-2</v>
      </c>
      <c r="AA11" s="40">
        <f t="shared" ref="AA11" si="53">AA10/Z10-1</f>
        <v>9.5912378342125404E-2</v>
      </c>
      <c r="AB11" s="40">
        <f t="shared" ref="AB11" si="54">AB10/AA10-1</f>
        <v>0.10440161498729195</v>
      </c>
      <c r="AC11" s="40">
        <f t="shared" ref="AC11" si="55">AC10/AB10-1</f>
        <v>0.10590819403234564</v>
      </c>
      <c r="AD11" s="40">
        <f t="shared" ref="AD11" si="56">AD10/AC10-1</f>
        <v>0.10616006108762055</v>
      </c>
      <c r="AE11" s="40">
        <f t="shared" ref="AE11" si="57">AE10/AD10-1</f>
        <v>0.10619705867907969</v>
      </c>
      <c r="AM11" s="39">
        <f t="shared" ref="AM11:CI11" si="58">+IF(AI10&lt;0,1-AM10/AI10,AM10/AI10-1)</f>
        <v>6.1245591884714123E-2</v>
      </c>
      <c r="AN11" s="39">
        <f t="shared" si="58"/>
        <v>0.27846041445270986</v>
      </c>
      <c r="AO11" s="39">
        <f t="shared" si="58"/>
        <v>0.25724815201414475</v>
      </c>
      <c r="AP11" s="39">
        <f t="shared" si="58"/>
        <v>0.22839022304567802</v>
      </c>
      <c r="AQ11" s="39">
        <f t="shared" si="58"/>
        <v>7.3197747761607257E-2</v>
      </c>
      <c r="AR11" s="39">
        <f t="shared" si="58"/>
        <v>-4.9302543055303016E-2</v>
      </c>
      <c r="AS11" s="39">
        <f t="shared" si="58"/>
        <v>-0.20764499567935746</v>
      </c>
      <c r="AT11" s="39">
        <f t="shared" si="58"/>
        <v>-0.34766214177978882</v>
      </c>
      <c r="AU11" s="39">
        <f t="shared" si="58"/>
        <v>-0.26782301223241589</v>
      </c>
      <c r="AV11" s="39">
        <f t="shared" si="58"/>
        <v>-0.35943605016530511</v>
      </c>
      <c r="AW11" s="39">
        <f t="shared" si="58"/>
        <v>-0.27820545718929091</v>
      </c>
      <c r="AX11" s="39">
        <f t="shared" si="58"/>
        <v>-0.11522157996146432</v>
      </c>
      <c r="AY11" s="39">
        <f t="shared" si="58"/>
        <v>-0.15173268942113161</v>
      </c>
      <c r="AZ11" s="39">
        <f t="shared" si="58"/>
        <v>8.287834840470909E-2</v>
      </c>
      <c r="BA11" s="39">
        <f t="shared" si="58"/>
        <v>0.17627540439651601</v>
      </c>
      <c r="BB11" s="39">
        <f t="shared" si="58"/>
        <v>0.4209159742696329</v>
      </c>
      <c r="BC11" s="39">
        <f t="shared" si="58"/>
        <v>0.28436682566548699</v>
      </c>
      <c r="BD11" s="39">
        <f t="shared" si="58"/>
        <v>0.20115282099762344</v>
      </c>
      <c r="BE11" s="39">
        <f t="shared" si="58"/>
        <v>0.25692625428168436</v>
      </c>
      <c r="BF11" s="39">
        <f t="shared" si="58"/>
        <v>0.37834078021291395</v>
      </c>
      <c r="BG11" s="39">
        <f t="shared" si="58"/>
        <v>0.54252375076373838</v>
      </c>
      <c r="BH11" s="39">
        <f t="shared" si="58"/>
        <v>0.56669690974082054</v>
      </c>
      <c r="BI11" s="39">
        <f t="shared" si="58"/>
        <v>0.57196673679991994</v>
      </c>
      <c r="BJ11" s="39">
        <f t="shared" si="58"/>
        <v>0.19394431852200311</v>
      </c>
      <c r="BK11" s="39">
        <f t="shared" si="58"/>
        <v>0.22697194693839506</v>
      </c>
      <c r="BL11" s="39">
        <f t="shared" si="58"/>
        <v>4.4919517453583913E-2</v>
      </c>
      <c r="BM11" s="39">
        <f t="shared" si="58"/>
        <v>-2.2919348876340062E-2</v>
      </c>
      <c r="BN11" s="39">
        <f t="shared" si="58"/>
        <v>-2.219356687441798E-2</v>
      </c>
      <c r="BO11" s="39">
        <f t="shared" si="58"/>
        <v>-0.44136599569565771</v>
      </c>
      <c r="BP11" s="39">
        <f t="shared" si="58"/>
        <v>-0.25724320751063356</v>
      </c>
      <c r="BQ11" s="39">
        <f t="shared" si="58"/>
        <v>-0.23119072158223641</v>
      </c>
      <c r="BR11" s="39">
        <f t="shared" si="58"/>
        <v>9.5851771532397434E-2</v>
      </c>
      <c r="BS11" s="39">
        <f t="shared" si="58"/>
        <v>0.58577045539528405</v>
      </c>
      <c r="BT11" s="39">
        <f t="shared" si="58"/>
        <v>0.50680535078571687</v>
      </c>
      <c r="BU11" s="39">
        <f t="shared" si="58"/>
        <v>0.56988800271508566</v>
      </c>
      <c r="BV11" s="39">
        <f t="shared" si="58"/>
        <v>0.38642821327093424</v>
      </c>
      <c r="BW11" s="39">
        <f t="shared" si="58"/>
        <v>0.56381967716811121</v>
      </c>
      <c r="BX11" s="39">
        <f t="shared" si="58"/>
        <v>0.36869895173944434</v>
      </c>
      <c r="BY11" s="39">
        <f t="shared" si="58"/>
        <v>0.17138039313181319</v>
      </c>
      <c r="BZ11" s="39">
        <f t="shared" si="58"/>
        <v>2.6324291742013228E-2</v>
      </c>
      <c r="CA11" s="39">
        <f t="shared" si="58"/>
        <v>-5.1614082383313109E-2</v>
      </c>
      <c r="CB11" s="39">
        <f t="shared" si="58"/>
        <v>1.0797309608602923E-2</v>
      </c>
      <c r="CC11" s="39">
        <f t="shared" si="58"/>
        <v>3.8521341533748199E-2</v>
      </c>
      <c r="CD11" s="39">
        <f t="shared" si="58"/>
        <v>0.11134969036902009</v>
      </c>
      <c r="CE11" s="39">
        <f t="shared" si="58"/>
        <v>0.11671380185874858</v>
      </c>
      <c r="CF11" s="39">
        <f t="shared" si="58"/>
        <v>-1.5136748229733765E-3</v>
      </c>
      <c r="CG11" s="39">
        <f t="shared" si="58"/>
        <v>6.6196920288245309E-2</v>
      </c>
      <c r="CH11" s="39">
        <f t="shared" si="58"/>
        <v>0.10508047502885431</v>
      </c>
      <c r="CI11" s="39">
        <f t="shared" si="58"/>
        <v>5.111655679425664E-2</v>
      </c>
      <c r="CJ11" s="39">
        <f>+IF(CF10&lt;0,1-CJ10/CF10,CJ10/CF10-1)</f>
        <v>9.9717105405230377E-2</v>
      </c>
      <c r="CK11" s="39">
        <f>+IF(CG10&lt;0,1-CK10/CG10,CK10/CG10-1)</f>
        <v>0.10383522372138376</v>
      </c>
      <c r="CL11" s="39">
        <f>+IF(CH10&lt;0,1-CL10/CH10,CL10/CH10-1)</f>
        <v>0.12499043567417023</v>
      </c>
      <c r="CM11" s="40">
        <f>+AVERAGE(CI11:CL11)</f>
        <v>9.4914830398760253E-2</v>
      </c>
      <c r="CN11" s="40">
        <f t="shared" ref="CN11:DB11" si="59">+AVERAGE(CJ11:CM11)</f>
        <v>0.10586439879988616</v>
      </c>
      <c r="CO11" s="40">
        <f t="shared" si="59"/>
        <v>0.10740122214855011</v>
      </c>
      <c r="CP11" s="40">
        <f t="shared" si="59"/>
        <v>0.10829272175534169</v>
      </c>
      <c r="CQ11" s="40">
        <f t="shared" si="59"/>
        <v>0.10411829327563454</v>
      </c>
      <c r="CR11" s="40">
        <f t="shared" si="59"/>
        <v>0.10641915899485312</v>
      </c>
      <c r="CS11" s="40">
        <f t="shared" si="59"/>
        <v>0.10655784904359486</v>
      </c>
      <c r="CT11" s="40">
        <f t="shared" si="59"/>
        <v>0.10634700576735606</v>
      </c>
      <c r="CU11" s="40">
        <f t="shared" si="59"/>
        <v>0.10586057677035964</v>
      </c>
      <c r="CV11" s="40">
        <f t="shared" si="59"/>
        <v>0.10629614764404093</v>
      </c>
      <c r="CW11" s="40">
        <f t="shared" si="59"/>
        <v>0.10626539480633787</v>
      </c>
      <c r="CX11" s="40">
        <f t="shared" si="59"/>
        <v>0.10619228124702362</v>
      </c>
      <c r="CY11" s="40">
        <f t="shared" si="59"/>
        <v>0.10615360011694051</v>
      </c>
      <c r="CZ11" s="40">
        <f t="shared" si="59"/>
        <v>0.10622685595358573</v>
      </c>
      <c r="DA11" s="40">
        <f t="shared" si="59"/>
        <v>0.10620953303097193</v>
      </c>
      <c r="DB11" s="40">
        <f t="shared" si="59"/>
        <v>0.10619556758713045</v>
      </c>
      <c r="DE11" s="122"/>
      <c r="DF11" s="39">
        <v>0.06</v>
      </c>
    </row>
    <row r="12" spans="1:110" s="39" customFormat="1" x14ac:dyDescent="0.2">
      <c r="A12" s="39" t="s">
        <v>446</v>
      </c>
      <c r="AA12" s="40"/>
      <c r="AB12" s="40"/>
      <c r="AC12" s="40"/>
      <c r="AD12" s="40"/>
      <c r="AE12" s="40"/>
      <c r="AJ12" s="39">
        <f t="shared" ref="AJ12:AL12" si="60">+IF(AI10&lt;0,1-AJ10/AI10,AJ10/AI10-1)</f>
        <v>-1.6761722321389727E-2</v>
      </c>
      <c r="AK12" s="39">
        <f t="shared" si="60"/>
        <v>3.9297732908253558E-2</v>
      </c>
      <c r="AL12" s="39">
        <f t="shared" si="60"/>
        <v>-0.10318897386191761</v>
      </c>
      <c r="AM12" s="39">
        <f t="shared" ref="AM12:CI12" si="61">+IF(AL10&lt;0,1-AM10/AL10,AM10/AL10-1)</f>
        <v>0.15802038053160405</v>
      </c>
      <c r="AN12" s="39">
        <f t="shared" si="61"/>
        <v>0.18448663118057906</v>
      </c>
      <c r="AO12" s="39">
        <f t="shared" si="61"/>
        <v>2.2053666519469051E-2</v>
      </c>
      <c r="AP12" s="39">
        <f t="shared" si="61"/>
        <v>-0.12377369999491694</v>
      </c>
      <c r="AQ12" s="39">
        <f t="shared" si="61"/>
        <v>1.1718296786169979E-2</v>
      </c>
      <c r="AR12" s="39">
        <f t="shared" si="61"/>
        <v>4.9283256880733983E-2</v>
      </c>
      <c r="AS12" s="39">
        <f t="shared" si="61"/>
        <v>-0.14817344736194982</v>
      </c>
      <c r="AT12" s="39">
        <f t="shared" si="61"/>
        <v>-0.27861175263022842</v>
      </c>
      <c r="AU12" s="39">
        <f t="shared" si="61"/>
        <v>0.13554172224692462</v>
      </c>
      <c r="AV12" s="39">
        <f t="shared" si="61"/>
        <v>-8.2007439796384474E-2</v>
      </c>
      <c r="AW12" s="39">
        <f t="shared" si="61"/>
        <v>-4.0152419951089091E-2</v>
      </c>
      <c r="AX12" s="39">
        <f t="shared" si="61"/>
        <v>-0.11571961841559519</v>
      </c>
      <c r="AY12" s="39">
        <f t="shared" si="61"/>
        <v>8.8682658804610126E-2</v>
      </c>
      <c r="AZ12" s="39">
        <f t="shared" si="61"/>
        <v>0.17188798276657957</v>
      </c>
      <c r="BA12" s="39">
        <f t="shared" si="61"/>
        <v>4.2633368784548598E-2</v>
      </c>
      <c r="BB12" s="39">
        <f t="shared" si="61"/>
        <v>6.8192121700584307E-2</v>
      </c>
      <c r="BC12" s="39">
        <f t="shared" si="61"/>
        <v>-1.5939073128750425E-2</v>
      </c>
      <c r="BD12" s="39">
        <f t="shared" si="61"/>
        <v>9.5961471648836172E-2</v>
      </c>
      <c r="BE12" s="39">
        <f t="shared" si="61"/>
        <v>9.1046228178528921E-2</v>
      </c>
      <c r="BF12" s="39">
        <f t="shared" si="61"/>
        <v>0.17137561366596543</v>
      </c>
      <c r="BG12" s="39">
        <f t="shared" si="61"/>
        <v>0.10127870675276918</v>
      </c>
      <c r="BH12" s="39">
        <f t="shared" si="61"/>
        <v>0.11313647519338899</v>
      </c>
      <c r="BI12" s="39">
        <f t="shared" si="61"/>
        <v>9.4716130697794387E-2</v>
      </c>
      <c r="BJ12" s="39">
        <f t="shared" si="61"/>
        <v>-0.11031370699435306</v>
      </c>
      <c r="BK12" s="39">
        <f t="shared" si="61"/>
        <v>0.13174296153019549</v>
      </c>
      <c r="BL12" s="39">
        <f t="shared" si="61"/>
        <v>-5.2025572857323676E-2</v>
      </c>
      <c r="BM12" s="39">
        <f t="shared" si="61"/>
        <v>2.3644339981704121E-2</v>
      </c>
      <c r="BN12" s="39">
        <f t="shared" si="61"/>
        <v>-0.10965284210251658</v>
      </c>
      <c r="BO12" s="39">
        <f t="shared" si="61"/>
        <v>-0.35341998065820712</v>
      </c>
      <c r="BP12" s="39">
        <f t="shared" si="61"/>
        <v>0.26042174203709778</v>
      </c>
      <c r="BQ12" s="39">
        <f t="shared" si="61"/>
        <v>5.9549066848861854E-2</v>
      </c>
      <c r="BR12" s="39">
        <f t="shared" si="61"/>
        <v>0.26909044629221102</v>
      </c>
      <c r="BS12" s="39">
        <f t="shared" si="61"/>
        <v>-6.4355674410830677E-2</v>
      </c>
      <c r="BT12" s="39">
        <f t="shared" si="61"/>
        <v>0.19765771816876154</v>
      </c>
      <c r="BU12" s="39">
        <f t="shared" si="61"/>
        <v>0.10390726145658702</v>
      </c>
      <c r="BV12" s="39">
        <f t="shared" si="61"/>
        <v>0.12078237230242084</v>
      </c>
      <c r="BW12" s="39">
        <f t="shared" si="61"/>
        <v>5.535864978902949E-2</v>
      </c>
      <c r="BX12" s="39">
        <f t="shared" si="61"/>
        <v>4.8223709762171385E-2</v>
      </c>
      <c r="BY12" s="39">
        <f t="shared" si="61"/>
        <v>-5.5237588760685075E-2</v>
      </c>
      <c r="BZ12" s="39">
        <f t="shared" si="61"/>
        <v>-1.8008000479844188E-2</v>
      </c>
      <c r="CA12" s="39">
        <f t="shared" si="61"/>
        <v>-2.4784573893268935E-2</v>
      </c>
      <c r="CB12" s="39">
        <f t="shared" si="61"/>
        <v>0.1172052283928906</v>
      </c>
      <c r="CC12" s="39">
        <f t="shared" si="61"/>
        <v>-2.9324754405181896E-2</v>
      </c>
      <c r="CD12" s="39">
        <f t="shared" si="61"/>
        <v>5.0856117217419117E-2</v>
      </c>
      <c r="CE12" s="39">
        <f t="shared" si="61"/>
        <v>-2.0077536749628977E-2</v>
      </c>
      <c r="CF12" s="39">
        <f t="shared" si="61"/>
        <v>-1.0742760501156745E-3</v>
      </c>
      <c r="CG12" s="39">
        <f t="shared" si="61"/>
        <v>3.6499881227460174E-2</v>
      </c>
      <c r="CH12" s="39">
        <f t="shared" si="61"/>
        <v>8.9180202178460455E-2</v>
      </c>
      <c r="CI12" s="39">
        <f t="shared" si="61"/>
        <v>-6.7929667773578006E-2</v>
      </c>
      <c r="CJ12" s="39">
        <f>+IF(CI10&lt;0,1-CJ10/CI10,CJ10/CI10-1)</f>
        <v>4.5113121429040559E-2</v>
      </c>
      <c r="CK12" s="39">
        <f>+IF(CJ10&lt;0,1-CK10/CJ10,CK10/CJ10-1)</f>
        <v>4.0381269563236621E-2</v>
      </c>
      <c r="CL12" s="39">
        <f>+IF(CK10&lt;0,1-CL10/CK10,CL10/CK10-1)</f>
        <v>0.11005454785677893</v>
      </c>
      <c r="CM12" s="40">
        <f t="shared" ref="CM12" si="62">+CM10/CL10-1</f>
        <v>-9.2847727973941474E-2</v>
      </c>
      <c r="CN12" s="40">
        <f t="shared" ref="CN12" si="63">+CN10/CM10-1</f>
        <v>5.5564653632539818E-2</v>
      </c>
      <c r="CO12" s="40">
        <f t="shared" ref="CO12" si="64">+CO10/CN10-1</f>
        <v>4.1827090794404498E-2</v>
      </c>
      <c r="CP12" s="40">
        <f t="shared" ref="CP12" si="65">+CP10/CO10-1</f>
        <v>0.11094818349049396</v>
      </c>
      <c r="CQ12" s="40">
        <f t="shared" ref="CQ12" si="66">+CQ10/CP10-1</f>
        <v>-9.6264552974631767E-2</v>
      </c>
      <c r="CR12" s="40">
        <f t="shared" ref="CR12" si="67">+CR10/CQ10-1</f>
        <v>5.7764338703200746E-2</v>
      </c>
      <c r="CS12" s="40">
        <f t="shared" ref="CS12" si="68">+CS10/CR10-1</f>
        <v>4.1957684203627332E-2</v>
      </c>
      <c r="CT12" s="40">
        <f t="shared" ref="CT12" si="69">+CT10/CS10-1</f>
        <v>0.11073650368094667</v>
      </c>
      <c r="CU12" s="40">
        <f t="shared" ref="CU12" si="70">+CU10/CT10-1</f>
        <v>-9.6661899489563385E-2</v>
      </c>
      <c r="CV12" s="40">
        <f t="shared" ref="CV12" si="71">+CV10/CU10-1</f>
        <v>5.8180965669416773E-2</v>
      </c>
      <c r="CW12" s="40">
        <f t="shared" ref="CW12" si="72">+CW10/CV10-1</f>
        <v>4.1928719847542428E-2</v>
      </c>
      <c r="CX12" s="40">
        <f t="shared" ref="CX12" si="73">+CX10/CW10-1</f>
        <v>0.11066309462410961</v>
      </c>
      <c r="CY12" s="40">
        <f t="shared" ref="CY12" si="74">+CY10/CX10-1</f>
        <v>-9.669348725162541E-2</v>
      </c>
      <c r="CZ12" s="40">
        <f t="shared" ref="CZ12" si="75">+CZ10/CY10-1</f>
        <v>5.8251044483022651E-2</v>
      </c>
      <c r="DA12" s="40">
        <f t="shared" ref="DA12" si="76">+DA10/CZ10-1</f>
        <v>4.1912403799449827E-2</v>
      </c>
      <c r="DB12" s="40">
        <f t="shared" ref="DB12" si="77">+DB10/DA10-1</f>
        <v>0.11064907295587068</v>
      </c>
      <c r="DE12" s="122"/>
      <c r="DF12" s="39">
        <v>4.5926954946112764E-2</v>
      </c>
    </row>
    <row r="13" spans="1:110" s="23" customFormat="1" outlineLevel="1" x14ac:dyDescent="0.2">
      <c r="A13" s="23" t="s">
        <v>2</v>
      </c>
      <c r="B13" s="23">
        <f>'Annual Raw'!C11</f>
        <v>-319.93</v>
      </c>
      <c r="C13" s="23">
        <f>'Annual Raw'!D11</f>
        <v>874.79</v>
      </c>
      <c r="D13" s="23">
        <f>'Annual Raw'!E11</f>
        <v>-2241.89</v>
      </c>
      <c r="E13" s="23">
        <f>'Annual Raw'!F11</f>
        <v>557.30999999999995</v>
      </c>
      <c r="F13" s="23">
        <f>'Annual Raw'!G11</f>
        <v>656.82</v>
      </c>
      <c r="G13" s="23">
        <f>'Annual Raw'!H11</f>
        <v>-1786.62</v>
      </c>
      <c r="H13" s="23">
        <f>'Annual Raw'!I11</f>
        <v>-703.23</v>
      </c>
      <c r="I13" s="23">
        <f>'Annual Raw'!J11</f>
        <v>-1896.71</v>
      </c>
      <c r="J13" s="23">
        <f>'Annual Raw'!K11</f>
        <v>-2381.0700000000002</v>
      </c>
      <c r="K13" s="23">
        <f>'Annual Raw'!L11</f>
        <v>-5665.84</v>
      </c>
      <c r="L13" s="23">
        <f>'Annual Raw'!M11</f>
        <v>-4363</v>
      </c>
      <c r="M13" s="23">
        <f>'Annual Raw'!N11</f>
        <v>-2872</v>
      </c>
      <c r="N13" s="23">
        <f>'Annual Raw'!O11</f>
        <v>-4904</v>
      </c>
      <c r="O13" s="23">
        <f>'Annual Raw'!P11</f>
        <v>-561</v>
      </c>
      <c r="P13" s="23">
        <f>'Annual Raw'!Q11</f>
        <v>1788</v>
      </c>
      <c r="Q13" s="23">
        <f>'Annual Raw'!R11</f>
        <v>3009</v>
      </c>
      <c r="R13" s="23">
        <f>'Annual Raw'!S11</f>
        <v>-4978</v>
      </c>
      <c r="S13" s="23">
        <f>'Annual Raw'!T11</f>
        <v>-8705</v>
      </c>
      <c r="T13" s="23">
        <f>'Annual Raw'!U11</f>
        <v>-4521</v>
      </c>
      <c r="U13" s="23">
        <f>'Annual Raw'!V11</f>
        <v>-4859</v>
      </c>
      <c r="V13" s="23">
        <f>'Annual Raw'!W11</f>
        <v>-8823</v>
      </c>
      <c r="W13" s="23">
        <f>'Annual Raw'!X11</f>
        <v>-21497</v>
      </c>
      <c r="X13" s="23">
        <f>'Annual Raw'!Y11</f>
        <v>-25803</v>
      </c>
      <c r="Y13" s="23">
        <f>'Annual Raw'!Z11</f>
        <v>-4280</v>
      </c>
      <c r="Z13" s="23">
        <f>'Annual Raw'!AA11</f>
        <v>-15073</v>
      </c>
      <c r="AA13" s="76">
        <f>SUM(CI13:CL13)</f>
        <v>-10267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-987</v>
      </c>
      <c r="AJ13" s="23">
        <f>'QTR Raw'!D10</f>
        <v>-1811</v>
      </c>
      <c r="AK13" s="23">
        <f>'QTR Raw'!E10</f>
        <v>770</v>
      </c>
      <c r="AL13" s="23">
        <f>'QTR Raw'!F10</f>
        <v>-1289</v>
      </c>
      <c r="AM13" s="23">
        <f>'QTR Raw'!G10</f>
        <v>-2076</v>
      </c>
      <c r="AN13" s="23">
        <f>'QTR Raw'!H10</f>
        <v>-89</v>
      </c>
      <c r="AO13" s="23">
        <f>'QTR Raw'!I10</f>
        <v>3289</v>
      </c>
      <c r="AP13" s="23">
        <f>'QTR Raw'!J10</f>
        <v>-1684</v>
      </c>
      <c r="AQ13" s="23">
        <f>'QTR Raw'!K10</f>
        <v>-2802</v>
      </c>
      <c r="AR13" s="23">
        <f>'QTR Raw'!L10</f>
        <v>-1597</v>
      </c>
      <c r="AS13" s="23">
        <f>'QTR Raw'!M10</f>
        <v>6234</v>
      </c>
      <c r="AT13" s="23">
        <f>'QTR Raw'!N10</f>
        <v>-352</v>
      </c>
      <c r="AU13" s="23">
        <f>'QTR Raw'!O10</f>
        <v>-1665</v>
      </c>
      <c r="AV13" s="23">
        <f>'QTR Raw'!P10</f>
        <v>1375</v>
      </c>
      <c r="AW13" s="23">
        <f>'QTR Raw'!Q10</f>
        <v>1906</v>
      </c>
      <c r="AX13" s="23">
        <f>'QTR Raw'!R10</f>
        <v>802</v>
      </c>
      <c r="AY13" s="23">
        <f>'QTR Raw'!S10</f>
        <v>-2554</v>
      </c>
      <c r="AZ13" s="23">
        <f>'QTR Raw'!T10</f>
        <v>-121</v>
      </c>
      <c r="BA13" s="23">
        <f>'QTR Raw'!U10</f>
        <v>-1780</v>
      </c>
      <c r="BB13" s="23">
        <f>'QTR Raw'!V10</f>
        <v>-763</v>
      </c>
      <c r="BC13" s="23">
        <f>'QTR Raw'!W10</f>
        <v>-390</v>
      </c>
      <c r="BD13" s="23">
        <f>'QTR Raw'!X10</f>
        <v>-236</v>
      </c>
      <c r="BE13" s="23">
        <f>'QTR Raw'!Y10</f>
        <v>-6633</v>
      </c>
      <c r="BF13" s="23">
        <f>'QTR Raw'!Z10</f>
        <v>-1351</v>
      </c>
      <c r="BG13" s="23">
        <f>'QTR Raw'!AA10</f>
        <v>-4810</v>
      </c>
      <c r="BH13" s="23">
        <f>'QTR Raw'!AB10</f>
        <v>-5576</v>
      </c>
      <c r="BI13" s="23">
        <f>'QTR Raw'!AC10</f>
        <v>7342</v>
      </c>
      <c r="BJ13" s="23">
        <f>'QTR Raw'!AD10</f>
        <v>-1636</v>
      </c>
      <c r="BK13" s="23">
        <f>'QTR Raw'!AE10</f>
        <v>-4642</v>
      </c>
      <c r="BL13" s="23">
        <f>'QTR Raw'!AF10</f>
        <v>873</v>
      </c>
      <c r="BM13" s="23">
        <f>'QTR Raw'!AG10</f>
        <v>-1378</v>
      </c>
      <c r="BN13" s="23">
        <f>'QTR Raw'!AH10</f>
        <v>99</v>
      </c>
      <c r="BO13" s="23">
        <f>'QTR Raw'!AI10</f>
        <v>-1637</v>
      </c>
      <c r="BP13" s="23">
        <f>'QTR Raw'!AJ10</f>
        <v>-2380</v>
      </c>
      <c r="BQ13" s="23">
        <f>'QTR Raw'!AK10</f>
        <v>-8908</v>
      </c>
      <c r="BR13" s="23">
        <f>'QTR Raw'!AL10</f>
        <v>3861</v>
      </c>
      <c r="BS13" s="23">
        <f>'QTR Raw'!AM10</f>
        <v>-8863</v>
      </c>
      <c r="BT13" s="23">
        <f>'QTR Raw'!AN10</f>
        <v>-1981</v>
      </c>
      <c r="BU13" s="23">
        <f>'QTR Raw'!AO10</f>
        <v>-4572</v>
      </c>
      <c r="BV13" s="23">
        <f>'QTR Raw'!AP10</f>
        <v>-6041</v>
      </c>
      <c r="BW13" s="23">
        <f>'QTR Raw'!AQ10</f>
        <v>-20890</v>
      </c>
      <c r="BX13" s="23">
        <f>'QTR Raw'!AR10</f>
        <v>-3919</v>
      </c>
      <c r="BY13" s="23">
        <f>'QTR Raw'!AS10</f>
        <v>-748</v>
      </c>
      <c r="BZ13" s="23">
        <f>'QTR Raw'!AT10</f>
        <v>-4706</v>
      </c>
      <c r="CA13" s="23">
        <f>'QTR Raw'!AU10</f>
        <v>-2513</v>
      </c>
      <c r="CB13" s="23">
        <f>'QTR Raw'!AV10</f>
        <v>304</v>
      </c>
      <c r="CC13" s="23">
        <f>'QTR Raw'!AW10</f>
        <v>-9345</v>
      </c>
      <c r="CD13" s="23">
        <f>'QTR Raw'!AX10</f>
        <v>6671</v>
      </c>
      <c r="CE13" s="23">
        <f>'QTR Raw'!AY10</f>
        <v>-5749</v>
      </c>
      <c r="CF13" s="23">
        <f>'QTR Raw'!AZ10</f>
        <v>-6982</v>
      </c>
      <c r="CG13" s="23">
        <f>'QTR Raw'!BA10</f>
        <v>-5014</v>
      </c>
      <c r="CH13" s="23">
        <f>'QTR Raw'!BB10</f>
        <v>2621</v>
      </c>
      <c r="CI13" s="23">
        <f>'QTR Raw'!BC10</f>
        <v>-4214</v>
      </c>
      <c r="CJ13" s="23">
        <f>'QTR Raw'!BD10</f>
        <v>-8421</v>
      </c>
      <c r="CK13" s="23">
        <f>'QTR Raw'!BE10</f>
        <v>-811</v>
      </c>
      <c r="CL13" s="23">
        <f>'QTR Raw'!BF10</f>
        <v>3179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76">
        <f>SUM(CI14:CL14)</f>
        <v>255829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163</v>
      </c>
      <c r="AJ14" s="23">
        <f>'QTR Raw'!D12</f>
        <v>54</v>
      </c>
      <c r="AK14" s="23">
        <f>'QTR Raw'!E12</f>
        <v>63</v>
      </c>
      <c r="AL14" s="23">
        <f>'QTR Raw'!F12</f>
        <v>222</v>
      </c>
      <c r="AM14" s="23">
        <f>'QTR Raw'!G12</f>
        <v>5852</v>
      </c>
      <c r="AN14" s="23">
        <f>'QTR Raw'!H12</f>
        <v>3310</v>
      </c>
      <c r="AO14" s="23">
        <f>'QTR Raw'!I12</f>
        <v>4814</v>
      </c>
      <c r="AP14" s="23">
        <f>'QTR Raw'!J12</f>
        <v>3115</v>
      </c>
      <c r="AQ14" s="23">
        <f>'QTR Raw'!K12</f>
        <v>5308</v>
      </c>
      <c r="AR14" s="23">
        <f>'QTR Raw'!L12</f>
        <v>8526</v>
      </c>
      <c r="AS14" s="23">
        <f>'QTR Raw'!M12</f>
        <v>5050</v>
      </c>
      <c r="AT14" s="23">
        <f>'QTR Raw'!N12</f>
        <v>6817</v>
      </c>
      <c r="AU14" s="23">
        <f>'QTR Raw'!O12</f>
        <v>7231</v>
      </c>
      <c r="AV14" s="23">
        <f>'QTR Raw'!P12</f>
        <v>6833</v>
      </c>
      <c r="AW14" s="23">
        <f>'QTR Raw'!Q12</f>
        <v>6714</v>
      </c>
      <c r="AX14" s="23">
        <f>'QTR Raw'!R12</f>
        <v>7279</v>
      </c>
      <c r="AY14" s="23">
        <f>'QTR Raw'!S12</f>
        <v>8143</v>
      </c>
      <c r="AZ14" s="23">
        <f>'QTR Raw'!T12</f>
        <v>10894</v>
      </c>
      <c r="BA14" s="23">
        <f>'QTR Raw'!U12</f>
        <v>10710</v>
      </c>
      <c r="BB14" s="23">
        <f>'QTR Raw'!V12</f>
        <v>12684</v>
      </c>
      <c r="BC14" s="23">
        <f>'QTR Raw'!W12</f>
        <v>14403</v>
      </c>
      <c r="BD14" s="23">
        <f>'QTR Raw'!X12</f>
        <v>13891</v>
      </c>
      <c r="BE14" s="23">
        <f>'QTR Raw'!Y12</f>
        <v>17489</v>
      </c>
      <c r="BF14" s="23">
        <f>'QTR Raw'!Z12</f>
        <v>22845</v>
      </c>
      <c r="BG14" s="23">
        <f>'QTR Raw'!AA12</f>
        <v>26556</v>
      </c>
      <c r="BH14" s="23">
        <f>'QTR Raw'!AB12</f>
        <v>29369</v>
      </c>
      <c r="BI14" s="23">
        <f>'QTR Raw'!AC12</f>
        <v>35813</v>
      </c>
      <c r="BJ14" s="23">
        <f>'QTR Raw'!AD12</f>
        <v>32192</v>
      </c>
      <c r="BK14" s="23">
        <f>'QTR Raw'!AE12</f>
        <v>43659</v>
      </c>
      <c r="BL14" s="23">
        <f>'QTR Raw'!AF12</f>
        <v>35735</v>
      </c>
      <c r="BM14" s="23">
        <f>'QTR Raw'!AG12</f>
        <v>38476</v>
      </c>
      <c r="BN14" s="23">
        <f>'QTR Raw'!AH12</f>
        <v>31797</v>
      </c>
      <c r="BO14" s="23">
        <f>'QTR Raw'!AI12</f>
        <v>13815</v>
      </c>
      <c r="BP14" s="23">
        <f>'QTR Raw'!AJ12</f>
        <v>29611</v>
      </c>
      <c r="BQ14" s="23">
        <f>'QTR Raw'!AK12</f>
        <v>27639</v>
      </c>
      <c r="BR14" s="23">
        <f>'QTR Raw'!AL12</f>
        <v>30785</v>
      </c>
      <c r="BS14" s="23">
        <f>'QTR Raw'!AM12</f>
        <v>24810</v>
      </c>
      <c r="BT14" s="23">
        <f>'QTR Raw'!AN12</f>
        <v>33198</v>
      </c>
      <c r="BU14" s="23">
        <f>'QTR Raw'!AO12</f>
        <v>39426</v>
      </c>
      <c r="BV14" s="23">
        <f>'QTR Raw'!AP12</f>
        <v>38151</v>
      </c>
      <c r="BW14" s="23">
        <f>'QTR Raw'!AQ12</f>
        <v>37043</v>
      </c>
      <c r="BX14" s="23">
        <f>'QTR Raw'!AR12</f>
        <v>46086</v>
      </c>
      <c r="BY14" s="23">
        <f>'QTR Raw'!AS12</f>
        <v>47599</v>
      </c>
      <c r="BZ14" s="23">
        <f>'QTR Raw'!AT12</f>
        <v>37777</v>
      </c>
      <c r="CA14" s="23">
        <f>'QTR Raw'!AU12</f>
        <v>38372</v>
      </c>
      <c r="CB14" s="23">
        <f>'QTR Raw'!AV12</f>
        <v>50786</v>
      </c>
      <c r="CC14" s="23">
        <f>'QTR Raw'!AW12</f>
        <v>57898</v>
      </c>
      <c r="CD14" s="23">
        <f>'QTR Raw'!AX12</f>
        <v>42825</v>
      </c>
      <c r="CE14" s="23">
        <f>'QTR Raw'!AY12</f>
        <v>50001</v>
      </c>
      <c r="CF14" s="23">
        <f>'QTR Raw'!AZ12</f>
        <v>52824</v>
      </c>
      <c r="CG14" s="23">
        <f>'QTR Raw'!BA12</f>
        <v>59459</v>
      </c>
      <c r="CH14" s="23">
        <f>'QTR Raw'!BB12</f>
        <v>60402</v>
      </c>
      <c r="CI14" s="23">
        <f>'QTR Raw'!BC12</f>
        <v>57582</v>
      </c>
      <c r="CJ14" s="23">
        <f>'QTR Raw'!BD12</f>
        <v>65276</v>
      </c>
      <c r="CK14" s="23">
        <f>'QTR Raw'!BE12</f>
        <v>64093</v>
      </c>
      <c r="CL14" s="23">
        <f>'QTR Raw'!BF12</f>
        <v>68878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</row>
    <row r="15" spans="1:110" s="23" customFormat="1" outlineLevel="1" x14ac:dyDescent="0.2">
      <c r="A15" s="23" t="s">
        <v>4</v>
      </c>
      <c r="B15" s="23">
        <f>'Annual Raw'!C12</f>
        <v>12365.75</v>
      </c>
      <c r="C15" s="23">
        <f>'Annual Raw'!D12</f>
        <v>28187.25</v>
      </c>
      <c r="D15" s="23">
        <f>'Annual Raw'!E12</f>
        <v>34277.68</v>
      </c>
      <c r="E15" s="23">
        <f>'Annual Raw'!F12</f>
        <v>34922.92</v>
      </c>
      <c r="F15" s="23">
        <f>'Annual Raw'!G12</f>
        <v>45931.87</v>
      </c>
      <c r="G15" s="23">
        <f>'Annual Raw'!H12</f>
        <v>59168.01</v>
      </c>
      <c r="H15" s="23">
        <f>'Annual Raw'!I12</f>
        <v>79713.87</v>
      </c>
      <c r="I15" s="23">
        <f>'Annual Raw'!J12</f>
        <v>101297.05</v>
      </c>
      <c r="J15" s="23">
        <f>'Annual Raw'!K12</f>
        <v>114695.61</v>
      </c>
      <c r="K15" s="23">
        <f>'Annual Raw'!L12</f>
        <v>160637.71</v>
      </c>
      <c r="L15" s="23">
        <f>'Annual Raw'!M12</f>
        <v>208882</v>
      </c>
      <c r="M15" s="23">
        <f>'Annual Raw'!N12</f>
        <v>301035</v>
      </c>
      <c r="N15" s="23">
        <f>'Annual Raw'!O12</f>
        <v>337204</v>
      </c>
      <c r="O15" s="23">
        <f>'Annual Raw'!P12</f>
        <v>363582</v>
      </c>
      <c r="P15" s="23">
        <f>'Annual Raw'!Q12</f>
        <v>292563</v>
      </c>
      <c r="Q15" s="23">
        <f>'Annual Raw'!R12</f>
        <v>186254</v>
      </c>
      <c r="R15" s="23">
        <f>'Annual Raw'!S12</f>
        <v>217518</v>
      </c>
      <c r="S15" s="23">
        <f>'Annual Raw'!T12</f>
        <v>276076</v>
      </c>
      <c r="T15" s="23">
        <f>'Annual Raw'!U12</f>
        <v>399167</v>
      </c>
      <c r="U15" s="23">
        <f>'Annual Raw'!V12</f>
        <v>410288</v>
      </c>
      <c r="V15" s="23">
        <f>'Annual Raw'!W12</f>
        <v>301765</v>
      </c>
      <c r="W15" s="23">
        <f>'Annual Raw'!X12</f>
        <v>494449</v>
      </c>
      <c r="X15" s="23">
        <f>'Annual Raw'!Y12</f>
        <v>618746</v>
      </c>
      <c r="Y15" s="23">
        <f>'Annual Raw'!Z12</f>
        <v>590226</v>
      </c>
      <c r="Z15" s="23">
        <f>'Annual Raw'!AA12</f>
        <v>644813</v>
      </c>
      <c r="AA15" s="24">
        <f>SUM(CI15:CL15)</f>
        <v>443101</v>
      </c>
      <c r="AB15" s="24">
        <f>+SUM(CM15:CP15)</f>
        <v>767221.96175726154</v>
      </c>
      <c r="AC15" s="24">
        <f>+SUM(CQ15:CT15)</f>
        <v>850240.54795869126</v>
      </c>
      <c r="AD15" s="24">
        <f>+SUM(CU15:CX15)</f>
        <v>940897.25128608616</v>
      </c>
      <c r="AE15" s="24">
        <f>+SUM(CY15:DB15)</f>
        <v>1040893.9992053341</v>
      </c>
      <c r="AI15" s="23">
        <f>'QTR Raw'!C11</f>
        <v>79258</v>
      </c>
      <c r="AJ15" s="23">
        <f>'QTR Raw'!D11</f>
        <v>77717</v>
      </c>
      <c r="AK15" s="23">
        <f>'QTR Raw'!E11</f>
        <v>78170</v>
      </c>
      <c r="AL15" s="23">
        <f>'QTR Raw'!F11</f>
        <v>70982</v>
      </c>
      <c r="AM15" s="23">
        <f>'QTR Raw'!G11</f>
        <v>77069</v>
      </c>
      <c r="AN15" s="23">
        <f>'QTR Raw'!H11</f>
        <v>93933</v>
      </c>
      <c r="AO15" s="23">
        <f>'QTR Raw'!I11</f>
        <v>91740</v>
      </c>
      <c r="AP15" s="23">
        <f>'QTR Raw'!J11</f>
        <v>83749</v>
      </c>
      <c r="AQ15" s="23">
        <f>'QTR Raw'!K11</f>
        <v>82631</v>
      </c>
      <c r="AR15" s="23">
        <f>'QTR Raw'!L11</f>
        <v>81815</v>
      </c>
      <c r="AS15" s="23">
        <f>'QTR Raw'!M11</f>
        <v>62196</v>
      </c>
      <c r="AT15" s="23">
        <f>'QTR Raw'!N11</f>
        <v>40220</v>
      </c>
      <c r="AU15" s="23">
        <f>'QTR Raw'!O11</f>
        <v>50305</v>
      </c>
      <c r="AV15" s="23">
        <f>'QTR Raw'!P11</f>
        <v>41191</v>
      </c>
      <c r="AW15" s="23">
        <f>'QTR Raw'!Q11</f>
        <v>37639</v>
      </c>
      <c r="AX15" s="23">
        <f>'QTR Raw'!R11</f>
        <v>29065</v>
      </c>
      <c r="AY15" s="23">
        <f>'QTR Raw'!S11</f>
        <v>37469</v>
      </c>
      <c r="AZ15" s="23">
        <f>'QTR Raw'!T11</f>
        <v>43134</v>
      </c>
      <c r="BA15" s="23">
        <f>'QTR Raw'!U11</f>
        <v>46774</v>
      </c>
      <c r="BB15" s="23">
        <f>'QTR Raw'!V11</f>
        <v>47710</v>
      </c>
      <c r="BC15" s="23">
        <f>'QTR Raw'!W11</f>
        <v>44117</v>
      </c>
      <c r="BD15" s="23">
        <f>'QTR Raw'!X11</f>
        <v>47678</v>
      </c>
      <c r="BE15" s="23">
        <f>'QTR Raw'!Y11</f>
        <v>54864</v>
      </c>
      <c r="BF15" s="23">
        <f>'QTR Raw'!Z11</f>
        <v>60789</v>
      </c>
      <c r="BG15" s="23">
        <f>'QTR Raw'!AA11</f>
        <v>68255</v>
      </c>
      <c r="BH15" s="23">
        <f>'QTR Raw'!AB11</f>
        <v>76686</v>
      </c>
      <c r="BI15" s="23">
        <f>'QTR Raw'!AC11</f>
        <v>68204</v>
      </c>
      <c r="BJ15" s="23">
        <f>'QTR Raw'!AD11</f>
        <v>62092</v>
      </c>
      <c r="BK15" s="23">
        <f>'QTR Raw'!AE11</f>
        <v>70939</v>
      </c>
      <c r="BL15" s="23">
        <f>'QTR Raw'!AF11</f>
        <v>63626</v>
      </c>
      <c r="BM15" s="23">
        <f>'QTR Raw'!AG11</f>
        <v>68373</v>
      </c>
      <c r="BN15" s="23">
        <f>'QTR Raw'!AH11</f>
        <v>57683</v>
      </c>
      <c r="BO15" s="23">
        <f>'QTR Raw'!AI11</f>
        <v>35286</v>
      </c>
      <c r="BP15" s="23">
        <f>'QTR Raw'!AJ11</f>
        <v>44220</v>
      </c>
      <c r="BQ15" s="23">
        <f>'QTR Raw'!AK11</f>
        <v>53518</v>
      </c>
      <c r="BR15" s="23">
        <f>'QTR Raw'!AL11</f>
        <v>66891</v>
      </c>
      <c r="BS15" s="23">
        <f>'QTR Raw'!AM11</f>
        <v>74358</v>
      </c>
      <c r="BT15" s="23">
        <f>'QTR Raw'!AN11</f>
        <v>82212</v>
      </c>
      <c r="BU15" s="23">
        <f>'QTR Raw'!AO11</f>
        <v>91315</v>
      </c>
      <c r="BV15" s="23">
        <f>'QTR Raw'!AP11</f>
        <v>112899</v>
      </c>
      <c r="BW15" s="23">
        <f>'QTR Raw'!AQ11</f>
        <v>130528</v>
      </c>
      <c r="BX15" s="23">
        <f>'QTR Raw'!AR11</f>
        <v>116952</v>
      </c>
      <c r="BY15" s="23">
        <f>'QTR Raw'!AS11</f>
        <v>98730</v>
      </c>
      <c r="BZ15" s="23">
        <f>'QTR Raw'!AT11</f>
        <v>104031</v>
      </c>
      <c r="CA15" s="23">
        <f>'QTR Raw'!AU11</f>
        <v>95809</v>
      </c>
      <c r="CB15" s="23">
        <f>'QTR Raw'!AV11</f>
        <v>101619</v>
      </c>
      <c r="CC15" s="23">
        <f>'QTR Raw'!AW11</f>
        <v>98949</v>
      </c>
      <c r="CD15" s="23">
        <f>'QTR Raw'!AX11</f>
        <v>103968</v>
      </c>
      <c r="CE15" s="23">
        <f>'QTR Raw'!AY11</f>
        <v>109206</v>
      </c>
      <c r="CF15" s="23">
        <f>'QTR Raw'!AZ11</f>
        <v>107060</v>
      </c>
      <c r="CG15" s="23">
        <f>'QTR Raw'!BA11</f>
        <v>98514</v>
      </c>
      <c r="CH15" s="23">
        <f>'QTR Raw'!BB11</f>
        <v>107347</v>
      </c>
      <c r="CI15" s="23">
        <f>'QTR Raw'!BC11</f>
        <v>99282</v>
      </c>
      <c r="CJ15" s="23">
        <f>'QTR Raw'!BD11</f>
        <v>106488</v>
      </c>
      <c r="CK15" s="23">
        <f>'QTR Raw'!BE11</f>
        <v>108346</v>
      </c>
      <c r="CL15" s="23">
        <f>'QTR Raw'!BF11</f>
        <v>128985</v>
      </c>
      <c r="CM15" s="24">
        <f t="shared" ref="CM15:DB15" si="78">+CM10-CM16</f>
        <v>173367.12409342531</v>
      </c>
      <c r="CN15" s="24">
        <f t="shared" si="78"/>
        <v>184643.8214813392</v>
      </c>
      <c r="CO15" s="24">
        <f t="shared" si="78"/>
        <v>193411.00576896127</v>
      </c>
      <c r="CP15" s="24">
        <f t="shared" si="78"/>
        <v>215800.01041353573</v>
      </c>
      <c r="CQ15" s="24">
        <f t="shared" si="78"/>
        <v>193441.55999194336</v>
      </c>
      <c r="CR15" s="24">
        <f t="shared" si="78"/>
        <v>205150.74558884761</v>
      </c>
      <c r="CS15" s="24">
        <f t="shared" si="78"/>
        <v>213981.70917628205</v>
      </c>
      <c r="CT15" s="24">
        <f t="shared" si="78"/>
        <v>237666.53320161821</v>
      </c>
      <c r="CU15" s="24">
        <f t="shared" si="78"/>
        <v>214448.61924431601</v>
      </c>
      <c r="CV15" s="24">
        <f t="shared" si="78"/>
        <v>227065.45072637431</v>
      </c>
      <c r="CW15" s="24">
        <f t="shared" si="78"/>
        <v>236614.13896921684</v>
      </c>
      <c r="CX15" s="24">
        <f t="shared" si="78"/>
        <v>262769.04234617896</v>
      </c>
      <c r="CY15" s="24">
        <f t="shared" si="78"/>
        <v>237330.31051572895</v>
      </c>
      <c r="CZ15" s="24">
        <f t="shared" si="78"/>
        <v>251186.05529620586</v>
      </c>
      <c r="DA15" s="24">
        <f t="shared" si="78"/>
        <v>261713.90721629074</v>
      </c>
      <c r="DB15" s="24">
        <f t="shared" si="78"/>
        <v>290663.72617710859</v>
      </c>
      <c r="DE15" s="123"/>
      <c r="DF15" s="23">
        <v>177862.00901460921</v>
      </c>
    </row>
    <row r="16" spans="1:110" s="31" customFormat="1" x14ac:dyDescent="0.2">
      <c r="A16" s="31" t="s">
        <v>5</v>
      </c>
      <c r="B16" s="31">
        <f t="shared" ref="B16:T16" si="79">B10-B13-B15-B14</f>
        <v>8395.5299999999988</v>
      </c>
      <c r="C16" s="31">
        <f t="shared" si="79"/>
        <v>13033.770000000004</v>
      </c>
      <c r="D16" s="31">
        <f t="shared" si="79"/>
        <v>13874.279999999999</v>
      </c>
      <c r="E16" s="31">
        <f t="shared" si="79"/>
        <v>16545.110000000015</v>
      </c>
      <c r="F16" s="31">
        <f t="shared" si="79"/>
        <v>20008.969999999994</v>
      </c>
      <c r="G16" s="31">
        <f t="shared" si="79"/>
        <v>25643.419999999991</v>
      </c>
      <c r="H16" s="31">
        <f t="shared" si="79"/>
        <v>34759.47</v>
      </c>
      <c r="I16" s="31">
        <f t="shared" si="79"/>
        <v>37746.319999999992</v>
      </c>
      <c r="J16" s="31">
        <f t="shared" si="79"/>
        <v>38909.470000000016</v>
      </c>
      <c r="K16" s="31">
        <f t="shared" si="79"/>
        <v>48767.850000000006</v>
      </c>
      <c r="L16" s="31">
        <f t="shared" si="79"/>
        <v>61292</v>
      </c>
      <c r="M16" s="31">
        <f t="shared" si="79"/>
        <v>60338</v>
      </c>
      <c r="N16" s="31">
        <f t="shared" si="79"/>
        <v>64762</v>
      </c>
      <c r="O16" s="31">
        <f t="shared" si="79"/>
        <v>71439</v>
      </c>
      <c r="P16" s="31">
        <f t="shared" si="79"/>
        <v>81084</v>
      </c>
      <c r="Q16" s="31">
        <f t="shared" si="79"/>
        <v>84736</v>
      </c>
      <c r="R16" s="31">
        <f t="shared" si="79"/>
        <v>92842</v>
      </c>
      <c r="S16" s="31">
        <f t="shared" si="79"/>
        <v>124306</v>
      </c>
      <c r="T16" s="31">
        <f t="shared" si="79"/>
        <v>174563</v>
      </c>
      <c r="U16" s="31">
        <f t="shared" ref="U16:Z16" si="80">U10-U13-U15-U14</f>
        <v>192106</v>
      </c>
      <c r="V16" s="31">
        <f t="shared" si="80"/>
        <v>173982</v>
      </c>
      <c r="W16" s="31">
        <f t="shared" si="80"/>
        <v>223011</v>
      </c>
      <c r="X16" s="31">
        <f t="shared" si="80"/>
        <v>284892</v>
      </c>
      <c r="Y16" s="31">
        <f t="shared" si="80"/>
        <v>315118</v>
      </c>
      <c r="Z16" s="31">
        <f t="shared" si="80"/>
        <v>334953</v>
      </c>
      <c r="AA16" s="32">
        <f t="shared" ref="AA16:AD16" si="81">AA10-AA13-AA15-AA14</f>
        <v>368556</v>
      </c>
      <c r="AB16" s="32">
        <f t="shared" si="81"/>
        <v>400372.40923798829</v>
      </c>
      <c r="AC16" s="32">
        <f t="shared" si="81"/>
        <v>441011.634230998</v>
      </c>
      <c r="AD16" s="32">
        <f t="shared" si="81"/>
        <v>487434.34144438384</v>
      </c>
      <c r="AE16" s="32">
        <f t="shared" ref="AE16" si="82">AE10-AE13-AE15-AE14</f>
        <v>539122.20749151707</v>
      </c>
      <c r="AI16" s="31">
        <f t="shared" ref="AI16" si="83">AI10-AI13-AI15-AI14</f>
        <v>13442</v>
      </c>
      <c r="AJ16" s="31">
        <f t="shared" ref="AJ16" si="84">AJ10-AJ13-AJ15-AJ14</f>
        <v>14376</v>
      </c>
      <c r="AK16" s="31">
        <f t="shared" ref="AK16:AM16" si="85">AK10-AK13-AK15-AK14</f>
        <v>14883</v>
      </c>
      <c r="AL16" s="31">
        <f t="shared" si="85"/>
        <v>14283</v>
      </c>
      <c r="AM16" s="31">
        <f t="shared" si="85"/>
        <v>16658</v>
      </c>
      <c r="AN16" s="31">
        <f t="shared" ref="AN16:AO16" si="86">AN10-AN13-AN15-AN14</f>
        <v>18337</v>
      </c>
      <c r="AO16" s="31">
        <f t="shared" si="86"/>
        <v>18195</v>
      </c>
      <c r="AP16" s="31">
        <f t="shared" ref="AP16:CD16" si="87">AP10-AP13-AP15-AP14</f>
        <v>18248</v>
      </c>
      <c r="AQ16" s="31">
        <f t="shared" si="87"/>
        <v>19503</v>
      </c>
      <c r="AR16" s="31">
        <f t="shared" si="87"/>
        <v>21053</v>
      </c>
      <c r="AS16" s="31">
        <f t="shared" si="87"/>
        <v>20048</v>
      </c>
      <c r="AT16" s="31">
        <f t="shared" si="87"/>
        <v>20785</v>
      </c>
      <c r="AU16" s="31">
        <f t="shared" si="87"/>
        <v>20744</v>
      </c>
      <c r="AV16" s="31">
        <f t="shared" si="87"/>
        <v>20933</v>
      </c>
      <c r="AW16" s="31">
        <f t="shared" si="87"/>
        <v>21249</v>
      </c>
      <c r="AX16" s="31">
        <f t="shared" si="87"/>
        <v>22550</v>
      </c>
      <c r="AY16" s="31">
        <f t="shared" si="87"/>
        <v>21932</v>
      </c>
      <c r="AZ16" s="31">
        <f t="shared" si="87"/>
        <v>22254</v>
      </c>
      <c r="BA16" s="31">
        <f t="shared" si="87"/>
        <v>23704</v>
      </c>
      <c r="BB16" s="31">
        <f t="shared" si="87"/>
        <v>25192</v>
      </c>
      <c r="BC16" s="31">
        <f t="shared" si="87"/>
        <v>25341</v>
      </c>
      <c r="BD16" s="31">
        <f t="shared" si="87"/>
        <v>30148</v>
      </c>
      <c r="BE16" s="31">
        <f t="shared" si="87"/>
        <v>34090</v>
      </c>
      <c r="BF16" s="31">
        <f t="shared" si="87"/>
        <v>34632</v>
      </c>
      <c r="BG16" s="31">
        <f t="shared" si="87"/>
        <v>38755</v>
      </c>
      <c r="BH16" s="31">
        <f t="shared" si="87"/>
        <v>42844</v>
      </c>
      <c r="BI16" s="31">
        <f t="shared" si="87"/>
        <v>45539</v>
      </c>
      <c r="BJ16" s="31">
        <f t="shared" si="87"/>
        <v>46942</v>
      </c>
      <c r="BK16" s="31">
        <f t="shared" si="87"/>
        <v>48024</v>
      </c>
      <c r="BL16" s="31">
        <f t="shared" si="87"/>
        <v>49527</v>
      </c>
      <c r="BM16" s="31">
        <f t="shared" si="87"/>
        <v>47831</v>
      </c>
      <c r="BN16" s="31">
        <f t="shared" si="87"/>
        <v>46913</v>
      </c>
      <c r="BO16" s="31">
        <f t="shared" si="87"/>
        <v>40789</v>
      </c>
      <c r="BP16" s="31">
        <f t="shared" si="87"/>
        <v>39785</v>
      </c>
      <c r="BQ16" s="31">
        <f t="shared" si="87"/>
        <v>45611</v>
      </c>
      <c r="BR16" s="31">
        <f t="shared" si="87"/>
        <v>48038</v>
      </c>
      <c r="BS16" s="31">
        <f t="shared" si="87"/>
        <v>49644</v>
      </c>
      <c r="BT16" s="31">
        <f t="shared" si="87"/>
        <v>54182</v>
      </c>
      <c r="BU16" s="31">
        <f t="shared" si="87"/>
        <v>58858</v>
      </c>
      <c r="BV16" s="31">
        <f t="shared" si="87"/>
        <v>62366</v>
      </c>
      <c r="BW16" s="31">
        <f t="shared" si="87"/>
        <v>72174</v>
      </c>
      <c r="BX16" s="31">
        <f t="shared" si="87"/>
        <v>70290</v>
      </c>
      <c r="BY16" s="31">
        <f t="shared" si="87"/>
        <v>71156</v>
      </c>
      <c r="BZ16" s="31">
        <f t="shared" si="87"/>
        <v>75732</v>
      </c>
      <c r="CA16" s="31">
        <f t="shared" si="87"/>
        <v>75891</v>
      </c>
      <c r="CB16" s="31">
        <f t="shared" si="87"/>
        <v>79177</v>
      </c>
      <c r="CC16" s="31">
        <f t="shared" si="87"/>
        <v>77584</v>
      </c>
      <c r="CD16" s="31">
        <f t="shared" si="87"/>
        <v>83069</v>
      </c>
      <c r="CE16" s="31">
        <f t="shared" ref="CE16:CF16" si="88">CE10-CE13-CE15-CE14</f>
        <v>78326</v>
      </c>
      <c r="CF16" s="31">
        <f t="shared" si="88"/>
        <v>78633</v>
      </c>
      <c r="CG16" s="31">
        <f t="shared" ref="CG16:CH16" si="89">CG10-CG13-CG15-CG14</f>
        <v>87027</v>
      </c>
      <c r="CH16" s="31">
        <f t="shared" si="89"/>
        <v>91018</v>
      </c>
      <c r="CI16" s="31">
        <f t="shared" ref="CI16:CJ16" si="90">CI10-CI13-CI15-CI14</f>
        <v>90982</v>
      </c>
      <c r="CJ16" s="31">
        <f t="shared" si="90"/>
        <v>91280</v>
      </c>
      <c r="CK16" s="31">
        <f t="shared" ref="CK16:CL16" si="91">CK10-CK13-CK15-CK14</f>
        <v>93277</v>
      </c>
      <c r="CL16" s="31">
        <f t="shared" si="91"/>
        <v>93017</v>
      </c>
      <c r="CM16" s="32">
        <f t="shared" ref="CM16:DB16" si="92">+CM17*CM10</f>
        <v>93389.165866285417</v>
      </c>
      <c r="CN16" s="32">
        <f t="shared" si="92"/>
        <v>96934.689334284194</v>
      </c>
      <c r="CO16" s="32">
        <f t="shared" si="92"/>
        <v>99945.11498430038</v>
      </c>
      <c r="CP16" s="32">
        <f t="shared" si="92"/>
        <v>110103.43905311832</v>
      </c>
      <c r="CQ16" s="32">
        <f t="shared" si="92"/>
        <v>101088.93959891271</v>
      </c>
      <c r="CR16" s="32">
        <f t="shared" si="92"/>
        <v>106393.11353879761</v>
      </c>
      <c r="CS16" s="32">
        <f t="shared" si="92"/>
        <v>110633.80880822027</v>
      </c>
      <c r="CT16" s="32">
        <f t="shared" si="92"/>
        <v>122895.77228506733</v>
      </c>
      <c r="CU16" s="32">
        <f t="shared" si="92"/>
        <v>111261.04890969027</v>
      </c>
      <c r="CV16" s="32">
        <f t="shared" si="92"/>
        <v>117594.32044869734</v>
      </c>
      <c r="CW16" s="32">
        <f t="shared" si="92"/>
        <v>122496.77519417247</v>
      </c>
      <c r="CX16" s="32">
        <f t="shared" si="92"/>
        <v>136082.19689182396</v>
      </c>
      <c r="CY16" s="32">
        <f t="shared" si="92"/>
        <v>122954.61150571913</v>
      </c>
      <c r="CZ16" s="32">
        <f t="shared" si="92"/>
        <v>130085.83974447598</v>
      </c>
      <c r="DA16" s="32">
        <f t="shared" si="92"/>
        <v>135538.00944671759</v>
      </c>
      <c r="DB16" s="32">
        <f t="shared" si="92"/>
        <v>150543.74679460443</v>
      </c>
      <c r="DE16" s="124"/>
      <c r="DF16" s="31">
        <v>99209.270985390816</v>
      </c>
    </row>
    <row r="17" spans="1:110" s="41" customFormat="1" x14ac:dyDescent="0.2">
      <c r="A17" s="41" t="s">
        <v>6</v>
      </c>
      <c r="B17" s="41">
        <f>B16/B10</f>
        <v>0.4107130889104682</v>
      </c>
      <c r="C17" s="41">
        <f t="shared" ref="C17:U17" si="93">C16/C10</f>
        <v>0.30962155140856068</v>
      </c>
      <c r="D17" s="41">
        <f t="shared" si="93"/>
        <v>0.30220559454603313</v>
      </c>
      <c r="E17" s="41">
        <f t="shared" si="93"/>
        <v>0.31802021860885504</v>
      </c>
      <c r="F17" s="41">
        <f t="shared" si="93"/>
        <v>0.30044554117967498</v>
      </c>
      <c r="G17" s="41">
        <f t="shared" si="93"/>
        <v>0.30886454302033323</v>
      </c>
      <c r="H17" s="41">
        <f t="shared" si="93"/>
        <v>0.30552374432968377</v>
      </c>
      <c r="I17" s="41">
        <f t="shared" si="93"/>
        <v>0.27522595154705182</v>
      </c>
      <c r="J17" s="41">
        <f t="shared" si="93"/>
        <v>0.25729690675442352</v>
      </c>
      <c r="K17" s="41">
        <f t="shared" si="93"/>
        <v>0.23936348788542561</v>
      </c>
      <c r="L17" s="41">
        <f t="shared" si="93"/>
        <v>0.23058488926342402</v>
      </c>
      <c r="M17" s="41">
        <f t="shared" si="93"/>
        <v>0.16830636455686315</v>
      </c>
      <c r="N17" s="41">
        <f t="shared" si="93"/>
        <v>0.16310299147236451</v>
      </c>
      <c r="O17" s="41">
        <f t="shared" si="93"/>
        <v>0.16443170832757906</v>
      </c>
      <c r="P17" s="41">
        <f t="shared" si="93"/>
        <v>0.21597347077390228</v>
      </c>
      <c r="Q17" s="41">
        <f t="shared" si="93"/>
        <v>0.30925660312628878</v>
      </c>
      <c r="R17" s="41">
        <f t="shared" si="93"/>
        <v>0.30401922837626316</v>
      </c>
      <c r="S17" s="41">
        <f t="shared" si="93"/>
        <v>0.31736864814630422</v>
      </c>
      <c r="T17" s="41">
        <f t="shared" si="93"/>
        <v>0.30667645803211124</v>
      </c>
      <c r="U17" s="41">
        <f t="shared" si="93"/>
        <v>0.32149748550294127</v>
      </c>
      <c r="V17" s="41">
        <f>V16/V10</f>
        <v>0.37261310191808517</v>
      </c>
      <c r="W17" s="41">
        <f>W16/W10</f>
        <v>0.3204351380748689</v>
      </c>
      <c r="X17" s="41">
        <f>X16/X10</f>
        <v>0.32453934964999115</v>
      </c>
      <c r="Y17" s="41">
        <f>Y16/Y10</f>
        <v>0.34971766711354574</v>
      </c>
      <c r="Z17" s="41">
        <f>Z16/Z10</f>
        <v>0.34721201459946327</v>
      </c>
      <c r="AA17" s="42">
        <f t="shared" ref="AA17:AD17" si="94">AA16/AA10</f>
        <v>0.34860894478816595</v>
      </c>
      <c r="AB17" s="42">
        <f t="shared" si="94"/>
        <v>0.3429036822922617</v>
      </c>
      <c r="AC17" s="42">
        <f t="shared" si="94"/>
        <v>0.34153795851336799</v>
      </c>
      <c r="AD17" s="42">
        <f t="shared" si="94"/>
        <v>0.34126133170000111</v>
      </c>
      <c r="AE17" s="42">
        <f t="shared" ref="AE17" si="95">AE16/AE10</f>
        <v>0.34121308705978065</v>
      </c>
      <c r="AI17" s="41">
        <f t="shared" ref="AI17" si="96">AI16/AI10</f>
        <v>0.14630589054813009</v>
      </c>
      <c r="AJ17" s="41">
        <f t="shared" ref="AJ17" si="97">AJ16/AJ10</f>
        <v>0.15913921360255048</v>
      </c>
      <c r="AK17" s="41">
        <f t="shared" ref="AK17:AM17" si="98">AK16/AK10</f>
        <v>0.1585220373644633</v>
      </c>
      <c r="AL17" s="41">
        <f t="shared" si="98"/>
        <v>0.16963585833392716</v>
      </c>
      <c r="AM17" s="41">
        <f t="shared" si="98"/>
        <v>0.1708460252505051</v>
      </c>
      <c r="AN17" s="41">
        <f t="shared" ref="AN17:AO17" si="99">AN16/AN10</f>
        <v>0.15877427678347231</v>
      </c>
      <c r="AO17" s="41">
        <f t="shared" si="99"/>
        <v>0.15414527525034311</v>
      </c>
      <c r="AP17" s="41">
        <f t="shared" ref="AP17:CD17" si="100">AP16/AP10</f>
        <v>0.17643191398847508</v>
      </c>
      <c r="AQ17" s="41">
        <f t="shared" si="100"/>
        <v>0.18638188073394496</v>
      </c>
      <c r="AR17" s="41">
        <f t="shared" si="100"/>
        <v>0.1917447653396723</v>
      </c>
      <c r="AS17" s="41">
        <f t="shared" si="100"/>
        <v>0.21435292105038065</v>
      </c>
      <c r="AT17" s="41">
        <f t="shared" si="100"/>
        <v>0.30806284274492368</v>
      </c>
      <c r="AU17" s="41">
        <f t="shared" si="100"/>
        <v>0.27075637929909285</v>
      </c>
      <c r="AV17" s="41">
        <f t="shared" si="100"/>
        <v>0.29763123471535008</v>
      </c>
      <c r="AW17" s="41">
        <f t="shared" si="100"/>
        <v>0.31476269479172841</v>
      </c>
      <c r="AX17" s="41">
        <f t="shared" si="100"/>
        <v>0.37774725274725274</v>
      </c>
      <c r="AY17" s="41">
        <f t="shared" si="100"/>
        <v>0.33746730266194797</v>
      </c>
      <c r="AZ17" s="41">
        <f t="shared" si="100"/>
        <v>0.29219679363453738</v>
      </c>
      <c r="BA17" s="41">
        <f t="shared" si="100"/>
        <v>0.29850896635099738</v>
      </c>
      <c r="BB17" s="41">
        <f t="shared" si="100"/>
        <v>0.29699491883097745</v>
      </c>
      <c r="BC17" s="41">
        <f t="shared" si="100"/>
        <v>0.30359046854596206</v>
      </c>
      <c r="BD17" s="41">
        <f t="shared" si="100"/>
        <v>0.32955477093604135</v>
      </c>
      <c r="BE17" s="41">
        <f t="shared" si="100"/>
        <v>0.3415489429916842</v>
      </c>
      <c r="BF17" s="41">
        <f t="shared" si="100"/>
        <v>0.29621519907625199</v>
      </c>
      <c r="BG17" s="41">
        <f t="shared" si="100"/>
        <v>0.3009956817546367</v>
      </c>
      <c r="BH17" s="41">
        <f t="shared" si="100"/>
        <v>0.29893317890359539</v>
      </c>
      <c r="BI17" s="41">
        <f t="shared" si="100"/>
        <v>0.29024589223572</v>
      </c>
      <c r="BJ17" s="41">
        <f t="shared" si="100"/>
        <v>0.33628483415717458</v>
      </c>
      <c r="BK17" s="41">
        <f t="shared" si="100"/>
        <v>0.30398784656285605</v>
      </c>
      <c r="BL17" s="41">
        <f t="shared" si="100"/>
        <v>0.33070692636934851</v>
      </c>
      <c r="BM17" s="41">
        <f t="shared" si="100"/>
        <v>0.31200506190395427</v>
      </c>
      <c r="BN17" s="41">
        <f t="shared" si="100"/>
        <v>0.34370512557512528</v>
      </c>
      <c r="BO17" s="41">
        <f t="shared" si="100"/>
        <v>0.46218258869386875</v>
      </c>
      <c r="BP17" s="41">
        <f t="shared" si="100"/>
        <v>0.35766298680283359</v>
      </c>
      <c r="BQ17" s="41">
        <f t="shared" si="100"/>
        <v>0.38699304259290684</v>
      </c>
      <c r="BR17" s="41">
        <f t="shared" si="100"/>
        <v>0.32116329600534849</v>
      </c>
      <c r="BS17" s="41">
        <f t="shared" si="100"/>
        <v>0.35472922278830143</v>
      </c>
      <c r="BT17" s="41">
        <f t="shared" si="100"/>
        <v>0.32326040653656385</v>
      </c>
      <c r="BU17" s="41">
        <f t="shared" si="100"/>
        <v>0.31810492522712902</v>
      </c>
      <c r="BV17" s="41">
        <f t="shared" si="100"/>
        <v>0.30074020494273657</v>
      </c>
      <c r="BW17" s="41">
        <f t="shared" si="100"/>
        <v>0.32977999131845287</v>
      </c>
      <c r="BX17" s="41">
        <f t="shared" si="100"/>
        <v>0.30639600015692497</v>
      </c>
      <c r="BY17" s="41">
        <f t="shared" si="100"/>
        <v>0.32830573459999907</v>
      </c>
      <c r="BZ17" s="41">
        <f t="shared" si="100"/>
        <v>0.35582660665119292</v>
      </c>
      <c r="CA17" s="41">
        <f t="shared" si="100"/>
        <v>0.36563579512331434</v>
      </c>
      <c r="CB17" s="41">
        <f t="shared" si="100"/>
        <v>0.34144795287339469</v>
      </c>
      <c r="CC17" s="41">
        <f t="shared" si="100"/>
        <v>0.34468603111699531</v>
      </c>
      <c r="CD17" s="41">
        <f t="shared" si="100"/>
        <v>0.35119412513264536</v>
      </c>
      <c r="CE17" s="41">
        <f t="shared" ref="CE17:CF17" si="101">CE16/CE10</f>
        <v>0.33792669036689332</v>
      </c>
      <c r="CF17" s="41">
        <f t="shared" si="101"/>
        <v>0.33961604077137364</v>
      </c>
      <c r="CG17" s="41">
        <f t="shared" ref="CG17:CH17" si="102">CG16/CG10</f>
        <v>0.36263365362979505</v>
      </c>
      <c r="CH17" s="41">
        <f t="shared" si="102"/>
        <v>0.34821032335072766</v>
      </c>
      <c r="CI17" s="41">
        <f t="shared" ref="CI17:CJ17" si="103">CI16/CI10</f>
        <v>0.37344027057201024</v>
      </c>
      <c r="CJ17" s="41">
        <f t="shared" si="103"/>
        <v>0.35849078834198012</v>
      </c>
      <c r="CK17" s="41">
        <f t="shared" ref="CK17:CL17" si="104">CK16/CK10</f>
        <v>0.35211490911836318</v>
      </c>
      <c r="CL17" s="41">
        <f t="shared" si="104"/>
        <v>0.31632087438235185</v>
      </c>
      <c r="CM17" s="42">
        <f>AVERAGE(CI17:CL17)</f>
        <v>0.35009171060367633</v>
      </c>
      <c r="CN17" s="42">
        <f t="shared" ref="CN17:DB17" si="105">AVERAGE(CJ17:CM17)</f>
        <v>0.34425457061159287</v>
      </c>
      <c r="CO17" s="42">
        <f t="shared" si="105"/>
        <v>0.34069551617899607</v>
      </c>
      <c r="CP17" s="42">
        <f t="shared" si="105"/>
        <v>0.33784066794415424</v>
      </c>
      <c r="CQ17" s="42">
        <f t="shared" si="105"/>
        <v>0.34322061633460488</v>
      </c>
      <c r="CR17" s="42">
        <f t="shared" si="105"/>
        <v>0.341502842767337</v>
      </c>
      <c r="CS17" s="42">
        <f t="shared" si="105"/>
        <v>0.34081491080627302</v>
      </c>
      <c r="CT17" s="42">
        <f t="shared" si="105"/>
        <v>0.34084475946309228</v>
      </c>
      <c r="CU17" s="42">
        <f t="shared" si="105"/>
        <v>0.34159578234282678</v>
      </c>
      <c r="CV17" s="42">
        <f t="shared" si="105"/>
        <v>0.3411895738448823</v>
      </c>
      <c r="CW17" s="42">
        <f t="shared" si="105"/>
        <v>0.34111125661426861</v>
      </c>
      <c r="CX17" s="42">
        <f t="shared" si="105"/>
        <v>0.34118534306626752</v>
      </c>
      <c r="CY17" s="42">
        <f t="shared" si="105"/>
        <v>0.3412704889670613</v>
      </c>
      <c r="CZ17" s="42">
        <f t="shared" si="105"/>
        <v>0.34118916562311991</v>
      </c>
      <c r="DA17" s="42">
        <f t="shared" si="105"/>
        <v>0.34118906356767931</v>
      </c>
      <c r="DB17" s="42">
        <f t="shared" si="105"/>
        <v>0.34120851530603202</v>
      </c>
      <c r="DE17" s="125"/>
      <c r="DF17" s="41">
        <v>0.35806407284577024</v>
      </c>
    </row>
    <row r="18" spans="1:110" s="39" customFormat="1" x14ac:dyDescent="0.2">
      <c r="A18" s="39" t="s">
        <v>447</v>
      </c>
      <c r="C18" s="39">
        <f t="shared" ref="C18:AE18" si="106">+IF(B16&lt;0,1-C16/B16,C16/B16-1)</f>
        <v>0.55246541909802072</v>
      </c>
      <c r="D18" s="39">
        <f t="shared" si="106"/>
        <v>6.4487097746852573E-2</v>
      </c>
      <c r="E18" s="39">
        <f t="shared" si="106"/>
        <v>0.1925022415577613</v>
      </c>
      <c r="F18" s="39">
        <f t="shared" si="106"/>
        <v>0.20935853554312889</v>
      </c>
      <c r="G18" s="39">
        <f t="shared" si="106"/>
        <v>0.28159620410246</v>
      </c>
      <c r="H18" s="39">
        <f t="shared" si="106"/>
        <v>0.35549275408662395</v>
      </c>
      <c r="I18" s="39">
        <f t="shared" si="106"/>
        <v>8.5929100760166577E-2</v>
      </c>
      <c r="J18" s="39">
        <f t="shared" si="106"/>
        <v>3.081492447475731E-2</v>
      </c>
      <c r="K18" s="39">
        <f t="shared" si="106"/>
        <v>0.25336711088585862</v>
      </c>
      <c r="L18" s="39">
        <f t="shared" si="106"/>
        <v>0.25681160846746365</v>
      </c>
      <c r="M18" s="39">
        <f t="shared" si="106"/>
        <v>-1.5564837172877377E-2</v>
      </c>
      <c r="N18" s="39">
        <f t="shared" si="106"/>
        <v>7.3320295667738344E-2</v>
      </c>
      <c r="O18" s="39">
        <f t="shared" si="106"/>
        <v>0.10310058367561226</v>
      </c>
      <c r="P18" s="39">
        <f t="shared" si="106"/>
        <v>0.13501028849787922</v>
      </c>
      <c r="Q18" s="39">
        <f t="shared" si="106"/>
        <v>4.5039711903704704E-2</v>
      </c>
      <c r="R18" s="39">
        <f t="shared" si="106"/>
        <v>9.5661820241691897E-2</v>
      </c>
      <c r="S18" s="39">
        <f t="shared" si="106"/>
        <v>0.33889834342215797</v>
      </c>
      <c r="T18" s="39">
        <f t="shared" si="106"/>
        <v>0.40430067736070674</v>
      </c>
      <c r="U18" s="39">
        <f t="shared" si="106"/>
        <v>0.10049666882443598</v>
      </c>
      <c r="V18" s="39">
        <f t="shared" si="106"/>
        <v>-9.4343747722611448E-2</v>
      </c>
      <c r="W18" s="39">
        <f t="shared" si="106"/>
        <v>0.28180501431182536</v>
      </c>
      <c r="X18" s="39">
        <f t="shared" si="106"/>
        <v>0.27747958620875202</v>
      </c>
      <c r="Y18" s="39">
        <f t="shared" si="106"/>
        <v>0.10609634528172074</v>
      </c>
      <c r="Z18" s="39">
        <f t="shared" si="106"/>
        <v>6.2944674693289571E-2</v>
      </c>
      <c r="AA18" s="40">
        <f t="shared" si="106"/>
        <v>0.10032153764856555</v>
      </c>
      <c r="AB18" s="40">
        <f t="shared" si="106"/>
        <v>8.6327204652721035E-2</v>
      </c>
      <c r="AC18" s="40">
        <f t="shared" si="106"/>
        <v>0.10150356032364116</v>
      </c>
      <c r="AD18" s="40">
        <f t="shared" si="106"/>
        <v>0.10526413275770863</v>
      </c>
      <c r="AE18" s="40">
        <f t="shared" si="106"/>
        <v>0.10604067389665195</v>
      </c>
      <c r="AM18" s="39">
        <f>+IF(AI16&lt;0,1-AM16/AI16,AM16/AI16-1)</f>
        <v>0.23925011159053722</v>
      </c>
      <c r="AN18" s="39">
        <f t="shared" ref="AN18" si="107">+IF(AJ16&lt;0,1-AN16/AJ16,AN16/AJ16-1)</f>
        <v>0.27552865887590428</v>
      </c>
      <c r="AO18" s="39">
        <f t="shared" ref="AO18" si="108">+IF(AK16&lt;0,1-AO16/AK16,AO16/AK16-1)</f>
        <v>0.222535779076799</v>
      </c>
      <c r="AP18" s="39">
        <f t="shared" ref="AP18" si="109">+IF(AL16&lt;0,1-AP16/AL16,AP16/AL16-1)</f>
        <v>0.27760274452145905</v>
      </c>
      <c r="AQ18" s="39">
        <f t="shared" ref="AQ18" si="110">+IF(AM16&lt;0,1-AQ16/AM16,AQ16/AM16-1)</f>
        <v>0.17078881018129421</v>
      </c>
      <c r="AR18" s="39">
        <f t="shared" ref="AR18" si="111">+IF(AN16&lt;0,1-AR16/AN16,AR16/AN16-1)</f>
        <v>0.14811583137917861</v>
      </c>
      <c r="AS18" s="39">
        <f t="shared" ref="AS18" si="112">+IF(AO16&lt;0,1-AS16/AO16,AS16/AO16-1)</f>
        <v>0.10184116515526243</v>
      </c>
      <c r="AT18" s="39">
        <f t="shared" ref="AT18" si="113">+IF(AP16&lt;0,1-AT16/AP16,AT16/AP16-1)</f>
        <v>0.13902893467777289</v>
      </c>
      <c r="AU18" s="39">
        <f t="shared" ref="AU18" si="114">+IF(AQ16&lt;0,1-AU16/AQ16,AU16/AQ16-1)</f>
        <v>6.363123622006861E-2</v>
      </c>
      <c r="AV18" s="39">
        <f t="shared" ref="AV18" si="115">+IF(AR16&lt;0,1-AV16/AR16,AV16/AR16-1)</f>
        <v>-5.6999002517456043E-3</v>
      </c>
      <c r="AW18" s="39">
        <f t="shared" ref="AW18" si="116">+IF(AS16&lt;0,1-AW16/AS16,AW16/AS16-1)</f>
        <v>5.9906225059856322E-2</v>
      </c>
      <c r="AX18" s="39">
        <f t="shared" ref="AX18" si="117">+IF(AT16&lt;0,1-AX16/AT16,AX16/AT16-1)</f>
        <v>8.4917007457300908E-2</v>
      </c>
      <c r="AY18" s="39">
        <f t="shared" ref="AY18" si="118">+IF(AU16&lt;0,1-AY16/AU16,AY16/AU16-1)</f>
        <v>5.7269571924411844E-2</v>
      </c>
      <c r="AZ18" s="39">
        <f t="shared" ref="AZ18" si="119">+IF(AV16&lt;0,1-AZ16/AV16,AZ16/AV16-1)</f>
        <v>6.310610041561171E-2</v>
      </c>
      <c r="BA18" s="39">
        <f t="shared" ref="BA18" si="120">+IF(AW16&lt;0,1-BA16/AW16,BA16/AW16-1)</f>
        <v>0.1155348486987624</v>
      </c>
      <c r="BB18" s="39">
        <f t="shared" ref="BB18" si="121">+IF(AX16&lt;0,1-BB16/AX16,BB16/AX16-1)</f>
        <v>0.11716186252771621</v>
      </c>
      <c r="BC18" s="39">
        <f t="shared" ref="BC18" si="122">+IF(AY16&lt;0,1-BC16/AY16,BC16/AY16-1)</f>
        <v>0.1554349808498996</v>
      </c>
      <c r="BD18" s="39">
        <f t="shared" ref="BD18" si="123">+IF(AZ16&lt;0,1-BD16/AZ16,BD16/AZ16-1)</f>
        <v>0.3547227464725442</v>
      </c>
      <c r="BE18" s="39">
        <f t="shared" ref="BE18" si="124">+IF(BA16&lt;0,1-BE16/BA16,BE16/BA16-1)</f>
        <v>0.43815389807627403</v>
      </c>
      <c r="BF18" s="39">
        <f t="shared" ref="BF18" si="125">+IF(BB16&lt;0,1-BF16/BB16,BF16/BB16-1)</f>
        <v>0.37472213401079713</v>
      </c>
      <c r="BG18" s="39">
        <f t="shared" ref="BG18" si="126">+IF(BC16&lt;0,1-BG16/BC16,BG16/BC16-1)</f>
        <v>0.52933980505899525</v>
      </c>
      <c r="BH18" s="39">
        <f t="shared" ref="BH18" si="127">+IF(BD16&lt;0,1-BH16/BD16,BH16/BD16-1)</f>
        <v>0.42112246251824326</v>
      </c>
      <c r="BI18" s="39">
        <f t="shared" ref="BI18" si="128">+IF(BE16&lt;0,1-BI16/BE16,BI16/BE16-1)</f>
        <v>0.33584628923437965</v>
      </c>
      <c r="BJ18" s="39">
        <f t="shared" ref="BJ18" si="129">+IF(BF16&lt;0,1-BJ16/BF16,BJ16/BF16-1)</f>
        <v>0.35545160545160548</v>
      </c>
      <c r="BK18" s="39">
        <f t="shared" ref="BK18" si="130">+IF(BG16&lt;0,1-BK16/BG16,BK16/BG16-1)</f>
        <v>0.23916913946587548</v>
      </c>
      <c r="BL18" s="39">
        <f t="shared" ref="BL18" si="131">+IF(BH16&lt;0,1-BL16/BH16,BL16/BH16-1)</f>
        <v>0.15598450191392033</v>
      </c>
      <c r="BM18" s="39">
        <f t="shared" ref="BM18" si="132">+IF(BI16&lt;0,1-BM16/BI16,BM16/BI16-1)</f>
        <v>5.0330485957091664E-2</v>
      </c>
      <c r="BN18" s="39">
        <f t="shared" ref="BN18" si="133">+IF(BJ16&lt;0,1-BN16/BJ16,BN16/BJ16-1)</f>
        <v>-6.1778364790587847E-4</v>
      </c>
      <c r="BO18" s="39">
        <f t="shared" ref="BO18" si="134">+IF(BK16&lt;0,1-BO16/BK16,BO16/BK16-1)</f>
        <v>-0.15065383974679325</v>
      </c>
      <c r="BP18" s="39">
        <f t="shared" ref="BP18" si="135">+IF(BL16&lt;0,1-BP16/BL16,BP16/BL16-1)</f>
        <v>-0.19670078946837077</v>
      </c>
      <c r="BQ18" s="39">
        <f t="shared" ref="BQ18" si="136">+IF(BM16&lt;0,1-BQ16/BM16,BQ16/BM16-1)</f>
        <v>-4.6413413894754396E-2</v>
      </c>
      <c r="BR18" s="39">
        <f t="shared" ref="BR18" si="137">+IF(BN16&lt;0,1-BR16/BN16,BR16/BN16-1)</f>
        <v>2.398055975955482E-2</v>
      </c>
      <c r="BS18" s="39">
        <f t="shared" ref="BS18" si="138">+IF(BO16&lt;0,1-BS16/BO16,BS16/BO16-1)</f>
        <v>0.21709284365882953</v>
      </c>
      <c r="BT18" s="39">
        <f t="shared" ref="BT18" si="139">+IF(BP16&lt;0,1-BT16/BP16,BT16/BP16-1)</f>
        <v>0.3618700515269575</v>
      </c>
      <c r="BU18" s="39">
        <f t="shared" ref="BU18" si="140">+IF(BQ16&lt;0,1-BU16/BQ16,BU16/BQ16-1)</f>
        <v>0.29043432505316691</v>
      </c>
      <c r="BV18" s="39">
        <f t="shared" ref="BV18" si="141">+IF(BR16&lt;0,1-BV16/BR16,BV16/BR16-1)</f>
        <v>0.29826387443274083</v>
      </c>
      <c r="BW18" s="39">
        <f t="shared" ref="BW18" si="142">+IF(BS16&lt;0,1-BW16/BS16,BW16/BS16-1)</f>
        <v>0.45383127870437523</v>
      </c>
      <c r="BX18" s="39">
        <f t="shared" ref="BX18" si="143">+IF(BT16&lt;0,1-BX16/BT16,BX16/BT16-1)</f>
        <v>0.29729430438152882</v>
      </c>
      <c r="BY18" s="39">
        <f t="shared" ref="BY18" si="144">+IF(BU16&lt;0,1-BY16/BU16,BY16/BU16-1)</f>
        <v>0.20894355907438245</v>
      </c>
      <c r="BZ18" s="39">
        <f t="shared" ref="BZ18" si="145">+IF(BV16&lt;0,1-BZ16/BV16,BZ16/BV16-1)</f>
        <v>0.21431549241573933</v>
      </c>
      <c r="CA18" s="39">
        <f t="shared" ref="CA18" si="146">+IF(BW16&lt;0,1-CA16/BW16,CA16/BW16-1)</f>
        <v>5.1500540360794655E-2</v>
      </c>
      <c r="CB18" s="39">
        <f t="shared" ref="CB18" si="147">+IF(BX16&lt;0,1-CB16/BX16,CB16/BX16-1)</f>
        <v>0.12643334756010804</v>
      </c>
      <c r="CC18" s="39">
        <f t="shared" ref="CC18" si="148">+IF(BY16&lt;0,1-CC16/BY16,CC16/BY16-1)</f>
        <v>9.0336724942380098E-2</v>
      </c>
      <c r="CD18" s="39">
        <f t="shared" ref="CD18" si="149">+IF(BZ16&lt;0,1-CD16/BZ16,CD16/BZ16-1)</f>
        <v>9.6881107061744132E-2</v>
      </c>
      <c r="CE18" s="39">
        <f t="shared" ref="CE18" si="150">+IF(CA16&lt;0,1-CE16/CA16,CE16/CA16-1)</f>
        <v>3.2085491033192248E-2</v>
      </c>
      <c r="CF18" s="39">
        <f t="shared" ref="CF18" si="151">+IF(CB16&lt;0,1-CF16/CB16,CF16/CB16-1)</f>
        <v>-6.8706821425413844E-3</v>
      </c>
      <c r="CG18" s="39">
        <f t="shared" ref="CG18" si="152">+IF(CC16&lt;0,1-CG16/CC16,CG16/CC16-1)</f>
        <v>0.12171323984326676</v>
      </c>
      <c r="CH18" s="39">
        <f t="shared" ref="CH18:CL18" si="153">+IF(CD16&lt;0,1-CH16/CD16,CH16/CD16-1)</f>
        <v>9.5691533544402851E-2</v>
      </c>
      <c r="CI18" s="39">
        <f t="shared" si="153"/>
        <v>0.16158108418660477</v>
      </c>
      <c r="CJ18" s="39">
        <f t="shared" si="153"/>
        <v>0.16083578141492749</v>
      </c>
      <c r="CK18" s="39">
        <f t="shared" si="153"/>
        <v>7.1816792489687087E-2</v>
      </c>
      <c r="CL18" s="39">
        <f t="shared" si="153"/>
        <v>2.1962688698938582E-2</v>
      </c>
      <c r="CM18" s="40">
        <f t="shared" ref="CM18" si="154">+CM16/CI16-1</f>
        <v>2.6457605529504935E-2</v>
      </c>
      <c r="CN18" s="40">
        <f t="shared" ref="CN18" si="155">+CN16/CJ16-1</f>
        <v>6.194883144483132E-2</v>
      </c>
      <c r="CO18" s="40">
        <f t="shared" ref="CO18" si="156">+CO16/CK16-1</f>
        <v>7.1487236771126561E-2</v>
      </c>
      <c r="CP18" s="40">
        <f t="shared" ref="CP18" si="157">+CP16/CL16-1</f>
        <v>0.18369157307931139</v>
      </c>
      <c r="CQ18" s="40">
        <f t="shared" ref="CQ18" si="158">+CQ16/CM16-1</f>
        <v>8.2448254689969414E-2</v>
      </c>
      <c r="CR18" s="40">
        <f t="shared" ref="CR18" si="159">+CR16/CN16-1</f>
        <v>9.7575225850217162E-2</v>
      </c>
      <c r="CS18" s="40">
        <f t="shared" ref="CS18" si="160">+CS16/CO16-1</f>
        <v>0.10694563536796076</v>
      </c>
      <c r="CT18" s="40">
        <f t="shared" ref="CT18" si="161">+CT16/CP16-1</f>
        <v>0.11618468362080381</v>
      </c>
      <c r="CU18" s="40">
        <f t="shared" ref="CU18" si="162">+CU16/CQ16-1</f>
        <v>0.10062534389159805</v>
      </c>
      <c r="CV18" s="40">
        <f t="shared" ref="CV18" si="163">+CV16/CR16-1</f>
        <v>0.10528131509014504</v>
      </c>
      <c r="CW18" s="40">
        <f t="shared" ref="CW18" si="164">+CW16/CS16-1</f>
        <v>0.1072273160776398</v>
      </c>
      <c r="CX18" s="40">
        <f t="shared" ref="CX18" si="165">+CX16/CT16-1</f>
        <v>0.10729762596039172</v>
      </c>
      <c r="CY18" s="40">
        <f t="shared" ref="CY18" si="166">+CY16/CU16-1</f>
        <v>0.10510023688092707</v>
      </c>
      <c r="CZ18" s="40">
        <f t="shared" ref="CZ18" si="167">+CZ16/CV16-1</f>
        <v>0.10622553239064203</v>
      </c>
      <c r="DA18" s="40">
        <f t="shared" ref="DA18" si="168">+DA16/CW16-1</f>
        <v>0.10646185772542305</v>
      </c>
      <c r="DB18" s="40">
        <f t="shared" ref="DB18" si="169">+DB16/CX16-1</f>
        <v>0.10627069692500934</v>
      </c>
      <c r="DE18" s="122"/>
      <c r="DF18" s="39">
        <v>8.9996165433110065E-2</v>
      </c>
    </row>
    <row r="19" spans="1:110" s="39" customFormat="1" x14ac:dyDescent="0.2">
      <c r="A19" s="39" t="s">
        <v>448</v>
      </c>
      <c r="AA19" s="40"/>
      <c r="AB19" s="40"/>
      <c r="AC19" s="40"/>
      <c r="AD19" s="40"/>
      <c r="AE19" s="40"/>
      <c r="AJ19" s="39">
        <f>+IF(AI16&lt;0,1-AJ16/AI16,AJ16/AI16-1)</f>
        <v>6.9483707781580195E-2</v>
      </c>
      <c r="AK19" s="39">
        <f t="shared" ref="AK19" si="170">+IF(AJ16&lt;0,1-AK16/AJ16,AK16/AJ16-1)</f>
        <v>3.5267111853088506E-2</v>
      </c>
      <c r="AL19" s="39">
        <f t="shared" ref="AL19" si="171">+IF(AK16&lt;0,1-AL16/AK16,AL16/AK16-1)</f>
        <v>-4.0314452731304184E-2</v>
      </c>
      <c r="AM19" s="39">
        <f t="shared" ref="AM19" si="172">+IF(AL16&lt;0,1-AM16/AL16,AM16/AL16-1)</f>
        <v>0.1662815935027655</v>
      </c>
      <c r="AN19" s="39">
        <f t="shared" ref="AN19" si="173">+IF(AM16&lt;0,1-AN16/AM16,AN16/AM16-1)</f>
        <v>0.10079241205426825</v>
      </c>
      <c r="AO19" s="39">
        <f t="shared" ref="AO19" si="174">+IF(AN16&lt;0,1-AO16/AN16,AO16/AN16-1)</f>
        <v>-7.7439057643017284E-3</v>
      </c>
      <c r="AP19" s="39">
        <f t="shared" ref="AP19" si="175">+IF(AO16&lt;0,1-AP16/AO16,AP16/AO16-1)</f>
        <v>2.9128881560869235E-3</v>
      </c>
      <c r="AQ19" s="39">
        <f t="shared" ref="AQ19" si="176">+IF(AP16&lt;0,1-AQ16/AP16,AQ16/AP16-1)</f>
        <v>6.8774660236738283E-2</v>
      </c>
      <c r="AR19" s="39">
        <f t="shared" ref="AR19" si="177">+IF(AQ16&lt;0,1-AR16/AQ16,AR16/AQ16-1)</f>
        <v>7.947495257139936E-2</v>
      </c>
      <c r="AS19" s="39">
        <f t="shared" ref="AS19" si="178">+IF(AR16&lt;0,1-AS16/AR16,AS16/AR16-1)</f>
        <v>-4.7736664608369339E-2</v>
      </c>
      <c r="AT19" s="39">
        <f t="shared" ref="AT19" si="179">+IF(AS16&lt;0,1-AT16/AS16,AT16/AS16-1)</f>
        <v>3.6761771747805261E-2</v>
      </c>
      <c r="AU19" s="39">
        <f t="shared" ref="AU19" si="180">+IF(AT16&lt;0,1-AU16/AT16,AU16/AT16-1)</f>
        <v>-1.9725763771950566E-3</v>
      </c>
      <c r="AV19" s="39">
        <f t="shared" ref="AV19" si="181">+IF(AU16&lt;0,1-AV16/AU16,AV16/AU16-1)</f>
        <v>9.1110682607018489E-3</v>
      </c>
      <c r="AW19" s="39">
        <f t="shared" ref="AW19" si="182">+IF(AV16&lt;0,1-AW16/AV16,AW16/AV16-1)</f>
        <v>1.5095781779964623E-2</v>
      </c>
      <c r="AX19" s="39">
        <f t="shared" ref="AX19" si="183">+IF(AW16&lt;0,1-AX16/AW16,AX16/AW16-1)</f>
        <v>6.1226410654618979E-2</v>
      </c>
      <c r="AY19" s="39">
        <f t="shared" ref="AY19" si="184">+IF(AX16&lt;0,1-AY16/AX16,AY16/AX16-1)</f>
        <v>-2.7405764966740631E-2</v>
      </c>
      <c r="AZ19" s="39">
        <f t="shared" ref="AZ19" si="185">+IF(AY16&lt;0,1-AZ16/AY16,AZ16/AY16-1)</f>
        <v>1.4681743571037797E-2</v>
      </c>
      <c r="BA19" s="39">
        <f t="shared" ref="BA19" si="186">+IF(AZ16&lt;0,1-BA16/AZ16,BA16/AZ16-1)</f>
        <v>6.5156825739193014E-2</v>
      </c>
      <c r="BB19" s="39">
        <f t="shared" ref="BB19" si="187">+IF(BA16&lt;0,1-BB16/BA16,BB16/BA16-1)</f>
        <v>6.2774215322308535E-2</v>
      </c>
      <c r="BC19" s="39">
        <f t="shared" ref="BC19" si="188">+IF(BB16&lt;0,1-BC16/BB16,BC16/BB16-1)</f>
        <v>5.9145760558907412E-3</v>
      </c>
      <c r="BD19" s="39">
        <f t="shared" ref="BD19" si="189">+IF(BC16&lt;0,1-BD16/BC16,BD16/BC16-1)</f>
        <v>0.18969259303105646</v>
      </c>
      <c r="BE19" s="39">
        <f t="shared" ref="BE19" si="190">+IF(BD16&lt;0,1-BE16/BD16,BE16/BD16-1)</f>
        <v>0.13075494228472873</v>
      </c>
      <c r="BF19" s="39">
        <f t="shared" ref="BF19" si="191">+IF(BE16&lt;0,1-BF16/BE16,BF16/BE16-1)</f>
        <v>1.5899090642417235E-2</v>
      </c>
      <c r="BG19" s="39">
        <f t="shared" ref="BG19" si="192">+IF(BF16&lt;0,1-BG16/BF16,BG16/BF16-1)</f>
        <v>0.11905174405174401</v>
      </c>
      <c r="BH19" s="39">
        <f t="shared" ref="BH19" si="193">+IF(BG16&lt;0,1-BH16/BG16,BH16/BG16-1)</f>
        <v>0.10550896658495668</v>
      </c>
      <c r="BI19" s="39">
        <f t="shared" ref="BI19" si="194">+IF(BH16&lt;0,1-BI16/BH16,BI16/BH16-1)</f>
        <v>6.2902623471197794E-2</v>
      </c>
      <c r="BJ19" s="39">
        <f t="shared" ref="BJ19" si="195">+IF(BI16&lt;0,1-BJ16/BI16,BJ16/BI16-1)</f>
        <v>3.0808757328882885E-2</v>
      </c>
      <c r="BK19" s="39">
        <f t="shared" ref="BK19" si="196">+IF(BJ16&lt;0,1-BK16/BJ16,BK16/BJ16-1)</f>
        <v>2.3049720932214246E-2</v>
      </c>
      <c r="BL19" s="39">
        <f t="shared" ref="BL19" si="197">+IF(BK16&lt;0,1-BL16/BK16,BL16/BK16-1)</f>
        <v>3.1296851574212914E-2</v>
      </c>
      <c r="BM19" s="39">
        <f t="shared" ref="BM19" si="198">+IF(BL16&lt;0,1-BM16/BL16,BM16/BL16-1)</f>
        <v>-3.4243947745674075E-2</v>
      </c>
      <c r="BN19" s="39">
        <f t="shared" ref="BN19" si="199">+IF(BM16&lt;0,1-BN16/BM16,BN16/BM16-1)</f>
        <v>-1.9192573853776818E-2</v>
      </c>
      <c r="BO19" s="39">
        <f t="shared" ref="BO19" si="200">+IF(BN16&lt;0,1-BO16/BN16,BO16/BN16-1)</f>
        <v>-0.13053950930445724</v>
      </c>
      <c r="BP19" s="39">
        <f t="shared" ref="BP19" si="201">+IF(BO16&lt;0,1-BP16/BO16,BP16/BO16-1)</f>
        <v>-2.4614479393954225E-2</v>
      </c>
      <c r="BQ19" s="39">
        <f t="shared" ref="BQ19" si="202">+IF(BP16&lt;0,1-BQ16/BP16,BQ16/BP16-1)</f>
        <v>0.14643709940932514</v>
      </c>
      <c r="BR19" s="39">
        <f t="shared" ref="BR19" si="203">+IF(BQ16&lt;0,1-BR16/BQ16,BR16/BQ16-1)</f>
        <v>5.3210848260287991E-2</v>
      </c>
      <c r="BS19" s="39">
        <f t="shared" ref="BS19" si="204">+IF(BR16&lt;0,1-BS16/BR16,BS16/BR16-1)</f>
        <v>3.3431866439069147E-2</v>
      </c>
      <c r="BT19" s="39">
        <f t="shared" ref="BT19" si="205">+IF(BS16&lt;0,1-BT16/BS16,BT16/BS16-1)</f>
        <v>9.1410845217951842E-2</v>
      </c>
      <c r="BU19" s="39">
        <f t="shared" ref="BU19" si="206">+IF(BT16&lt;0,1-BU16/BT16,BU16/BT16-1)</f>
        <v>8.630172381971879E-2</v>
      </c>
      <c r="BV19" s="39">
        <f t="shared" ref="BV19" si="207">+IF(BU16&lt;0,1-BV16/BU16,BV16/BU16-1)</f>
        <v>5.9601073770770396E-2</v>
      </c>
      <c r="BW19" s="39">
        <f t="shared" ref="BW19" si="208">+IF(BV16&lt;0,1-BW16/BV16,BW16/BV16-1)</f>
        <v>0.15726517653849847</v>
      </c>
      <c r="BX19" s="39">
        <f t="shared" ref="BX19" si="209">+IF(BW16&lt;0,1-BX16/BW16,BX16/BW16-1)</f>
        <v>-2.6103583007731301E-2</v>
      </c>
      <c r="BY19" s="39">
        <f t="shared" ref="BY19" si="210">+IF(BX16&lt;0,1-BY16/BX16,BY16/BX16-1)</f>
        <v>1.23203869682742E-2</v>
      </c>
      <c r="BZ19" s="39">
        <f t="shared" ref="BZ19" si="211">+IF(BY16&lt;0,1-BZ16/BY16,BZ16/BY16-1)</f>
        <v>6.4309404688290606E-2</v>
      </c>
      <c r="CA19" s="39">
        <f t="shared" ref="CA19" si="212">+IF(BZ16&lt;0,1-CA16/BZ16,CA16/BZ16-1)</f>
        <v>2.0995087941688695E-3</v>
      </c>
      <c r="CB19" s="39">
        <f t="shared" ref="CB19" si="213">+IF(CA16&lt;0,1-CB16/CA16,CB16/CA16-1)</f>
        <v>4.3298941903519461E-2</v>
      </c>
      <c r="CC19" s="39">
        <f t="shared" ref="CC19" si="214">+IF(CB16&lt;0,1-CC16/CB16,CC16/CB16-1)</f>
        <v>-2.0119479141669894E-2</v>
      </c>
      <c r="CD19" s="39">
        <f t="shared" ref="CD19" si="215">+IF(CC16&lt;0,1-CD16/CC16,CD16/CC16-1)</f>
        <v>7.0697566508558518E-2</v>
      </c>
      <c r="CE19" s="39">
        <f t="shared" ref="CE19" si="216">+IF(CD16&lt;0,1-CE16/CD16,CE16/CD16-1)</f>
        <v>-5.7097112039388942E-2</v>
      </c>
      <c r="CF19" s="39">
        <f t="shared" ref="CF19" si="217">+IF(CE16&lt;0,1-CF16/CE16,CF16/CE16-1)</f>
        <v>3.9195158695708443E-3</v>
      </c>
      <c r="CG19" s="39">
        <f t="shared" ref="CG19" si="218">+IF(CF16&lt;0,1-CG16/CF16,CG16/CF16-1)</f>
        <v>0.106749074815917</v>
      </c>
      <c r="CH19" s="39">
        <f t="shared" ref="CH19:CL19" si="219">+IF(CG16&lt;0,1-CH16/CG16,CH16/CG16-1)</f>
        <v>4.5859331012214621E-2</v>
      </c>
      <c r="CI19" s="39">
        <f t="shared" si="219"/>
        <v>-3.9552615966076399E-4</v>
      </c>
      <c r="CJ19" s="39">
        <f t="shared" si="219"/>
        <v>3.2753731507331185E-3</v>
      </c>
      <c r="CK19" s="39">
        <f t="shared" si="219"/>
        <v>2.187773882559152E-2</v>
      </c>
      <c r="CL19" s="39">
        <f t="shared" si="219"/>
        <v>-2.7873966787096416E-3</v>
      </c>
      <c r="CM19" s="40">
        <f t="shared" ref="CM19" si="220">+CM16/CL16-1</f>
        <v>4.0010521333242455E-3</v>
      </c>
      <c r="CN19" s="40">
        <f t="shared" ref="CN19" si="221">+CN16/CM16-1</f>
        <v>3.7965040538805672E-2</v>
      </c>
      <c r="CO19" s="40">
        <f t="shared" ref="CO19" si="222">+CO16/CN16-1</f>
        <v>3.1056226317851765E-2</v>
      </c>
      <c r="CP19" s="40">
        <f t="shared" ref="CP19" si="223">+CP16/CO16-1</f>
        <v>0.10163902528316293</v>
      </c>
      <c r="CQ19" s="40">
        <f t="shared" ref="CQ19" si="224">+CQ16/CP16-1</f>
        <v>-8.1873005345969752E-2</v>
      </c>
      <c r="CR19" s="40">
        <f t="shared" ref="CR19" si="225">+CR16/CQ16-1</f>
        <v>5.2470368775556553E-2</v>
      </c>
      <c r="CS19" s="40">
        <f t="shared" ref="CS19" si="226">+CS16/CR16-1</f>
        <v>3.985873829960096E-2</v>
      </c>
      <c r="CT19" s="40">
        <f t="shared" ref="CT19" si="227">+CT16/CS16-1</f>
        <v>0.11083378226725182</v>
      </c>
      <c r="CU19" s="40">
        <f t="shared" ref="CU19" si="228">+CU16/CT16-1</f>
        <v>-9.4671469644938777E-2</v>
      </c>
      <c r="CV19" s="40">
        <f t="shared" ref="CV19" si="229">+CV16/CU16-1</f>
        <v>5.6922630166355237E-2</v>
      </c>
      <c r="CW19" s="40">
        <f t="shared" ref="CW19" si="230">+CW16/CV16-1</f>
        <v>4.1689553770702048E-2</v>
      </c>
      <c r="CX19" s="40">
        <f t="shared" ref="CX19" si="231">+CX16/CW16-1</f>
        <v>0.11090432116369531</v>
      </c>
      <c r="CY19" s="40">
        <f t="shared" ref="CY19" si="232">+CY16/CX16-1</f>
        <v>-9.6468058908105059E-2</v>
      </c>
      <c r="CZ19" s="40">
        <f t="shared" ref="CZ19" si="233">+CZ16/CY16-1</f>
        <v>5.7998867642513163E-2</v>
      </c>
      <c r="DA19" s="40">
        <f t="shared" ref="DA19" si="234">+DA16/CZ16-1</f>
        <v>4.1912092145856672E-2</v>
      </c>
      <c r="DB19" s="40">
        <f t="shared" ref="DB19" si="235">+DB16/DA16-1</f>
        <v>0.11071239284937162</v>
      </c>
      <c r="DE19" s="122"/>
      <c r="DF19" s="39">
        <v>6.3598432468784605E-2</v>
      </c>
    </row>
    <row r="20" spans="1:110" s="23" customFormat="1" outlineLevel="1" x14ac:dyDescent="0.2">
      <c r="A20" s="23" t="s">
        <v>8</v>
      </c>
      <c r="B20" s="23">
        <f>'Annual Raw'!C14</f>
        <v>413.3</v>
      </c>
      <c r="C20" s="23">
        <f>'Annual Raw'!D14</f>
        <v>533.87</v>
      </c>
      <c r="D20" s="23">
        <f>'Annual Raw'!E14</f>
        <v>625.46</v>
      </c>
      <c r="E20" s="23">
        <f>'Annual Raw'!F14</f>
        <v>765.41</v>
      </c>
      <c r="F20" s="23">
        <f>'Annual Raw'!G14</f>
        <v>802.4</v>
      </c>
      <c r="G20" s="23">
        <f>'Annual Raw'!H14</f>
        <v>1422.9</v>
      </c>
      <c r="H20" s="23">
        <f>'Annual Raw'!I14</f>
        <v>2542.75</v>
      </c>
      <c r="I20" s="23">
        <f>'Annual Raw'!J14</f>
        <v>2668.78</v>
      </c>
      <c r="J20" s="23">
        <f>'Annual Raw'!K14</f>
        <v>2977.47</v>
      </c>
      <c r="K20" s="23">
        <f>'Annual Raw'!L14</f>
        <v>2748.22</v>
      </c>
      <c r="L20" s="23">
        <f>'Annual Raw'!M14</f>
        <v>3324</v>
      </c>
      <c r="M20" s="23">
        <f>'Annual Raw'!N14</f>
        <v>3955</v>
      </c>
      <c r="N20" s="23">
        <f>'Annual Raw'!O14</f>
        <v>5179</v>
      </c>
      <c r="O20" s="23">
        <f>'Annual Raw'!P14</f>
        <v>5572</v>
      </c>
      <c r="P20" s="23">
        <f>'Annual Raw'!Q14</f>
        <v>6262</v>
      </c>
      <c r="Q20" s="23">
        <f>'Annual Raw'!R14</f>
        <v>7407</v>
      </c>
      <c r="R20" s="23">
        <f>'Annual Raw'!S14</f>
        <v>8388</v>
      </c>
      <c r="S20" s="23">
        <f>'Annual Raw'!T14</f>
        <v>9523</v>
      </c>
      <c r="T20" s="23">
        <f>'Annual Raw'!U14</f>
        <v>12488</v>
      </c>
      <c r="U20" s="23">
        <f>'Annual Raw'!V14</f>
        <v>14075</v>
      </c>
      <c r="V20" s="23">
        <f>'Annual Raw'!W14</f>
        <v>14817</v>
      </c>
      <c r="W20" s="23">
        <f>'Annual Raw'!X14</f>
        <v>18758</v>
      </c>
      <c r="X20" s="23">
        <f>'Annual Raw'!Y14</f>
        <v>24872</v>
      </c>
      <c r="Y20" s="23">
        <f>'Annual Raw'!Z14</f>
        <v>25679</v>
      </c>
      <c r="Z20" s="23">
        <f>'Annual Raw'!AA14</f>
        <v>28559</v>
      </c>
      <c r="AA20" s="76">
        <f t="shared" ref="AA20:AA25" si="236">SUM(CI20:CL20)</f>
        <v>30318</v>
      </c>
      <c r="AB20" s="76">
        <f t="shared" ref="AB20:AB25" si="237">+SUM(CM20:CP20)</f>
        <v>32440.260000000002</v>
      </c>
      <c r="AC20" s="76">
        <f t="shared" ref="AC20:AC25" si="238">+SUM(CQ20:CT20)</f>
        <v>34711.078200000004</v>
      </c>
      <c r="AD20" s="76">
        <f t="shared" ref="AD20:AD25" si="239">+SUM(CU20:CX20)</f>
        <v>37140.853674000005</v>
      </c>
      <c r="AE20" s="76">
        <f t="shared" ref="AE20:AE25" si="240">+SUM(CY20:DB20)</f>
        <v>39740.713431180011</v>
      </c>
      <c r="AI20" s="23">
        <f>'QTR Raw'!C16</f>
        <v>851</v>
      </c>
      <c r="AJ20" s="23">
        <f>'QTR Raw'!D16</f>
        <v>848</v>
      </c>
      <c r="AK20" s="23">
        <f>'QTR Raw'!E16</f>
        <v>863</v>
      </c>
      <c r="AL20" s="23">
        <f>'QTR Raw'!F16</f>
        <v>792</v>
      </c>
      <c r="AM20" s="23">
        <f>'QTR Raw'!G16</f>
        <v>1415</v>
      </c>
      <c r="AN20" s="23">
        <f>'QTR Raw'!H16</f>
        <v>1409</v>
      </c>
      <c r="AO20" s="23">
        <f>'QTR Raw'!I16</f>
        <v>1173</v>
      </c>
      <c r="AP20" s="23">
        <f>'QTR Raw'!J16</f>
        <v>1575</v>
      </c>
      <c r="AQ20" s="23">
        <f>'QTR Raw'!K16</f>
        <v>1480</v>
      </c>
      <c r="AR20" s="23">
        <f>'QTR Raw'!L16</f>
        <v>1575</v>
      </c>
      <c r="AS20" s="23">
        <f>'QTR Raw'!M16</f>
        <v>1548</v>
      </c>
      <c r="AT20" s="23">
        <f>'QTR Raw'!N16</f>
        <v>1659</v>
      </c>
      <c r="AU20" s="23">
        <f>'QTR Raw'!O16</f>
        <v>1915</v>
      </c>
      <c r="AV20" s="23">
        <f>'QTR Raw'!P16</f>
        <v>1713</v>
      </c>
      <c r="AW20" s="23">
        <f>'QTR Raw'!Q16</f>
        <v>1954</v>
      </c>
      <c r="AX20" s="23">
        <f>'QTR Raw'!R16</f>
        <v>1844</v>
      </c>
      <c r="AY20" s="23">
        <f>'QTR Raw'!S16</f>
        <v>2111</v>
      </c>
      <c r="AZ20" s="23">
        <f>'QTR Raw'!T16</f>
        <v>2017</v>
      </c>
      <c r="BA20" s="23">
        <f>'QTR Raw'!U16</f>
        <v>1894</v>
      </c>
      <c r="BB20" s="23">
        <f>'QTR Raw'!V16</f>
        <v>2366</v>
      </c>
      <c r="BC20" s="23">
        <f>'QTR Raw'!W16</f>
        <v>2455</v>
      </c>
      <c r="BD20" s="23">
        <f>'QTR Raw'!X16</f>
        <v>2260</v>
      </c>
      <c r="BE20" s="23">
        <f>'QTR Raw'!Y16</f>
        <v>2333</v>
      </c>
      <c r="BF20" s="23">
        <f>'QTR Raw'!Z16</f>
        <v>2475</v>
      </c>
      <c r="BG20" s="23">
        <f>'QTR Raw'!AA16</f>
        <v>2951</v>
      </c>
      <c r="BH20" s="23">
        <f>'QTR Raw'!AB16</f>
        <v>2927</v>
      </c>
      <c r="BI20" s="23">
        <f>'QTR Raw'!AC16</f>
        <v>3265</v>
      </c>
      <c r="BJ20" s="23">
        <f>'QTR Raw'!AD16</f>
        <v>3345</v>
      </c>
      <c r="BK20" s="23">
        <f>'QTR Raw'!AE16</f>
        <v>3335</v>
      </c>
      <c r="BL20" s="23">
        <f>'QTR Raw'!AF16</f>
        <v>3147</v>
      </c>
      <c r="BM20" s="23">
        <f>'QTR Raw'!AG16</f>
        <v>3880</v>
      </c>
      <c r="BN20" s="23">
        <f>'QTR Raw'!AH16</f>
        <v>3713</v>
      </c>
      <c r="BO20" s="23">
        <f>'QTR Raw'!AI16</f>
        <v>3168</v>
      </c>
      <c r="BP20" s="23">
        <f>'QTR Raw'!AJ16</f>
        <v>3429</v>
      </c>
      <c r="BQ20" s="23">
        <f>'QTR Raw'!AK16</f>
        <v>4244</v>
      </c>
      <c r="BR20" s="23">
        <f>'QTR Raw'!AL16</f>
        <v>3976</v>
      </c>
      <c r="BS20" s="23">
        <f>'QTR Raw'!AM16</f>
        <v>4257</v>
      </c>
      <c r="BT20" s="23">
        <f>'QTR Raw'!AN16</f>
        <v>4580</v>
      </c>
      <c r="BU20" s="23">
        <f>'QTR Raw'!AO16</f>
        <v>4660</v>
      </c>
      <c r="BV20" s="23">
        <f>'QTR Raw'!AP16</f>
        <v>5278</v>
      </c>
      <c r="BW20" s="23">
        <f>'QTR Raw'!AQ16</f>
        <v>5999</v>
      </c>
      <c r="BX20" s="23">
        <f>'QTR Raw'!AR16</f>
        <v>6148</v>
      </c>
      <c r="BY20" s="23">
        <f>'QTR Raw'!AS16</f>
        <v>6261</v>
      </c>
      <c r="BZ20" s="23">
        <f>'QTR Raw'!AT16</f>
        <v>6464</v>
      </c>
      <c r="CA20" s="23">
        <f>'QTR Raw'!AU16</f>
        <v>6601</v>
      </c>
      <c r="CB20" s="23">
        <f>'QTR Raw'!AV16</f>
        <v>5947</v>
      </c>
      <c r="CC20" s="23">
        <f>'QTR Raw'!AW16</f>
        <v>6313</v>
      </c>
      <c r="CD20" s="23">
        <f>'QTR Raw'!AX16</f>
        <v>6818</v>
      </c>
      <c r="CE20" s="23">
        <f>'QTR Raw'!AY16</f>
        <v>7071</v>
      </c>
      <c r="CF20" s="23">
        <f>'QTR Raw'!AZ16</f>
        <v>6649</v>
      </c>
      <c r="CG20" s="23">
        <f>'QTR Raw'!BA16</f>
        <v>7155</v>
      </c>
      <c r="CH20" s="23">
        <f>'QTR Raw'!BB16</f>
        <v>7684</v>
      </c>
      <c r="CI20" s="23">
        <f>'QTR Raw'!BC16</f>
        <v>7232</v>
      </c>
      <c r="CJ20" s="23">
        <f>'QTR Raw'!BD16</f>
        <v>7491</v>
      </c>
      <c r="CK20" s="23">
        <f>'QTR Raw'!BE16</f>
        <v>7912</v>
      </c>
      <c r="CL20" s="23">
        <f>'QTR Raw'!BF16</f>
        <v>7683</v>
      </c>
      <c r="CM20" s="24">
        <f t="shared" ref="CM20:DB20" si="241">CI20*107%</f>
        <v>7738.2400000000007</v>
      </c>
      <c r="CN20" s="24">
        <f t="shared" si="241"/>
        <v>8015.3700000000008</v>
      </c>
      <c r="CO20" s="24">
        <f t="shared" si="241"/>
        <v>8465.84</v>
      </c>
      <c r="CP20" s="24">
        <f t="shared" si="241"/>
        <v>8220.8100000000013</v>
      </c>
      <c r="CQ20" s="24">
        <f t="shared" si="241"/>
        <v>8279.9168000000009</v>
      </c>
      <c r="CR20" s="24">
        <f t="shared" si="241"/>
        <v>8576.4459000000006</v>
      </c>
      <c r="CS20" s="24">
        <f t="shared" si="241"/>
        <v>9058.4488000000001</v>
      </c>
      <c r="CT20" s="24">
        <f t="shared" si="241"/>
        <v>8796.2667000000019</v>
      </c>
      <c r="CU20" s="24">
        <f t="shared" si="241"/>
        <v>8859.5109760000014</v>
      </c>
      <c r="CV20" s="24">
        <f t="shared" si="241"/>
        <v>9176.7971130000005</v>
      </c>
      <c r="CW20" s="24">
        <f t="shared" si="241"/>
        <v>9692.5402160000012</v>
      </c>
      <c r="CX20" s="24">
        <f t="shared" si="241"/>
        <v>9412.0053690000022</v>
      </c>
      <c r="CY20" s="24">
        <f t="shared" si="241"/>
        <v>9479.6767443200024</v>
      </c>
      <c r="CZ20" s="24">
        <f t="shared" si="241"/>
        <v>9819.1729109100015</v>
      </c>
      <c r="DA20" s="24">
        <f t="shared" si="241"/>
        <v>10371.018031120002</v>
      </c>
      <c r="DB20" s="24">
        <f t="shared" si="241"/>
        <v>10070.845744830003</v>
      </c>
      <c r="DE20" s="123"/>
      <c r="DF20" s="23">
        <v>8221.880000000001</v>
      </c>
    </row>
    <row r="21" spans="1:110" s="23" customFormat="1" outlineLevel="1" x14ac:dyDescent="0.2">
      <c r="A21" s="23" t="s">
        <v>10</v>
      </c>
      <c r="B21" s="23">
        <f>'Annual Raw'!C17</f>
        <v>578.27</v>
      </c>
      <c r="C21" s="23">
        <f>'Annual Raw'!D17</f>
        <v>906.92</v>
      </c>
      <c r="D21" s="23">
        <f>'Annual Raw'!E17</f>
        <v>1081.21</v>
      </c>
      <c r="E21" s="23">
        <f>'Annual Raw'!F17</f>
        <v>1526.8</v>
      </c>
      <c r="F21" s="23">
        <f>'Annual Raw'!G17</f>
        <v>1299.8499999999999</v>
      </c>
      <c r="G21" s="23">
        <f>'Annual Raw'!H17</f>
        <v>1482.08</v>
      </c>
      <c r="H21" s="23">
        <f>'Annual Raw'!I17</f>
        <v>2098</v>
      </c>
      <c r="I21" s="23">
        <f>'Annual Raw'!J17</f>
        <v>2447.09</v>
      </c>
      <c r="J21" s="23">
        <f>'Annual Raw'!K17</f>
        <v>3005.19</v>
      </c>
      <c r="K21" s="23">
        <f>'Annual Raw'!L17</f>
        <v>2871.82</v>
      </c>
      <c r="L21" s="23">
        <f>'Annual Raw'!M17</f>
        <v>3768</v>
      </c>
      <c r="M21" s="23">
        <f>'Annual Raw'!N17</f>
        <v>3690</v>
      </c>
      <c r="N21" s="23">
        <f>'Annual Raw'!O17</f>
        <v>3999</v>
      </c>
      <c r="O21" s="23">
        <f>'Annual Raw'!P17</f>
        <v>5264</v>
      </c>
      <c r="P21" s="23">
        <f>'Annual Raw'!Q17</f>
        <v>8059</v>
      </c>
      <c r="Q21" s="23">
        <f>'Annual Raw'!R17</f>
        <v>9846</v>
      </c>
      <c r="R21" s="23">
        <f>'Annual Raw'!S17</f>
        <v>8941</v>
      </c>
      <c r="S21" s="23">
        <f>'Annual Raw'!T17</f>
        <v>14346</v>
      </c>
      <c r="T21" s="23">
        <f>'Annual Raw'!U17</f>
        <v>26236</v>
      </c>
      <c r="U21" s="23">
        <f>'Annual Raw'!V17</f>
        <v>36136</v>
      </c>
      <c r="V21" s="23">
        <f>'Annual Raw'!W17</f>
        <v>23605</v>
      </c>
      <c r="W21" s="23">
        <f>'Annual Raw'!X17</f>
        <v>23904</v>
      </c>
      <c r="X21" s="23">
        <f>'Annual Raw'!Y17</f>
        <v>28988</v>
      </c>
      <c r="Y21" s="23">
        <f>'Annual Raw'!Z17</f>
        <v>36823</v>
      </c>
      <c r="Z21" s="23">
        <f>'Annual Raw'!AA17</f>
        <v>46399</v>
      </c>
      <c r="AA21" s="76">
        <f t="shared" si="236"/>
        <v>0</v>
      </c>
      <c r="AB21" s="76">
        <f t="shared" si="237"/>
        <v>0</v>
      </c>
      <c r="AC21" s="76">
        <f t="shared" si="238"/>
        <v>0</v>
      </c>
      <c r="AD21" s="76">
        <f t="shared" si="239"/>
        <v>0</v>
      </c>
      <c r="AE21" s="76">
        <f t="shared" si="240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</row>
    <row r="22" spans="1:110" s="23" customFormat="1" outlineLevel="1" x14ac:dyDescent="0.2">
      <c r="A22" s="23" t="s">
        <v>12</v>
      </c>
      <c r="B22" s="23">
        <f>'Annual Raw'!C19-'Annual Raw'!C20</f>
        <v>31.889999999999997</v>
      </c>
      <c r="C22" s="23">
        <f>'Annual Raw'!D19-'Annual Raw'!D20</f>
        <v>225.91</v>
      </c>
      <c r="D22" s="23">
        <f>'Annual Raw'!E19-'Annual Raw'!E20</f>
        <v>84.61999999999999</v>
      </c>
      <c r="E22" s="23">
        <f>'Annual Raw'!F19-'Annual Raw'!F20</f>
        <v>137.23999999999998</v>
      </c>
      <c r="F22" s="23">
        <f>'Annual Raw'!G19-'Annual Raw'!G20</f>
        <v>128.12</v>
      </c>
      <c r="G22" s="23">
        <f>'Annual Raw'!H19-'Annual Raw'!H20</f>
        <v>3.660000000000025</v>
      </c>
      <c r="H22" s="23">
        <f>'Annual Raw'!I19-'Annual Raw'!I20</f>
        <v>253.04000000000002</v>
      </c>
      <c r="I22" s="23">
        <f>'Annual Raw'!J19-'Annual Raw'!J20</f>
        <v>-57.31</v>
      </c>
      <c r="J22" s="23">
        <f>'Annual Raw'!K19-'Annual Raw'!K20</f>
        <v>-2366.5899999999997</v>
      </c>
      <c r="K22" s="23">
        <f>'Annual Raw'!L19-'Annual Raw'!L20</f>
        <v>-777.06000000000006</v>
      </c>
      <c r="L22" s="23">
        <f>'Annual Raw'!M19-'Annual Raw'!M20</f>
        <v>477</v>
      </c>
      <c r="M22" s="23">
        <f>'Annual Raw'!N19-'Annual Raw'!N20</f>
        <v>528</v>
      </c>
      <c r="N22" s="23">
        <f>'Annual Raw'!O19-'Annual Raw'!O20</f>
        <v>267</v>
      </c>
      <c r="O22" s="23">
        <f>'Annual Raw'!P19-'Annual Raw'!P20</f>
        <v>229</v>
      </c>
      <c r="P22" s="23">
        <f>'Annual Raw'!Q19-'Annual Raw'!Q20</f>
        <v>-445</v>
      </c>
      <c r="Q22" s="23">
        <f>'Annual Raw'!R19-'Annual Raw'!R20</f>
        <v>-1747</v>
      </c>
      <c r="R22" s="23">
        <f>'Annual Raw'!S19-'Annual Raw'!S20</f>
        <v>-840</v>
      </c>
      <c r="S22" s="23">
        <f>'Annual Raw'!T19-'Annual Raw'!T20</f>
        <v>-2832</v>
      </c>
      <c r="T22" s="23">
        <f>'Annual Raw'!U19-'Annual Raw'!U20</f>
        <v>-141</v>
      </c>
      <c r="U22" s="23">
        <f>'Annual Raw'!V19-'Annual Raw'!V20</f>
        <v>-597</v>
      </c>
      <c r="V22" s="23">
        <f>'Annual Raw'!W19-'Annual Raw'!W20</f>
        <v>574</v>
      </c>
      <c r="W22" s="23">
        <f>'Annual Raw'!X19-'Annual Raw'!X20</f>
        <v>1432</v>
      </c>
      <c r="X22" s="23">
        <f>'Annual Raw'!Y19-'Annual Raw'!Y20</f>
        <v>2862</v>
      </c>
      <c r="Y22" s="23">
        <f>'Annual Raw'!Z19-'Annual Raw'!Z20</f>
        <v>1000</v>
      </c>
      <c r="Z22" s="23">
        <f>'Annual Raw'!AA19-'Annual Raw'!AA20</f>
        <v>-435</v>
      </c>
      <c r="AA22" s="76">
        <f t="shared" si="236"/>
        <v>0</v>
      </c>
      <c r="AB22" s="76">
        <f t="shared" si="237"/>
        <v>0</v>
      </c>
      <c r="AC22" s="76">
        <f t="shared" si="238"/>
        <v>0</v>
      </c>
      <c r="AD22" s="76">
        <f t="shared" si="239"/>
        <v>0</v>
      </c>
      <c r="AE22" s="76">
        <f t="shared" si="240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</row>
    <row r="23" spans="1:110" s="23" customFormat="1" outlineLevel="1" x14ac:dyDescent="0.2">
      <c r="A23" s="23" t="s">
        <v>9</v>
      </c>
      <c r="B23" s="23">
        <f>'Annual Raw'!C15+'Annual Raw'!C16</f>
        <v>1043.3</v>
      </c>
      <c r="C23" s="23">
        <f>'Annual Raw'!D15+'Annual Raw'!D16</f>
        <v>1445.1</v>
      </c>
      <c r="D23" s="23">
        <f>'Annual Raw'!E15+'Annual Raw'!E16</f>
        <v>1434.1</v>
      </c>
      <c r="E23" s="23">
        <f>'Annual Raw'!F15+'Annual Raw'!F16</f>
        <v>1663.71</v>
      </c>
      <c r="F23" s="23">
        <f>'Annual Raw'!G15+'Annual Raw'!G16</f>
        <v>2398.2600000000002</v>
      </c>
      <c r="G23" s="23">
        <f>'Annual Raw'!H15+'Annual Raw'!H16</f>
        <v>2398.9499999999998</v>
      </c>
      <c r="H23" s="23">
        <f>'Annual Raw'!I15+'Annual Raw'!I16</f>
        <v>3698.24</v>
      </c>
      <c r="I23" s="23">
        <f>'Annual Raw'!J15+'Annual Raw'!J16</f>
        <v>4972.7299999999996</v>
      </c>
      <c r="J23" s="23">
        <f>'Annual Raw'!K15+'Annual Raw'!K16</f>
        <v>4865.55</v>
      </c>
      <c r="K23" s="23">
        <f>'Annual Raw'!L15+'Annual Raw'!L16</f>
        <v>6179.7</v>
      </c>
      <c r="L23" s="23">
        <f>'Annual Raw'!M15+'Annual Raw'!M16</f>
        <v>7263</v>
      </c>
      <c r="M23" s="23">
        <f>'Annual Raw'!N15+'Annual Raw'!N16</f>
        <v>6888</v>
      </c>
      <c r="N23" s="23">
        <f>'Annual Raw'!O15+'Annual Raw'!O16</f>
        <v>6911</v>
      </c>
      <c r="O23" s="23">
        <f>'Annual Raw'!P15+'Annual Raw'!P16</f>
        <v>7310</v>
      </c>
      <c r="P23" s="23">
        <f>'Annual Raw'!Q15+'Annual Raw'!Q16</f>
        <v>7816</v>
      </c>
      <c r="Q23" s="23">
        <f>'Annual Raw'!R15+'Annual Raw'!R16</f>
        <v>7788</v>
      </c>
      <c r="R23" s="23">
        <f>'Annual Raw'!S15+'Annual Raw'!S16</f>
        <v>8614</v>
      </c>
      <c r="S23" s="23">
        <f>'Annual Raw'!T15+'Annual Raw'!T16</f>
        <v>13990</v>
      </c>
      <c r="T23" s="23">
        <f>'Annual Raw'!U15+'Annual Raw'!U16</f>
        <v>20973</v>
      </c>
      <c r="U23" s="23">
        <f>'Annual Raw'!V15+'Annual Raw'!V16</f>
        <v>25534</v>
      </c>
      <c r="V23" s="23">
        <f>'Annual Raw'!W15+'Annual Raw'!W16</f>
        <v>28555</v>
      </c>
      <c r="W23" s="23">
        <f>'Annual Raw'!X15+'Annual Raw'!X16</f>
        <v>35337</v>
      </c>
      <c r="X23" s="23">
        <f>'Annual Raw'!Y15+'Annual Raw'!Y16</f>
        <v>41073</v>
      </c>
      <c r="Y23" s="23">
        <f>'Annual Raw'!Z15+'Annual Raw'!Z16</f>
        <v>44234</v>
      </c>
      <c r="Z23" s="23">
        <f>'Annual Raw'!AA15+'Annual Raw'!AA16</f>
        <v>47878</v>
      </c>
      <c r="AA23" s="76">
        <f t="shared" si="236"/>
        <v>159289</v>
      </c>
      <c r="AB23" s="76">
        <f t="shared" si="237"/>
        <v>173239.82086220151</v>
      </c>
      <c r="AC23" s="76">
        <f t="shared" si="238"/>
        <v>191938.32503343539</v>
      </c>
      <c r="AD23" s="76">
        <f t="shared" si="239"/>
        <v>213409.51144445495</v>
      </c>
      <c r="AE23" s="76">
        <f t="shared" si="240"/>
        <v>237389.67372674803</v>
      </c>
      <c r="AI23" s="23">
        <f>'QTR Raw'!C14</f>
        <v>5780</v>
      </c>
      <c r="AJ23" s="23">
        <f>'QTR Raw'!D14</f>
        <v>5751</v>
      </c>
      <c r="AK23" s="23">
        <f>'QTR Raw'!E14</f>
        <v>5647</v>
      </c>
      <c r="AL23" s="23">
        <f>'QTR Raw'!F14</f>
        <v>5666</v>
      </c>
      <c r="AM23" s="23">
        <f>'QTR Raw'!G14</f>
        <v>7386</v>
      </c>
      <c r="AN23" s="23">
        <f>'QTR Raw'!H14</f>
        <v>8063</v>
      </c>
      <c r="AO23" s="23">
        <f>'QTR Raw'!I14</f>
        <v>8371</v>
      </c>
      <c r="AP23" s="23">
        <f>'QTR Raw'!J14</f>
        <v>7247</v>
      </c>
      <c r="AQ23" s="23">
        <f>'QTR Raw'!K14</f>
        <v>9034</v>
      </c>
      <c r="AR23" s="23">
        <f>'QTR Raw'!L14</f>
        <v>9660</v>
      </c>
      <c r="AS23" s="23">
        <f>'QTR Raw'!M14</f>
        <v>9811</v>
      </c>
      <c r="AT23" s="23">
        <f>'QTR Raw'!N14</f>
        <v>9258</v>
      </c>
      <c r="AU23" s="23">
        <f>'QTR Raw'!O14</f>
        <v>8870</v>
      </c>
      <c r="AV23" s="23">
        <f>'QTR Raw'!P14</f>
        <v>9919</v>
      </c>
      <c r="AW23" s="23">
        <f>'QTR Raw'!Q14</f>
        <v>8047</v>
      </c>
      <c r="AX23" s="23">
        <f>'QTR Raw'!R14</f>
        <v>9458</v>
      </c>
      <c r="AY23" s="23">
        <f>'QTR Raw'!S14</f>
        <v>8598</v>
      </c>
      <c r="AZ23" s="23">
        <f>'QTR Raw'!T14</f>
        <v>9073</v>
      </c>
      <c r="BA23" s="23">
        <f>'QTR Raw'!U14</f>
        <v>10236</v>
      </c>
      <c r="BB23" s="23">
        <f>'QTR Raw'!V14</f>
        <v>10593</v>
      </c>
      <c r="BC23" s="23">
        <f>'QTR Raw'!W14</f>
        <v>10332</v>
      </c>
      <c r="BD23" s="23">
        <f>'QTR Raw'!X14</f>
        <v>12323</v>
      </c>
      <c r="BE23" s="23">
        <f>'QTR Raw'!Y14</f>
        <v>14177</v>
      </c>
      <c r="BF23" s="23">
        <f>'QTR Raw'!Z14</f>
        <v>13680</v>
      </c>
      <c r="BG23" s="23">
        <f>'QTR Raw'!AA14</f>
        <v>15143</v>
      </c>
      <c r="BH23" s="23">
        <f>'QTR Raw'!AB14</f>
        <v>18809</v>
      </c>
      <c r="BI23" s="23">
        <f>'QTR Raw'!AC14</f>
        <v>20957</v>
      </c>
      <c r="BJ23" s="23">
        <f>'QTR Raw'!AD14</f>
        <v>22444</v>
      </c>
      <c r="BK23" s="23">
        <f>'QTR Raw'!AE14</f>
        <v>23074</v>
      </c>
      <c r="BL23" s="23">
        <f>'QTR Raw'!AF14</f>
        <v>23769</v>
      </c>
      <c r="BM23" s="23">
        <f>'QTR Raw'!AG14</f>
        <v>21202</v>
      </c>
      <c r="BN23" s="23">
        <f>'QTR Raw'!AH14</f>
        <v>21166</v>
      </c>
      <c r="BO23" s="23">
        <f>'QTR Raw'!AI14</f>
        <v>20746</v>
      </c>
      <c r="BP23" s="23">
        <f>'QTR Raw'!AJ14</f>
        <v>17411</v>
      </c>
      <c r="BQ23" s="23">
        <f>'QTR Raw'!AK14</f>
        <v>19801</v>
      </c>
      <c r="BR23" s="23">
        <f>'QTR Raw'!AL14</f>
        <v>20711</v>
      </c>
      <c r="BS23" s="23">
        <f>'QTR Raw'!AM14</f>
        <v>22019</v>
      </c>
      <c r="BT23" s="23">
        <f>'QTR Raw'!AN14</f>
        <v>23582</v>
      </c>
      <c r="BU23" s="23">
        <f>'QTR Raw'!AO14</f>
        <v>24492</v>
      </c>
      <c r="BV23" s="23">
        <f>'QTR Raw'!AP14</f>
        <v>25722</v>
      </c>
      <c r="BW23" s="23">
        <f>'QTR Raw'!AQ14</f>
        <v>28418</v>
      </c>
      <c r="BX23" s="23">
        <f>'QTR Raw'!AR14</f>
        <v>33102</v>
      </c>
      <c r="BY23" s="23">
        <f>'QTR Raw'!AS14</f>
        <v>29886</v>
      </c>
      <c r="BZ23" s="23">
        <f>'QTR Raw'!AT14</f>
        <v>30912</v>
      </c>
      <c r="CA23" s="23">
        <f>'QTR Raw'!AU14</f>
        <v>31197</v>
      </c>
      <c r="CB23" s="23">
        <f>'QTR Raw'!AV14</f>
        <v>32262</v>
      </c>
      <c r="CC23" s="23">
        <f>'QTR Raw'!AW14</f>
        <v>30615</v>
      </c>
      <c r="CD23" s="23">
        <f>'QTR Raw'!AX14</f>
        <v>33735</v>
      </c>
      <c r="CE23" s="23">
        <f>'QTR Raw'!AY14</f>
        <v>32490</v>
      </c>
      <c r="CF23" s="23">
        <f>'QTR Raw'!AZ14</f>
        <v>32926</v>
      </c>
      <c r="CG23" s="23">
        <f>'QTR Raw'!BA14</f>
        <v>36083</v>
      </c>
      <c r="CH23" s="23">
        <f>'QTR Raw'!BB14</f>
        <v>39502</v>
      </c>
      <c r="CI23" s="23">
        <f>'QTR Raw'!BC14</f>
        <v>40845</v>
      </c>
      <c r="CJ23" s="23">
        <f>'QTR Raw'!BD14</f>
        <v>37904</v>
      </c>
      <c r="CK23" s="23">
        <f>'QTR Raw'!BE14</f>
        <v>39347</v>
      </c>
      <c r="CL23" s="23">
        <f>'QTR Raw'!BF14</f>
        <v>41193</v>
      </c>
      <c r="CM23" s="24">
        <f t="shared" ref="CM23:DB23" si="242">CM26-CM20-CM21-CM22-CM24-CM25</f>
        <v>40293.166530123657</v>
      </c>
      <c r="CN23" s="24">
        <f t="shared" si="242"/>
        <v>41468.659769504258</v>
      </c>
      <c r="CO23" s="24">
        <f t="shared" si="242"/>
        <v>42901.297413936831</v>
      </c>
      <c r="CP23" s="24">
        <f t="shared" si="242"/>
        <v>48576.697148636755</v>
      </c>
      <c r="CQ23" s="24">
        <f t="shared" si="242"/>
        <v>43643.891672544043</v>
      </c>
      <c r="CR23" s="24">
        <f t="shared" si="242"/>
        <v>46053.561891113415</v>
      </c>
      <c r="CS23" s="24">
        <f t="shared" si="242"/>
        <v>47832.430430236753</v>
      </c>
      <c r="CT23" s="24">
        <f t="shared" si="242"/>
        <v>54408.441039541176</v>
      </c>
      <c r="CU23" s="24">
        <f t="shared" si="242"/>
        <v>48318.580938950006</v>
      </c>
      <c r="CV23" s="24">
        <f t="shared" si="242"/>
        <v>51263.845407860834</v>
      </c>
      <c r="CW23" s="24">
        <f t="shared" si="242"/>
        <v>53283.258437211291</v>
      </c>
      <c r="CX23" s="24">
        <f t="shared" si="242"/>
        <v>60543.826660432838</v>
      </c>
      <c r="CY23" s="24">
        <f t="shared" si="242"/>
        <v>53720.750638729456</v>
      </c>
      <c r="CZ23" s="24">
        <f t="shared" si="242"/>
        <v>57050.224989564173</v>
      </c>
      <c r="DA23" s="24">
        <f t="shared" si="242"/>
        <v>59303.208409141887</v>
      </c>
      <c r="DB23" s="24">
        <f t="shared" si="242"/>
        <v>67315.489689312526</v>
      </c>
      <c r="DE23" s="123"/>
      <c r="DF23" s="23">
        <v>42657.994155300155</v>
      </c>
    </row>
    <row r="24" spans="1:110" s="23" customFormat="1" outlineLevel="1" x14ac:dyDescent="0.2">
      <c r="A24" s="23" t="s">
        <v>7</v>
      </c>
      <c r="B24" s="23">
        <f>'Annual Raw'!C13</f>
        <v>987.86</v>
      </c>
      <c r="C24" s="23">
        <f>'Annual Raw'!D13</f>
        <v>739.66</v>
      </c>
      <c r="D24" s="23">
        <f>'Annual Raw'!E13</f>
        <v>719.4</v>
      </c>
      <c r="E24" s="23">
        <f>'Annual Raw'!F13</f>
        <v>725.54</v>
      </c>
      <c r="F24" s="23">
        <f>'Annual Raw'!G13</f>
        <v>907.94</v>
      </c>
      <c r="G24" s="23">
        <f>'Annual Raw'!H13</f>
        <v>1146.26</v>
      </c>
      <c r="H24" s="23">
        <f>'Annual Raw'!I13</f>
        <v>2262.9499999999998</v>
      </c>
      <c r="I24" s="23">
        <f>'Annual Raw'!J13</f>
        <v>2108.38</v>
      </c>
      <c r="J24" s="23">
        <f>'Annual Raw'!K13</f>
        <v>3848.91</v>
      </c>
      <c r="K24" s="23">
        <f>'Annual Raw'!L13</f>
        <v>3140.75</v>
      </c>
      <c r="L24" s="23">
        <f>'Annual Raw'!M13</f>
        <v>2834</v>
      </c>
      <c r="M24" s="23">
        <f>'Annual Raw'!N13</f>
        <v>4740</v>
      </c>
      <c r="N24" s="23">
        <f>'Annual Raw'!O13</f>
        <v>7993</v>
      </c>
      <c r="O24" s="23">
        <f>'Annual Raw'!P13</f>
        <v>10855</v>
      </c>
      <c r="P24" s="23">
        <f>'Annual Raw'!Q13</f>
        <v>13261</v>
      </c>
      <c r="Q24" s="23">
        <f>'Annual Raw'!R13</f>
        <v>10741</v>
      </c>
      <c r="R24" s="23">
        <f>'Annual Raw'!S13</f>
        <v>11251</v>
      </c>
      <c r="S24" s="23">
        <f>'Annual Raw'!T13</f>
        <v>14569</v>
      </c>
      <c r="T24" s="23">
        <f>'Annual Raw'!U13</f>
        <v>17029</v>
      </c>
      <c r="U24" s="23">
        <f>'Annual Raw'!V13</f>
        <v>15098</v>
      </c>
      <c r="V24" s="23">
        <f>'Annual Raw'!W13</f>
        <v>13214</v>
      </c>
      <c r="W24" s="23">
        <f>'Annual Raw'!X13</f>
        <v>17902</v>
      </c>
      <c r="X24" s="23">
        <f>'Annual Raw'!Y13</f>
        <v>25062</v>
      </c>
      <c r="Y24" s="23">
        <f>'Annual Raw'!Z13</f>
        <v>22137</v>
      </c>
      <c r="Z24" s="23">
        <f>'Annual Raw'!AA13</f>
        <v>23823</v>
      </c>
      <c r="AA24" s="76">
        <f t="shared" si="236"/>
        <v>0</v>
      </c>
      <c r="AB24" s="76">
        <f t="shared" si="237"/>
        <v>0</v>
      </c>
      <c r="AC24" s="76">
        <f t="shared" si="238"/>
        <v>0</v>
      </c>
      <c r="AD24" s="76">
        <f t="shared" si="239"/>
        <v>0</v>
      </c>
      <c r="AE24" s="76">
        <f t="shared" si="240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</row>
    <row r="25" spans="1:110" s="23" customFormat="1" outlineLevel="1" x14ac:dyDescent="0.2">
      <c r="A25" s="23" t="s">
        <v>11</v>
      </c>
      <c r="B25" s="23">
        <f>'Annual Raw'!C18</f>
        <v>761.78</v>
      </c>
      <c r="C25" s="23">
        <f>'Annual Raw'!D18</f>
        <v>1321</v>
      </c>
      <c r="D25" s="23">
        <f>'Annual Raw'!E18</f>
        <v>1723.01</v>
      </c>
      <c r="E25" s="23">
        <f>'Annual Raw'!F18</f>
        <v>2261.85</v>
      </c>
      <c r="F25" s="23">
        <f>'Annual Raw'!G18</f>
        <v>1827.14</v>
      </c>
      <c r="G25" s="23">
        <f>'Annual Raw'!H18</f>
        <v>4840.92</v>
      </c>
      <c r="H25" s="23">
        <f>'Annual Raw'!I18</f>
        <v>3779.44</v>
      </c>
      <c r="I25" s="23">
        <f>'Annual Raw'!J18</f>
        <v>3487.86</v>
      </c>
      <c r="J25" s="23">
        <f>'Annual Raw'!K18</f>
        <v>3372.45</v>
      </c>
      <c r="K25" s="23">
        <f>'Annual Raw'!L18</f>
        <v>4452.6099999999997</v>
      </c>
      <c r="L25" s="23">
        <f>'Annual Raw'!M18</f>
        <v>5890</v>
      </c>
      <c r="M25" s="23">
        <f>'Annual Raw'!N18</f>
        <v>6029</v>
      </c>
      <c r="N25" s="23">
        <f>'Annual Raw'!O18</f>
        <v>7425</v>
      </c>
      <c r="O25" s="23">
        <f>'Annual Raw'!P18</f>
        <v>7410</v>
      </c>
      <c r="P25" s="23">
        <f>'Annual Raw'!Q18</f>
        <v>8767</v>
      </c>
      <c r="Q25" s="23">
        <f>'Annual Raw'!R18</f>
        <v>9462</v>
      </c>
      <c r="R25" s="23">
        <f>'Annual Raw'!S18</f>
        <v>10294</v>
      </c>
      <c r="S25" s="23">
        <f>'Annual Raw'!T18</f>
        <v>10534</v>
      </c>
      <c r="T25" s="23">
        <f>'Annual Raw'!U18</f>
        <v>13811</v>
      </c>
      <c r="U25" s="23">
        <f>'Annual Raw'!V18</f>
        <v>12966</v>
      </c>
      <c r="V25" s="23">
        <f>'Annual Raw'!W18</f>
        <v>13295</v>
      </c>
      <c r="W25" s="23">
        <f>'Annual Raw'!X18</f>
        <v>17232</v>
      </c>
      <c r="X25" s="23">
        <f>'Annual Raw'!Y18</f>
        <v>21175</v>
      </c>
      <c r="Y25" s="23">
        <f>'Annual Raw'!Z18</f>
        <v>23012</v>
      </c>
      <c r="Z25" s="23">
        <f>'Annual Raw'!AA18</f>
        <v>23474</v>
      </c>
      <c r="AA25" s="76">
        <f t="shared" si="236"/>
        <v>0</v>
      </c>
      <c r="AB25" s="76">
        <f t="shared" si="237"/>
        <v>0</v>
      </c>
      <c r="AC25" s="76">
        <f t="shared" si="238"/>
        <v>0</v>
      </c>
      <c r="AD25" s="76">
        <f t="shared" si="239"/>
        <v>0</v>
      </c>
      <c r="AE25" s="76">
        <f t="shared" si="240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</row>
    <row r="26" spans="1:110" s="22" customFormat="1" x14ac:dyDescent="0.2">
      <c r="A26" s="33" t="s">
        <v>348</v>
      </c>
      <c r="B26" s="22">
        <f t="shared" ref="B26:E26" si="243">+SUM(B20:B25)</f>
        <v>3816.3999999999996</v>
      </c>
      <c r="C26" s="22">
        <f t="shared" si="243"/>
        <v>5172.46</v>
      </c>
      <c r="D26" s="22">
        <f t="shared" si="243"/>
        <v>5667.8</v>
      </c>
      <c r="E26" s="22">
        <f t="shared" si="243"/>
        <v>7080.5499999999993</v>
      </c>
      <c r="F26" s="22">
        <f t="shared" ref="F26:AE26" si="244">+SUM(F20:F25)</f>
        <v>7363.71</v>
      </c>
      <c r="G26" s="22">
        <f t="shared" si="244"/>
        <v>11294.77</v>
      </c>
      <c r="H26" s="22">
        <f t="shared" si="244"/>
        <v>14634.42</v>
      </c>
      <c r="I26" s="22">
        <f t="shared" si="244"/>
        <v>15627.530000000002</v>
      </c>
      <c r="J26" s="22">
        <f t="shared" si="244"/>
        <v>15702.98</v>
      </c>
      <c r="K26" s="22">
        <f t="shared" si="244"/>
        <v>18616.04</v>
      </c>
      <c r="L26" s="22">
        <f t="shared" si="244"/>
        <v>23556</v>
      </c>
      <c r="M26" s="22">
        <f t="shared" si="244"/>
        <v>25830</v>
      </c>
      <c r="N26" s="22">
        <f t="shared" si="244"/>
        <v>31774</v>
      </c>
      <c r="O26" s="22">
        <f t="shared" si="244"/>
        <v>36640</v>
      </c>
      <c r="P26" s="22">
        <f t="shared" si="244"/>
        <v>43720</v>
      </c>
      <c r="Q26" s="22">
        <f t="shared" si="244"/>
        <v>43497</v>
      </c>
      <c r="R26" s="22">
        <f t="shared" si="244"/>
        <v>46648</v>
      </c>
      <c r="S26" s="22">
        <f t="shared" si="244"/>
        <v>60130</v>
      </c>
      <c r="T26" s="22">
        <f t="shared" si="244"/>
        <v>90396</v>
      </c>
      <c r="U26" s="22">
        <f t="shared" si="244"/>
        <v>103212</v>
      </c>
      <c r="V26" s="22">
        <f t="shared" si="244"/>
        <v>94060</v>
      </c>
      <c r="W26" s="22">
        <f t="shared" si="244"/>
        <v>114565</v>
      </c>
      <c r="X26" s="22">
        <f t="shared" si="244"/>
        <v>144032</v>
      </c>
      <c r="Y26" s="22">
        <f t="shared" si="244"/>
        <v>152885</v>
      </c>
      <c r="Z26" s="22">
        <f t="shared" ref="Z26" si="245">+SUM(Z20:Z25)</f>
        <v>169698</v>
      </c>
      <c r="AA26" s="21">
        <f t="shared" si="244"/>
        <v>189607</v>
      </c>
      <c r="AB26" s="21">
        <f t="shared" si="244"/>
        <v>205680.08086220152</v>
      </c>
      <c r="AC26" s="21">
        <f t="shared" si="244"/>
        <v>226649.40323343541</v>
      </c>
      <c r="AD26" s="21">
        <f t="shared" si="244"/>
        <v>250550.36511845497</v>
      </c>
      <c r="AE26" s="21">
        <f t="shared" si="244"/>
        <v>277130.38715792802</v>
      </c>
      <c r="AI26" s="22">
        <f t="shared" ref="AI26:BN26" si="246">+SUM(AI20:AI25)</f>
        <v>6631</v>
      </c>
      <c r="AJ26" s="22">
        <f t="shared" si="246"/>
        <v>6599</v>
      </c>
      <c r="AK26" s="22">
        <f t="shared" si="246"/>
        <v>6510</v>
      </c>
      <c r="AL26" s="22">
        <f t="shared" si="246"/>
        <v>6458</v>
      </c>
      <c r="AM26" s="22">
        <f t="shared" si="246"/>
        <v>8801</v>
      </c>
      <c r="AN26" s="22">
        <f t="shared" si="246"/>
        <v>9472</v>
      </c>
      <c r="AO26" s="22">
        <f t="shared" si="246"/>
        <v>9544</v>
      </c>
      <c r="AP26" s="22">
        <f t="shared" si="246"/>
        <v>8822</v>
      </c>
      <c r="AQ26" s="22">
        <f t="shared" si="246"/>
        <v>10514</v>
      </c>
      <c r="AR26" s="22">
        <f t="shared" si="246"/>
        <v>11235</v>
      </c>
      <c r="AS26" s="22">
        <f t="shared" si="246"/>
        <v>11359</v>
      </c>
      <c r="AT26" s="22">
        <f t="shared" si="246"/>
        <v>10917</v>
      </c>
      <c r="AU26" s="22">
        <f t="shared" si="246"/>
        <v>10785</v>
      </c>
      <c r="AV26" s="22">
        <f t="shared" si="246"/>
        <v>11632</v>
      </c>
      <c r="AW26" s="22">
        <f t="shared" si="246"/>
        <v>10001</v>
      </c>
      <c r="AX26" s="22">
        <f t="shared" si="246"/>
        <v>11302</v>
      </c>
      <c r="AY26" s="22">
        <f t="shared" si="246"/>
        <v>10709</v>
      </c>
      <c r="AZ26" s="22">
        <f t="shared" si="246"/>
        <v>11090</v>
      </c>
      <c r="BA26" s="22">
        <f t="shared" si="246"/>
        <v>12130</v>
      </c>
      <c r="BB26" s="22">
        <f t="shared" si="246"/>
        <v>12959</v>
      </c>
      <c r="BC26" s="22">
        <f t="shared" si="246"/>
        <v>12787</v>
      </c>
      <c r="BD26" s="22">
        <f t="shared" si="246"/>
        <v>14583</v>
      </c>
      <c r="BE26" s="22">
        <f t="shared" si="246"/>
        <v>16510</v>
      </c>
      <c r="BF26" s="22">
        <f t="shared" si="246"/>
        <v>16155</v>
      </c>
      <c r="BG26" s="22">
        <f t="shared" si="246"/>
        <v>18094</v>
      </c>
      <c r="BH26" s="22">
        <f t="shared" si="246"/>
        <v>21736</v>
      </c>
      <c r="BI26" s="22">
        <f t="shared" si="246"/>
        <v>24222</v>
      </c>
      <c r="BJ26" s="22">
        <f t="shared" si="246"/>
        <v>25789</v>
      </c>
      <c r="BK26" s="22">
        <f t="shared" si="246"/>
        <v>26409</v>
      </c>
      <c r="BL26" s="22">
        <f t="shared" si="246"/>
        <v>26916</v>
      </c>
      <c r="BM26" s="22">
        <f t="shared" si="246"/>
        <v>25082</v>
      </c>
      <c r="BN26" s="22">
        <f t="shared" si="246"/>
        <v>24879</v>
      </c>
      <c r="BO26" s="22">
        <f t="shared" ref="BO26:CH26" si="247">+SUM(BO20:BO25)</f>
        <v>23914</v>
      </c>
      <c r="BP26" s="22">
        <f t="shared" si="247"/>
        <v>20840</v>
      </c>
      <c r="BQ26" s="22">
        <f t="shared" si="247"/>
        <v>24045</v>
      </c>
      <c r="BR26" s="22">
        <f t="shared" si="247"/>
        <v>24687</v>
      </c>
      <c r="BS26" s="22">
        <f t="shared" si="247"/>
        <v>26276</v>
      </c>
      <c r="BT26" s="22">
        <f t="shared" si="247"/>
        <v>28162</v>
      </c>
      <c r="BU26" s="22">
        <f t="shared" si="247"/>
        <v>29152</v>
      </c>
      <c r="BV26" s="22">
        <f t="shared" si="247"/>
        <v>31000</v>
      </c>
      <c r="BW26" s="22">
        <f t="shared" si="247"/>
        <v>34417</v>
      </c>
      <c r="BX26" s="22">
        <f t="shared" si="247"/>
        <v>39250</v>
      </c>
      <c r="BY26" s="22">
        <f t="shared" si="247"/>
        <v>36147</v>
      </c>
      <c r="BZ26" s="22">
        <f t="shared" si="247"/>
        <v>37376</v>
      </c>
      <c r="CA26" s="22">
        <f t="shared" si="247"/>
        <v>37798</v>
      </c>
      <c r="CB26" s="22">
        <f t="shared" si="247"/>
        <v>38209</v>
      </c>
      <c r="CC26" s="22">
        <f t="shared" si="247"/>
        <v>36928</v>
      </c>
      <c r="CD26" s="22">
        <f t="shared" si="247"/>
        <v>40553</v>
      </c>
      <c r="CE26" s="22">
        <f t="shared" si="247"/>
        <v>39561</v>
      </c>
      <c r="CF26" s="22">
        <f t="shared" si="247"/>
        <v>39575</v>
      </c>
      <c r="CG26" s="22">
        <f t="shared" si="247"/>
        <v>43238</v>
      </c>
      <c r="CH26" s="22">
        <f t="shared" si="247"/>
        <v>47186</v>
      </c>
      <c r="CI26" s="22">
        <f t="shared" ref="CI26:CJ26" si="248">+SUM(CI20:CI25)</f>
        <v>48077</v>
      </c>
      <c r="CJ26" s="22">
        <f t="shared" si="248"/>
        <v>45395</v>
      </c>
      <c r="CK26" s="22">
        <f t="shared" ref="CK26:CL26" si="249">+SUM(CK20:CK25)</f>
        <v>47259</v>
      </c>
      <c r="CL26" s="22">
        <f t="shared" si="249"/>
        <v>48876</v>
      </c>
      <c r="CM26" s="21">
        <f t="shared" ref="CM26:DB26" si="250">CM27*CM10</f>
        <v>48031.406530123655</v>
      </c>
      <c r="CN26" s="21">
        <f t="shared" si="250"/>
        <v>49484.029769504261</v>
      </c>
      <c r="CO26" s="21">
        <f t="shared" si="250"/>
        <v>51367.137413936827</v>
      </c>
      <c r="CP26" s="21">
        <f t="shared" si="250"/>
        <v>56797.50714863676</v>
      </c>
      <c r="CQ26" s="21">
        <f t="shared" si="250"/>
        <v>51923.808472544042</v>
      </c>
      <c r="CR26" s="21">
        <f t="shared" si="250"/>
        <v>54630.007791113414</v>
      </c>
      <c r="CS26" s="21">
        <f t="shared" si="250"/>
        <v>56890.879230236751</v>
      </c>
      <c r="CT26" s="21">
        <f t="shared" si="250"/>
        <v>63204.707739541176</v>
      </c>
      <c r="CU26" s="21">
        <f t="shared" si="250"/>
        <v>57178.091914950004</v>
      </c>
      <c r="CV26" s="21">
        <f t="shared" si="250"/>
        <v>60440.642520860834</v>
      </c>
      <c r="CW26" s="21">
        <f t="shared" si="250"/>
        <v>62975.798653211292</v>
      </c>
      <c r="CX26" s="21">
        <f t="shared" si="250"/>
        <v>69955.832029432844</v>
      </c>
      <c r="CY26" s="21">
        <f t="shared" si="250"/>
        <v>63200.427383049457</v>
      </c>
      <c r="CZ26" s="21">
        <f t="shared" si="250"/>
        <v>66869.39790047417</v>
      </c>
      <c r="DA26" s="21">
        <f t="shared" si="250"/>
        <v>69674.226440261889</v>
      </c>
      <c r="DB26" s="21">
        <f t="shared" si="250"/>
        <v>77386.335434142529</v>
      </c>
      <c r="DE26" s="126"/>
      <c r="DF26" s="22">
        <v>50879.87415530016</v>
      </c>
    </row>
    <row r="27" spans="1:110" s="44" customFormat="1" x14ac:dyDescent="0.2">
      <c r="A27" s="43" t="s">
        <v>349</v>
      </c>
      <c r="B27" s="44">
        <f t="shared" ref="B27:E27" si="251">B26/B10</f>
        <v>0.18669999779857985</v>
      </c>
      <c r="C27" s="44">
        <f t="shared" si="251"/>
        <v>0.1228735116392819</v>
      </c>
      <c r="D27" s="44">
        <f t="shared" si="251"/>
        <v>0.12345439682405189</v>
      </c>
      <c r="E27" s="44">
        <f t="shared" si="251"/>
        <v>0.13609810142519008</v>
      </c>
      <c r="F27" s="44">
        <f t="shared" ref="F27:AE27" si="252">F26/F10</f>
        <v>0.11057010111166067</v>
      </c>
      <c r="G27" s="44">
        <f t="shared" si="252"/>
        <v>0.13604090150883816</v>
      </c>
      <c r="H27" s="44">
        <f t="shared" si="252"/>
        <v>0.12863150083971966</v>
      </c>
      <c r="I27" s="44">
        <f t="shared" si="252"/>
        <v>0.1139475799118987</v>
      </c>
      <c r="J27" s="44">
        <f t="shared" si="252"/>
        <v>0.10383919855054762</v>
      </c>
      <c r="K27" s="44">
        <f t="shared" si="252"/>
        <v>9.1371677550160568E-2</v>
      </c>
      <c r="L27" s="44">
        <f t="shared" si="252"/>
        <v>8.8619357362938328E-2</v>
      </c>
      <c r="M27" s="44">
        <f t="shared" si="252"/>
        <v>7.2050008228707871E-2</v>
      </c>
      <c r="N27" s="44">
        <f t="shared" si="252"/>
        <v>8.0022767225269603E-2</v>
      </c>
      <c r="O27" s="44">
        <f t="shared" si="252"/>
        <v>8.4334576255581647E-2</v>
      </c>
      <c r="P27" s="44">
        <f t="shared" si="252"/>
        <v>0.11645158283058318</v>
      </c>
      <c r="Q27" s="44">
        <f t="shared" si="252"/>
        <v>0.15874875455749837</v>
      </c>
      <c r="R27" s="44">
        <f t="shared" si="252"/>
        <v>0.15275294549122084</v>
      </c>
      <c r="S27" s="44">
        <f t="shared" si="252"/>
        <v>0.15351935395747004</v>
      </c>
      <c r="T27" s="44">
        <f t="shared" si="252"/>
        <v>0.15880985718778165</v>
      </c>
      <c r="U27" s="44">
        <f t="shared" si="252"/>
        <v>0.17272963090028198</v>
      </c>
      <c r="V27" s="44">
        <f t="shared" si="252"/>
        <v>0.20144605974419819</v>
      </c>
      <c r="W27" s="44">
        <f t="shared" si="252"/>
        <v>0.16461363606973359</v>
      </c>
      <c r="X27" s="44">
        <f t="shared" si="252"/>
        <v>0.16407639248833777</v>
      </c>
      <c r="Y27" s="44">
        <f t="shared" si="252"/>
        <v>0.16967163264762547</v>
      </c>
      <c r="Z27" s="44">
        <f t="shared" ref="Z27" si="253">Z26/Z10</f>
        <v>0.17590881244084905</v>
      </c>
      <c r="AA27" s="52">
        <f t="shared" si="252"/>
        <v>0.17934505528182904</v>
      </c>
      <c r="AB27" s="52">
        <f t="shared" si="252"/>
        <v>0.17615713639222255</v>
      </c>
      <c r="AC27" s="52">
        <f t="shared" si="252"/>
        <v>0.17552683074586267</v>
      </c>
      <c r="AD27" s="52">
        <f t="shared" si="252"/>
        <v>0.17541470509623774</v>
      </c>
      <c r="AE27" s="52">
        <f t="shared" si="252"/>
        <v>0.17539718009430486</v>
      </c>
      <c r="AI27" s="44">
        <f t="shared" ref="AI27:BN27" si="254">AI26/AI10</f>
        <v>7.2173364099438378E-2</v>
      </c>
      <c r="AJ27" s="44">
        <f t="shared" si="254"/>
        <v>7.304950407368048E-2</v>
      </c>
      <c r="AK27" s="44">
        <f t="shared" si="254"/>
        <v>6.9339411626866632E-2</v>
      </c>
      <c r="AL27" s="44">
        <f t="shared" si="254"/>
        <v>7.6700159148673369E-2</v>
      </c>
      <c r="AM27" s="44">
        <f t="shared" si="254"/>
        <v>9.026388931622617E-2</v>
      </c>
      <c r="AN27" s="44">
        <f t="shared" si="254"/>
        <v>8.2015048791680742E-2</v>
      </c>
      <c r="AO27" s="44">
        <f t="shared" si="254"/>
        <v>8.0855317779020316E-2</v>
      </c>
      <c r="AP27" s="44">
        <f t="shared" si="254"/>
        <v>8.5296051359399772E-2</v>
      </c>
      <c r="AQ27" s="44">
        <f t="shared" si="254"/>
        <v>0.10047782874617738</v>
      </c>
      <c r="AR27" s="44">
        <f t="shared" si="254"/>
        <v>0.10232520014208038</v>
      </c>
      <c r="AS27" s="44">
        <f t="shared" si="254"/>
        <v>0.12145026088444102</v>
      </c>
      <c r="AT27" s="44">
        <f t="shared" si="254"/>
        <v>0.16180524677634503</v>
      </c>
      <c r="AU27" s="44">
        <f t="shared" si="254"/>
        <v>0.14076877895973372</v>
      </c>
      <c r="AV27" s="44">
        <f t="shared" si="254"/>
        <v>0.165387021554911</v>
      </c>
      <c r="AW27" s="44">
        <f t="shared" si="254"/>
        <v>0.14814540498903833</v>
      </c>
      <c r="AX27" s="44">
        <f t="shared" si="254"/>
        <v>0.18932591798445458</v>
      </c>
      <c r="AY27" s="44">
        <f t="shared" si="254"/>
        <v>0.16477919679950762</v>
      </c>
      <c r="AZ27" s="44">
        <f t="shared" si="254"/>
        <v>0.14561258386838408</v>
      </c>
      <c r="BA27" s="44">
        <f t="shared" si="254"/>
        <v>0.15275538988515011</v>
      </c>
      <c r="BB27" s="44">
        <f t="shared" si="254"/>
        <v>0.15277695907949496</v>
      </c>
      <c r="BC27" s="44">
        <f t="shared" si="254"/>
        <v>0.15319092858597597</v>
      </c>
      <c r="BD27" s="44">
        <f t="shared" si="254"/>
        <v>0.15941015074168408</v>
      </c>
      <c r="BE27" s="44">
        <f t="shared" si="254"/>
        <v>0.1654142871455766</v>
      </c>
      <c r="BF27" s="44">
        <f t="shared" si="254"/>
        <v>0.13817730830090236</v>
      </c>
      <c r="BG27" s="44">
        <f t="shared" si="254"/>
        <v>0.14052937338842461</v>
      </c>
      <c r="BH27" s="44">
        <f t="shared" si="254"/>
        <v>0.15165744507162143</v>
      </c>
      <c r="BI27" s="44">
        <f t="shared" si="254"/>
        <v>0.15438055297071984</v>
      </c>
      <c r="BJ27" s="44">
        <f t="shared" si="254"/>
        <v>0.18474819113116986</v>
      </c>
      <c r="BK27" s="44">
        <f t="shared" si="254"/>
        <v>0.16716672996581847</v>
      </c>
      <c r="BL27" s="44">
        <f t="shared" si="254"/>
        <v>0.1797263640066506</v>
      </c>
      <c r="BM27" s="44">
        <f t="shared" si="254"/>
        <v>0.16361169456367169</v>
      </c>
      <c r="BN27" s="44">
        <f t="shared" si="254"/>
        <v>0.18227441901356856</v>
      </c>
      <c r="BO27" s="44">
        <f t="shared" ref="BO27:CH27" si="255">BO26/BO10</f>
        <v>0.27097095849432878</v>
      </c>
      <c r="BP27" s="44">
        <f t="shared" si="255"/>
        <v>0.18734941925275989</v>
      </c>
      <c r="BQ27" s="44">
        <f t="shared" si="255"/>
        <v>0.20401323604276261</v>
      </c>
      <c r="BR27" s="44">
        <f t="shared" si="255"/>
        <v>0.16504763496573624</v>
      </c>
      <c r="BS27" s="44">
        <f t="shared" si="255"/>
        <v>0.18775411042594087</v>
      </c>
      <c r="BT27" s="44">
        <f t="shared" si="255"/>
        <v>0.16801999868743697</v>
      </c>
      <c r="BU27" s="44">
        <f t="shared" si="255"/>
        <v>0.15755538380884951</v>
      </c>
      <c r="BV27" s="44">
        <f t="shared" si="255"/>
        <v>0.14948764315852922</v>
      </c>
      <c r="BW27" s="44">
        <f t="shared" si="255"/>
        <v>0.15725937264398804</v>
      </c>
      <c r="BX27" s="44">
        <f t="shared" si="255"/>
        <v>0.17109180546534791</v>
      </c>
      <c r="BY27" s="44">
        <f t="shared" si="255"/>
        <v>0.1667781689328541</v>
      </c>
      <c r="BZ27" s="44">
        <f t="shared" si="255"/>
        <v>0.17561103958953928</v>
      </c>
      <c r="CA27" s="44">
        <f t="shared" si="255"/>
        <v>0.1821072562500301</v>
      </c>
      <c r="CB27" s="44">
        <f t="shared" si="255"/>
        <v>0.16477493250994024</v>
      </c>
      <c r="CC27" s="44">
        <f t="shared" si="255"/>
        <v>0.16406173640297486</v>
      </c>
      <c r="CD27" s="44">
        <f t="shared" si="255"/>
        <v>0.17144753586180364</v>
      </c>
      <c r="CE27" s="44">
        <f t="shared" si="255"/>
        <v>0.17068046111897284</v>
      </c>
      <c r="CF27" s="44">
        <f t="shared" si="255"/>
        <v>0.17092448225970155</v>
      </c>
      <c r="CG27" s="44">
        <f t="shared" si="255"/>
        <v>0.18016884318251897</v>
      </c>
      <c r="CH27" s="44">
        <f t="shared" si="255"/>
        <v>0.18052091144199428</v>
      </c>
      <c r="CI27" s="44">
        <f t="shared" ref="CI27:CJ27" si="256">CI26/CI10</f>
        <v>0.19733450449858803</v>
      </c>
      <c r="CJ27" s="44">
        <f t="shared" si="256"/>
        <v>0.17828318730044027</v>
      </c>
      <c r="CK27" s="44">
        <f t="shared" ref="CK27:CL27" si="257">CK26/CK10</f>
        <v>0.17839980370321437</v>
      </c>
      <c r="CL27" s="44">
        <f t="shared" si="257"/>
        <v>0.16621154258159077</v>
      </c>
      <c r="CM27" s="52">
        <f>AVERAGE(CI27:CL27)</f>
        <v>0.18005725952095836</v>
      </c>
      <c r="CN27" s="52">
        <f t="shared" ref="CN27:DB27" si="258">AVERAGE(CJ27:CM27)</f>
        <v>0.17573794827655093</v>
      </c>
      <c r="CO27" s="52">
        <f t="shared" si="258"/>
        <v>0.17510163852057858</v>
      </c>
      <c r="CP27" s="52">
        <f t="shared" si="258"/>
        <v>0.17427709722491966</v>
      </c>
      <c r="CQ27" s="52">
        <f t="shared" si="258"/>
        <v>0.17629348588575189</v>
      </c>
      <c r="CR27" s="52">
        <f t="shared" si="258"/>
        <v>0.17535254247695026</v>
      </c>
      <c r="CS27" s="52">
        <f t="shared" si="258"/>
        <v>0.17525619102705009</v>
      </c>
      <c r="CT27" s="52">
        <f t="shared" si="258"/>
        <v>0.17529482915366795</v>
      </c>
      <c r="CU27" s="52">
        <f t="shared" si="258"/>
        <v>0.17554926213585503</v>
      </c>
      <c r="CV27" s="52">
        <f t="shared" si="258"/>
        <v>0.17536320619838081</v>
      </c>
      <c r="CW27" s="52">
        <f t="shared" si="258"/>
        <v>0.17536587212873844</v>
      </c>
      <c r="CX27" s="52">
        <f t="shared" si="258"/>
        <v>0.17539329240416054</v>
      </c>
      <c r="CY27" s="52">
        <f t="shared" si="258"/>
        <v>0.17541790821678371</v>
      </c>
      <c r="CZ27" s="52">
        <f t="shared" si="258"/>
        <v>0.17538506973701587</v>
      </c>
      <c r="DA27" s="52">
        <f t="shared" si="258"/>
        <v>0.17539053562167464</v>
      </c>
      <c r="DB27" s="52">
        <f t="shared" si="258"/>
        <v>0.17539670149490869</v>
      </c>
      <c r="DE27" s="128"/>
      <c r="DF27" s="44">
        <v>0.18363460173605925</v>
      </c>
    </row>
    <row r="28" spans="1:110" s="26" customFormat="1" x14ac:dyDescent="0.2">
      <c r="A28" s="34" t="s">
        <v>13</v>
      </c>
      <c r="B28" s="26">
        <f t="shared" ref="B28:E28" si="259">B16-B26</f>
        <v>4579.1299999999992</v>
      </c>
      <c r="C28" s="26">
        <f t="shared" si="259"/>
        <v>7861.310000000004</v>
      </c>
      <c r="D28" s="26">
        <f t="shared" si="259"/>
        <v>8206.48</v>
      </c>
      <c r="E28" s="26">
        <f t="shared" si="259"/>
        <v>9464.5600000000159</v>
      </c>
      <c r="F28" s="26">
        <f t="shared" ref="F28:AE28" si="260">F16-F26</f>
        <v>12645.259999999995</v>
      </c>
      <c r="G28" s="26">
        <f t="shared" si="260"/>
        <v>14348.649999999991</v>
      </c>
      <c r="H28" s="26">
        <f t="shared" si="260"/>
        <v>20125.050000000003</v>
      </c>
      <c r="I28" s="26">
        <f t="shared" si="260"/>
        <v>22118.78999999999</v>
      </c>
      <c r="J28" s="26">
        <f t="shared" si="260"/>
        <v>23206.490000000016</v>
      </c>
      <c r="K28" s="26">
        <f t="shared" si="260"/>
        <v>30151.810000000005</v>
      </c>
      <c r="L28" s="26">
        <f t="shared" si="260"/>
        <v>37736</v>
      </c>
      <c r="M28" s="26">
        <f t="shared" si="260"/>
        <v>34508</v>
      </c>
      <c r="N28" s="26">
        <f t="shared" si="260"/>
        <v>32988</v>
      </c>
      <c r="O28" s="26">
        <f t="shared" si="260"/>
        <v>34799</v>
      </c>
      <c r="P28" s="26">
        <f t="shared" si="260"/>
        <v>37364</v>
      </c>
      <c r="Q28" s="26">
        <f t="shared" si="260"/>
        <v>41239</v>
      </c>
      <c r="R28" s="26">
        <f t="shared" si="260"/>
        <v>46194</v>
      </c>
      <c r="S28" s="26">
        <f t="shared" si="260"/>
        <v>64176</v>
      </c>
      <c r="T28" s="26">
        <f t="shared" si="260"/>
        <v>84167</v>
      </c>
      <c r="U28" s="26">
        <f t="shared" si="260"/>
        <v>88894</v>
      </c>
      <c r="V28" s="26">
        <f t="shared" si="260"/>
        <v>79922</v>
      </c>
      <c r="W28" s="26">
        <f t="shared" si="260"/>
        <v>108446</v>
      </c>
      <c r="X28" s="26">
        <f t="shared" si="260"/>
        <v>140860</v>
      </c>
      <c r="Y28" s="26">
        <f t="shared" si="260"/>
        <v>162233</v>
      </c>
      <c r="Z28" s="26">
        <f t="shared" ref="Z28" si="261">Z16-Z26</f>
        <v>165255</v>
      </c>
      <c r="AA28" s="27">
        <f t="shared" si="260"/>
        <v>178949</v>
      </c>
      <c r="AB28" s="27">
        <f t="shared" si="260"/>
        <v>194692.32837578678</v>
      </c>
      <c r="AC28" s="27">
        <f t="shared" si="260"/>
        <v>214362.23099756258</v>
      </c>
      <c r="AD28" s="27">
        <f t="shared" si="260"/>
        <v>236883.97632592887</v>
      </c>
      <c r="AE28" s="27">
        <f t="shared" si="260"/>
        <v>261991.82033358904</v>
      </c>
      <c r="AI28" s="26">
        <f t="shared" ref="AI28:BN28" si="262">AI16-AI26</f>
        <v>6811</v>
      </c>
      <c r="AJ28" s="26">
        <f t="shared" si="262"/>
        <v>7777</v>
      </c>
      <c r="AK28" s="26">
        <f t="shared" si="262"/>
        <v>8373</v>
      </c>
      <c r="AL28" s="26">
        <f t="shared" si="262"/>
        <v>7825</v>
      </c>
      <c r="AM28" s="26">
        <f t="shared" si="262"/>
        <v>7857</v>
      </c>
      <c r="AN28" s="26">
        <f t="shared" si="262"/>
        <v>8865</v>
      </c>
      <c r="AO28" s="26">
        <f t="shared" si="262"/>
        <v>8651</v>
      </c>
      <c r="AP28" s="26">
        <f t="shared" si="262"/>
        <v>9426</v>
      </c>
      <c r="AQ28" s="26">
        <f t="shared" si="262"/>
        <v>8989</v>
      </c>
      <c r="AR28" s="26">
        <f t="shared" si="262"/>
        <v>9818</v>
      </c>
      <c r="AS28" s="26">
        <f t="shared" si="262"/>
        <v>8689</v>
      </c>
      <c r="AT28" s="26">
        <f t="shared" si="262"/>
        <v>9868</v>
      </c>
      <c r="AU28" s="26">
        <f t="shared" si="262"/>
        <v>9959</v>
      </c>
      <c r="AV28" s="26">
        <f t="shared" si="262"/>
        <v>9301</v>
      </c>
      <c r="AW28" s="26">
        <f t="shared" si="262"/>
        <v>11248</v>
      </c>
      <c r="AX28" s="26">
        <f t="shared" si="262"/>
        <v>11248</v>
      </c>
      <c r="AY28" s="26">
        <f t="shared" si="262"/>
        <v>11223</v>
      </c>
      <c r="AZ28" s="26">
        <f t="shared" si="262"/>
        <v>11164</v>
      </c>
      <c r="BA28" s="26">
        <f t="shared" si="262"/>
        <v>11574</v>
      </c>
      <c r="BB28" s="26">
        <f t="shared" si="262"/>
        <v>12233</v>
      </c>
      <c r="BC28" s="26">
        <f t="shared" si="262"/>
        <v>12554</v>
      </c>
      <c r="BD28" s="26">
        <f t="shared" si="262"/>
        <v>15565</v>
      </c>
      <c r="BE28" s="26">
        <f t="shared" si="262"/>
        <v>17580</v>
      </c>
      <c r="BF28" s="26">
        <f t="shared" si="262"/>
        <v>18477</v>
      </c>
      <c r="BG28" s="26">
        <f t="shared" si="262"/>
        <v>20661</v>
      </c>
      <c r="BH28" s="26">
        <f t="shared" si="262"/>
        <v>21108</v>
      </c>
      <c r="BI28" s="26">
        <f t="shared" si="262"/>
        <v>21317</v>
      </c>
      <c r="BJ28" s="26">
        <f t="shared" si="262"/>
        <v>21153</v>
      </c>
      <c r="BK28" s="26">
        <f t="shared" si="262"/>
        <v>21615</v>
      </c>
      <c r="BL28" s="26">
        <f t="shared" si="262"/>
        <v>22611</v>
      </c>
      <c r="BM28" s="26">
        <f t="shared" si="262"/>
        <v>22749</v>
      </c>
      <c r="BN28" s="26">
        <f t="shared" si="262"/>
        <v>22034</v>
      </c>
      <c r="BO28" s="26">
        <f t="shared" ref="BO28:CT28" si="263">BO16-BO26</f>
        <v>16875</v>
      </c>
      <c r="BP28" s="26">
        <f t="shared" si="263"/>
        <v>18945</v>
      </c>
      <c r="BQ28" s="26">
        <f t="shared" si="263"/>
        <v>21566</v>
      </c>
      <c r="BR28" s="26">
        <f t="shared" si="263"/>
        <v>23351</v>
      </c>
      <c r="BS28" s="26">
        <f t="shared" si="263"/>
        <v>23368</v>
      </c>
      <c r="BT28" s="26">
        <f t="shared" si="263"/>
        <v>26020</v>
      </c>
      <c r="BU28" s="26">
        <f t="shared" si="263"/>
        <v>29706</v>
      </c>
      <c r="BV28" s="26">
        <f t="shared" si="263"/>
        <v>31366</v>
      </c>
      <c r="BW28" s="26">
        <f t="shared" si="263"/>
        <v>37757</v>
      </c>
      <c r="BX28" s="26">
        <f t="shared" si="263"/>
        <v>31040</v>
      </c>
      <c r="BY28" s="26">
        <f t="shared" si="263"/>
        <v>35009</v>
      </c>
      <c r="BZ28" s="26">
        <f t="shared" si="263"/>
        <v>38356</v>
      </c>
      <c r="CA28" s="26">
        <f t="shared" si="263"/>
        <v>38093</v>
      </c>
      <c r="CB28" s="26">
        <f t="shared" si="263"/>
        <v>40968</v>
      </c>
      <c r="CC28" s="26">
        <f t="shared" si="263"/>
        <v>40656</v>
      </c>
      <c r="CD28" s="26">
        <f t="shared" si="263"/>
        <v>42516</v>
      </c>
      <c r="CE28" s="26">
        <f t="shared" si="263"/>
        <v>38765</v>
      </c>
      <c r="CF28" s="26">
        <f t="shared" si="263"/>
        <v>39058</v>
      </c>
      <c r="CG28" s="26">
        <f t="shared" si="263"/>
        <v>43789</v>
      </c>
      <c r="CH28" s="26">
        <f t="shared" si="263"/>
        <v>43832</v>
      </c>
      <c r="CI28" s="26">
        <f t="shared" ref="CI28:CJ28" si="264">CI16-CI26</f>
        <v>42905</v>
      </c>
      <c r="CJ28" s="26">
        <f t="shared" si="264"/>
        <v>45885</v>
      </c>
      <c r="CK28" s="26">
        <f t="shared" ref="CK28:CL28" si="265">CK16-CK26</f>
        <v>46018</v>
      </c>
      <c r="CL28" s="26">
        <f t="shared" si="265"/>
        <v>44141</v>
      </c>
      <c r="CM28" s="27">
        <f t="shared" si="263"/>
        <v>45357.759336161762</v>
      </c>
      <c r="CN28" s="27">
        <f t="shared" si="263"/>
        <v>47450.659564779933</v>
      </c>
      <c r="CO28" s="27">
        <f t="shared" si="263"/>
        <v>48577.977570363553</v>
      </c>
      <c r="CP28" s="27">
        <f t="shared" si="263"/>
        <v>53305.931904481557</v>
      </c>
      <c r="CQ28" s="27">
        <f t="shared" si="263"/>
        <v>49165.131126368666</v>
      </c>
      <c r="CR28" s="27">
        <f t="shared" si="263"/>
        <v>51763.105747684196</v>
      </c>
      <c r="CS28" s="27">
        <f t="shared" si="263"/>
        <v>53742.929577983523</v>
      </c>
      <c r="CT28" s="27">
        <f t="shared" si="263"/>
        <v>59691.064545526155</v>
      </c>
      <c r="CU28" s="27">
        <f t="shared" ref="CU28:DB28" si="266">CU16-CU26</f>
        <v>54082.956994740271</v>
      </c>
      <c r="CV28" s="27">
        <f t="shared" si="266"/>
        <v>57153.677927836507</v>
      </c>
      <c r="CW28" s="27">
        <f t="shared" si="266"/>
        <v>59520.976540961179</v>
      </c>
      <c r="CX28" s="27">
        <f t="shared" si="266"/>
        <v>66126.364862391114</v>
      </c>
      <c r="CY28" s="27">
        <f t="shared" si="266"/>
        <v>59754.184122669678</v>
      </c>
      <c r="CZ28" s="27">
        <f t="shared" si="266"/>
        <v>63216.441844001805</v>
      </c>
      <c r="DA28" s="27">
        <f t="shared" si="266"/>
        <v>65863.783006455706</v>
      </c>
      <c r="DB28" s="27">
        <f t="shared" si="266"/>
        <v>73157.411360461905</v>
      </c>
      <c r="DE28" s="121"/>
      <c r="DF28" s="26">
        <v>48329.396830090656</v>
      </c>
    </row>
    <row r="29" spans="1:110" s="168" customFormat="1" x14ac:dyDescent="0.2">
      <c r="A29" s="165" t="s">
        <v>14</v>
      </c>
      <c r="B29" s="166">
        <f t="shared" ref="B29:E29" si="267">B28/B10</f>
        <v>0.22401309111188838</v>
      </c>
      <c r="C29" s="166">
        <f t="shared" si="267"/>
        <v>0.18674803976927878</v>
      </c>
      <c r="D29" s="166">
        <f t="shared" si="267"/>
        <v>0.17875119772198125</v>
      </c>
      <c r="E29" s="166">
        <f t="shared" si="267"/>
        <v>0.18192211718366499</v>
      </c>
      <c r="F29" s="166">
        <f t="shared" ref="F29:AE29" si="268">F28/F10</f>
        <v>0.18987544006801432</v>
      </c>
      <c r="G29" s="166">
        <f t="shared" si="268"/>
        <v>0.17282364151149507</v>
      </c>
      <c r="H29" s="166">
        <f t="shared" si="268"/>
        <v>0.17689224348996413</v>
      </c>
      <c r="I29" s="166">
        <f t="shared" si="268"/>
        <v>0.16127837163515313</v>
      </c>
      <c r="J29" s="166">
        <f t="shared" si="268"/>
        <v>0.15345770820387591</v>
      </c>
      <c r="K29" s="166">
        <f t="shared" si="268"/>
        <v>0.14799181033526504</v>
      </c>
      <c r="L29" s="166">
        <f t="shared" si="268"/>
        <v>0.14196553190048569</v>
      </c>
      <c r="M29" s="166">
        <f t="shared" si="268"/>
        <v>9.6256356328155296E-2</v>
      </c>
      <c r="N29" s="166">
        <f t="shared" si="268"/>
        <v>8.3080224247094908E-2</v>
      </c>
      <c r="O29" s="166">
        <f t="shared" si="268"/>
        <v>8.0097132071997423E-2</v>
      </c>
      <c r="P29" s="166">
        <f t="shared" si="268"/>
        <v>9.9521887943319079E-2</v>
      </c>
      <c r="Q29" s="166">
        <f t="shared" si="268"/>
        <v>0.1505078485687904</v>
      </c>
      <c r="R29" s="166">
        <f t="shared" si="268"/>
        <v>0.15126628288504235</v>
      </c>
      <c r="S29" s="166">
        <f t="shared" si="268"/>
        <v>0.16384929418883418</v>
      </c>
      <c r="T29" s="166">
        <f t="shared" si="268"/>
        <v>0.14786660084432959</v>
      </c>
      <c r="U29" s="166">
        <f t="shared" si="268"/>
        <v>0.14876785460265926</v>
      </c>
      <c r="V29" s="166">
        <f t="shared" si="268"/>
        <v>0.17116704217388698</v>
      </c>
      <c r="W29" s="166">
        <f t="shared" si="268"/>
        <v>0.15582150200513534</v>
      </c>
      <c r="X29" s="166">
        <f t="shared" si="268"/>
        <v>0.16046295716165337</v>
      </c>
      <c r="Y29" s="166">
        <f t="shared" si="268"/>
        <v>0.1800460344659203</v>
      </c>
      <c r="Z29" s="166">
        <f t="shared" ref="Z29" si="269">Z28/Z10</f>
        <v>0.17130320215861419</v>
      </c>
      <c r="AA29" s="167">
        <f t="shared" si="268"/>
        <v>0.16926388950633692</v>
      </c>
      <c r="AB29" s="167">
        <f t="shared" si="268"/>
        <v>0.16674654590003915</v>
      </c>
      <c r="AC29" s="167">
        <f t="shared" si="268"/>
        <v>0.16601112776750535</v>
      </c>
      <c r="AD29" s="167">
        <f t="shared" si="268"/>
        <v>0.16584662660376337</v>
      </c>
      <c r="AE29" s="167">
        <f t="shared" si="268"/>
        <v>0.1658159069654758</v>
      </c>
      <c r="AI29" s="166">
        <f t="shared" ref="AI29:BN29" si="270">AI28/AI10</f>
        <v>7.4132526448691713E-2</v>
      </c>
      <c r="AJ29" s="166">
        <f t="shared" si="270"/>
        <v>8.608970952886999E-2</v>
      </c>
      <c r="AK29" s="166">
        <f t="shared" si="270"/>
        <v>8.9182625737596666E-2</v>
      </c>
      <c r="AL29" s="166">
        <f t="shared" si="270"/>
        <v>9.2935699185253809E-2</v>
      </c>
      <c r="AM29" s="166">
        <f t="shared" si="270"/>
        <v>8.0582135934278945E-2</v>
      </c>
      <c r="AN29" s="166">
        <f t="shared" si="270"/>
        <v>7.6759227991791565E-2</v>
      </c>
      <c r="AO29" s="166">
        <f t="shared" si="270"/>
        <v>7.3289957471322789E-2</v>
      </c>
      <c r="AP29" s="166">
        <f t="shared" si="270"/>
        <v>9.1135862629075304E-2</v>
      </c>
      <c r="AQ29" s="166">
        <f t="shared" si="270"/>
        <v>8.5904051987767585E-2</v>
      </c>
      <c r="AR29" s="166">
        <f t="shared" si="270"/>
        <v>8.9419565197591921E-2</v>
      </c>
      <c r="AS29" s="166">
        <f t="shared" si="270"/>
        <v>9.2902660165939607E-2</v>
      </c>
      <c r="AT29" s="166">
        <f t="shared" si="270"/>
        <v>0.14625759596857862</v>
      </c>
      <c r="AU29" s="166">
        <f t="shared" si="270"/>
        <v>0.12998760033935913</v>
      </c>
      <c r="AV29" s="166">
        <f t="shared" si="270"/>
        <v>0.13224421316043905</v>
      </c>
      <c r="AW29" s="166">
        <f t="shared" si="270"/>
        <v>0.16661728980269006</v>
      </c>
      <c r="AX29" s="166">
        <f t="shared" si="270"/>
        <v>0.18842133476279818</v>
      </c>
      <c r="AY29" s="166">
        <f t="shared" si="270"/>
        <v>0.17268810586244038</v>
      </c>
      <c r="AZ29" s="166">
        <f t="shared" si="270"/>
        <v>0.14658420976615327</v>
      </c>
      <c r="BA29" s="166">
        <f t="shared" si="270"/>
        <v>0.14575357646584727</v>
      </c>
      <c r="BB29" s="166">
        <f t="shared" si="270"/>
        <v>0.14421795975148249</v>
      </c>
      <c r="BC29" s="166">
        <f t="shared" si="270"/>
        <v>0.15039953995998609</v>
      </c>
      <c r="BD29" s="166">
        <f t="shared" si="270"/>
        <v>0.1701446201943573</v>
      </c>
      <c r="BE29" s="166">
        <f t="shared" si="270"/>
        <v>0.1761346558461076</v>
      </c>
      <c r="BF29" s="166">
        <f t="shared" si="270"/>
        <v>0.1580378907753496</v>
      </c>
      <c r="BG29" s="166">
        <f t="shared" si="270"/>
        <v>0.16046630836621206</v>
      </c>
      <c r="BH29" s="166">
        <f t="shared" si="270"/>
        <v>0.14727573383197393</v>
      </c>
      <c r="BI29" s="166">
        <f t="shared" si="270"/>
        <v>0.13586533926500019</v>
      </c>
      <c r="BJ29" s="166">
        <f t="shared" si="270"/>
        <v>0.15153664302600472</v>
      </c>
      <c r="BK29" s="166">
        <f t="shared" si="270"/>
        <v>0.13682111659703761</v>
      </c>
      <c r="BL29" s="166">
        <f t="shared" si="270"/>
        <v>0.15098056236269791</v>
      </c>
      <c r="BM29" s="166">
        <f t="shared" si="270"/>
        <v>0.14839336734028258</v>
      </c>
      <c r="BN29" s="166">
        <f t="shared" si="270"/>
        <v>0.16143070656155672</v>
      </c>
      <c r="BO29" s="166">
        <f t="shared" ref="BO29:CT29" si="271">BO28/BO10</f>
        <v>0.19121163019953996</v>
      </c>
      <c r="BP29" s="166">
        <f t="shared" si="271"/>
        <v>0.17031356755007371</v>
      </c>
      <c r="BQ29" s="166">
        <f t="shared" si="271"/>
        <v>0.18297980655014423</v>
      </c>
      <c r="BR29" s="166">
        <f t="shared" si="271"/>
        <v>0.15611566103961225</v>
      </c>
      <c r="BS29" s="166">
        <f t="shared" si="271"/>
        <v>0.16697511236236057</v>
      </c>
      <c r="BT29" s="166">
        <f t="shared" si="271"/>
        <v>0.15524040784912685</v>
      </c>
      <c r="BU29" s="166">
        <f t="shared" si="271"/>
        <v>0.16054954141827948</v>
      </c>
      <c r="BV29" s="166">
        <f t="shared" si="271"/>
        <v>0.15125256178420735</v>
      </c>
      <c r="BW29" s="166">
        <f t="shared" si="271"/>
        <v>0.17252061867446483</v>
      </c>
      <c r="BX29" s="166">
        <f t="shared" si="271"/>
        <v>0.13530419469157706</v>
      </c>
      <c r="BY29" s="166">
        <f t="shared" si="271"/>
        <v>0.16152756566714496</v>
      </c>
      <c r="BZ29" s="166">
        <f t="shared" si="271"/>
        <v>0.18021556706165368</v>
      </c>
      <c r="CA29" s="166">
        <f t="shared" si="271"/>
        <v>0.18352853887328421</v>
      </c>
      <c r="CB29" s="166">
        <f t="shared" si="271"/>
        <v>0.17667302036345445</v>
      </c>
      <c r="CC29" s="166">
        <f t="shared" si="271"/>
        <v>0.18062429471402042</v>
      </c>
      <c r="CD29" s="166">
        <f t="shared" si="271"/>
        <v>0.17974658927084169</v>
      </c>
      <c r="CE29" s="166">
        <f t="shared" si="271"/>
        <v>0.16724622924792049</v>
      </c>
      <c r="CF29" s="166">
        <f t="shared" si="271"/>
        <v>0.16869155851167211</v>
      </c>
      <c r="CG29" s="166">
        <f t="shared" si="271"/>
        <v>0.18246481044727608</v>
      </c>
      <c r="CH29" s="166">
        <f t="shared" si="271"/>
        <v>0.16768941190873338</v>
      </c>
      <c r="CI29" s="166">
        <f t="shared" ref="CI29:CJ29" si="272">CI28/CI10</f>
        <v>0.17610576607342221</v>
      </c>
      <c r="CJ29" s="166">
        <f t="shared" si="272"/>
        <v>0.18020760104153985</v>
      </c>
      <c r="CK29" s="166">
        <f t="shared" ref="CK29:CL29" si="273">CK28/CK10</f>
        <v>0.17371510541514884</v>
      </c>
      <c r="CL29" s="166">
        <f t="shared" si="273"/>
        <v>0.15010933180076108</v>
      </c>
      <c r="CM29" s="167">
        <f t="shared" si="271"/>
        <v>0.17003445108271795</v>
      </c>
      <c r="CN29" s="167">
        <f t="shared" si="271"/>
        <v>0.16851662233504194</v>
      </c>
      <c r="CO29" s="167">
        <f t="shared" si="271"/>
        <v>0.16559387765841746</v>
      </c>
      <c r="CP29" s="167">
        <f t="shared" si="271"/>
        <v>0.16356357071923455</v>
      </c>
      <c r="CQ29" s="167">
        <f t="shared" si="271"/>
        <v>0.16692713044885296</v>
      </c>
      <c r="CR29" s="167">
        <f t="shared" si="271"/>
        <v>0.16615030029038674</v>
      </c>
      <c r="CS29" s="167">
        <f t="shared" si="271"/>
        <v>0.16555871977922293</v>
      </c>
      <c r="CT29" s="167">
        <f t="shared" si="271"/>
        <v>0.16554993030942433</v>
      </c>
      <c r="CU29" s="167">
        <f t="shared" ref="CU29:DB29" si="274">CU28/CU10</f>
        <v>0.16604652020697175</v>
      </c>
      <c r="CV29" s="167">
        <f t="shared" si="274"/>
        <v>0.16582636764650149</v>
      </c>
      <c r="CW29" s="167">
        <f t="shared" si="274"/>
        <v>0.16574538448553017</v>
      </c>
      <c r="CX29" s="167">
        <f t="shared" si="274"/>
        <v>0.16579205066210695</v>
      </c>
      <c r="CY29" s="167">
        <f t="shared" si="274"/>
        <v>0.16585258075027756</v>
      </c>
      <c r="CZ29" s="167">
        <f t="shared" si="274"/>
        <v>0.16580409588610404</v>
      </c>
      <c r="DA29" s="167">
        <f t="shared" si="274"/>
        <v>0.16579852794600466</v>
      </c>
      <c r="DB29" s="167">
        <f t="shared" si="274"/>
        <v>0.16581181381112334</v>
      </c>
      <c r="DE29" s="169"/>
      <c r="DF29" s="168">
        <v>0.17442947110971102</v>
      </c>
    </row>
    <row r="30" spans="1:110" s="38" customFormat="1" x14ac:dyDescent="0.2">
      <c r="A30" s="39" t="s">
        <v>449</v>
      </c>
      <c r="B30" s="39"/>
      <c r="C30" s="39">
        <f t="shared" ref="C30:E30" si="275">+IF(B28&lt;0,1-C28/B28,C28/B28-1)</f>
        <v>0.7167693426480588</v>
      </c>
      <c r="D30" s="39">
        <f t="shared" si="275"/>
        <v>4.3907440362992434E-2</v>
      </c>
      <c r="E30" s="39">
        <f t="shared" si="275"/>
        <v>0.1533032432906698</v>
      </c>
      <c r="F30" s="39">
        <f t="shared" ref="F30:Y30" si="276">+IF(E28&lt;0,1-F28/E28,F28/E28-1)</f>
        <v>0.33606422274252301</v>
      </c>
      <c r="G30" s="39">
        <f t="shared" si="276"/>
        <v>0.13470581071484466</v>
      </c>
      <c r="H30" s="39">
        <f t="shared" si="276"/>
        <v>0.40257445822429405</v>
      </c>
      <c r="I30" s="39">
        <f t="shared" si="276"/>
        <v>9.9067579956322538E-2</v>
      </c>
      <c r="J30" s="39">
        <f t="shared" si="276"/>
        <v>4.9175384367771802E-2</v>
      </c>
      <c r="K30" s="39">
        <f t="shared" si="276"/>
        <v>0.29928351939478937</v>
      </c>
      <c r="L30" s="39">
        <f t="shared" si="276"/>
        <v>0.25153349002928826</v>
      </c>
      <c r="M30" s="39">
        <f t="shared" si="276"/>
        <v>-8.5541657833368645E-2</v>
      </c>
      <c r="N30" s="39">
        <f t="shared" si="276"/>
        <v>-4.4047757041845381E-2</v>
      </c>
      <c r="O30" s="39">
        <f t="shared" si="276"/>
        <v>5.4898751060991957E-2</v>
      </c>
      <c r="P30" s="39">
        <f t="shared" si="276"/>
        <v>7.3709014626857083E-2</v>
      </c>
      <c r="Q30" s="39">
        <f t="shared" si="276"/>
        <v>0.10370945294936296</v>
      </c>
      <c r="R30" s="39">
        <f t="shared" si="276"/>
        <v>0.12015325298867574</v>
      </c>
      <c r="S30" s="39">
        <f t="shared" si="276"/>
        <v>0.38927133393947266</v>
      </c>
      <c r="T30" s="39">
        <f t="shared" si="276"/>
        <v>0.31150274245823995</v>
      </c>
      <c r="U30" s="39">
        <f t="shared" si="276"/>
        <v>5.616215381325218E-2</v>
      </c>
      <c r="V30" s="39">
        <f t="shared" si="276"/>
        <v>-0.10092919657119714</v>
      </c>
      <c r="W30" s="39">
        <f t="shared" si="276"/>
        <v>0.35689797552613789</v>
      </c>
      <c r="X30" s="39">
        <f t="shared" si="276"/>
        <v>0.29889530273131326</v>
      </c>
      <c r="Y30" s="39">
        <f t="shared" si="276"/>
        <v>0.15173221638506318</v>
      </c>
      <c r="Z30" s="39">
        <f t="shared" ref="Z30:AE30" si="277">+IF(Y28&lt;0,1-Z28/Y28,Z28/Y28-1)</f>
        <v>1.8627529540845567E-2</v>
      </c>
      <c r="AA30" s="40">
        <f t="shared" si="277"/>
        <v>8.2865873952376656E-2</v>
      </c>
      <c r="AB30" s="40">
        <f t="shared" si="277"/>
        <v>8.7976621136674593E-2</v>
      </c>
      <c r="AC30" s="40">
        <f t="shared" si="277"/>
        <v>0.10103070206140741</v>
      </c>
      <c r="AD30" s="40">
        <f t="shared" si="277"/>
        <v>0.10506396217075364</v>
      </c>
      <c r="AE30" s="40">
        <f t="shared" si="277"/>
        <v>0.1059921586807302</v>
      </c>
      <c r="AI30" s="39"/>
      <c r="AJ30" s="39"/>
      <c r="AK30" s="39"/>
      <c r="AL30" s="39"/>
      <c r="AM30" s="39">
        <f>+IF(AI28&lt;0,1-AM28/AI28,AM28/AI28-1)</f>
        <v>0.15357509910439004</v>
      </c>
      <c r="AN30" s="39">
        <f t="shared" ref="AN30" si="278">+IF(AJ28&lt;0,1-AN28/AJ28,AN28/AJ28-1)</f>
        <v>0.13989970425613985</v>
      </c>
      <c r="AO30" s="39">
        <f t="shared" ref="AO30" si="279">+IF(AK28&lt;0,1-AO28/AK28,AO28/AK28-1)</f>
        <v>3.3201958676698951E-2</v>
      </c>
      <c r="AP30" s="39">
        <f t="shared" ref="AP30" si="280">+IF(AL28&lt;0,1-AP28/AL28,AP28/AL28-1)</f>
        <v>0.20460063897763581</v>
      </c>
      <c r="AQ30" s="39">
        <f t="shared" ref="AQ30" si="281">+IF(AM28&lt;0,1-AQ28/AM28,AQ28/AM28-1)</f>
        <v>0.14407534682448775</v>
      </c>
      <c r="AR30" s="39">
        <f t="shared" ref="AR30" si="282">+IF(AN28&lt;0,1-AR28/AN28,AR28/AN28-1)</f>
        <v>0.1075014100394811</v>
      </c>
      <c r="AS30" s="39">
        <f t="shared" ref="AS30" si="283">+IF(AO28&lt;0,1-AS28/AO28,AS28/AO28-1)</f>
        <v>4.3925557738990761E-3</v>
      </c>
      <c r="AT30" s="39">
        <f t="shared" ref="AT30" si="284">+IF(AP28&lt;0,1-AT28/AP28,AT28/AP28-1)</f>
        <v>4.6891576490557974E-2</v>
      </c>
      <c r="AU30" s="39">
        <f t="shared" ref="AU30" si="285">+IF(AQ28&lt;0,1-AU28/AQ28,AU28/AQ28-1)</f>
        <v>0.10790966737123142</v>
      </c>
      <c r="AV30" s="39">
        <f t="shared" ref="AV30" si="286">+IF(AR28&lt;0,1-AV28/AR28,AV28/AR28-1)</f>
        <v>-5.2658382562639994E-2</v>
      </c>
      <c r="AW30" s="39">
        <f t="shared" ref="AW30" si="287">+IF(AS28&lt;0,1-AW28/AS28,AW28/AS28-1)</f>
        <v>0.29451030037979065</v>
      </c>
      <c r="AX30" s="39">
        <f t="shared" ref="AX30" si="288">+IF(AT28&lt;0,1-AX28/AT28,AX28/AT28-1)</f>
        <v>0.13984596676124839</v>
      </c>
      <c r="AY30" s="39">
        <f t="shared" ref="AY30" si="289">+IF(AU28&lt;0,1-AY28/AU28,AY28/AU28-1)</f>
        <v>0.126920373531479</v>
      </c>
      <c r="AZ30" s="39">
        <f t="shared" ref="AZ30" si="290">+IF(AV28&lt;0,1-AZ28/AV28,AZ28/AV28-1)</f>
        <v>0.20030104289861295</v>
      </c>
      <c r="BA30" s="39">
        <f t="shared" ref="BA30" si="291">+IF(AW28&lt;0,1-BA28/AW28,BA28/AW28-1)</f>
        <v>2.8982930298719678E-2</v>
      </c>
      <c r="BB30" s="39">
        <f t="shared" ref="BB30" si="292">+IF(AX28&lt;0,1-BB28/AX28,BB28/AX28-1)</f>
        <v>8.7571123755334268E-2</v>
      </c>
      <c r="BC30" s="39">
        <f t="shared" ref="BC30" si="293">+IF(AY28&lt;0,1-BC28/AY28,BC28/AY28-1)</f>
        <v>0.11859574088924529</v>
      </c>
      <c r="BD30" s="39">
        <f t="shared" ref="BD30" si="294">+IF(AZ28&lt;0,1-BD28/AZ28,BD28/AZ28-1)</f>
        <v>0.39421354353278404</v>
      </c>
      <c r="BE30" s="39">
        <f t="shared" ref="BE30" si="295">+IF(BA28&lt;0,1-BE28/BA28,BE28/BA28-1)</f>
        <v>0.51892172109901513</v>
      </c>
      <c r="BF30" s="39">
        <f t="shared" ref="BF30" si="296">+IF(BB28&lt;0,1-BF28/BB28,BF28/BB28-1)</f>
        <v>0.51042262731954557</v>
      </c>
      <c r="BG30" s="39">
        <f t="shared" ref="BG30" si="297">+IF(BC28&lt;0,1-BG28/BC28,BG28/BC28-1)</f>
        <v>0.64577027242313201</v>
      </c>
      <c r="BH30" s="39">
        <f t="shared" ref="BH30" si="298">+IF(BD28&lt;0,1-BH28/BD28,BH28/BD28-1)</f>
        <v>0.35611949887568262</v>
      </c>
      <c r="BI30" s="39">
        <f t="shared" ref="BI30" si="299">+IF(BE28&lt;0,1-BI28/BE28,BI28/BE28-1)</f>
        <v>0.21257110352673503</v>
      </c>
      <c r="BJ30" s="39">
        <f t="shared" ref="BJ30" si="300">+IF(BF28&lt;0,1-BJ28/BF28,BJ28/BF28-1)</f>
        <v>0.14482870595875963</v>
      </c>
      <c r="BK30" s="39">
        <f t="shared" ref="BK30" si="301">+IF(BG28&lt;0,1-BK28/BG28,BK28/BG28-1)</f>
        <v>4.6173950922026918E-2</v>
      </c>
      <c r="BL30" s="39">
        <f t="shared" ref="BL30" si="302">+IF(BH28&lt;0,1-BL28/BH28,BL28/BH28-1)</f>
        <v>7.1205230244457018E-2</v>
      </c>
      <c r="BM30" s="39">
        <f t="shared" ref="BM30" si="303">+IF(BI28&lt;0,1-BM28/BI28,BM28/BI28-1)</f>
        <v>6.7176431955715987E-2</v>
      </c>
      <c r="BN30" s="39">
        <f t="shared" ref="BN30" si="304">+IF(BJ28&lt;0,1-BN28/BJ28,BN28/BJ28-1)</f>
        <v>4.1648938684820225E-2</v>
      </c>
      <c r="BO30" s="39">
        <f t="shared" ref="BO30" si="305">+IF(BK28&lt;0,1-BO28/BK28,BO28/BK28-1)</f>
        <v>-0.21929215822345594</v>
      </c>
      <c r="BP30" s="39">
        <f t="shared" ref="BP30" si="306">+IF(BL28&lt;0,1-BP28/BL28,BP28/BL28-1)</f>
        <v>-0.16213347485737029</v>
      </c>
      <c r="BQ30" s="39">
        <f t="shared" ref="BQ30" si="307">+IF(BM28&lt;0,1-BQ28/BM28,BQ28/BM28-1)</f>
        <v>-5.2002285814761073E-2</v>
      </c>
      <c r="BR30" s="39">
        <f t="shared" ref="BR30" si="308">+IF(BN28&lt;0,1-BR28/BN28,BR28/BN28-1)</f>
        <v>5.9771262594172647E-2</v>
      </c>
      <c r="BS30" s="39">
        <f t="shared" ref="BS30" si="309">+IF(BO28&lt;0,1-BS28/BO28,BS28/BO28-1)</f>
        <v>0.38477037037037043</v>
      </c>
      <c r="BT30" s="39">
        <f t="shared" ref="BT30" si="310">+IF(BP28&lt;0,1-BT28/BP28,BT28/BP28-1)</f>
        <v>0.37344945896014781</v>
      </c>
      <c r="BU30" s="39">
        <f t="shared" ref="BU30" si="311">+IF(BQ28&lt;0,1-BU28/BQ28,BU28/BQ28-1)</f>
        <v>0.37744597978299166</v>
      </c>
      <c r="BV30" s="39">
        <f t="shared" ref="BV30" si="312">+IF(BR28&lt;0,1-BV28/BR28,BV28/BR28-1)</f>
        <v>0.3432401181962228</v>
      </c>
      <c r="BW30" s="39">
        <f t="shared" ref="BW30" si="313">+IF(BS28&lt;0,1-BW28/BS28,BW28/BS28-1)</f>
        <v>0.61575659020883267</v>
      </c>
      <c r="BX30" s="39">
        <f t="shared" ref="BX30" si="314">+IF(BT28&lt;0,1-BX28/BT28,BX28/BT28-1)</f>
        <v>0.19292851652574949</v>
      </c>
      <c r="BY30" s="39">
        <f t="shared" ref="BY30" si="315">+IF(BU28&lt;0,1-BY28/BU28,BY28/BU28-1)</f>
        <v>0.17851612468861511</v>
      </c>
      <c r="BZ30" s="39">
        <f t="shared" ref="BZ30" si="316">+IF(BV28&lt;0,1-BZ28/BV28,BZ28/BV28-1)</f>
        <v>0.22285277051584518</v>
      </c>
      <c r="CA30" s="39">
        <f t="shared" ref="CA30" si="317">+IF(BW28&lt;0,1-CA28/BW28,CA28/BW28-1)</f>
        <v>8.8990121037157977E-3</v>
      </c>
      <c r="CB30" s="39">
        <f t="shared" ref="CB30" si="318">+IF(BX28&lt;0,1-CB28/BX28,CB28/BX28-1)</f>
        <v>0.31984536082474224</v>
      </c>
      <c r="CC30" s="39">
        <f t="shared" ref="CC30" si="319">+IF(BY28&lt;0,1-CC28/BY28,CC28/BY28-1)</f>
        <v>0.16130137964523406</v>
      </c>
      <c r="CD30" s="39">
        <f t="shared" ref="CD30" si="320">+IF(BZ28&lt;0,1-CD28/BZ28,CD28/BZ28-1)</f>
        <v>0.10845760767546153</v>
      </c>
      <c r="CE30" s="39">
        <f t="shared" ref="CE30" si="321">+IF(CA28&lt;0,1-CE28/CA28,CE28/CA28-1)</f>
        <v>1.764103641088921E-2</v>
      </c>
      <c r="CF30" s="39">
        <f t="shared" ref="CF30" si="322">+IF(CB28&lt;0,1-CF28/CB28,CF28/CB28-1)</f>
        <v>-4.6621753563757085E-2</v>
      </c>
      <c r="CG30" s="39">
        <f t="shared" ref="CG30" si="323">+IF(CC28&lt;0,1-CG28/CC28,CG28/CC28-1)</f>
        <v>7.7061196379378138E-2</v>
      </c>
      <c r="CH30" s="39">
        <f t="shared" ref="CH30:CL30" si="324">+IF(CD28&lt;0,1-CH28/CD28,CH28/CD28-1)</f>
        <v>3.0953052968294203E-2</v>
      </c>
      <c r="CI30" s="39">
        <f t="shared" si="324"/>
        <v>0.10679736876047974</v>
      </c>
      <c r="CJ30" s="39">
        <f t="shared" si="324"/>
        <v>0.17479133596190288</v>
      </c>
      <c r="CK30" s="39">
        <f t="shared" si="324"/>
        <v>5.090319486629058E-2</v>
      </c>
      <c r="CL30" s="39">
        <f t="shared" si="324"/>
        <v>7.049644095637797E-3</v>
      </c>
      <c r="CM30" s="40">
        <f t="shared" ref="CM30" si="325">+CM28/CI28-1</f>
        <v>5.7167214454300508E-2</v>
      </c>
      <c r="CN30" s="40">
        <f t="shared" ref="CN30" si="326">+CN28/CJ28-1</f>
        <v>3.4121380947584878E-2</v>
      </c>
      <c r="CO30" s="40">
        <f t="shared" ref="CO30" si="327">+CO28/CK28-1</f>
        <v>5.562991808343587E-2</v>
      </c>
      <c r="CP30" s="40">
        <f t="shared" ref="CP30" si="328">+CP28/CL28-1</f>
        <v>0.20762855178816864</v>
      </c>
      <c r="CQ30" s="40">
        <f t="shared" ref="CQ30" si="329">+CQ28/CM28-1</f>
        <v>8.3940914320506321E-2</v>
      </c>
      <c r="CR30" s="40">
        <f t="shared" ref="CR30" si="330">+CR28/CN28-1</f>
        <v>9.0882744780752311E-2</v>
      </c>
      <c r="CS30" s="40">
        <f t="shared" ref="CS30" si="331">+CS28/CO28-1</f>
        <v>0.10632291144971417</v>
      </c>
      <c r="CT30" s="40">
        <f t="shared" ref="CT30" si="332">+CT28/CP28-1</f>
        <v>0.1197827786312049</v>
      </c>
      <c r="CU30" s="40">
        <f t="shared" ref="CU30" si="333">+CU28/CQ28-1</f>
        <v>0.10002670095054489</v>
      </c>
      <c r="CV30" s="40">
        <f t="shared" ref="CV30" si="334">+CV28/CR28-1</f>
        <v>0.10413927260138323</v>
      </c>
      <c r="CW30" s="40">
        <f t="shared" ref="CW30" si="335">+CW28/CS28-1</f>
        <v>0.1075126906618189</v>
      </c>
      <c r="CX30" s="40">
        <f t="shared" ref="CX30" si="336">+CX28/CT28-1</f>
        <v>0.10781011137700158</v>
      </c>
      <c r="CY30" s="40">
        <f t="shared" ref="CY30" si="337">+CY28/CU28-1</f>
        <v>0.1048616318904485</v>
      </c>
      <c r="CZ30" s="40">
        <f t="shared" ref="CZ30" si="338">+CZ28/CV28-1</f>
        <v>0.10607828115314422</v>
      </c>
      <c r="DA30" s="40">
        <f t="shared" ref="DA30" si="339">+DA28/CW28-1</f>
        <v>0.10656422044973568</v>
      </c>
      <c r="DB30" s="40">
        <f t="shared" ref="DB30" si="340">+DB28/CX28-1</f>
        <v>0.1063274310133695</v>
      </c>
      <c r="DE30" s="122"/>
      <c r="DF30" s="38">
        <v>0.10260533012617845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40"/>
      <c r="AB31" s="40"/>
      <c r="AC31" s="40"/>
      <c r="AD31" s="40"/>
      <c r="AE31" s="40"/>
      <c r="AI31" s="39"/>
      <c r="AJ31" s="39">
        <f>+IF(AI28&lt;0,1-AJ28/AI28,AJ28/AI28-1)</f>
        <v>0.14182939362795488</v>
      </c>
      <c r="AK31" s="39">
        <f t="shared" ref="AK31:AM31" si="341">+IF(AJ28&lt;0,1-AK28/AJ28,AK28/AJ28-1)</f>
        <v>7.6636235052076618E-2</v>
      </c>
      <c r="AL31" s="39">
        <f t="shared" si="341"/>
        <v>-6.5448465305147474E-2</v>
      </c>
      <c r="AM31" s="39">
        <f t="shared" si="341"/>
        <v>4.0894568690095223E-3</v>
      </c>
      <c r="AN31" s="39">
        <f t="shared" ref="AN31" si="342">+IF(AM28&lt;0,1-AN28/AM28,AN28/AM28-1)</f>
        <v>0.12829324169530354</v>
      </c>
      <c r="AO31" s="39">
        <f t="shared" ref="AO31" si="343">+IF(AN28&lt;0,1-AO28/AN28,AO28/AN28-1)</f>
        <v>-2.4139875916525666E-2</v>
      </c>
      <c r="AP31" s="39">
        <f t="shared" ref="AP31" si="344">+IF(AO28&lt;0,1-AP28/AO28,AP28/AO28-1)</f>
        <v>8.9585019072939476E-2</v>
      </c>
      <c r="AQ31" s="39">
        <f t="shared" ref="AQ31" si="345">+IF(AP28&lt;0,1-AQ28/AP28,AQ28/AP28-1)</f>
        <v>-4.6361128792701045E-2</v>
      </c>
      <c r="AR31" s="39">
        <f t="shared" ref="AR31" si="346">+IF(AQ28&lt;0,1-AR28/AQ28,AR28/AQ28-1)</f>
        <v>9.2223829124485457E-2</v>
      </c>
      <c r="AS31" s="39">
        <f t="shared" ref="AS31" si="347">+IF(AR28&lt;0,1-AS28/AR28,AS28/AR28-1)</f>
        <v>-0.11499287023833771</v>
      </c>
      <c r="AT31" s="39">
        <f t="shared" ref="AT31" si="348">+IF(AS28&lt;0,1-AT28/AS28,AT28/AS28-1)</f>
        <v>0.13568880193347921</v>
      </c>
      <c r="AU31" s="39">
        <f t="shared" ref="AU31" si="349">+IF(AT28&lt;0,1-AU28/AT28,AU28/AT28-1)</f>
        <v>9.2217267936764991E-3</v>
      </c>
      <c r="AV31" s="39">
        <f t="shared" ref="AV31" si="350">+IF(AU28&lt;0,1-AV28/AU28,AV28/AU28-1)</f>
        <v>-6.6070890651671821E-2</v>
      </c>
      <c r="AW31" s="39">
        <f t="shared" ref="AW31" si="351">+IF(AV28&lt;0,1-AW28/AV28,AW28/AV28-1)</f>
        <v>0.20933232985700467</v>
      </c>
      <c r="AX31" s="39">
        <f t="shared" ref="AX31" si="352">+IF(AW28&lt;0,1-AX28/AW28,AX28/AW28-1)</f>
        <v>0</v>
      </c>
      <c r="AY31" s="39">
        <f t="shared" ref="AY31" si="353">+IF(AX28&lt;0,1-AY28/AX28,AY28/AX28-1)</f>
        <v>-2.2226173541962657E-3</v>
      </c>
      <c r="AZ31" s="39">
        <f t="shared" ref="AZ31" si="354">+IF(AY28&lt;0,1-AZ28/AY28,AZ28/AY28-1)</f>
        <v>-5.2570613917847231E-3</v>
      </c>
      <c r="BA31" s="39">
        <f t="shared" ref="BA31" si="355">+IF(AZ28&lt;0,1-BA28/AZ28,BA28/AZ28-1)</f>
        <v>3.6725188104621997E-2</v>
      </c>
      <c r="BB31" s="39">
        <f t="shared" ref="BB31" si="356">+IF(BA28&lt;0,1-BB28/BA28,BB28/BA28-1)</f>
        <v>5.6937964402972163E-2</v>
      </c>
      <c r="BC31" s="39">
        <f t="shared" ref="BC31" si="357">+IF(BB28&lt;0,1-BC28/BB28,BC28/BB28-1)</f>
        <v>2.6240497016267517E-2</v>
      </c>
      <c r="BD31" s="39">
        <f t="shared" ref="BD31" si="358">+IF(BC28&lt;0,1-BD28/BC28,BD28/BC28-1)</f>
        <v>0.2398438744623228</v>
      </c>
      <c r="BE31" s="39">
        <f t="shared" ref="BE31" si="359">+IF(BD28&lt;0,1-BE28/BD28,BE28/BD28-1)</f>
        <v>0.12945711532283966</v>
      </c>
      <c r="BF31" s="39">
        <f t="shared" ref="BF31" si="360">+IF(BE28&lt;0,1-BF28/BE28,BF28/BE28-1)</f>
        <v>5.1023890784982928E-2</v>
      </c>
      <c r="BG31" s="39">
        <f t="shared" ref="BG31" si="361">+IF(BF28&lt;0,1-BG28/BF28,BG28/BF28-1)</f>
        <v>0.11820100665692479</v>
      </c>
      <c r="BH31" s="39">
        <f t="shared" ref="BH31" si="362">+IF(BG28&lt;0,1-BH28/BG28,BH28/BG28-1)</f>
        <v>2.1634964425729653E-2</v>
      </c>
      <c r="BI31" s="39">
        <f t="shared" ref="BI31" si="363">+IF(BH28&lt;0,1-BI28/BH28,BI28/BH28-1)</f>
        <v>9.9014591624029258E-3</v>
      </c>
      <c r="BJ31" s="39">
        <f t="shared" ref="BJ31" si="364">+IF(BI28&lt;0,1-BJ28/BI28,BJ28/BI28-1)</f>
        <v>-7.6933902519116248E-3</v>
      </c>
      <c r="BK31" s="39">
        <f t="shared" ref="BK31" si="365">+IF(BJ28&lt;0,1-BK28/BJ28,BK28/BJ28-1)</f>
        <v>2.1840873634945357E-2</v>
      </c>
      <c r="BL31" s="39">
        <f t="shared" ref="BL31" si="366">+IF(BK28&lt;0,1-BL28/BK28,BL28/BK28-1)</f>
        <v>4.6079111727966637E-2</v>
      </c>
      <c r="BM31" s="39">
        <f t="shared" ref="BM31" si="367">+IF(BL28&lt;0,1-BM28/BL28,BM28/BL28-1)</f>
        <v>6.1032240944673966E-3</v>
      </c>
      <c r="BN31" s="39">
        <f t="shared" ref="BN31" si="368">+IF(BM28&lt;0,1-BN28/BM28,BN28/BM28-1)</f>
        <v>-3.1429952964965535E-2</v>
      </c>
      <c r="BO31" s="39">
        <f t="shared" ref="BO31" si="369">+IF(BN28&lt;0,1-BO28/BN28,BO28/BN28-1)</f>
        <v>-0.23413815013161476</v>
      </c>
      <c r="BP31" s="39">
        <f t="shared" ref="BP31" si="370">+IF(BO28&lt;0,1-BP28/BO28,BP28/BO28-1)</f>
        <v>0.1226666666666667</v>
      </c>
      <c r="BQ31" s="39">
        <f t="shared" ref="BQ31" si="371">+IF(BP28&lt;0,1-BQ28/BP28,BQ28/BP28-1)</f>
        <v>0.13834784903668518</v>
      </c>
      <c r="BR31" s="39">
        <f t="shared" ref="BR31" si="372">+IF(BQ28&lt;0,1-BR28/BQ28,BR28/BQ28-1)</f>
        <v>8.2769173699341447E-2</v>
      </c>
      <c r="BS31" s="39">
        <f t="shared" ref="BS31" si="373">+IF(BR28&lt;0,1-BS28/BR28,BS28/BR28-1)</f>
        <v>7.2802021326712207E-4</v>
      </c>
      <c r="BT31" s="39">
        <f t="shared" ref="BT31" si="374">+IF(BS28&lt;0,1-BT28/BS28,BT28/BS28-1)</f>
        <v>0.11348853132488879</v>
      </c>
      <c r="BU31" s="39">
        <f t="shared" ref="BU31" si="375">+IF(BT28&lt;0,1-BU28/BT28,BU28/BT28-1)</f>
        <v>0.1416602613374327</v>
      </c>
      <c r="BV31" s="39">
        <f t="shared" ref="BV31" si="376">+IF(BU28&lt;0,1-BV28/BU28,BV28/BU28-1)</f>
        <v>5.5880966808052213E-2</v>
      </c>
      <c r="BW31" s="39">
        <f t="shared" ref="BW31" si="377">+IF(BV28&lt;0,1-BW28/BV28,BW28/BV28-1)</f>
        <v>0.20375565899381498</v>
      </c>
      <c r="BX31" s="39">
        <f t="shared" ref="BX31" si="378">+IF(BW28&lt;0,1-BX28/BW28,BX28/BW28-1)</f>
        <v>-0.17790078660910558</v>
      </c>
      <c r="BY31" s="39">
        <f t="shared" ref="BY31" si="379">+IF(BX28&lt;0,1-BY28/BX28,BY28/BX28-1)</f>
        <v>0.12786726804123716</v>
      </c>
      <c r="BZ31" s="39">
        <f t="shared" ref="BZ31" si="380">+IF(BY28&lt;0,1-BZ28/BY28,BZ28/BY28-1)</f>
        <v>9.5603987546059477E-2</v>
      </c>
      <c r="CA31" s="39">
        <f t="shared" ref="CA31" si="381">+IF(BZ28&lt;0,1-CA28/BZ28,CA28/BZ28-1)</f>
        <v>-6.8568151006361822E-3</v>
      </c>
      <c r="CB31" s="39">
        <f t="shared" ref="CB31" si="382">+IF(CA28&lt;0,1-CB28/CA28,CB28/CA28-1)</f>
        <v>7.5473184049562825E-2</v>
      </c>
      <c r="CC31" s="39">
        <f t="shared" ref="CC31" si="383">+IF(CB28&lt;0,1-CC28/CB28,CC28/CB28-1)</f>
        <v>-7.6157000585822532E-3</v>
      </c>
      <c r="CD31" s="39">
        <f t="shared" ref="CD31" si="384">+IF(CC28&lt;0,1-CD28/CC28,CD28/CC28-1)</f>
        <v>4.5749704840613914E-2</v>
      </c>
      <c r="CE31" s="39">
        <f t="shared" ref="CE31" si="385">+IF(CD28&lt;0,1-CE28/CD28,CE28/CD28-1)</f>
        <v>-8.8225609182425391E-2</v>
      </c>
      <c r="CF31" s="39">
        <f t="shared" ref="CF31" si="386">+IF(CE28&lt;0,1-CF28/CE28,CF28/CE28-1)</f>
        <v>7.5583645040628866E-3</v>
      </c>
      <c r="CG31" s="39">
        <f t="shared" ref="CG31" si="387">+IF(CF28&lt;0,1-CG28/CF28,CG28/CF28-1)</f>
        <v>0.12112755389420871</v>
      </c>
      <c r="CH31" s="39">
        <f t="shared" ref="CH31:CI31" si="388">+IF(CG28&lt;0,1-CH28/CG28,CH28/CG28-1)</f>
        <v>9.8198177624508887E-4</v>
      </c>
      <c r="CI31" s="39">
        <f t="shared" si="388"/>
        <v>-2.1148932286913724E-2</v>
      </c>
      <c r="CJ31" s="39">
        <f>+IF(CI28&gt;1,CJ28/CI28-1,1-CJ28/CI28)</f>
        <v>6.9455774385269731E-2</v>
      </c>
      <c r="CK31" s="39">
        <f>+IF(CJ28&gt;1,CK28/CJ28-1,1-CK28/CJ28)</f>
        <v>2.8985507246377384E-3</v>
      </c>
      <c r="CL31" s="39">
        <f>+IF(CK28&gt;1,CL28/CK28-1,1-CL28/CK28)</f>
        <v>-4.0788387152853267E-2</v>
      </c>
      <c r="CM31" s="40">
        <f t="shared" ref="CM31" si="389">+CM28/CL28-1</f>
        <v>2.7565287061048993E-2</v>
      </c>
      <c r="CN31" s="40">
        <f t="shared" ref="CN31" si="390">+CN28/CM28-1</f>
        <v>4.6142055058473685E-2</v>
      </c>
      <c r="CO31" s="40">
        <f t="shared" ref="CO31" si="391">+CO28/CN28-1</f>
        <v>2.3757688848236036E-2</v>
      </c>
      <c r="CP31" s="40">
        <f t="shared" ref="CP31" si="392">+CP28/CO28-1</f>
        <v>9.7327113449087621E-2</v>
      </c>
      <c r="CQ31" s="40">
        <f t="shared" ref="CQ31" si="393">+CQ28/CP28-1</f>
        <v>-7.7679924732068417E-2</v>
      </c>
      <c r="CR31" s="40">
        <f t="shared" ref="CR31" si="394">+CR28/CQ28-1</f>
        <v>5.2841812109439612E-2</v>
      </c>
      <c r="CS31" s="40">
        <f t="shared" ref="CS31" si="395">+CS28/CR28-1</f>
        <v>3.8247779025274209E-2</v>
      </c>
      <c r="CT31" s="40">
        <f t="shared" ref="CT31" si="396">+CT28/CS28-1</f>
        <v>0.11067753496600163</v>
      </c>
      <c r="CU31" s="40">
        <f t="shared" ref="CU31" si="397">+CU28/CT28-1</f>
        <v>-9.3952212001657265E-2</v>
      </c>
      <c r="CV31" s="40">
        <f t="shared" ref="CV31" si="398">+CV28/CU28-1</f>
        <v>5.6777977827559889E-2</v>
      </c>
      <c r="CW31" s="40">
        <f t="shared" ref="CW31" si="399">+CW28/CV28-1</f>
        <v>4.1419882305976374E-2</v>
      </c>
      <c r="CX31" s="40">
        <f t="shared" ref="CX31" si="400">+CX28/CW28-1</f>
        <v>0.11097580559492726</v>
      </c>
      <c r="CY31" s="40">
        <f t="shared" ref="CY31" si="401">+CY28/CX28-1</f>
        <v>-9.6363693255813065E-2</v>
      </c>
      <c r="CZ31" s="40">
        <f t="shared" ref="CZ31" si="402">+CZ28/CY28-1</f>
        <v>5.7941678430826649E-2</v>
      </c>
      <c r="DA31" s="40">
        <f t="shared" ref="DA31" si="403">+DA28/CZ28-1</f>
        <v>4.1877414881823061E-2</v>
      </c>
      <c r="DB31" s="40">
        <f t="shared" ref="DB31" si="404">+DB28/DA28-1</f>
        <v>0.11073807214036435</v>
      </c>
      <c r="DE31" s="122"/>
      <c r="DF31" s="38">
        <v>5.0228102700913935E-2</v>
      </c>
    </row>
    <row r="32" spans="1:110" s="23" customFormat="1" x14ac:dyDescent="0.2">
      <c r="A32" s="23" t="s">
        <v>15</v>
      </c>
      <c r="B32" s="23">
        <f>'Annual Raw'!C27</f>
        <v>2636.73</v>
      </c>
      <c r="C32" s="23">
        <f>'Annual Raw'!D27</f>
        <v>3435.84</v>
      </c>
      <c r="D32" s="23">
        <f>'Annual Raw'!E27</f>
        <v>3453.17</v>
      </c>
      <c r="E32" s="23">
        <f>'Annual Raw'!F27</f>
        <v>3335.18</v>
      </c>
      <c r="F32" s="23">
        <f>'Annual Raw'!G27</f>
        <v>3788.43</v>
      </c>
      <c r="G32" s="23">
        <f>'Annual Raw'!H27</f>
        <v>4947.75</v>
      </c>
      <c r="H32" s="23">
        <f>'Annual Raw'!I27</f>
        <v>6896.46</v>
      </c>
      <c r="I32" s="23">
        <f>'Annual Raw'!J27</f>
        <v>6784.91</v>
      </c>
      <c r="J32" s="23">
        <f>'Annual Raw'!K27</f>
        <v>7712.58</v>
      </c>
      <c r="K32" s="23">
        <f>'Annual Raw'!L27</f>
        <v>14000.62</v>
      </c>
      <c r="L32" s="23">
        <f>'Annual Raw'!M27</f>
        <v>16820</v>
      </c>
      <c r="M32" s="23">
        <f>'Annual Raw'!N27</f>
        <v>14827</v>
      </c>
      <c r="N32" s="23">
        <f>'Annual Raw'!O27</f>
        <v>13393</v>
      </c>
      <c r="O32" s="23">
        <f>'Annual Raw'!P27</f>
        <v>13159</v>
      </c>
      <c r="P32" s="23">
        <f>'Annual Raw'!Q27</f>
        <v>11661</v>
      </c>
      <c r="Q32" s="23">
        <f>'Annual Raw'!R27</f>
        <v>11565</v>
      </c>
      <c r="R32" s="23">
        <f>'Annual Raw'!S27</f>
        <v>11646</v>
      </c>
      <c r="S32" s="23">
        <f>'Annual Raw'!T27</f>
        <v>16706</v>
      </c>
      <c r="T32" s="23">
        <f>'Annual Raw'!U27</f>
        <v>20934</v>
      </c>
      <c r="U32" s="23">
        <f>'Annual Raw'!V27</f>
        <v>22203</v>
      </c>
      <c r="V32" s="23">
        <f>'Annual Raw'!W27</f>
        <v>26572</v>
      </c>
      <c r="W32" s="23">
        <f>'Annual Raw'!X27</f>
        <v>29782</v>
      </c>
      <c r="X32" s="23">
        <f>'Annual Raw'!Y27</f>
        <v>40303</v>
      </c>
      <c r="Y32" s="23">
        <f>'Annual Raw'!Z27</f>
        <v>50832</v>
      </c>
      <c r="Z32" s="23">
        <f>'Annual Raw'!AA27</f>
        <v>53136</v>
      </c>
      <c r="AA32" s="76">
        <f>SUM(CI32:CL32)</f>
        <v>57688</v>
      </c>
      <c r="AB32" s="76">
        <f>+SUM(CM32:CP32)</f>
        <v>64151.441105685182</v>
      </c>
      <c r="AC32" s="76">
        <f>+SUM(CQ32:CT32)</f>
        <v>65193.762853362256</v>
      </c>
      <c r="AD32" s="76">
        <f>+SUM(CU32:CX32)</f>
        <v>66167.533596943278</v>
      </c>
      <c r="AE32" s="76">
        <f>+SUM(CY32:DB32)</f>
        <v>67077.261771729594</v>
      </c>
      <c r="AI32" s="23">
        <f>'QTR Raw'!C28</f>
        <v>2463</v>
      </c>
      <c r="AJ32" s="23">
        <f>'QTR Raw'!D28</f>
        <v>2306</v>
      </c>
      <c r="AK32" s="23">
        <f>'QTR Raw'!E28</f>
        <v>2457</v>
      </c>
      <c r="AL32" s="23">
        <f>'QTR Raw'!F28</f>
        <v>2239</v>
      </c>
      <c r="AM32" s="23">
        <f>'QTR Raw'!G28</f>
        <v>2719</v>
      </c>
      <c r="AN32" s="23">
        <f>'QTR Raw'!H28</f>
        <v>2796</v>
      </c>
      <c r="AO32" s="23">
        <f>'QTR Raw'!I28</f>
        <v>2776</v>
      </c>
      <c r="AP32" s="23">
        <f>'QTR Raw'!J28</f>
        <v>2910</v>
      </c>
      <c r="AQ32" s="23">
        <f>'QTR Raw'!K28</f>
        <v>2782</v>
      </c>
      <c r="AR32" s="23">
        <f>'QTR Raw'!L28</f>
        <v>3024</v>
      </c>
      <c r="AS32" s="23">
        <f>'QTR Raw'!M28</f>
        <v>2954</v>
      </c>
      <c r="AT32" s="23">
        <f>'QTR Raw'!N28</f>
        <v>2787</v>
      </c>
      <c r="AU32" s="23">
        <f>'QTR Raw'!O28</f>
        <v>2751</v>
      </c>
      <c r="AV32" s="23">
        <f>'QTR Raw'!P28</f>
        <v>2842</v>
      </c>
      <c r="AW32" s="23">
        <f>'QTR Raw'!Q28</f>
        <v>2886</v>
      </c>
      <c r="AX32" s="23">
        <f>'QTR Raw'!R28</f>
        <v>3132</v>
      </c>
      <c r="AY32" s="23">
        <f>'QTR Raw'!S28</f>
        <v>2725</v>
      </c>
      <c r="AZ32" s="23">
        <f>'QTR Raw'!T28</f>
        <v>2774</v>
      </c>
      <c r="BA32" s="23">
        <f>'QTR Raw'!U28</f>
        <v>2793</v>
      </c>
      <c r="BB32" s="23">
        <f>'QTR Raw'!V28</f>
        <v>3354</v>
      </c>
      <c r="BC32" s="23">
        <f>'QTR Raw'!W28</f>
        <v>3037</v>
      </c>
      <c r="BD32" s="23">
        <f>'QTR Raw'!X28</f>
        <v>4287</v>
      </c>
      <c r="BE32" s="23">
        <f>'QTR Raw'!Y28</f>
        <v>4530</v>
      </c>
      <c r="BF32" s="23">
        <f>'QTR Raw'!Z28</f>
        <v>4852</v>
      </c>
      <c r="BG32" s="23">
        <f>'QTR Raw'!AA28</f>
        <v>5173</v>
      </c>
      <c r="BH32" s="23">
        <f>'QTR Raw'!AB28</f>
        <v>5229</v>
      </c>
      <c r="BI32" s="23">
        <f>'QTR Raw'!AC28</f>
        <v>5237</v>
      </c>
      <c r="BJ32" s="23">
        <f>'QTR Raw'!AD28</f>
        <v>5295</v>
      </c>
      <c r="BK32" s="23">
        <f>'QTR Raw'!AE28</f>
        <v>5011</v>
      </c>
      <c r="BL32" s="23">
        <f>'QTR Raw'!AF28</f>
        <v>5315</v>
      </c>
      <c r="BM32" s="23">
        <f>'QTR Raw'!AG28</f>
        <v>5545</v>
      </c>
      <c r="BN32" s="23">
        <f>'QTR Raw'!AH28</f>
        <v>6332</v>
      </c>
      <c r="BO32" s="23">
        <f>'QTR Raw'!AI28</f>
        <v>6308</v>
      </c>
      <c r="BP32" s="23">
        <f>'QTR Raw'!AJ28</f>
        <v>6626</v>
      </c>
      <c r="BQ32" s="23">
        <f>'QTR Raw'!AK28</f>
        <v>6665</v>
      </c>
      <c r="BR32" s="23">
        <f>'QTR Raw'!AL28</f>
        <v>6973</v>
      </c>
      <c r="BS32" s="23">
        <f>'QTR Raw'!AM28</f>
        <v>6883</v>
      </c>
      <c r="BT32" s="23">
        <f>'QTR Raw'!AN28</f>
        <v>7230</v>
      </c>
      <c r="BU32" s="23">
        <f>'QTR Raw'!AO28</f>
        <v>7683</v>
      </c>
      <c r="BV32" s="23">
        <f>'QTR Raw'!AP28</f>
        <v>8001</v>
      </c>
      <c r="BW32" s="23">
        <f>'QTR Raw'!AQ28</f>
        <v>8942</v>
      </c>
      <c r="BX32" s="23">
        <f>'QTR Raw'!AR28</f>
        <v>9726</v>
      </c>
      <c r="BY32" s="23">
        <f>'QTR Raw'!AS28</f>
        <v>10183</v>
      </c>
      <c r="BZ32" s="23">
        <f>'QTR Raw'!AT28</f>
        <v>11452</v>
      </c>
      <c r="CA32" s="23">
        <f>'QTR Raw'!AU28</f>
        <v>11775</v>
      </c>
      <c r="CB32" s="23">
        <f>'QTR Raw'!AV28</f>
        <v>12585</v>
      </c>
      <c r="CC32" s="23">
        <f>'QTR Raw'!AW28</f>
        <v>12903</v>
      </c>
      <c r="CD32" s="23">
        <f>'QTR Raw'!AX28</f>
        <v>13569</v>
      </c>
      <c r="CE32" s="23">
        <f>'QTR Raw'!AY28</f>
        <v>13596</v>
      </c>
      <c r="CF32" s="23">
        <f>'QTR Raw'!AZ28</f>
        <v>12880</v>
      </c>
      <c r="CG32" s="23">
        <f>'QTR Raw'!BA28</f>
        <v>13181</v>
      </c>
      <c r="CH32" s="23">
        <f>'QTR Raw'!BB28</f>
        <v>13479</v>
      </c>
      <c r="CI32" s="23">
        <f>'QTR Raw'!BC28</f>
        <v>13842</v>
      </c>
      <c r="CJ32" s="23">
        <f>'QTR Raw'!BD28</f>
        <v>14416</v>
      </c>
      <c r="CK32" s="23">
        <f>'QTR Raw'!BE28</f>
        <v>14622</v>
      </c>
      <c r="CL32" s="23">
        <f>'QTR Raw'!BF28</f>
        <v>14808</v>
      </c>
      <c r="CM32" s="24">
        <f>CM33*CL134</f>
        <v>15936.21540168022</v>
      </c>
      <c r="CN32" s="24">
        <f t="shared" ref="CM32:DB32" si="405">CN33*CM134</f>
        <v>16004.745854774825</v>
      </c>
      <c r="CO32" s="24">
        <f t="shared" si="405"/>
        <v>16072.120630719786</v>
      </c>
      <c r="CP32" s="24">
        <f t="shared" si="405"/>
        <v>16138.359218510344</v>
      </c>
      <c r="CQ32" s="24">
        <f t="shared" si="405"/>
        <v>16203.480778485129</v>
      </c>
      <c r="CR32" s="24">
        <f t="shared" si="405"/>
        <v>16267.504147868529</v>
      </c>
      <c r="CS32" s="24">
        <f t="shared" si="405"/>
        <v>16330.447846219582</v>
      </c>
      <c r="CT32" s="24">
        <f t="shared" si="405"/>
        <v>16392.330080789012</v>
      </c>
      <c r="CU32" s="24">
        <f t="shared" si="405"/>
        <v>16453.168751785874</v>
      </c>
      <c r="CV32" s="24">
        <f t="shared" si="405"/>
        <v>16512.981457555448</v>
      </c>
      <c r="CW32" s="24">
        <f t="shared" si="405"/>
        <v>16571.785499669739</v>
      </c>
      <c r="CX32" s="24">
        <f t="shared" si="405"/>
        <v>16629.597887932214</v>
      </c>
      <c r="CY32" s="24">
        <f t="shared" si="405"/>
        <v>16686.435345298069</v>
      </c>
      <c r="CZ32" s="24">
        <f t="shared" si="405"/>
        <v>16742.314312711569</v>
      </c>
      <c r="DA32" s="24">
        <f t="shared" si="405"/>
        <v>16797.250953861789</v>
      </c>
      <c r="DB32" s="24">
        <f t="shared" si="405"/>
        <v>16851.261159858168</v>
      </c>
      <c r="DE32" s="123"/>
      <c r="DF32" s="23">
        <v>14712.105676384548</v>
      </c>
    </row>
    <row r="33" spans="1:110" s="46" customFormat="1" x14ac:dyDescent="0.2">
      <c r="A33" s="46" t="s">
        <v>483</v>
      </c>
      <c r="B33" s="46">
        <f t="shared" ref="B33:D33" si="406">+B32/B134</f>
        <v>0.19510435489098343</v>
      </c>
      <c r="C33" s="46">
        <f t="shared" si="406"/>
        <v>0.10855552813807542</v>
      </c>
      <c r="D33" s="46">
        <f t="shared" si="406"/>
        <v>0.10745387614628939</v>
      </c>
      <c r="E33" s="46">
        <f t="shared" ref="E33:AE33" si="407">+E32/E134</f>
        <v>0.10469583342489147</v>
      </c>
      <c r="F33" s="46">
        <f t="shared" si="407"/>
        <v>0.12522030057393835</v>
      </c>
      <c r="G33" s="46">
        <f t="shared" si="407"/>
        <v>8.7896448914180636E-2</v>
      </c>
      <c r="H33" s="46">
        <f t="shared" si="407"/>
        <v>0.10638981243567056</v>
      </c>
      <c r="I33" s="46">
        <f t="shared" si="407"/>
        <v>0.10591308829959394</v>
      </c>
      <c r="J33" s="46">
        <f t="shared" si="407"/>
        <v>7.2050424030447244E-2</v>
      </c>
      <c r="K33" s="46">
        <f t="shared" si="407"/>
        <v>8.7399405398234931E-2</v>
      </c>
      <c r="L33" s="46">
        <f t="shared" si="407"/>
        <v>0.10638836179633143</v>
      </c>
      <c r="M33" s="46">
        <f t="shared" si="407"/>
        <v>0.10681199302663996</v>
      </c>
      <c r="N33" s="46">
        <f t="shared" si="407"/>
        <v>0.10033186752268011</v>
      </c>
      <c r="O33" s="46">
        <f t="shared" si="407"/>
        <v>9.3051047610966151E-2</v>
      </c>
      <c r="P33" s="46">
        <f t="shared" si="407"/>
        <v>7.6686329828161065E-2</v>
      </c>
      <c r="Q33" s="46">
        <f t="shared" si="407"/>
        <v>6.4016694712602962E-2</v>
      </c>
      <c r="R33" s="46">
        <f t="shared" si="407"/>
        <v>6.0144396128779039E-2</v>
      </c>
      <c r="S33" s="46">
        <f t="shared" si="407"/>
        <v>4.1967282300689322E-2</v>
      </c>
      <c r="T33" s="46">
        <f t="shared" si="407"/>
        <v>5.4180243648043233E-2</v>
      </c>
      <c r="U33" s="46">
        <f t="shared" si="407"/>
        <v>4.2501995601063554E-2</v>
      </c>
      <c r="V33" s="46">
        <f t="shared" si="407"/>
        <v>5.0037096598034819E-2</v>
      </c>
      <c r="W33" s="46">
        <f t="shared" si="407"/>
        <v>4.8442636416721835E-2</v>
      </c>
      <c r="X33" s="46">
        <f t="shared" si="407"/>
        <v>5.6801990035727626E-2</v>
      </c>
      <c r="Y33" s="46">
        <f t="shared" si="407"/>
        <v>6.6447406260947764E-2</v>
      </c>
      <c r="Z33" s="46">
        <f t="shared" si="407"/>
        <v>5.4506120347166731E-2</v>
      </c>
      <c r="AA33" s="110">
        <f t="shared" si="407"/>
        <v>6.1045438047155502E-2</v>
      </c>
      <c r="AB33" s="110">
        <f t="shared" si="407"/>
        <v>6.6765333357187179E-2</v>
      </c>
      <c r="AC33" s="110">
        <f t="shared" si="407"/>
        <v>6.6820453604547428E-2</v>
      </c>
      <c r="AD33" s="110">
        <f t="shared" si="407"/>
        <v>6.6870458304893132E-2</v>
      </c>
      <c r="AE33" s="110">
        <f t="shared" si="407"/>
        <v>6.6915927425719959E-2</v>
      </c>
      <c r="AI33" s="46" t="e">
        <f t="shared" ref="AI33:BN33" si="408">+AI32/AH134</f>
        <v>#DIV/0!</v>
      </c>
      <c r="AJ33" s="46" t="e">
        <f t="shared" si="408"/>
        <v>#DIV/0!</v>
      </c>
      <c r="AK33" s="46">
        <f t="shared" si="408"/>
        <v>1.9804773458218135E-2</v>
      </c>
      <c r="AL33" s="46">
        <f t="shared" si="408"/>
        <v>1.8047573371164187E-2</v>
      </c>
      <c r="AM33" s="46">
        <f t="shared" si="408"/>
        <v>1.4822366018131368E-2</v>
      </c>
      <c r="AN33" s="46">
        <f t="shared" si="408"/>
        <v>1.5242124084845644E-2</v>
      </c>
      <c r="AO33" s="46">
        <f t="shared" si="408"/>
        <v>1.9407294514083573E-2</v>
      </c>
      <c r="AP33" s="46">
        <f t="shared" si="408"/>
        <v>2.0344101958207201E-2</v>
      </c>
      <c r="AQ33" s="46">
        <f t="shared" si="408"/>
        <v>1.1944476645585653E-2</v>
      </c>
      <c r="AR33" s="46">
        <f t="shared" si="408"/>
        <v>1.2983500135244793E-2</v>
      </c>
      <c r="AS33" s="46">
        <f t="shared" si="408"/>
        <v>1.0873085983510012E-2</v>
      </c>
      <c r="AT33" s="46">
        <f t="shared" si="408"/>
        <v>1.0258392226148411E-2</v>
      </c>
      <c r="AU33" s="46">
        <f t="shared" si="408"/>
        <v>8.636738948207821E-3</v>
      </c>
      <c r="AV33" s="46">
        <f t="shared" si="408"/>
        <v>8.9224326029831436E-3</v>
      </c>
      <c r="AW33" s="46">
        <f t="shared" si="408"/>
        <v>7.8487470832358814E-3</v>
      </c>
      <c r="AX33" s="46">
        <f t="shared" si="408"/>
        <v>8.5177671048838454E-3</v>
      </c>
      <c r="AY33" s="46">
        <f t="shared" si="408"/>
        <v>1.1403773079562765E-2</v>
      </c>
      <c r="AZ33" s="46">
        <f t="shared" si="408"/>
        <v>1.1608831751452151E-2</v>
      </c>
      <c r="BA33" s="46">
        <f t="shared" si="408"/>
        <v>1.0770891982569126E-2</v>
      </c>
      <c r="BB33" s="46">
        <f t="shared" si="408"/>
        <v>1.2934325710539509E-2</v>
      </c>
      <c r="BC33" s="46">
        <f t="shared" si="408"/>
        <v>1.1328116257730498E-2</v>
      </c>
      <c r="BD33" s="46">
        <f t="shared" si="408"/>
        <v>1.5990659992390729E-2</v>
      </c>
      <c r="BE33" s="46">
        <f t="shared" si="408"/>
        <v>1.246546543241131E-2</v>
      </c>
      <c r="BF33" s="46">
        <f t="shared" si="408"/>
        <v>1.3351531628710746E-2</v>
      </c>
      <c r="BG33" s="46">
        <f t="shared" si="408"/>
        <v>1.2349775827575835E-2</v>
      </c>
      <c r="BH33" s="46">
        <f t="shared" si="408"/>
        <v>1.2483467582136872E-2</v>
      </c>
      <c r="BI33" s="46">
        <f t="shared" si="408"/>
        <v>1.1698114050469197E-2</v>
      </c>
      <c r="BJ33" s="46">
        <f t="shared" si="408"/>
        <v>1.1827671166170403E-2</v>
      </c>
      <c r="BK33" s="46">
        <f t="shared" si="408"/>
        <v>1.2055468144790719E-2</v>
      </c>
      <c r="BL33" s="46">
        <f t="shared" si="408"/>
        <v>1.2786831608374112E-2</v>
      </c>
      <c r="BM33" s="46">
        <f t="shared" si="408"/>
        <v>1.1843330570957463E-2</v>
      </c>
      <c r="BN33" s="46">
        <f t="shared" si="408"/>
        <v>1.3524250527556835E-2</v>
      </c>
      <c r="BO33" s="46">
        <f t="shared" ref="BO33:CL33" si="409">+BO32/BN134</f>
        <v>1.1020092276676293E-2</v>
      </c>
      <c r="BP33" s="46">
        <f t="shared" si="409"/>
        <v>1.1575639097218947E-2</v>
      </c>
      <c r="BQ33" s="46">
        <f t="shared" si="409"/>
        <v>1.1484864619896645E-2</v>
      </c>
      <c r="BR33" s="46">
        <f t="shared" si="409"/>
        <v>1.2015598048693069E-2</v>
      </c>
      <c r="BS33" s="46">
        <f t="shared" si="409"/>
        <v>1.1749182353864957E-2</v>
      </c>
      <c r="BT33" s="46">
        <f t="shared" si="409"/>
        <v>1.2341506380712427E-2</v>
      </c>
      <c r="BU33" s="46">
        <f t="shared" si="409"/>
        <v>1.1560945881892666E-2</v>
      </c>
      <c r="BV33" s="46">
        <f t="shared" si="409"/>
        <v>1.2039454379932738E-2</v>
      </c>
      <c r="BW33" s="46">
        <f t="shared" si="409"/>
        <v>1.4637108720881697E-2</v>
      </c>
      <c r="BX33" s="46">
        <f t="shared" si="409"/>
        <v>1.5920433842462021E-2</v>
      </c>
      <c r="BY33" s="46">
        <f t="shared" si="409"/>
        <v>1.2076426715432518E-2</v>
      </c>
      <c r="BZ33" s="46">
        <f t="shared" si="409"/>
        <v>1.3581384537477483E-2</v>
      </c>
      <c r="CA33" s="46">
        <f t="shared" si="409"/>
        <v>1.710686889818689E-2</v>
      </c>
      <c r="CB33" s="46">
        <f t="shared" si="409"/>
        <v>1.8283647140864716E-2</v>
      </c>
      <c r="CC33" s="46">
        <f t="shared" si="409"/>
        <v>1.8160399266997137E-2</v>
      </c>
      <c r="CD33" s="46">
        <f t="shared" si="409"/>
        <v>1.9097764679057907E-2</v>
      </c>
      <c r="CE33" s="46">
        <f t="shared" si="409"/>
        <v>1.8079426607182036E-2</v>
      </c>
      <c r="CF33" s="46">
        <f t="shared" si="409"/>
        <v>1.7127317939136851E-2</v>
      </c>
      <c r="CG33" s="46">
        <f t="shared" si="409"/>
        <v>1.7502486412700691E-2</v>
      </c>
      <c r="CH33" s="46">
        <f t="shared" si="409"/>
        <v>1.7898187873210878E-2</v>
      </c>
      <c r="CI33" s="46">
        <f t="shared" si="409"/>
        <v>1.4198918206968569E-2</v>
      </c>
      <c r="CJ33" s="46">
        <f t="shared" si="409"/>
        <v>1.5000712783591618E-2</v>
      </c>
      <c r="CK33" s="46">
        <f t="shared" si="409"/>
        <v>1.6754495422935851E-2</v>
      </c>
      <c r="CL33" s="46">
        <f>+CL32/CK134</f>
        <v>1.6863702156590544E-2</v>
      </c>
      <c r="CM33" s="47">
        <f>+CL33</f>
        <v>1.6863702156590544E-2</v>
      </c>
      <c r="CN33" s="47">
        <f t="shared" ref="CN33" si="410">CM33</f>
        <v>1.6863702156590544E-2</v>
      </c>
      <c r="CO33" s="47">
        <f t="shared" ref="CO33" si="411">CN33</f>
        <v>1.6863702156590544E-2</v>
      </c>
      <c r="CP33" s="47">
        <f t="shared" ref="CP33" si="412">CO33</f>
        <v>1.6863702156590544E-2</v>
      </c>
      <c r="CQ33" s="47">
        <f t="shared" ref="CQ33" si="413">CP33</f>
        <v>1.6863702156590544E-2</v>
      </c>
      <c r="CR33" s="47">
        <f t="shared" ref="CR33" si="414">CQ33</f>
        <v>1.6863702156590544E-2</v>
      </c>
      <c r="CS33" s="47">
        <f t="shared" ref="CS33" si="415">CR33</f>
        <v>1.6863702156590544E-2</v>
      </c>
      <c r="CT33" s="47">
        <f t="shared" ref="CT33" si="416">CS33</f>
        <v>1.6863702156590544E-2</v>
      </c>
      <c r="CU33" s="47">
        <f t="shared" ref="CU33" si="417">CT33</f>
        <v>1.6863702156590544E-2</v>
      </c>
      <c r="CV33" s="47">
        <f t="shared" ref="CV33" si="418">CU33</f>
        <v>1.6863702156590544E-2</v>
      </c>
      <c r="CW33" s="47">
        <f t="shared" ref="CW33" si="419">CV33</f>
        <v>1.6863702156590544E-2</v>
      </c>
      <c r="CX33" s="47">
        <f t="shared" ref="CX33" si="420">CW33</f>
        <v>1.6863702156590544E-2</v>
      </c>
      <c r="CY33" s="47">
        <f t="shared" ref="CY33" si="421">CX33</f>
        <v>1.6863702156590544E-2</v>
      </c>
      <c r="CZ33" s="47">
        <f t="shared" ref="CZ33" si="422">CY33</f>
        <v>1.6863702156590544E-2</v>
      </c>
      <c r="DA33" s="47">
        <f t="shared" ref="DA33" si="423">CZ33</f>
        <v>1.6863702156590544E-2</v>
      </c>
      <c r="DB33" s="47">
        <f t="shared" ref="DB33" si="424">DA33</f>
        <v>1.6863702156590544E-2</v>
      </c>
      <c r="DE33" s="130"/>
      <c r="DF33" s="46">
        <v>1.6754495422935851E-2</v>
      </c>
    </row>
    <row r="34" spans="1:110" s="26" customFormat="1" x14ac:dyDescent="0.2">
      <c r="A34" s="34" t="s">
        <v>16</v>
      </c>
      <c r="B34" s="26">
        <f>B28-B32</f>
        <v>1942.3999999999992</v>
      </c>
      <c r="C34" s="26">
        <f t="shared" ref="C34:T34" si="425">C28-C32</f>
        <v>4425.4700000000039</v>
      </c>
      <c r="D34" s="26">
        <f>D28-D32</f>
        <v>4753.3099999999995</v>
      </c>
      <c r="E34" s="26">
        <f t="shared" si="425"/>
        <v>6129.3800000000156</v>
      </c>
      <c r="F34" s="26">
        <f t="shared" si="425"/>
        <v>8856.8299999999945</v>
      </c>
      <c r="G34" s="26">
        <f t="shared" si="425"/>
        <v>9400.8999999999905</v>
      </c>
      <c r="H34" s="26">
        <f t="shared" si="425"/>
        <v>13228.590000000004</v>
      </c>
      <c r="I34" s="26">
        <f t="shared" si="425"/>
        <v>15333.87999999999</v>
      </c>
      <c r="J34" s="26">
        <f t="shared" si="425"/>
        <v>15493.910000000016</v>
      </c>
      <c r="K34" s="26">
        <f t="shared" si="425"/>
        <v>16151.190000000004</v>
      </c>
      <c r="L34" s="26">
        <f t="shared" si="425"/>
        <v>20916</v>
      </c>
      <c r="M34" s="26">
        <f t="shared" si="425"/>
        <v>19681</v>
      </c>
      <c r="N34" s="26">
        <f t="shared" si="425"/>
        <v>19595</v>
      </c>
      <c r="O34" s="26">
        <f t="shared" si="425"/>
        <v>21640</v>
      </c>
      <c r="P34" s="26">
        <f t="shared" si="425"/>
        <v>25703</v>
      </c>
      <c r="Q34" s="26">
        <f t="shared" si="425"/>
        <v>29674</v>
      </c>
      <c r="R34" s="26">
        <f t="shared" si="425"/>
        <v>34548</v>
      </c>
      <c r="S34" s="26">
        <f t="shared" si="425"/>
        <v>47470</v>
      </c>
      <c r="T34" s="26">
        <f t="shared" si="425"/>
        <v>63233</v>
      </c>
      <c r="U34" s="26">
        <f t="shared" ref="U34:Z34" si="426">U28-U32</f>
        <v>66691</v>
      </c>
      <c r="V34" s="26">
        <f t="shared" si="426"/>
        <v>53350</v>
      </c>
      <c r="W34" s="26">
        <f t="shared" si="426"/>
        <v>78664</v>
      </c>
      <c r="X34" s="26">
        <f t="shared" si="426"/>
        <v>100557</v>
      </c>
      <c r="Y34" s="26">
        <f t="shared" si="426"/>
        <v>111401</v>
      </c>
      <c r="Z34" s="26">
        <f t="shared" si="426"/>
        <v>112119</v>
      </c>
      <c r="AA34" s="27">
        <f t="shared" ref="AA34:AD34" si="427">AA28-AA32</f>
        <v>121261</v>
      </c>
      <c r="AB34" s="27">
        <f t="shared" si="427"/>
        <v>130540.88727010159</v>
      </c>
      <c r="AC34" s="27">
        <f t="shared" si="427"/>
        <v>149168.46814420033</v>
      </c>
      <c r="AD34" s="27">
        <f t="shared" si="427"/>
        <v>170716.4427289856</v>
      </c>
      <c r="AE34" s="27">
        <f t="shared" ref="AE34" si="428">AE28-AE32</f>
        <v>194914.55856185945</v>
      </c>
      <c r="AI34" s="26">
        <f t="shared" ref="AI34" si="429">AI28-AI32</f>
        <v>4348</v>
      </c>
      <c r="AJ34" s="26">
        <f t="shared" ref="AJ34" si="430">AJ28-AJ32</f>
        <v>5471</v>
      </c>
      <c r="AK34" s="26">
        <f t="shared" ref="AK34:AM34" si="431">AK28-AK32</f>
        <v>5916</v>
      </c>
      <c r="AL34" s="26">
        <f t="shared" si="431"/>
        <v>5586</v>
      </c>
      <c r="AM34" s="26">
        <f t="shared" si="431"/>
        <v>5138</v>
      </c>
      <c r="AN34" s="26">
        <f t="shared" ref="AN34:AO34" si="432">AN28-AN32</f>
        <v>6069</v>
      </c>
      <c r="AO34" s="26">
        <f t="shared" si="432"/>
        <v>5875</v>
      </c>
      <c r="AP34" s="26">
        <f t="shared" ref="AP34:CD34" si="433">AP28-AP32</f>
        <v>6516</v>
      </c>
      <c r="AQ34" s="26">
        <f t="shared" si="433"/>
        <v>6207</v>
      </c>
      <c r="AR34" s="26">
        <f t="shared" si="433"/>
        <v>6794</v>
      </c>
      <c r="AS34" s="26">
        <f t="shared" si="433"/>
        <v>5735</v>
      </c>
      <c r="AT34" s="26">
        <f t="shared" si="433"/>
        <v>7081</v>
      </c>
      <c r="AU34" s="26">
        <f t="shared" si="433"/>
        <v>7208</v>
      </c>
      <c r="AV34" s="26">
        <f t="shared" si="433"/>
        <v>6459</v>
      </c>
      <c r="AW34" s="26">
        <f t="shared" si="433"/>
        <v>8362</v>
      </c>
      <c r="AX34" s="26">
        <f t="shared" si="433"/>
        <v>8116</v>
      </c>
      <c r="AY34" s="26">
        <f t="shared" si="433"/>
        <v>8498</v>
      </c>
      <c r="AZ34" s="26">
        <f t="shared" si="433"/>
        <v>8390</v>
      </c>
      <c r="BA34" s="26">
        <f t="shared" si="433"/>
        <v>8781</v>
      </c>
      <c r="BB34" s="26">
        <f t="shared" si="433"/>
        <v>8879</v>
      </c>
      <c r="BC34" s="26">
        <f t="shared" si="433"/>
        <v>9517</v>
      </c>
      <c r="BD34" s="26">
        <f t="shared" si="433"/>
        <v>11278</v>
      </c>
      <c r="BE34" s="26">
        <f t="shared" si="433"/>
        <v>13050</v>
      </c>
      <c r="BF34" s="26">
        <f t="shared" si="433"/>
        <v>13625</v>
      </c>
      <c r="BG34" s="26">
        <f t="shared" si="433"/>
        <v>15488</v>
      </c>
      <c r="BH34" s="26">
        <f t="shared" si="433"/>
        <v>15879</v>
      </c>
      <c r="BI34" s="26">
        <f t="shared" si="433"/>
        <v>16080</v>
      </c>
      <c r="BJ34" s="26">
        <f t="shared" si="433"/>
        <v>15858</v>
      </c>
      <c r="BK34" s="26">
        <f t="shared" si="433"/>
        <v>16604</v>
      </c>
      <c r="BL34" s="26">
        <f t="shared" si="433"/>
        <v>17296</v>
      </c>
      <c r="BM34" s="26">
        <f t="shared" si="433"/>
        <v>17204</v>
      </c>
      <c r="BN34" s="26">
        <f t="shared" si="433"/>
        <v>15702</v>
      </c>
      <c r="BO34" s="26">
        <f t="shared" si="433"/>
        <v>10567</v>
      </c>
      <c r="BP34" s="26">
        <f t="shared" si="433"/>
        <v>12319</v>
      </c>
      <c r="BQ34" s="26">
        <f t="shared" si="433"/>
        <v>14901</v>
      </c>
      <c r="BR34" s="26">
        <f t="shared" si="433"/>
        <v>16378</v>
      </c>
      <c r="BS34" s="26">
        <f t="shared" si="433"/>
        <v>16485</v>
      </c>
      <c r="BT34" s="26">
        <f t="shared" si="433"/>
        <v>18790</v>
      </c>
      <c r="BU34" s="26">
        <f t="shared" si="433"/>
        <v>22023</v>
      </c>
      <c r="BV34" s="26">
        <f t="shared" si="433"/>
        <v>23365</v>
      </c>
      <c r="BW34" s="26">
        <f t="shared" si="433"/>
        <v>28815</v>
      </c>
      <c r="BX34" s="26">
        <f t="shared" si="433"/>
        <v>21314</v>
      </c>
      <c r="BY34" s="26">
        <f t="shared" si="433"/>
        <v>24826</v>
      </c>
      <c r="BZ34" s="26">
        <f t="shared" si="433"/>
        <v>26904</v>
      </c>
      <c r="CA34" s="26">
        <f t="shared" si="433"/>
        <v>26318</v>
      </c>
      <c r="CB34" s="26">
        <f t="shared" si="433"/>
        <v>28383</v>
      </c>
      <c r="CC34" s="26">
        <f t="shared" si="433"/>
        <v>27753</v>
      </c>
      <c r="CD34" s="26">
        <f t="shared" si="433"/>
        <v>28947</v>
      </c>
      <c r="CE34" s="26">
        <f t="shared" ref="CE34:CF34" si="434">CE28-CE32</f>
        <v>25169</v>
      </c>
      <c r="CF34" s="26">
        <f t="shared" si="434"/>
        <v>26178</v>
      </c>
      <c r="CG34" s="26">
        <f t="shared" ref="CG34:CH34" si="435">CG28-CG32</f>
        <v>30608</v>
      </c>
      <c r="CH34" s="26">
        <f t="shared" si="435"/>
        <v>30353</v>
      </c>
      <c r="CI34" s="26">
        <f t="shared" ref="CI34:CJ34" si="436">CI28-CI32</f>
        <v>29063</v>
      </c>
      <c r="CJ34" s="26">
        <f t="shared" si="436"/>
        <v>31469</v>
      </c>
      <c r="CK34" s="26">
        <f t="shared" ref="CK34:CL34" si="437">CK28-CK32</f>
        <v>31396</v>
      </c>
      <c r="CL34" s="26">
        <f t="shared" si="437"/>
        <v>29333</v>
      </c>
      <c r="CM34" s="27">
        <f t="shared" ref="CM34:DB34" si="438">CM28-CM32</f>
        <v>29421.543934481542</v>
      </c>
      <c r="CN34" s="27">
        <f t="shared" si="438"/>
        <v>31445.913710005108</v>
      </c>
      <c r="CO34" s="27">
        <f t="shared" si="438"/>
        <v>32505.856939643767</v>
      </c>
      <c r="CP34" s="27">
        <f t="shared" si="438"/>
        <v>37167.572685971216</v>
      </c>
      <c r="CQ34" s="27">
        <f t="shared" si="438"/>
        <v>32961.650347883537</v>
      </c>
      <c r="CR34" s="27">
        <f t="shared" si="438"/>
        <v>35495.601599815665</v>
      </c>
      <c r="CS34" s="27">
        <f t="shared" si="438"/>
        <v>37412.481731763939</v>
      </c>
      <c r="CT34" s="27">
        <f t="shared" si="438"/>
        <v>43298.734464737143</v>
      </c>
      <c r="CU34" s="27">
        <f t="shared" si="438"/>
        <v>37629.788242954397</v>
      </c>
      <c r="CV34" s="27">
        <f t="shared" si="438"/>
        <v>40640.696470281058</v>
      </c>
      <c r="CW34" s="27">
        <f t="shared" si="438"/>
        <v>42949.191041291444</v>
      </c>
      <c r="CX34" s="27">
        <f t="shared" si="438"/>
        <v>49496.7669744589</v>
      </c>
      <c r="CY34" s="27">
        <f t="shared" si="438"/>
        <v>43067.748777371613</v>
      </c>
      <c r="CZ34" s="27">
        <f t="shared" si="438"/>
        <v>46474.127531290236</v>
      </c>
      <c r="DA34" s="27">
        <f t="shared" si="438"/>
        <v>49066.532052593917</v>
      </c>
      <c r="DB34" s="27">
        <f t="shared" si="438"/>
        <v>56306.150200603734</v>
      </c>
      <c r="DE34" s="121"/>
      <c r="DF34" s="26">
        <v>33617.291153706108</v>
      </c>
    </row>
    <row r="35" spans="1:110" s="23" customFormat="1" x14ac:dyDescent="0.2">
      <c r="A35" s="23" t="s">
        <v>17</v>
      </c>
      <c r="B35" s="23">
        <f>'Annual Raw'!C23</f>
        <v>2054.21</v>
      </c>
      <c r="C35" s="23">
        <f>'Annual Raw'!D23</f>
        <v>1455.71</v>
      </c>
      <c r="D35" s="23">
        <f>'Annual Raw'!E23</f>
        <v>1678.55</v>
      </c>
      <c r="E35" s="23">
        <f>'Annual Raw'!F23</f>
        <v>1620.36</v>
      </c>
      <c r="F35" s="23">
        <f>'Annual Raw'!G23</f>
        <v>1712.06</v>
      </c>
      <c r="G35" s="23">
        <f>'Annual Raw'!H23</f>
        <v>2657.46</v>
      </c>
      <c r="H35" s="23">
        <f>'Annual Raw'!I23</f>
        <v>2650.73</v>
      </c>
      <c r="I35" s="23">
        <f>'Annual Raw'!J23</f>
        <v>8763.4699999999993</v>
      </c>
      <c r="J35" s="23">
        <f>'Annual Raw'!K23</f>
        <v>4191.5</v>
      </c>
      <c r="K35" s="23">
        <f>'Annual Raw'!L23</f>
        <v>14588.25</v>
      </c>
      <c r="L35" s="23">
        <f>'Annual Raw'!M23</f>
        <v>5550</v>
      </c>
      <c r="M35" s="23">
        <f>'Annual Raw'!N23</f>
        <v>8620</v>
      </c>
      <c r="N35" s="23">
        <f>'Annual Raw'!O23</f>
        <v>10085</v>
      </c>
      <c r="O35" s="23">
        <f>'Annual Raw'!P23</f>
        <v>10959</v>
      </c>
      <c r="P35" s="23">
        <f>'Annual Raw'!Q23</f>
        <v>8727</v>
      </c>
      <c r="Q35" s="23">
        <f>'Annual Raw'!R23</f>
        <v>12518</v>
      </c>
      <c r="R35" s="23">
        <f>'Annual Raw'!S23</f>
        <v>9443</v>
      </c>
      <c r="S35" s="23">
        <f>'Annual Raw'!T23</f>
        <v>9949</v>
      </c>
      <c r="T35" s="23">
        <f>'Annual Raw'!U23</f>
        <v>8386</v>
      </c>
      <c r="U35" s="23">
        <f>'Annual Raw'!V23</f>
        <v>13279</v>
      </c>
      <c r="V35" s="23">
        <f>'Annual Raw'!W23</f>
        <v>17142</v>
      </c>
      <c r="W35" s="23">
        <f>'Annual Raw'!X23</f>
        <v>14943</v>
      </c>
      <c r="X35" s="23">
        <f>'Annual Raw'!Y23</f>
        <v>13036</v>
      </c>
      <c r="Y35" s="23">
        <f>'Annual Raw'!Z23</f>
        <v>16057</v>
      </c>
      <c r="Z35" s="23">
        <f>'Annual Raw'!AA23</f>
        <v>18167</v>
      </c>
      <c r="AA35" s="76">
        <f t="shared" ref="AA35:AA36" si="439">SUM(CI35:CL35)</f>
        <v>28962</v>
      </c>
      <c r="AB35" s="76">
        <f t="shared" ref="AB35:AB36" si="440">+SUM(CM35:CP35)</f>
        <v>0</v>
      </c>
      <c r="AC35" s="76">
        <f t="shared" ref="AC35:AC36" si="441">+SUM(CQ35:CT35)</f>
        <v>0</v>
      </c>
      <c r="AD35" s="76">
        <f t="shared" ref="AD35:AD36" si="442">+SUM(CU35:CX35)</f>
        <v>0</v>
      </c>
      <c r="AE35" s="76">
        <f t="shared" ref="AE35:AE36" si="443">+SUM(CY35:DB35)</f>
        <v>0</v>
      </c>
      <c r="AI35" s="23">
        <f>'QTR Raw'!C23</f>
        <v>1904</v>
      </c>
      <c r="AJ35" s="23">
        <f>'QTR Raw'!D23</f>
        <v>2112</v>
      </c>
      <c r="AK35" s="23">
        <f>'QTR Raw'!E23</f>
        <v>1740</v>
      </c>
      <c r="AL35" s="23">
        <f>'QTR Raw'!F23</f>
        <v>2243</v>
      </c>
      <c r="AM35" s="23">
        <f>'QTR Raw'!G23</f>
        <v>2392</v>
      </c>
      <c r="AN35" s="23">
        <f>'QTR Raw'!H23</f>
        <v>2346</v>
      </c>
      <c r="AO35" s="23">
        <f>'QTR Raw'!I23</f>
        <v>2076</v>
      </c>
      <c r="AP35" s="23">
        <f>'QTR Raw'!J23</f>
        <v>2097</v>
      </c>
      <c r="AQ35" s="23">
        <f>'QTR Raw'!K23</f>
        <v>1974</v>
      </c>
      <c r="AR35" s="23">
        <f>'QTR Raw'!L23</f>
        <v>2009</v>
      </c>
      <c r="AS35" s="23">
        <f>'QTR Raw'!M23</f>
        <v>2340</v>
      </c>
      <c r="AT35" s="23">
        <f>'QTR Raw'!N23</f>
        <v>2172</v>
      </c>
      <c r="AU35" s="23">
        <f>'QTR Raw'!O23</f>
        <v>1584</v>
      </c>
      <c r="AV35" s="23">
        <f>'QTR Raw'!P23</f>
        <v>1460</v>
      </c>
      <c r="AW35" s="23">
        <f>'QTR Raw'!Q23</f>
        <v>2440</v>
      </c>
      <c r="AX35" s="23">
        <f>'QTR Raw'!R23</f>
        <v>1996</v>
      </c>
      <c r="AY35" s="23">
        <f>'QTR Raw'!S23</f>
        <v>2378</v>
      </c>
      <c r="AZ35" s="23">
        <f>'QTR Raw'!T23</f>
        <v>2393</v>
      </c>
      <c r="BA35" s="23">
        <f>'QTR Raw'!U23</f>
        <v>2736</v>
      </c>
      <c r="BB35" s="23">
        <f>'QTR Raw'!V23</f>
        <v>1936</v>
      </c>
      <c r="BC35" s="23">
        <f>'QTR Raw'!W23</f>
        <v>2124</v>
      </c>
      <c r="BD35" s="23">
        <f>'QTR Raw'!X23</f>
        <v>2317</v>
      </c>
      <c r="BE35" s="23">
        <f>'QTR Raw'!Y23</f>
        <v>2218</v>
      </c>
      <c r="BF35" s="23">
        <f>'QTR Raw'!Z23</f>
        <v>2203</v>
      </c>
      <c r="BG35" s="23">
        <f>'QTR Raw'!AA23</f>
        <v>1778</v>
      </c>
      <c r="BH35" s="23">
        <f>'QTR Raw'!AB23</f>
        <v>1250</v>
      </c>
      <c r="BI35" s="23">
        <f>'QTR Raw'!AC23</f>
        <v>2460</v>
      </c>
      <c r="BJ35" s="23">
        <f>'QTR Raw'!AD23</f>
        <v>2826</v>
      </c>
      <c r="BK35" s="23">
        <f>'QTR Raw'!AE23</f>
        <v>2846</v>
      </c>
      <c r="BL35" s="23">
        <f>'QTR Raw'!AF23</f>
        <v>3155</v>
      </c>
      <c r="BM35" s="23">
        <f>'QTR Raw'!AG23</f>
        <v>3282</v>
      </c>
      <c r="BN35" s="23">
        <f>'QTR Raw'!AH23</f>
        <v>3881</v>
      </c>
      <c r="BO35" s="23">
        <f>'QTR Raw'!AI23</f>
        <v>4388</v>
      </c>
      <c r="BP35" s="23">
        <f>'QTR Raw'!AJ23</f>
        <v>4249</v>
      </c>
      <c r="BQ35" s="23">
        <f>'QTR Raw'!AK23</f>
        <v>4453</v>
      </c>
      <c r="BR35" s="23">
        <f>'QTR Raw'!AL23</f>
        <v>3237</v>
      </c>
      <c r="BS35" s="23">
        <f>'QTR Raw'!AM23</f>
        <v>4219</v>
      </c>
      <c r="BT35" s="23">
        <f>'QTR Raw'!AN23</f>
        <v>4224</v>
      </c>
      <c r="BU35" s="23">
        <f>'QTR Raw'!AO23</f>
        <v>4047</v>
      </c>
      <c r="BV35" s="23">
        <f>'QTR Raw'!AP23</f>
        <v>2457</v>
      </c>
      <c r="BW35" s="23">
        <f>'QTR Raw'!AQ23</f>
        <v>2237</v>
      </c>
      <c r="BX35" s="23">
        <f>'QTR Raw'!AR23</f>
        <v>3476</v>
      </c>
      <c r="BY35" s="23">
        <f>'QTR Raw'!AS23</f>
        <v>3146</v>
      </c>
      <c r="BZ35" s="23">
        <f>'QTR Raw'!AT23</f>
        <v>2875</v>
      </c>
      <c r="CA35" s="23">
        <f>'QTR Raw'!AU23</f>
        <v>3813</v>
      </c>
      <c r="CB35" s="23">
        <f>'QTR Raw'!AV23</f>
        <v>3841</v>
      </c>
      <c r="CC35" s="23">
        <f>'QTR Raw'!AW23</f>
        <v>3869</v>
      </c>
      <c r="CD35" s="23">
        <f>'QTR Raw'!AX23</f>
        <v>4534</v>
      </c>
      <c r="CE35" s="23">
        <f>'QTR Raw'!AY23</f>
        <v>3983</v>
      </c>
      <c r="CF35" s="23">
        <f>'QTR Raw'!AZ23</f>
        <v>4876</v>
      </c>
      <c r="CG35" s="23">
        <f>'QTR Raw'!BA23</f>
        <v>4214</v>
      </c>
      <c r="CH35" s="23">
        <f>'QTR Raw'!BB23</f>
        <v>4905</v>
      </c>
      <c r="CI35" s="23">
        <f>'QTR Raw'!BC23</f>
        <v>15119</v>
      </c>
      <c r="CJ35" s="23">
        <f>'QTR Raw'!BD23</f>
        <v>4482</v>
      </c>
      <c r="CK35" s="23">
        <f>'QTR Raw'!BE23</f>
        <v>4914</v>
      </c>
      <c r="CL35" s="23">
        <f>'QTR Raw'!BF23</f>
        <v>4447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</row>
    <row r="36" spans="1:110" s="23" customFormat="1" x14ac:dyDescent="0.2">
      <c r="A36" s="23" t="s">
        <v>18</v>
      </c>
      <c r="B36" s="23">
        <f>'Annual Raw'!C25</f>
        <v>1215.99</v>
      </c>
      <c r="C36" s="23">
        <f>'Annual Raw'!D25</f>
        <v>1827.97</v>
      </c>
      <c r="D36" s="23">
        <f>'Annual Raw'!E25</f>
        <v>1558.48</v>
      </c>
      <c r="E36" s="23">
        <f>'Annual Raw'!F25</f>
        <v>1439.67</v>
      </c>
      <c r="F36" s="23">
        <f>'Annual Raw'!G25</f>
        <v>1474.07</v>
      </c>
      <c r="G36" s="23">
        <f>'Annual Raw'!H25</f>
        <v>934.56</v>
      </c>
      <c r="H36" s="23">
        <f>'Annual Raw'!I25</f>
        <v>1232.29</v>
      </c>
      <c r="I36" s="23">
        <f>'Annual Raw'!J25</f>
        <v>1086.52</v>
      </c>
      <c r="J36" s="23">
        <f>'Annual Raw'!K25</f>
        <v>1816.27</v>
      </c>
      <c r="K36" s="23">
        <f>'Annual Raw'!L25</f>
        <v>2059.58</v>
      </c>
      <c r="L36" s="23">
        <f>'Annual Raw'!M25</f>
        <v>2411</v>
      </c>
      <c r="M36" s="23">
        <f>'Annual Raw'!N25</f>
        <v>2893</v>
      </c>
      <c r="N36" s="23">
        <f>'Annual Raw'!O25</f>
        <v>3463</v>
      </c>
      <c r="O36" s="23">
        <f>'Annual Raw'!P25</f>
        <v>3836</v>
      </c>
      <c r="P36" s="23">
        <f>'Annual Raw'!Q25</f>
        <v>3316</v>
      </c>
      <c r="Q36" s="23">
        <f>'Annual Raw'!R25</f>
        <v>3691</v>
      </c>
      <c r="R36" s="23">
        <f>'Annual Raw'!S25</f>
        <v>3849</v>
      </c>
      <c r="S36" s="23">
        <f>'Annual Raw'!T25</f>
        <v>8052</v>
      </c>
      <c r="T36" s="23">
        <f>'Annual Raw'!U25</f>
        <v>16495</v>
      </c>
      <c r="U36" s="23">
        <f>'Annual Raw'!V25</f>
        <v>22027</v>
      </c>
      <c r="V36" s="23">
        <f>'Annual Raw'!W25</f>
        <v>21189</v>
      </c>
      <c r="W36" s="23">
        <f>'Annual Raw'!X25</f>
        <v>14584</v>
      </c>
      <c r="X36" s="23">
        <f>'Annual Raw'!Y25</f>
        <v>19571</v>
      </c>
      <c r="Y36" s="23">
        <f>'Annual Raw'!Z25</f>
        <v>23118</v>
      </c>
      <c r="Z36" s="23">
        <f>'Annual Raw'!AA25</f>
        <v>24269</v>
      </c>
      <c r="AA36" s="76">
        <f t="shared" si="439"/>
        <v>27061</v>
      </c>
      <c r="AB36" s="76">
        <f t="shared" si="440"/>
        <v>4054.2892140331874</v>
      </c>
      <c r="AC36" s="76">
        <f t="shared" si="441"/>
        <v>1275.8058766090974</v>
      </c>
      <c r="AD36" s="76">
        <f t="shared" si="442"/>
        <v>116.05343452778374</v>
      </c>
      <c r="AE36" s="76">
        <f t="shared" si="443"/>
        <v>-3872.7007863425056</v>
      </c>
      <c r="AI36" s="23">
        <f>'QTR Raw'!C25</f>
        <v>784</v>
      </c>
      <c r="AJ36" s="23">
        <f>'QTR Raw'!D25</f>
        <v>737</v>
      </c>
      <c r="AK36" s="23">
        <f>'QTR Raw'!E25</f>
        <v>806</v>
      </c>
      <c r="AL36" s="23">
        <f>'QTR Raw'!F25</f>
        <v>709</v>
      </c>
      <c r="AM36" s="23">
        <f>'QTR Raw'!G25</f>
        <v>938</v>
      </c>
      <c r="AN36" s="23">
        <f>'QTR Raw'!H25</f>
        <v>959</v>
      </c>
      <c r="AO36" s="23">
        <f>'QTR Raw'!I25</f>
        <v>961</v>
      </c>
      <c r="AP36" s="23">
        <f>'QTR Raw'!J25</f>
        <v>978</v>
      </c>
      <c r="AQ36" s="23">
        <f>'QTR Raw'!K25</f>
        <v>505</v>
      </c>
      <c r="AR36" s="23">
        <f>'QTR Raw'!L25</f>
        <v>997</v>
      </c>
      <c r="AS36" s="23">
        <f>'QTR Raw'!M25</f>
        <v>1137</v>
      </c>
      <c r="AT36" s="23">
        <f>'QTR Raw'!N25</f>
        <v>677</v>
      </c>
      <c r="AU36" s="23">
        <f>'QTR Raw'!O25</f>
        <v>915</v>
      </c>
      <c r="AV36" s="23">
        <f>'QTR Raw'!P25</f>
        <v>993</v>
      </c>
      <c r="AW36" s="23">
        <f>'QTR Raw'!Q25</f>
        <v>945</v>
      </c>
      <c r="AX36" s="23">
        <f>'QTR Raw'!R25</f>
        <v>842</v>
      </c>
      <c r="AY36" s="23">
        <f>'QTR Raw'!S25</f>
        <v>1206</v>
      </c>
      <c r="AZ36" s="23">
        <f>'QTR Raw'!T25</f>
        <v>883</v>
      </c>
      <c r="BA36" s="23">
        <f>'QTR Raw'!U25</f>
        <v>1204</v>
      </c>
      <c r="BB36" s="23">
        <f>'QTR Raw'!V25</f>
        <v>556</v>
      </c>
      <c r="BC36" s="23">
        <f>'QTR Raw'!W25</f>
        <v>1119</v>
      </c>
      <c r="BD36" s="23">
        <f>'QTR Raw'!X25</f>
        <v>2272</v>
      </c>
      <c r="BE36" s="23">
        <f>'QTR Raw'!Y25</f>
        <v>2095</v>
      </c>
      <c r="BF36" s="23">
        <f>'QTR Raw'!Z25</f>
        <v>2566</v>
      </c>
      <c r="BG36" s="23">
        <f>'QTR Raw'!AA25</f>
        <v>3550</v>
      </c>
      <c r="BH36" s="23">
        <f>'QTR Raw'!AB25</f>
        <v>3932</v>
      </c>
      <c r="BI36" s="23">
        <f>'QTR Raw'!AC25</f>
        <v>4119</v>
      </c>
      <c r="BJ36" s="23">
        <f>'QTR Raw'!AD25</f>
        <v>4894</v>
      </c>
      <c r="BK36" s="23">
        <f>'QTR Raw'!AE25</f>
        <v>5109</v>
      </c>
      <c r="BL36" s="23">
        <f>'QTR Raw'!AF25</f>
        <v>5450</v>
      </c>
      <c r="BM36" s="23">
        <f>'QTR Raw'!AG25</f>
        <v>5404</v>
      </c>
      <c r="BN36" s="23">
        <f>'QTR Raw'!AH25</f>
        <v>6064</v>
      </c>
      <c r="BO36" s="23">
        <f>'QTR Raw'!AI25</f>
        <v>6735</v>
      </c>
      <c r="BP36" s="23">
        <f>'QTR Raw'!AJ25</f>
        <v>6084</v>
      </c>
      <c r="BQ36" s="23">
        <f>'QTR Raw'!AK25</f>
        <v>4326</v>
      </c>
      <c r="BR36" s="23">
        <f>'QTR Raw'!AL25</f>
        <v>4044</v>
      </c>
      <c r="BS36" s="23">
        <f>'QTR Raw'!AM25</f>
        <v>3397</v>
      </c>
      <c r="BT36" s="23">
        <f>'QTR Raw'!AN25</f>
        <v>3819</v>
      </c>
      <c r="BU36" s="23">
        <f>'QTR Raw'!AO25</f>
        <v>3812</v>
      </c>
      <c r="BV36" s="23">
        <f>'QTR Raw'!AP25</f>
        <v>3556</v>
      </c>
      <c r="BW36" s="23">
        <f>'QTR Raw'!AQ25</f>
        <v>3997</v>
      </c>
      <c r="BX36" s="23">
        <f>'QTR Raw'!AR25</f>
        <v>4554</v>
      </c>
      <c r="BY36" s="23">
        <f>'QTR Raw'!AS25</f>
        <v>5201</v>
      </c>
      <c r="BZ36" s="23">
        <f>'QTR Raw'!AT25</f>
        <v>5819</v>
      </c>
      <c r="CA36" s="23">
        <f>'QTR Raw'!AU25</f>
        <v>5837</v>
      </c>
      <c r="CB36" s="23">
        <f>'QTR Raw'!AV25</f>
        <v>5731</v>
      </c>
      <c r="CC36" s="23">
        <f>'QTR Raw'!AW25</f>
        <v>5789</v>
      </c>
      <c r="CD36" s="23">
        <f>'QTR Raw'!AX25</f>
        <v>5761</v>
      </c>
      <c r="CE36" s="23">
        <f>'QTR Raw'!AY25</f>
        <v>5918</v>
      </c>
      <c r="CF36" s="23">
        <f>'QTR Raw'!AZ25</f>
        <v>6017</v>
      </c>
      <c r="CG36" s="23">
        <f>'QTR Raw'!BA25</f>
        <v>6179</v>
      </c>
      <c r="CH36" s="23">
        <f>'QTR Raw'!BB25</f>
        <v>6155</v>
      </c>
      <c r="CI36" s="23">
        <f>'QTR Raw'!BC25</f>
        <v>7036</v>
      </c>
      <c r="CJ36" s="23">
        <f>'QTR Raw'!BD25</f>
        <v>6827</v>
      </c>
      <c r="CK36" s="23">
        <f>'QTR Raw'!BE25</f>
        <v>6613</v>
      </c>
      <c r="CL36" s="23">
        <f>'QTR Raw'!BF25</f>
        <v>6585</v>
      </c>
      <c r="CM36" s="24">
        <f t="shared" ref="CM36:DB36" si="444">CM37*CL168</f>
        <v>1226.2104333343293</v>
      </c>
      <c r="CN36" s="24">
        <f t="shared" si="444"/>
        <v>1095.4965997280397</v>
      </c>
      <c r="CO36" s="24">
        <f t="shared" si="444"/>
        <v>946.07492012890441</v>
      </c>
      <c r="CP36" s="24">
        <f t="shared" si="444"/>
        <v>786.50726084191376</v>
      </c>
      <c r="CQ36" s="24">
        <f t="shared" si="444"/>
        <v>587.29855174182285</v>
      </c>
      <c r="CR36" s="24">
        <f t="shared" si="444"/>
        <v>422.7443700651861</v>
      </c>
      <c r="CS36" s="24">
        <f t="shared" si="444"/>
        <v>234.86758679728476</v>
      </c>
      <c r="CT36" s="24">
        <f t="shared" si="444"/>
        <v>30.895368004803576</v>
      </c>
      <c r="CU36" s="24">
        <f t="shared" si="444"/>
        <v>379.92448299194223</v>
      </c>
      <c r="CV36" s="24">
        <f t="shared" si="444"/>
        <v>119.66603520395091</v>
      </c>
      <c r="CW36" s="24">
        <f t="shared" si="444"/>
        <v>-79.243315869629797</v>
      </c>
      <c r="CX36" s="24">
        <f t="shared" si="444"/>
        <v>-304.29376779847962</v>
      </c>
      <c r="CY36" s="24">
        <f t="shared" si="444"/>
        <v>-539.03743527590518</v>
      </c>
      <c r="CZ36" s="24">
        <f t="shared" si="444"/>
        <v>-853.8792444928381</v>
      </c>
      <c r="DA36" s="24">
        <f t="shared" si="444"/>
        <v>-1101.4674235531418</v>
      </c>
      <c r="DB36" s="24">
        <f t="shared" si="444"/>
        <v>-1378.3166830206205</v>
      </c>
      <c r="DE36" s="123"/>
      <c r="DF36" s="23">
        <v>3120.8524986353236</v>
      </c>
    </row>
    <row r="37" spans="1:110" s="46" customFormat="1" x14ac:dyDescent="0.2">
      <c r="A37" s="46" t="s">
        <v>482</v>
      </c>
      <c r="B37" s="46">
        <f t="shared" ref="B37:D37" si="445">+B36/B128</f>
        <v>0.11996992834302998</v>
      </c>
      <c r="C37" s="46">
        <f t="shared" si="445"/>
        <v>9.6466156604926606E-2</v>
      </c>
      <c r="D37" s="46">
        <f t="shared" si="445"/>
        <v>7.8780780376989948E-2</v>
      </c>
      <c r="E37" s="46">
        <f t="shared" ref="E37:AE37" si="446">+E36/E128</f>
        <v>6.8501011335233716E-2</v>
      </c>
      <c r="F37" s="46">
        <f t="shared" si="446"/>
        <v>7.8336767268477742E-2</v>
      </c>
      <c r="G37" s="46">
        <f t="shared" si="446"/>
        <v>4.0036328118306284E-2</v>
      </c>
      <c r="H37" s="46">
        <f t="shared" si="446"/>
        <v>3.6619191785918478E-2</v>
      </c>
      <c r="I37" s="46">
        <f t="shared" si="446"/>
        <v>2.143202759818361E-2</v>
      </c>
      <c r="J37" s="46">
        <f t="shared" si="446"/>
        <v>2.3817872813631867E-2</v>
      </c>
      <c r="K37" s="46">
        <f t="shared" si="446"/>
        <v>3.1879319290364042E-2</v>
      </c>
      <c r="L37" s="46">
        <f t="shared" si="446"/>
        <v>2.8650537123300693E-2</v>
      </c>
      <c r="M37" s="46">
        <f t="shared" si="446"/>
        <v>3.129360606617846E-2</v>
      </c>
      <c r="N37" s="46">
        <f t="shared" si="446"/>
        <v>3.2298379951314599E-2</v>
      </c>
      <c r="O37" s="46">
        <f t="shared" si="446"/>
        <v>2.7645252886320068E-2</v>
      </c>
      <c r="P37" s="46">
        <f t="shared" si="446"/>
        <v>2.0613814239445988E-2</v>
      </c>
      <c r="Q37" s="46">
        <f t="shared" si="446"/>
        <v>2.0346850124583801E-2</v>
      </c>
      <c r="R37" s="46">
        <f t="shared" si="446"/>
        <v>1.9504606309985913E-2</v>
      </c>
      <c r="S37" s="46">
        <f t="shared" si="446"/>
        <v>3.6661157476335526E-2</v>
      </c>
      <c r="T37" s="46">
        <f t="shared" si="446"/>
        <v>5.7100822154911295E-2</v>
      </c>
      <c r="U37" s="46">
        <f t="shared" si="446"/>
        <v>6.5499235787733354E-2</v>
      </c>
      <c r="V37" s="46">
        <f t="shared" si="446"/>
        <v>8.4146443165707616E-2</v>
      </c>
      <c r="W37" s="46">
        <f t="shared" si="446"/>
        <v>5.4764274046675804E-2</v>
      </c>
      <c r="X37" s="46">
        <f t="shared" si="446"/>
        <v>6.2334775103036637E-2</v>
      </c>
      <c r="Y37" s="46">
        <f t="shared" si="446"/>
        <v>7.1215136373998067E-2</v>
      </c>
      <c r="Z37" s="46">
        <f t="shared" si="446"/>
        <v>6.9832820188185193E-2</v>
      </c>
      <c r="AA37" s="110">
        <f t="shared" si="446"/>
        <v>7.2274258121205803E-2</v>
      </c>
      <c r="AB37" s="110">
        <f t="shared" si="446"/>
        <v>1.0828156577844692E-2</v>
      </c>
      <c r="AC37" s="110">
        <f t="shared" si="446"/>
        <v>3.4074100454010254E-3</v>
      </c>
      <c r="AD37" s="110">
        <f t="shared" si="446"/>
        <v>3.0995439499329294E-4</v>
      </c>
      <c r="AE37" s="110">
        <f t="shared" si="446"/>
        <v>-1.0343171954410958E-2</v>
      </c>
      <c r="AI37" s="46" t="e">
        <f t="shared" ref="AI37:BN37" si="447">(AI36-AI35)/AH168</f>
        <v>#DIV/0!</v>
      </c>
      <c r="AJ37" s="46" t="e">
        <f t="shared" si="447"/>
        <v>#DIV/0!</v>
      </c>
      <c r="AK37" s="46">
        <f t="shared" si="447"/>
        <v>6.017265816260791E-2</v>
      </c>
      <c r="AL37" s="46">
        <f t="shared" si="447"/>
        <v>8.1620211085929872E-2</v>
      </c>
      <c r="AM37" s="46">
        <f t="shared" si="447"/>
        <v>-0.14544363308992697</v>
      </c>
      <c r="AN37" s="46">
        <f t="shared" si="447"/>
        <v>-0.19603806380019187</v>
      </c>
      <c r="AO37" s="46">
        <f t="shared" si="447"/>
        <v>0.10178000912825194</v>
      </c>
      <c r="AP37" s="46">
        <f t="shared" si="447"/>
        <v>6.7898569192692437E-2</v>
      </c>
      <c r="AQ37" s="46">
        <f t="shared" si="447"/>
        <v>-2.3658442311408876E-2</v>
      </c>
      <c r="AR37" s="46">
        <f t="shared" si="447"/>
        <v>-1.8008153341567874E-2</v>
      </c>
      <c r="AS37" s="46">
        <f t="shared" si="447"/>
        <v>-1.6246438073115724E-2</v>
      </c>
      <c r="AT37" s="46">
        <f t="shared" si="447"/>
        <v>-2.1747765200062923E-2</v>
      </c>
      <c r="AU37" s="46">
        <f t="shared" si="447"/>
        <v>-7.2268853096542117E-3</v>
      </c>
      <c r="AV37" s="46">
        <f t="shared" si="447"/>
        <v>-5.4030537661114361E-3</v>
      </c>
      <c r="AW37" s="46">
        <f t="shared" si="447"/>
        <v>-1.3577578377592908E-2</v>
      </c>
      <c r="AX37" s="46">
        <f t="shared" si="447"/>
        <v>-1.1236477920311985E-2</v>
      </c>
      <c r="AY37" s="46">
        <f t="shared" si="447"/>
        <v>-1.0496055023687769E-2</v>
      </c>
      <c r="AZ37" s="46">
        <f t="shared" si="447"/>
        <v>-1.4464069951276857E-2</v>
      </c>
      <c r="BA37" s="46">
        <f t="shared" si="447"/>
        <v>-1.1591308032201441E-2</v>
      </c>
      <c r="BB37" s="46">
        <f t="shared" si="447"/>
        <v>-1.1048731383553691E-2</v>
      </c>
      <c r="BC37" s="46">
        <f t="shared" si="447"/>
        <v>-8.1447083708152002E-3</v>
      </c>
      <c r="BD37" s="46">
        <f t="shared" si="447"/>
        <v>-3.8706762063456869E-4</v>
      </c>
      <c r="BE37" s="46">
        <f t="shared" si="447"/>
        <v>-1.0143075083494826E-3</v>
      </c>
      <c r="BF37" s="46">
        <f t="shared" si="447"/>
        <v>3.2377154573129752E-3</v>
      </c>
      <c r="BG37" s="46">
        <f t="shared" si="447"/>
        <v>1.4797989076879394E-2</v>
      </c>
      <c r="BH37" s="46">
        <f t="shared" si="447"/>
        <v>2.430068559887872E-2</v>
      </c>
      <c r="BI37" s="46">
        <f t="shared" si="447"/>
        <v>9.5643852043169452E-3</v>
      </c>
      <c r="BJ37" s="46">
        <f t="shared" si="447"/>
        <v>1.2680444322597557E-2</v>
      </c>
      <c r="BK37" s="46">
        <f t="shared" si="447"/>
        <v>1.1920690272758879E-2</v>
      </c>
      <c r="BL37" s="46">
        <f t="shared" si="447"/>
        <v>1.2782692061825359E-2</v>
      </c>
      <c r="BM37" s="46">
        <f t="shared" si="447"/>
        <v>1.2425488060523019E-2</v>
      </c>
      <c r="BN37" s="46">
        <f t="shared" si="447"/>
        <v>1.3658633659001702E-2</v>
      </c>
      <c r="BO37" s="46">
        <f t="shared" ref="BO37:CL37" si="448">(BO36-BO35)/BN168</f>
        <v>1.2511861479246409E-2</v>
      </c>
      <c r="BP37" s="46">
        <f t="shared" si="448"/>
        <v>1.0443871771601283E-2</v>
      </c>
      <c r="BQ37" s="46">
        <f t="shared" si="448"/>
        <v>-1.045697818032112E-3</v>
      </c>
      <c r="BR37" s="46">
        <f t="shared" si="448"/>
        <v>7.5571377527731002E-3</v>
      </c>
      <c r="BS37" s="46">
        <f t="shared" si="448"/>
        <v>-1.0028303728284208E-2</v>
      </c>
      <c r="BT37" s="46">
        <f t="shared" si="448"/>
        <v>-5.6859062766695355E-3</v>
      </c>
      <c r="BU37" s="46">
        <f t="shared" si="448"/>
        <v>-2.7972860373765029E-3</v>
      </c>
      <c r="BV37" s="46">
        <f t="shared" si="448"/>
        <v>1.659884087286877E-2</v>
      </c>
      <c r="BW37" s="46">
        <f t="shared" si="448"/>
        <v>1.4425165356654017E-2</v>
      </c>
      <c r="BX37" s="46">
        <f t="shared" si="448"/>
        <v>1.0199012174761374E-2</v>
      </c>
      <c r="BY37" s="46">
        <f t="shared" si="448"/>
        <v>1.1636730163763619E-2</v>
      </c>
      <c r="BZ37" s="46">
        <f t="shared" si="448"/>
        <v>1.8438051412291424E-2</v>
      </c>
      <c r="CA37" s="46">
        <f t="shared" si="448"/>
        <v>1.5958495296816973E-2</v>
      </c>
      <c r="CB37" s="46">
        <f t="shared" si="448"/>
        <v>1.7496538439622188E-2</v>
      </c>
      <c r="CC37" s="46">
        <f t="shared" si="448"/>
        <v>1.5641165592694271E-2</v>
      </c>
      <c r="CD37" s="46">
        <f t="shared" si="448"/>
        <v>1.1975619051159337E-2</v>
      </c>
      <c r="CE37" s="46">
        <f t="shared" si="448"/>
        <v>1.5961790690192778E-2</v>
      </c>
      <c r="CF37" s="46">
        <f t="shared" si="448"/>
        <v>1.0831838861898183E-2</v>
      </c>
      <c r="CG37" s="46">
        <f t="shared" si="448"/>
        <v>1.6166585765177256E-2</v>
      </c>
      <c r="CH37" s="46">
        <f t="shared" si="448"/>
        <v>1.2264087463718005E-2</v>
      </c>
      <c r="CI37" s="46">
        <f t="shared" si="448"/>
        <v>-6.608131197933273E-2</v>
      </c>
      <c r="CJ37" s="46">
        <f t="shared" si="448"/>
        <v>2.1751591745023925E-2</v>
      </c>
      <c r="CK37" s="46">
        <f t="shared" si="448"/>
        <v>1.3662059038750713E-2</v>
      </c>
      <c r="CL37" s="46">
        <f t="shared" si="448"/>
        <v>9.3594561862893715E-3</v>
      </c>
      <c r="CM37" s="47">
        <f t="shared" ref="CM37" si="449">+CL37</f>
        <v>9.3594561862893715E-3</v>
      </c>
      <c r="CN37" s="47">
        <f t="shared" ref="CN37" si="450">+CM37</f>
        <v>9.3594561862893715E-3</v>
      </c>
      <c r="CO37" s="47">
        <f t="shared" ref="CO37" si="451">+CN37</f>
        <v>9.3594561862893715E-3</v>
      </c>
      <c r="CP37" s="47">
        <f t="shared" ref="CP37" si="452">+CO37</f>
        <v>9.3594561862893715E-3</v>
      </c>
      <c r="CQ37" s="47">
        <f>+CP37</f>
        <v>9.3594561862893715E-3</v>
      </c>
      <c r="CR37" s="47">
        <f t="shared" ref="CR37:DB37" si="453">+CQ37</f>
        <v>9.3594561862893715E-3</v>
      </c>
      <c r="CS37" s="47">
        <f t="shared" si="453"/>
        <v>9.3594561862893715E-3</v>
      </c>
      <c r="CT37" s="47">
        <f t="shared" si="453"/>
        <v>9.3594561862893715E-3</v>
      </c>
      <c r="CU37" s="47">
        <f t="shared" si="453"/>
        <v>9.3594561862893715E-3</v>
      </c>
      <c r="CV37" s="47">
        <f t="shared" si="453"/>
        <v>9.3594561862893715E-3</v>
      </c>
      <c r="CW37" s="47">
        <f t="shared" si="453"/>
        <v>9.3594561862893715E-3</v>
      </c>
      <c r="CX37" s="47">
        <f t="shared" si="453"/>
        <v>9.3594561862893715E-3</v>
      </c>
      <c r="CY37" s="47">
        <f t="shared" si="453"/>
        <v>9.3594561862893715E-3</v>
      </c>
      <c r="CZ37" s="47">
        <f t="shared" si="453"/>
        <v>9.3594561862893715E-3</v>
      </c>
      <c r="DA37" s="47">
        <f t="shared" si="453"/>
        <v>9.3594561862893715E-3</v>
      </c>
      <c r="DB37" s="47">
        <f t="shared" si="453"/>
        <v>9.3594561862893715E-3</v>
      </c>
      <c r="DE37" s="130"/>
      <c r="DF37" s="46">
        <v>1.3662059038750713E-2</v>
      </c>
    </row>
    <row r="38" spans="1:110" s="26" customFormat="1" x14ac:dyDescent="0.2">
      <c r="A38" s="26" t="s">
        <v>20</v>
      </c>
      <c r="B38" s="26">
        <f>B34+B35-B36</f>
        <v>2780.619999999999</v>
      </c>
      <c r="C38" s="26">
        <f t="shared" ref="C38:T38" si="454">C34+C35-C36</f>
        <v>4053.2100000000037</v>
      </c>
      <c r="D38" s="26">
        <f>D34+D35-D36</f>
        <v>4873.3799999999992</v>
      </c>
      <c r="E38" s="26">
        <f t="shared" si="454"/>
        <v>6310.0700000000152</v>
      </c>
      <c r="F38" s="26">
        <f t="shared" si="454"/>
        <v>9094.8199999999943</v>
      </c>
      <c r="G38" s="26">
        <f t="shared" si="454"/>
        <v>11123.79999999999</v>
      </c>
      <c r="H38" s="26">
        <f t="shared" si="454"/>
        <v>14647.030000000002</v>
      </c>
      <c r="I38" s="26">
        <f t="shared" si="454"/>
        <v>23010.829999999991</v>
      </c>
      <c r="J38" s="26">
        <f t="shared" si="454"/>
        <v>17869.140000000018</v>
      </c>
      <c r="K38" s="26">
        <f t="shared" si="454"/>
        <v>28679.86</v>
      </c>
      <c r="L38" s="26">
        <f t="shared" si="454"/>
        <v>24055</v>
      </c>
      <c r="M38" s="26">
        <f t="shared" si="454"/>
        <v>25408</v>
      </c>
      <c r="N38" s="26">
        <f t="shared" si="454"/>
        <v>26217</v>
      </c>
      <c r="O38" s="26">
        <f t="shared" si="454"/>
        <v>28763</v>
      </c>
      <c r="P38" s="26">
        <f t="shared" si="454"/>
        <v>31114</v>
      </c>
      <c r="Q38" s="26">
        <f t="shared" si="454"/>
        <v>38501</v>
      </c>
      <c r="R38" s="26">
        <f t="shared" si="454"/>
        <v>40142</v>
      </c>
      <c r="S38" s="26">
        <f t="shared" si="454"/>
        <v>49367</v>
      </c>
      <c r="T38" s="26">
        <f t="shared" si="454"/>
        <v>55124</v>
      </c>
      <c r="U38" s="26">
        <f t="shared" ref="U38:Z38" si="455">U34+U35-U36</f>
        <v>57943</v>
      </c>
      <c r="V38" s="26">
        <f t="shared" si="455"/>
        <v>49303</v>
      </c>
      <c r="W38" s="26">
        <f t="shared" si="455"/>
        <v>79023</v>
      </c>
      <c r="X38" s="26">
        <f t="shared" si="455"/>
        <v>94022</v>
      </c>
      <c r="Y38" s="26">
        <f t="shared" si="455"/>
        <v>104340</v>
      </c>
      <c r="Z38" s="26">
        <f t="shared" si="455"/>
        <v>106017</v>
      </c>
      <c r="AA38" s="27">
        <f t="shared" ref="AA38" si="456">AA34+AA35-AA36</f>
        <v>123162</v>
      </c>
      <c r="AB38" s="27">
        <f t="shared" ref="AB38:AD38" si="457">AB34+AB35-AB36</f>
        <v>126486.59805606841</v>
      </c>
      <c r="AC38" s="27">
        <f t="shared" si="457"/>
        <v>147892.66226759125</v>
      </c>
      <c r="AD38" s="27">
        <f t="shared" si="457"/>
        <v>170600.38929445783</v>
      </c>
      <c r="AE38" s="27">
        <f t="shared" ref="AE38" si="458">AE34+AE35-AE36</f>
        <v>198787.25934820194</v>
      </c>
      <c r="AI38" s="26">
        <f>AI34+AI35-AI36</f>
        <v>5468</v>
      </c>
      <c r="AJ38" s="26">
        <f t="shared" ref="AJ38" si="459">AJ34+AJ35-AJ36</f>
        <v>6846</v>
      </c>
      <c r="AK38" s="26">
        <f t="shared" ref="AK38:AM38" si="460">AK34+AK35-AK36</f>
        <v>6850</v>
      </c>
      <c r="AL38" s="26">
        <f t="shared" si="460"/>
        <v>7120</v>
      </c>
      <c r="AM38" s="26">
        <f t="shared" si="460"/>
        <v>6592</v>
      </c>
      <c r="AN38" s="26">
        <f t="shared" ref="AN38:AO38" si="461">AN34+AN35-AN36</f>
        <v>7456</v>
      </c>
      <c r="AO38" s="26">
        <f t="shared" si="461"/>
        <v>6990</v>
      </c>
      <c r="AP38" s="26">
        <f t="shared" ref="AP38:CD38" si="462">AP34+AP35-AP36</f>
        <v>7635</v>
      </c>
      <c r="AQ38" s="26">
        <f t="shared" si="462"/>
        <v>7676</v>
      </c>
      <c r="AR38" s="26">
        <f t="shared" si="462"/>
        <v>7806</v>
      </c>
      <c r="AS38" s="26">
        <f t="shared" si="462"/>
        <v>6938</v>
      </c>
      <c r="AT38" s="26">
        <f t="shared" si="462"/>
        <v>8576</v>
      </c>
      <c r="AU38" s="26">
        <f t="shared" si="462"/>
        <v>7877</v>
      </c>
      <c r="AV38" s="26">
        <f t="shared" si="462"/>
        <v>6926</v>
      </c>
      <c r="AW38" s="26">
        <f t="shared" si="462"/>
        <v>9857</v>
      </c>
      <c r="AX38" s="26">
        <f t="shared" si="462"/>
        <v>9270</v>
      </c>
      <c r="AY38" s="26">
        <f t="shared" si="462"/>
        <v>9670</v>
      </c>
      <c r="AZ38" s="26">
        <f t="shared" si="462"/>
        <v>9900</v>
      </c>
      <c r="BA38" s="26">
        <f t="shared" si="462"/>
        <v>10313</v>
      </c>
      <c r="BB38" s="26">
        <f t="shared" si="462"/>
        <v>10259</v>
      </c>
      <c r="BC38" s="26">
        <f t="shared" si="462"/>
        <v>10522</v>
      </c>
      <c r="BD38" s="26">
        <f t="shared" si="462"/>
        <v>11323</v>
      </c>
      <c r="BE38" s="26">
        <f t="shared" si="462"/>
        <v>13173</v>
      </c>
      <c r="BF38" s="26">
        <f t="shared" si="462"/>
        <v>13262</v>
      </c>
      <c r="BG38" s="26">
        <f t="shared" si="462"/>
        <v>13716</v>
      </c>
      <c r="BH38" s="26">
        <f t="shared" si="462"/>
        <v>13197</v>
      </c>
      <c r="BI38" s="26">
        <f t="shared" si="462"/>
        <v>14421</v>
      </c>
      <c r="BJ38" s="26">
        <f t="shared" si="462"/>
        <v>13790</v>
      </c>
      <c r="BK38" s="26">
        <f t="shared" si="462"/>
        <v>14341</v>
      </c>
      <c r="BL38" s="26">
        <f t="shared" si="462"/>
        <v>15001</v>
      </c>
      <c r="BM38" s="26">
        <f t="shared" si="462"/>
        <v>15082</v>
      </c>
      <c r="BN38" s="26">
        <f t="shared" si="462"/>
        <v>13519</v>
      </c>
      <c r="BO38" s="26">
        <f t="shared" si="462"/>
        <v>8220</v>
      </c>
      <c r="BP38" s="26">
        <f t="shared" si="462"/>
        <v>10484</v>
      </c>
      <c r="BQ38" s="26">
        <f t="shared" si="462"/>
        <v>15028</v>
      </c>
      <c r="BR38" s="26">
        <f t="shared" si="462"/>
        <v>15571</v>
      </c>
      <c r="BS38" s="26">
        <f t="shared" si="462"/>
        <v>17307</v>
      </c>
      <c r="BT38" s="26">
        <f t="shared" si="462"/>
        <v>19195</v>
      </c>
      <c r="BU38" s="26">
        <f t="shared" si="462"/>
        <v>22258</v>
      </c>
      <c r="BV38" s="26">
        <f t="shared" si="462"/>
        <v>22266</v>
      </c>
      <c r="BW38" s="26">
        <f t="shared" si="462"/>
        <v>27055</v>
      </c>
      <c r="BX38" s="26">
        <f t="shared" si="462"/>
        <v>20236</v>
      </c>
      <c r="BY38" s="26">
        <f t="shared" si="462"/>
        <v>22771</v>
      </c>
      <c r="BZ38" s="26">
        <f t="shared" si="462"/>
        <v>23960</v>
      </c>
      <c r="CA38" s="26">
        <f t="shared" si="462"/>
        <v>24294</v>
      </c>
      <c r="CB38" s="26">
        <f t="shared" si="462"/>
        <v>26493</v>
      </c>
      <c r="CC38" s="26">
        <f t="shared" si="462"/>
        <v>25833</v>
      </c>
      <c r="CD38" s="26">
        <f t="shared" si="462"/>
        <v>27720</v>
      </c>
      <c r="CE38" s="26">
        <f t="shared" ref="CE38:CF38" si="463">CE34+CE35-CE36</f>
        <v>23234</v>
      </c>
      <c r="CF38" s="26">
        <f t="shared" si="463"/>
        <v>25037</v>
      </c>
      <c r="CG38" s="26">
        <f t="shared" ref="CG38:CH38" si="464">CG34+CG35-CG36</f>
        <v>28643</v>
      </c>
      <c r="CH38" s="26">
        <f t="shared" si="464"/>
        <v>29103</v>
      </c>
      <c r="CI38" s="26">
        <f t="shared" ref="CI38:CJ38" si="465">CI34+CI35-CI36</f>
        <v>37146</v>
      </c>
      <c r="CJ38" s="26">
        <f t="shared" si="465"/>
        <v>29124</v>
      </c>
      <c r="CK38" s="26">
        <f t="shared" ref="CK38:CL38" si="466">CK34+CK35-CK36</f>
        <v>29697</v>
      </c>
      <c r="CL38" s="26">
        <f t="shared" si="466"/>
        <v>27195</v>
      </c>
      <c r="CM38" s="27">
        <f t="shared" ref="CM38:DB38" si="467">CM34+CM35-CM36</f>
        <v>28195.333501147212</v>
      </c>
      <c r="CN38" s="27">
        <f t="shared" si="467"/>
        <v>30350.417110277071</v>
      </c>
      <c r="CO38" s="27">
        <f t="shared" si="467"/>
        <v>31559.782019514863</v>
      </c>
      <c r="CP38" s="27">
        <f t="shared" si="467"/>
        <v>36381.065425129302</v>
      </c>
      <c r="CQ38" s="27">
        <f t="shared" si="467"/>
        <v>32374.351796141713</v>
      </c>
      <c r="CR38" s="27">
        <f t="shared" si="467"/>
        <v>35072.85722975048</v>
      </c>
      <c r="CS38" s="27">
        <f t="shared" si="467"/>
        <v>37177.614144966654</v>
      </c>
      <c r="CT38" s="27">
        <f t="shared" si="467"/>
        <v>43267.839096732336</v>
      </c>
      <c r="CU38" s="27">
        <f t="shared" si="467"/>
        <v>37249.863759962456</v>
      </c>
      <c r="CV38" s="27">
        <f t="shared" si="467"/>
        <v>40521.030435077104</v>
      </c>
      <c r="CW38" s="27">
        <f t="shared" si="467"/>
        <v>43028.434357161073</v>
      </c>
      <c r="CX38" s="27">
        <f t="shared" si="467"/>
        <v>49801.060742257381</v>
      </c>
      <c r="CY38" s="27">
        <f t="shared" si="467"/>
        <v>43606.786212647516</v>
      </c>
      <c r="CZ38" s="27">
        <f t="shared" si="467"/>
        <v>47328.006775783077</v>
      </c>
      <c r="DA38" s="27">
        <f t="shared" si="467"/>
        <v>50167.999476147059</v>
      </c>
      <c r="DB38" s="27">
        <f t="shared" si="467"/>
        <v>57684.466883624351</v>
      </c>
      <c r="DE38" s="121"/>
      <c r="DF38" s="26">
        <v>30496.438655070786</v>
      </c>
    </row>
    <row r="39" spans="1:110" s="23" customFormat="1" x14ac:dyDescent="0.2">
      <c r="A39" s="23" t="s">
        <v>21</v>
      </c>
      <c r="B39" s="23">
        <f>'Annual Raw'!C30</f>
        <v>135</v>
      </c>
      <c r="C39" s="23">
        <f>'Annual Raw'!D30</f>
        <v>1186.04</v>
      </c>
      <c r="D39" s="23">
        <f>'Annual Raw'!E30</f>
        <v>870.07</v>
      </c>
      <c r="E39" s="23">
        <f>'Annual Raw'!F30</f>
        <v>1141.08</v>
      </c>
      <c r="F39" s="23">
        <f>'Annual Raw'!G30</f>
        <v>1497.22</v>
      </c>
      <c r="G39" s="23">
        <f>'Annual Raw'!H30</f>
        <v>1629.5</v>
      </c>
      <c r="H39" s="23">
        <f>'Annual Raw'!I30</f>
        <v>2572.29</v>
      </c>
      <c r="I39" s="23">
        <f>'Annual Raw'!J30</f>
        <v>3487.59</v>
      </c>
      <c r="J39" s="23">
        <f>'Annual Raw'!K30</f>
        <v>2918.83</v>
      </c>
      <c r="K39" s="23">
        <f>'Annual Raw'!L30</f>
        <v>4256.28</v>
      </c>
      <c r="L39" s="23">
        <f>'Annual Raw'!M30</f>
        <v>4783</v>
      </c>
      <c r="M39" s="23">
        <f>'Annual Raw'!N30</f>
        <v>5691</v>
      </c>
      <c r="N39" s="23">
        <f>'Annual Raw'!O30</f>
        <v>5331</v>
      </c>
      <c r="O39" s="23">
        <f>'Annual Raw'!P30</f>
        <v>6215</v>
      </c>
      <c r="P39" s="23">
        <f>'Annual Raw'!Q30</f>
        <v>7474</v>
      </c>
      <c r="Q39" s="23">
        <f>'Annual Raw'!R30</f>
        <v>8876</v>
      </c>
      <c r="R39" s="23">
        <f>'Annual Raw'!S30</f>
        <v>10201</v>
      </c>
      <c r="S39" s="23">
        <f>'Annual Raw'!T30</f>
        <v>13346</v>
      </c>
      <c r="T39" s="23">
        <f>'Annual Raw'!U30</f>
        <v>15390</v>
      </c>
      <c r="U39" s="23">
        <f>'Annual Raw'!V30</f>
        <v>13726</v>
      </c>
      <c r="V39" s="23">
        <f>'Annual Raw'!W30</f>
        <v>1722</v>
      </c>
      <c r="W39" s="23">
        <f>'Annual Raw'!X30</f>
        <v>15970</v>
      </c>
      <c r="X39" s="23">
        <f>'Annual Raw'!Y30</f>
        <v>20376</v>
      </c>
      <c r="Y39" s="23">
        <f>'Annual Raw'!Z30</f>
        <v>25707</v>
      </c>
      <c r="Z39" s="23">
        <f>'Annual Raw'!AA30</f>
        <v>25230</v>
      </c>
      <c r="AA39" s="24">
        <f>SUM(CI39:CL39)</f>
        <v>27552</v>
      </c>
      <c r="AB39" s="24">
        <f>+SUM(CM39:CP39)</f>
        <v>27798.792122240946</v>
      </c>
      <c r="AC39" s="24">
        <f>+SUM(CQ39:CT39)</f>
        <v>32506.070064004016</v>
      </c>
      <c r="AD39" s="24">
        <f>+SUM(CU39:CX39)</f>
        <v>37478.690175828364</v>
      </c>
      <c r="AE39" s="24">
        <f>+SUM(CY39:DB39)</f>
        <v>43663.85820209641</v>
      </c>
      <c r="AI39" s="23">
        <f>'QTR Raw'!C29</f>
        <v>965</v>
      </c>
      <c r="AJ39" s="23">
        <f>'QTR Raw'!D29</f>
        <v>1437</v>
      </c>
      <c r="AK39" s="23">
        <f>'QTR Raw'!E29</f>
        <v>1348</v>
      </c>
      <c r="AL39" s="23">
        <f>'QTR Raw'!F29</f>
        <v>1531</v>
      </c>
      <c r="AM39" s="23">
        <f>'QTR Raw'!G29</f>
        <v>1355</v>
      </c>
      <c r="AN39" s="23">
        <f>'QTR Raw'!H29</f>
        <v>1607</v>
      </c>
      <c r="AO39" s="23">
        <f>'QTR Raw'!I29</f>
        <v>1494</v>
      </c>
      <c r="AP39" s="23">
        <f>'QTR Raw'!J29</f>
        <v>1759</v>
      </c>
      <c r="AQ39" s="23">
        <f>'QTR Raw'!K29</f>
        <v>1765</v>
      </c>
      <c r="AR39" s="23">
        <f>'QTR Raw'!L29</f>
        <v>1882</v>
      </c>
      <c r="AS39" s="23">
        <f>'QTR Raw'!M29</f>
        <v>1747</v>
      </c>
      <c r="AT39" s="23">
        <f>'QTR Raw'!N29</f>
        <v>2080</v>
      </c>
      <c r="AU39" s="23">
        <f>'QTR Raw'!O29</f>
        <v>1961</v>
      </c>
      <c r="AV39" s="23">
        <f>'QTR Raw'!P29</f>
        <v>2001</v>
      </c>
      <c r="AW39" s="23">
        <f>'QTR Raw'!Q29</f>
        <v>2531</v>
      </c>
      <c r="AX39" s="23">
        <f>'QTR Raw'!R29</f>
        <v>2377</v>
      </c>
      <c r="AY39" s="23">
        <f>'QTR Raw'!S29</f>
        <v>2581</v>
      </c>
      <c r="AZ39" s="23">
        <f>'QTR Raw'!T29</f>
        <v>2703</v>
      </c>
      <c r="BA39" s="23">
        <f>'QTR Raw'!U29</f>
        <v>2716</v>
      </c>
      <c r="BB39" s="23">
        <f>'QTR Raw'!V29</f>
        <v>2201</v>
      </c>
      <c r="BC39" s="23">
        <f>'QTR Raw'!W29</f>
        <v>2544</v>
      </c>
      <c r="BD39" s="23">
        <f>'QTR Raw'!X29</f>
        <v>3240</v>
      </c>
      <c r="BE39" s="23">
        <f>'QTR Raw'!Y29</f>
        <v>3775</v>
      </c>
      <c r="BF39" s="23">
        <f>'QTR Raw'!Z29</f>
        <v>3787</v>
      </c>
      <c r="BG39" s="23">
        <f>'QTR Raw'!AA29</f>
        <v>4241</v>
      </c>
      <c r="BH39" s="23">
        <f>'QTR Raw'!AB29</f>
        <v>3649</v>
      </c>
      <c r="BI39" s="23">
        <f>'QTR Raw'!AC29</f>
        <v>4069</v>
      </c>
      <c r="BJ39" s="23">
        <f>'QTR Raw'!AD29</f>
        <v>3431</v>
      </c>
      <c r="BK39" s="23">
        <f>'QTR Raw'!AE29</f>
        <v>4225</v>
      </c>
      <c r="BL39" s="23">
        <f>'QTR Raw'!AF29</f>
        <v>3703</v>
      </c>
      <c r="BM39" s="23">
        <f>'QTR Raw'!AG29</f>
        <v>3121</v>
      </c>
      <c r="BN39" s="23">
        <f>'QTR Raw'!AH29</f>
        <v>2677</v>
      </c>
      <c r="BO39" s="23">
        <f>'QTR Raw'!AI29</f>
        <v>260</v>
      </c>
      <c r="BP39" s="23">
        <f>'QTR Raw'!AJ29</f>
        <v>-13</v>
      </c>
      <c r="BQ39" s="23">
        <f>'QTR Raw'!AK29</f>
        <v>88</v>
      </c>
      <c r="BR39" s="23">
        <f>'QTR Raw'!AL29</f>
        <v>1387</v>
      </c>
      <c r="BS39" s="23">
        <f>'QTR Raw'!AM29</f>
        <v>3464</v>
      </c>
      <c r="BT39" s="23">
        <f>'QTR Raw'!AN29</f>
        <v>3755</v>
      </c>
      <c r="BU39" s="23">
        <f>'QTR Raw'!AO29</f>
        <v>4688</v>
      </c>
      <c r="BV39" s="23">
        <f>'QTR Raw'!AP29</f>
        <v>4390</v>
      </c>
      <c r="BW39" s="23">
        <f>'QTR Raw'!AQ29</f>
        <v>7591</v>
      </c>
      <c r="BX39" s="23">
        <f>'QTR Raw'!AR29</f>
        <v>4835</v>
      </c>
      <c r="BY39" s="23">
        <f>'QTR Raw'!AS29</f>
        <v>5196</v>
      </c>
      <c r="BZ39" s="23">
        <f>'QTR Raw'!AT29</f>
        <v>2754</v>
      </c>
      <c r="CA39" s="23">
        <f>'QTR Raw'!AU29</f>
        <v>6112</v>
      </c>
      <c r="CB39" s="23">
        <f>'QTR Raw'!AV29</f>
        <v>6673</v>
      </c>
      <c r="CC39" s="23">
        <f>'QTR Raw'!AW29</f>
        <v>6345</v>
      </c>
      <c r="CD39" s="23">
        <f>'QTR Raw'!AX29</f>
        <v>6577</v>
      </c>
      <c r="CE39" s="23">
        <f>'QTR Raw'!AY29</f>
        <v>5786</v>
      </c>
      <c r="CF39" s="23">
        <f>'QTR Raw'!AZ29</f>
        <v>5936</v>
      </c>
      <c r="CG39" s="23">
        <f>'QTR Raw'!BA29</f>
        <v>6839</v>
      </c>
      <c r="CH39" s="23">
        <f>'QTR Raw'!BB29</f>
        <v>6669</v>
      </c>
      <c r="CI39" s="23">
        <f>'QTR Raw'!BC29</f>
        <v>6465</v>
      </c>
      <c r="CJ39" s="23">
        <f>'QTR Raw'!BD29</f>
        <v>6978</v>
      </c>
      <c r="CK39" s="23">
        <f>'QTR Raw'!BE29</f>
        <v>7530</v>
      </c>
      <c r="CL39" s="23">
        <f>'QTR Raw'!BF29</f>
        <v>6579</v>
      </c>
      <c r="CM39" s="24">
        <f t="shared" ref="CM39:DB39" si="468">+CM38*CM40</f>
        <v>6087.8210243561316</v>
      </c>
      <c r="CN39" s="24">
        <f t="shared" si="468"/>
        <v>6854.9674064070532</v>
      </c>
      <c r="CO39" s="24">
        <f t="shared" si="468"/>
        <v>7025.1618856199175</v>
      </c>
      <c r="CP39" s="24">
        <f t="shared" si="468"/>
        <v>7830.8418058578436</v>
      </c>
      <c r="CQ39" s="24">
        <f t="shared" si="468"/>
        <v>7119.2832669571626</v>
      </c>
      <c r="CR39" s="24">
        <f t="shared" si="468"/>
        <v>7747.675829308886</v>
      </c>
      <c r="CS39" s="24">
        <f t="shared" si="468"/>
        <v>8166.5361355213017</v>
      </c>
      <c r="CT39" s="24">
        <f t="shared" si="468"/>
        <v>9472.5748322166655</v>
      </c>
      <c r="CU39" s="24">
        <f t="shared" si="468"/>
        <v>8189.372038516929</v>
      </c>
      <c r="CV39" s="24">
        <f t="shared" si="468"/>
        <v>8907.9766379013672</v>
      </c>
      <c r="CW39" s="24">
        <f t="shared" si="468"/>
        <v>9447.7221663235559</v>
      </c>
      <c r="CX39" s="24">
        <f t="shared" si="468"/>
        <v>10933.61933308651</v>
      </c>
      <c r="CY39" s="24">
        <f t="shared" si="468"/>
        <v>9580.4195706921546</v>
      </c>
      <c r="CZ39" s="24">
        <f t="shared" si="468"/>
        <v>10396.203347806197</v>
      </c>
      <c r="DA39" s="24">
        <f t="shared" si="468"/>
        <v>11017.873528323957</v>
      </c>
      <c r="DB39" s="24">
        <f t="shared" si="468"/>
        <v>12669.3617552741</v>
      </c>
      <c r="DE39" s="123"/>
      <c r="DF39" s="23">
        <v>7517.2726488234257</v>
      </c>
    </row>
    <row r="40" spans="1:110" s="90" customFormat="1" x14ac:dyDescent="0.2">
      <c r="A40" s="90" t="s">
        <v>106</v>
      </c>
      <c r="B40" s="90">
        <f t="shared" ref="B40:E40" si="469">B39/B38</f>
        <v>4.8550323309190055E-2</v>
      </c>
      <c r="C40" s="90">
        <f t="shared" si="469"/>
        <v>0.29261745628773217</v>
      </c>
      <c r="D40" s="90">
        <f t="shared" si="469"/>
        <v>0.17853522606486671</v>
      </c>
      <c r="E40" s="90">
        <f t="shared" si="469"/>
        <v>0.18083476094559919</v>
      </c>
      <c r="F40" s="90">
        <f t="shared" ref="F40:T40" si="470">F39/F38</f>
        <v>0.1646233790223447</v>
      </c>
      <c r="G40" s="90">
        <f t="shared" si="470"/>
        <v>0.1464877110339993</v>
      </c>
      <c r="H40" s="90">
        <f t="shared" si="470"/>
        <v>0.17561853836579835</v>
      </c>
      <c r="I40" s="90">
        <f t="shared" si="470"/>
        <v>0.15156298143091759</v>
      </c>
      <c r="J40" s="90">
        <f t="shared" si="470"/>
        <v>0.16334473847090555</v>
      </c>
      <c r="K40" s="90">
        <f t="shared" si="470"/>
        <v>0.1484065821799688</v>
      </c>
      <c r="L40" s="90">
        <f t="shared" si="470"/>
        <v>0.19883600083142797</v>
      </c>
      <c r="M40" s="90">
        <f t="shared" si="470"/>
        <v>0.22398457178841311</v>
      </c>
      <c r="N40" s="90">
        <f t="shared" si="470"/>
        <v>0.20334134340313537</v>
      </c>
      <c r="O40" s="90">
        <f t="shared" si="470"/>
        <v>0.21607620901853075</v>
      </c>
      <c r="P40" s="90">
        <f t="shared" si="470"/>
        <v>0.24021340875490133</v>
      </c>
      <c r="Q40" s="90">
        <f t="shared" si="470"/>
        <v>0.23053946650736346</v>
      </c>
      <c r="R40" s="90">
        <f t="shared" si="470"/>
        <v>0.25412286383339144</v>
      </c>
      <c r="S40" s="90">
        <f t="shared" si="470"/>
        <v>0.27034253651224505</v>
      </c>
      <c r="T40" s="90">
        <f t="shared" si="470"/>
        <v>0.27918873811769829</v>
      </c>
      <c r="U40" s="90">
        <f t="shared" ref="U40:Z40" si="471">U39/U38</f>
        <v>0.2368879761144573</v>
      </c>
      <c r="V40" s="90">
        <f t="shared" si="471"/>
        <v>3.4926880717197739E-2</v>
      </c>
      <c r="W40" s="90">
        <f t="shared" si="471"/>
        <v>0.20209306151373652</v>
      </c>
      <c r="X40" s="90">
        <f t="shared" si="471"/>
        <v>0.21671523685945843</v>
      </c>
      <c r="Y40" s="90">
        <f t="shared" si="471"/>
        <v>0.24637722829212191</v>
      </c>
      <c r="Z40" s="90">
        <f t="shared" si="471"/>
        <v>0.23798070120829679</v>
      </c>
      <c r="AA40" s="91">
        <f t="shared" ref="AA40:AD40" si="472">AA39/AA38</f>
        <v>0.22370536366736493</v>
      </c>
      <c r="AB40" s="91">
        <f t="shared" si="472"/>
        <v>0.21977658146769369</v>
      </c>
      <c r="AC40" s="91">
        <f t="shared" si="472"/>
        <v>0.21979501596359657</v>
      </c>
      <c r="AD40" s="91">
        <f t="shared" si="472"/>
        <v>0.21968701437802585</v>
      </c>
      <c r="AE40" s="91">
        <f t="shared" ref="AE40" si="473">AE39/AE38</f>
        <v>0.21965119065107405</v>
      </c>
      <c r="AI40" s="90">
        <f t="shared" ref="AI40" si="474">AI39/AI38</f>
        <v>0.17648134601316753</v>
      </c>
      <c r="AJ40" s="90">
        <f t="shared" ref="AJ40" si="475">AJ39/AJ38</f>
        <v>0.20990359333917616</v>
      </c>
      <c r="AK40" s="90">
        <f t="shared" ref="AK40:AM40" si="476">AK39/AK38</f>
        <v>0.19678832116788322</v>
      </c>
      <c r="AL40" s="90">
        <f t="shared" si="476"/>
        <v>0.21502808988764044</v>
      </c>
      <c r="AM40" s="90">
        <f t="shared" si="476"/>
        <v>0.20555218446601942</v>
      </c>
      <c r="AN40" s="90">
        <f t="shared" ref="AN40:AO40" si="477">AN39/AN38</f>
        <v>0.21553111587982832</v>
      </c>
      <c r="AO40" s="90">
        <f t="shared" si="477"/>
        <v>0.21373390557939914</v>
      </c>
      <c r="AP40" s="90">
        <f t="shared" ref="AP40:CD40" si="478">AP39/AP38</f>
        <v>0.23038637851997382</v>
      </c>
      <c r="AQ40" s="90">
        <f t="shared" si="478"/>
        <v>0.22993746743095361</v>
      </c>
      <c r="AR40" s="90">
        <f t="shared" si="478"/>
        <v>0.24109659236484754</v>
      </c>
      <c r="AS40" s="90">
        <f t="shared" si="478"/>
        <v>0.25180167195157105</v>
      </c>
      <c r="AT40" s="90">
        <f t="shared" si="478"/>
        <v>0.24253731343283583</v>
      </c>
      <c r="AU40" s="90">
        <f t="shared" si="478"/>
        <v>0.24895264694680716</v>
      </c>
      <c r="AV40" s="90">
        <f t="shared" si="478"/>
        <v>0.28891134854172684</v>
      </c>
      <c r="AW40" s="90">
        <f t="shared" si="478"/>
        <v>0.25677183727300396</v>
      </c>
      <c r="AX40" s="90">
        <f t="shared" si="478"/>
        <v>0.25641855447680689</v>
      </c>
      <c r="AY40" s="90">
        <f t="shared" si="478"/>
        <v>0.26690796277145812</v>
      </c>
      <c r="AZ40" s="90">
        <f t="shared" si="478"/>
        <v>0.27303030303030301</v>
      </c>
      <c r="BA40" s="90">
        <f t="shared" si="478"/>
        <v>0.26335692814893824</v>
      </c>
      <c r="BB40" s="90">
        <f t="shared" si="478"/>
        <v>0.21454332780972804</v>
      </c>
      <c r="BC40" s="90">
        <f t="shared" si="478"/>
        <v>0.24177912944307167</v>
      </c>
      <c r="BD40" s="90">
        <f t="shared" si="478"/>
        <v>0.28614324825576259</v>
      </c>
      <c r="BE40" s="90">
        <f t="shared" si="478"/>
        <v>0.28657101647308891</v>
      </c>
      <c r="BF40" s="90">
        <f t="shared" si="478"/>
        <v>0.28555270698235558</v>
      </c>
      <c r="BG40" s="90">
        <f t="shared" si="478"/>
        <v>0.30920093321668124</v>
      </c>
      <c r="BH40" s="90">
        <f t="shared" si="478"/>
        <v>0.27650223535652041</v>
      </c>
      <c r="BI40" s="90">
        <f t="shared" si="478"/>
        <v>0.28215796408016086</v>
      </c>
      <c r="BJ40" s="90">
        <f t="shared" si="478"/>
        <v>0.24880348078317621</v>
      </c>
      <c r="BK40" s="90">
        <f t="shared" si="478"/>
        <v>0.29460985984240989</v>
      </c>
      <c r="BL40" s="90">
        <f t="shared" si="478"/>
        <v>0.24685020998600093</v>
      </c>
      <c r="BM40" s="90">
        <f t="shared" si="478"/>
        <v>0.20693541970560933</v>
      </c>
      <c r="BN40" s="90">
        <f t="shared" si="478"/>
        <v>0.19801760485242992</v>
      </c>
      <c r="BO40" s="90">
        <f t="shared" si="478"/>
        <v>3.1630170316301706E-2</v>
      </c>
      <c r="BP40" s="90">
        <f t="shared" si="478"/>
        <v>-1.2399847386493704E-3</v>
      </c>
      <c r="BQ40" s="90">
        <f t="shared" si="478"/>
        <v>5.8557359595421878E-3</v>
      </c>
      <c r="BR40" s="90">
        <f t="shared" si="478"/>
        <v>8.9075846124205257E-2</v>
      </c>
      <c r="BS40" s="90">
        <f t="shared" si="478"/>
        <v>0.20015022823135148</v>
      </c>
      <c r="BT40" s="90">
        <f t="shared" si="478"/>
        <v>0.19562386038030738</v>
      </c>
      <c r="BU40" s="90">
        <f t="shared" si="478"/>
        <v>0.21062090035043579</v>
      </c>
      <c r="BV40" s="90">
        <f t="shared" si="478"/>
        <v>0.1971615916644211</v>
      </c>
      <c r="BW40" s="90">
        <f t="shared" si="478"/>
        <v>0.28057660321567179</v>
      </c>
      <c r="BX40" s="90">
        <f t="shared" si="478"/>
        <v>0.2389306186993477</v>
      </c>
      <c r="BY40" s="90">
        <f t="shared" si="478"/>
        <v>0.22818497211365332</v>
      </c>
      <c r="BZ40" s="90">
        <f t="shared" si="478"/>
        <v>0.11494156928213689</v>
      </c>
      <c r="CA40" s="90">
        <f t="shared" si="478"/>
        <v>0.25158475343706266</v>
      </c>
      <c r="CB40" s="90">
        <f t="shared" si="478"/>
        <v>0.25187785452761108</v>
      </c>
      <c r="CC40" s="90">
        <f t="shared" si="478"/>
        <v>0.24561607246545117</v>
      </c>
      <c r="CD40" s="90">
        <f t="shared" si="478"/>
        <v>0.23726551226551226</v>
      </c>
      <c r="CE40" s="90">
        <f t="shared" ref="CE40:CF40" si="479">CE39/CE38</f>
        <v>0.24903159163295172</v>
      </c>
      <c r="CF40" s="90">
        <f t="shared" si="479"/>
        <v>0.23708910811998243</v>
      </c>
      <c r="CG40" s="90">
        <f t="shared" ref="CG40:CH40" si="480">CG39/CG38</f>
        <v>0.23876688894319728</v>
      </c>
      <c r="CH40" s="90">
        <f t="shared" si="480"/>
        <v>0.22915163385218018</v>
      </c>
      <c r="CI40" s="90">
        <f t="shared" ref="CI40:CJ40" si="481">CI39/CI38</f>
        <v>0.17404296559521887</v>
      </c>
      <c r="CJ40" s="90">
        <f t="shared" si="481"/>
        <v>0.2395962093119077</v>
      </c>
      <c r="CK40" s="90">
        <f t="shared" ref="CK40:CL40" si="482">CK39/CK38</f>
        <v>0.25356096575411657</v>
      </c>
      <c r="CL40" s="90">
        <f t="shared" si="482"/>
        <v>0.24191947049089907</v>
      </c>
      <c r="CM40" s="91">
        <f>AVERAGE(CI40:CL40)*0.95</f>
        <v>0.21591590764863378</v>
      </c>
      <c r="CN40" s="91">
        <f t="shared" ref="CN40:CP40" si="483">AVERAGE(CJ40:CM40)*0.95</f>
        <v>0.22586073138631979</v>
      </c>
      <c r="CO40" s="91">
        <f t="shared" si="483"/>
        <v>0.2225985553789927</v>
      </c>
      <c r="CP40" s="91">
        <f t="shared" si="483"/>
        <v>0.21524498291490077</v>
      </c>
      <c r="CQ40" s="91">
        <f t="shared" ref="CQ40:DB40" si="484">AVERAGE(CM40:CP40)</f>
        <v>0.21990504433221175</v>
      </c>
      <c r="CR40" s="91">
        <f t="shared" si="484"/>
        <v>0.22090232850310626</v>
      </c>
      <c r="CS40" s="91">
        <f t="shared" si="484"/>
        <v>0.21966272778230284</v>
      </c>
      <c r="CT40" s="91">
        <f t="shared" si="484"/>
        <v>0.2189287708831304</v>
      </c>
      <c r="CU40" s="91">
        <f t="shared" si="484"/>
        <v>0.21984971787518781</v>
      </c>
      <c r="CV40" s="91">
        <f t="shared" si="484"/>
        <v>0.21983588626093184</v>
      </c>
      <c r="CW40" s="91">
        <f t="shared" si="484"/>
        <v>0.21956927570038823</v>
      </c>
      <c r="CX40" s="91">
        <f t="shared" si="484"/>
        <v>0.21954591267990956</v>
      </c>
      <c r="CY40" s="91">
        <f t="shared" si="484"/>
        <v>0.21970019812910435</v>
      </c>
      <c r="CZ40" s="91">
        <f t="shared" si="484"/>
        <v>0.21966281819258349</v>
      </c>
      <c r="DA40" s="91">
        <f t="shared" si="484"/>
        <v>0.21961955117549642</v>
      </c>
      <c r="DB40" s="91">
        <f t="shared" si="484"/>
        <v>0.21963212004427346</v>
      </c>
      <c r="DE40" s="127"/>
      <c r="DF40" s="90">
        <v>0.24649673799119143</v>
      </c>
    </row>
    <row r="41" spans="1:110" s="26" customFormat="1" x14ac:dyDescent="0.2">
      <c r="A41" s="26" t="s">
        <v>22</v>
      </c>
      <c r="B41" s="26">
        <f t="shared" ref="B41:E41" si="485">B38-B39</f>
        <v>2645.619999999999</v>
      </c>
      <c r="C41" s="26">
        <f t="shared" si="485"/>
        <v>2867.1700000000037</v>
      </c>
      <c r="D41" s="26">
        <f t="shared" si="485"/>
        <v>4003.309999999999</v>
      </c>
      <c r="E41" s="26">
        <f t="shared" si="485"/>
        <v>5168.9900000000152</v>
      </c>
      <c r="F41" s="26">
        <f t="shared" ref="F41:T41" si="486">F38-F39</f>
        <v>7597.599999999994</v>
      </c>
      <c r="G41" s="26">
        <f t="shared" si="486"/>
        <v>9494.2999999999902</v>
      </c>
      <c r="H41" s="26">
        <f t="shared" si="486"/>
        <v>12074.740000000002</v>
      </c>
      <c r="I41" s="26">
        <f t="shared" si="486"/>
        <v>19523.239999999991</v>
      </c>
      <c r="J41" s="26">
        <f t="shared" si="486"/>
        <v>14950.310000000018</v>
      </c>
      <c r="K41" s="26">
        <f t="shared" si="486"/>
        <v>24423.58</v>
      </c>
      <c r="L41" s="26">
        <f t="shared" si="486"/>
        <v>19272</v>
      </c>
      <c r="M41" s="26">
        <f t="shared" si="486"/>
        <v>19717</v>
      </c>
      <c r="N41" s="26">
        <f t="shared" si="486"/>
        <v>20886</v>
      </c>
      <c r="O41" s="26">
        <f t="shared" si="486"/>
        <v>22548</v>
      </c>
      <c r="P41" s="26">
        <f t="shared" si="486"/>
        <v>23640</v>
      </c>
      <c r="Q41" s="26">
        <f t="shared" si="486"/>
        <v>29625</v>
      </c>
      <c r="R41" s="26">
        <f t="shared" si="486"/>
        <v>29941</v>
      </c>
      <c r="S41" s="26">
        <f t="shared" si="486"/>
        <v>36021</v>
      </c>
      <c r="T41" s="26">
        <f t="shared" si="486"/>
        <v>39734</v>
      </c>
      <c r="U41" s="26">
        <f t="shared" ref="U41:Z41" si="487">U38-U39</f>
        <v>44217</v>
      </c>
      <c r="V41" s="26">
        <f t="shared" si="487"/>
        <v>47581</v>
      </c>
      <c r="W41" s="26">
        <f t="shared" si="487"/>
        <v>63053</v>
      </c>
      <c r="X41" s="26">
        <f t="shared" si="487"/>
        <v>73646</v>
      </c>
      <c r="Y41" s="26">
        <f t="shared" si="487"/>
        <v>78633</v>
      </c>
      <c r="Z41" s="26">
        <f t="shared" si="487"/>
        <v>80787</v>
      </c>
      <c r="AA41" s="27">
        <f t="shared" ref="AA41:AD41" si="488">AA38-AA39</f>
        <v>95610</v>
      </c>
      <c r="AB41" s="27">
        <f t="shared" si="488"/>
        <v>98687.805933827462</v>
      </c>
      <c r="AC41" s="27">
        <f t="shared" si="488"/>
        <v>115386.59220358724</v>
      </c>
      <c r="AD41" s="27">
        <f t="shared" si="488"/>
        <v>133121.69911862945</v>
      </c>
      <c r="AE41" s="27">
        <f t="shared" ref="AE41" si="489">AE38-AE39</f>
        <v>155123.40114610555</v>
      </c>
      <c r="AI41" s="26">
        <f>AI38-AI39</f>
        <v>4503</v>
      </c>
      <c r="AJ41" s="26">
        <f t="shared" ref="AJ41" si="490">AJ38-AJ39</f>
        <v>5409</v>
      </c>
      <c r="AK41" s="26">
        <f t="shared" ref="AK41:AM41" si="491">AK38-AK39</f>
        <v>5502</v>
      </c>
      <c r="AL41" s="26">
        <f t="shared" si="491"/>
        <v>5589</v>
      </c>
      <c r="AM41" s="26">
        <f t="shared" si="491"/>
        <v>5237</v>
      </c>
      <c r="AN41" s="26">
        <f t="shared" ref="AN41:AO41" si="492">AN38-AN39</f>
        <v>5849</v>
      </c>
      <c r="AO41" s="26">
        <f t="shared" si="492"/>
        <v>5496</v>
      </c>
      <c r="AP41" s="26">
        <f t="shared" ref="AP41:CD41" si="493">AP38-AP39</f>
        <v>5876</v>
      </c>
      <c r="AQ41" s="26">
        <f t="shared" si="493"/>
        <v>5911</v>
      </c>
      <c r="AR41" s="26">
        <f t="shared" si="493"/>
        <v>5924</v>
      </c>
      <c r="AS41" s="26">
        <f t="shared" si="493"/>
        <v>5191</v>
      </c>
      <c r="AT41" s="26">
        <f t="shared" si="493"/>
        <v>6496</v>
      </c>
      <c r="AU41" s="26">
        <f t="shared" si="493"/>
        <v>5916</v>
      </c>
      <c r="AV41" s="26">
        <f t="shared" si="493"/>
        <v>4925</v>
      </c>
      <c r="AW41" s="26">
        <f t="shared" si="493"/>
        <v>7326</v>
      </c>
      <c r="AX41" s="26">
        <f t="shared" si="493"/>
        <v>6893</v>
      </c>
      <c r="AY41" s="26">
        <f t="shared" si="493"/>
        <v>7089</v>
      </c>
      <c r="AZ41" s="26">
        <f t="shared" si="493"/>
        <v>7197</v>
      </c>
      <c r="BA41" s="26">
        <f t="shared" si="493"/>
        <v>7597</v>
      </c>
      <c r="BB41" s="26">
        <f t="shared" si="493"/>
        <v>8058</v>
      </c>
      <c r="BC41" s="26">
        <f t="shared" si="493"/>
        <v>7978</v>
      </c>
      <c r="BD41" s="26">
        <f t="shared" si="493"/>
        <v>8083</v>
      </c>
      <c r="BE41" s="26">
        <f t="shared" si="493"/>
        <v>9398</v>
      </c>
      <c r="BF41" s="26">
        <f t="shared" si="493"/>
        <v>9475</v>
      </c>
      <c r="BG41" s="26">
        <f t="shared" si="493"/>
        <v>9475</v>
      </c>
      <c r="BH41" s="26">
        <f t="shared" si="493"/>
        <v>9548</v>
      </c>
      <c r="BI41" s="26">
        <f t="shared" si="493"/>
        <v>10352</v>
      </c>
      <c r="BJ41" s="26">
        <f t="shared" si="493"/>
        <v>10359</v>
      </c>
      <c r="BK41" s="26">
        <f t="shared" si="493"/>
        <v>10116</v>
      </c>
      <c r="BL41" s="26">
        <f t="shared" si="493"/>
        <v>11298</v>
      </c>
      <c r="BM41" s="26">
        <f t="shared" si="493"/>
        <v>11961</v>
      </c>
      <c r="BN41" s="26">
        <f t="shared" si="493"/>
        <v>10842</v>
      </c>
      <c r="BO41" s="26">
        <f t="shared" si="493"/>
        <v>7960</v>
      </c>
      <c r="BP41" s="26">
        <f t="shared" si="493"/>
        <v>10497</v>
      </c>
      <c r="BQ41" s="26">
        <f t="shared" si="493"/>
        <v>14940</v>
      </c>
      <c r="BR41" s="26">
        <f t="shared" si="493"/>
        <v>14184</v>
      </c>
      <c r="BS41" s="26">
        <f t="shared" si="493"/>
        <v>13843</v>
      </c>
      <c r="BT41" s="26">
        <f t="shared" si="493"/>
        <v>15440</v>
      </c>
      <c r="BU41" s="26">
        <f t="shared" si="493"/>
        <v>17570</v>
      </c>
      <c r="BV41" s="26">
        <f t="shared" si="493"/>
        <v>17876</v>
      </c>
      <c r="BW41" s="26">
        <f t="shared" si="493"/>
        <v>19464</v>
      </c>
      <c r="BX41" s="26">
        <f t="shared" si="493"/>
        <v>15401</v>
      </c>
      <c r="BY41" s="26">
        <f t="shared" si="493"/>
        <v>17575</v>
      </c>
      <c r="BZ41" s="26">
        <f t="shared" si="493"/>
        <v>21206</v>
      </c>
      <c r="CA41" s="26">
        <f t="shared" si="493"/>
        <v>18182</v>
      </c>
      <c r="CB41" s="26">
        <f t="shared" si="493"/>
        <v>19820</v>
      </c>
      <c r="CC41" s="26">
        <f t="shared" si="493"/>
        <v>19488</v>
      </c>
      <c r="CD41" s="26">
        <f t="shared" si="493"/>
        <v>21143</v>
      </c>
      <c r="CE41" s="26">
        <f t="shared" ref="CE41:CF41" si="494">CE38-CE39</f>
        <v>17448</v>
      </c>
      <c r="CF41" s="26">
        <f t="shared" si="494"/>
        <v>19101</v>
      </c>
      <c r="CG41" s="26">
        <f t="shared" ref="CG41:CH41" si="495">CG38-CG39</f>
        <v>21804</v>
      </c>
      <c r="CH41" s="26">
        <f t="shared" si="495"/>
        <v>22434</v>
      </c>
      <c r="CI41" s="26">
        <f t="shared" ref="CI41:CJ41" si="496">CI38-CI39</f>
        <v>30681</v>
      </c>
      <c r="CJ41" s="26">
        <f t="shared" si="496"/>
        <v>22146</v>
      </c>
      <c r="CK41" s="26">
        <f t="shared" ref="CK41:CL41" si="497">CK38-CK39</f>
        <v>22167</v>
      </c>
      <c r="CL41" s="26">
        <f t="shared" si="497"/>
        <v>20616</v>
      </c>
      <c r="CM41" s="27">
        <f t="shared" ref="CM41:DB41" si="498">CM38-CM39</f>
        <v>22107.512476791082</v>
      </c>
      <c r="CN41" s="27">
        <f t="shared" si="498"/>
        <v>23495.449703870017</v>
      </c>
      <c r="CO41" s="27">
        <f t="shared" si="498"/>
        <v>24534.620133894947</v>
      </c>
      <c r="CP41" s="27">
        <f t="shared" si="498"/>
        <v>28550.223619271459</v>
      </c>
      <c r="CQ41" s="27">
        <f t="shared" si="498"/>
        <v>25255.068529184551</v>
      </c>
      <c r="CR41" s="27">
        <f t="shared" si="498"/>
        <v>27325.181400441594</v>
      </c>
      <c r="CS41" s="27">
        <f t="shared" si="498"/>
        <v>29011.078009445351</v>
      </c>
      <c r="CT41" s="27">
        <f t="shared" si="498"/>
        <v>33795.264264515674</v>
      </c>
      <c r="CU41" s="27">
        <f t="shared" si="498"/>
        <v>29060.491721445527</v>
      </c>
      <c r="CV41" s="27">
        <f t="shared" si="498"/>
        <v>31613.053797175737</v>
      </c>
      <c r="CW41" s="27">
        <f t="shared" si="498"/>
        <v>33580.712190837519</v>
      </c>
      <c r="CX41" s="27">
        <f t="shared" si="498"/>
        <v>38867.441409170875</v>
      </c>
      <c r="CY41" s="27">
        <f t="shared" si="498"/>
        <v>34026.366641955363</v>
      </c>
      <c r="CZ41" s="27">
        <f t="shared" si="498"/>
        <v>36931.803427976876</v>
      </c>
      <c r="DA41" s="27">
        <f t="shared" si="498"/>
        <v>39150.1259478231</v>
      </c>
      <c r="DB41" s="27">
        <f t="shared" si="498"/>
        <v>45015.105128350253</v>
      </c>
      <c r="DE41" s="121"/>
      <c r="DF41" s="26">
        <v>22979.16600624736</v>
      </c>
    </row>
    <row r="42" spans="1:110" s="45" customFormat="1" x14ac:dyDescent="0.2">
      <c r="A42" s="45" t="s">
        <v>107</v>
      </c>
      <c r="B42" s="45">
        <f t="shared" ref="B42:E42" si="499">+B41/B10</f>
        <v>0.12942491567337769</v>
      </c>
      <c r="C42" s="45">
        <f t="shared" si="499"/>
        <v>6.8110579176407421E-2</v>
      </c>
      <c r="D42" s="45">
        <f t="shared" si="499"/>
        <v>8.7198952212444877E-2</v>
      </c>
      <c r="E42" s="45">
        <f t="shared" si="499"/>
        <v>9.9355237274759076E-2</v>
      </c>
      <c r="F42" s="45">
        <f t="shared" ref="F42:AE42" si="500">+F41/F10</f>
        <v>0.11408208636759901</v>
      </c>
      <c r="G42" s="45">
        <f t="shared" si="500"/>
        <v>0.11435497413363536</v>
      </c>
      <c r="H42" s="45">
        <f t="shared" si="500"/>
        <v>0.10613279709406979</v>
      </c>
      <c r="I42" s="45">
        <f t="shared" si="500"/>
        <v>0.14235301100296566</v>
      </c>
      <c r="J42" s="45">
        <f t="shared" si="500"/>
        <v>9.8862012718747616E-2</v>
      </c>
      <c r="K42" s="45">
        <f t="shared" si="500"/>
        <v>0.11987637952972548</v>
      </c>
      <c r="L42" s="45">
        <f t="shared" si="500"/>
        <v>7.2502642855261826E-2</v>
      </c>
      <c r="M42" s="45">
        <f t="shared" si="500"/>
        <v>5.4998451887163492E-2</v>
      </c>
      <c r="N42" s="45">
        <f t="shared" si="500"/>
        <v>5.2601356966922044E-2</v>
      </c>
      <c r="O42" s="45">
        <f t="shared" si="500"/>
        <v>5.1898908990470928E-2</v>
      </c>
      <c r="P42" s="45">
        <f t="shared" si="500"/>
        <v>6.2966958328339123E-2</v>
      </c>
      <c r="Q42" s="45">
        <f t="shared" si="500"/>
        <v>0.10812083255778306</v>
      </c>
      <c r="R42" s="45">
        <f t="shared" si="500"/>
        <v>9.8044416501300011E-2</v>
      </c>
      <c r="S42" s="45">
        <f t="shared" si="500"/>
        <v>9.1966084299052536E-2</v>
      </c>
      <c r="T42" s="45">
        <f t="shared" si="500"/>
        <v>6.9805642567141418E-2</v>
      </c>
      <c r="U42" s="45">
        <f t="shared" si="500"/>
        <v>7.3999012610139997E-2</v>
      </c>
      <c r="V42" s="45">
        <f t="shared" si="500"/>
        <v>0.10190309343704756</v>
      </c>
      <c r="W42" s="45">
        <f t="shared" si="500"/>
        <v>9.0598207088595228E-2</v>
      </c>
      <c r="X42" s="45">
        <f t="shared" si="500"/>
        <v>8.3895037222257024E-2</v>
      </c>
      <c r="Y42" s="45">
        <f t="shared" si="500"/>
        <v>8.7266831212877219E-2</v>
      </c>
      <c r="Z42" s="45">
        <f t="shared" ref="Z42" si="501">+Z41/Z10</f>
        <v>8.3743740236531208E-2</v>
      </c>
      <c r="AA42" s="48">
        <f t="shared" si="500"/>
        <v>9.0435378100469255E-2</v>
      </c>
      <c r="AB42" s="48">
        <f t="shared" si="500"/>
        <v>8.4522337881525259E-2</v>
      </c>
      <c r="AC42" s="48">
        <f t="shared" si="500"/>
        <v>8.9360230166593876E-2</v>
      </c>
      <c r="AD42" s="48">
        <f t="shared" si="500"/>
        <v>9.3200836413726146E-2</v>
      </c>
      <c r="AE42" s="48">
        <f t="shared" si="500"/>
        <v>9.8178360758971767E-2</v>
      </c>
      <c r="AI42" s="45">
        <f t="shared" ref="AI42:BN42" si="502">+AI41/AI10</f>
        <v>4.9011711437154423E-2</v>
      </c>
      <c r="AJ42" s="45">
        <f t="shared" si="502"/>
        <v>5.9876461211477154E-2</v>
      </c>
      <c r="AK42" s="45">
        <f t="shared" si="502"/>
        <v>5.8602986600771151E-2</v>
      </c>
      <c r="AL42" s="45">
        <f t="shared" si="502"/>
        <v>6.6379248913275846E-2</v>
      </c>
      <c r="AM42" s="45">
        <f t="shared" si="502"/>
        <v>5.37111678615017E-2</v>
      </c>
      <c r="AN42" s="45">
        <f t="shared" si="502"/>
        <v>5.0644638976197281E-2</v>
      </c>
      <c r="AO42" s="45">
        <f t="shared" si="502"/>
        <v>4.6561276876937938E-2</v>
      </c>
      <c r="AP42" s="45">
        <f t="shared" si="502"/>
        <v>5.6812468577174459E-2</v>
      </c>
      <c r="AQ42" s="45">
        <f t="shared" si="502"/>
        <v>5.6488914373088686E-2</v>
      </c>
      <c r="AR42" s="45">
        <f t="shared" si="502"/>
        <v>5.3954115321912258E-2</v>
      </c>
      <c r="AS42" s="45">
        <f t="shared" si="502"/>
        <v>5.5502095629116413E-2</v>
      </c>
      <c r="AT42" s="45">
        <f t="shared" si="502"/>
        <v>9.6279828071735588E-2</v>
      </c>
      <c r="AU42" s="45">
        <f t="shared" si="502"/>
        <v>7.721725510670234E-2</v>
      </c>
      <c r="AV42" s="45">
        <f t="shared" si="502"/>
        <v>7.0025024171074327E-2</v>
      </c>
      <c r="AW42" s="45">
        <f t="shared" si="502"/>
        <v>0.10852047164780471</v>
      </c>
      <c r="AX42" s="45">
        <f t="shared" si="502"/>
        <v>0.11546837309032432</v>
      </c>
      <c r="AY42" s="45">
        <f t="shared" si="502"/>
        <v>0.10907831974149869</v>
      </c>
      <c r="AZ42" s="45">
        <f t="shared" si="502"/>
        <v>9.4497183597904433E-2</v>
      </c>
      <c r="BA42" s="45">
        <f t="shared" si="502"/>
        <v>9.5670461414467056E-2</v>
      </c>
      <c r="BB42" s="45">
        <f t="shared" si="502"/>
        <v>9.499781898777454E-2</v>
      </c>
      <c r="BC42" s="45">
        <f t="shared" si="502"/>
        <v>9.5578104970588593E-2</v>
      </c>
      <c r="BD42" s="45">
        <f t="shared" si="502"/>
        <v>8.8357145199549639E-2</v>
      </c>
      <c r="BE42" s="45">
        <f t="shared" si="502"/>
        <v>9.4158901913635906E-2</v>
      </c>
      <c r="BF42" s="45">
        <f t="shared" si="502"/>
        <v>8.1041782491553693E-2</v>
      </c>
      <c r="BG42" s="45">
        <f t="shared" si="502"/>
        <v>7.3588803628568761E-2</v>
      </c>
      <c r="BH42" s="45">
        <f t="shared" si="502"/>
        <v>6.6618756235914678E-2</v>
      </c>
      <c r="BI42" s="45">
        <f t="shared" si="502"/>
        <v>6.597917118127701E-2</v>
      </c>
      <c r="BJ42" s="45">
        <f t="shared" si="502"/>
        <v>7.4210186976144427E-2</v>
      </c>
      <c r="BK42" s="45">
        <f t="shared" si="502"/>
        <v>6.4033421952145841E-2</v>
      </c>
      <c r="BL42" s="45">
        <f t="shared" si="502"/>
        <v>7.5440201387544148E-2</v>
      </c>
      <c r="BM42" s="45">
        <f t="shared" si="502"/>
        <v>7.8022465460333201E-2</v>
      </c>
      <c r="BN42" s="45">
        <f t="shared" si="502"/>
        <v>7.9433226855786424E-2</v>
      </c>
      <c r="BO42" s="45">
        <f t="shared" ref="BO42:CT42" si="503">+BO41/BO10</f>
        <v>9.0195234156345963E-2</v>
      </c>
      <c r="BP42" s="45">
        <f t="shared" si="503"/>
        <v>9.436693156891654E-2</v>
      </c>
      <c r="BQ42" s="45">
        <f t="shared" si="503"/>
        <v>0.12676056338028169</v>
      </c>
      <c r="BR42" s="45">
        <f t="shared" si="503"/>
        <v>9.4828681263580142E-2</v>
      </c>
      <c r="BS42" s="45">
        <f t="shared" si="503"/>
        <v>9.8914604605963602E-2</v>
      </c>
      <c r="BT42" s="45">
        <f t="shared" si="503"/>
        <v>9.2118059077268194E-2</v>
      </c>
      <c r="BU42" s="45">
        <f t="shared" si="503"/>
        <v>9.4959114075243073E-2</v>
      </c>
      <c r="BV42" s="45">
        <f t="shared" si="503"/>
        <v>8.6201326100060274E-2</v>
      </c>
      <c r="BW42" s="45">
        <f t="shared" si="503"/>
        <v>8.8935596627904318E-2</v>
      </c>
      <c r="BX42" s="45">
        <f t="shared" si="503"/>
        <v>6.7133373145778941E-2</v>
      </c>
      <c r="BY42" s="45">
        <f t="shared" si="503"/>
        <v>8.1089061858381356E-2</v>
      </c>
      <c r="BZ42" s="45">
        <f t="shared" si="503"/>
        <v>9.9636336299651365E-2</v>
      </c>
      <c r="CA42" s="45">
        <f t="shared" si="503"/>
        <v>8.7599188664427952E-2</v>
      </c>
      <c r="CB42" s="45">
        <f t="shared" si="503"/>
        <v>8.5473034163338887E-2</v>
      </c>
      <c r="CC42" s="45">
        <f t="shared" si="503"/>
        <v>8.6580240441431269E-2</v>
      </c>
      <c r="CD42" s="45">
        <f t="shared" si="503"/>
        <v>8.9387104547779803E-2</v>
      </c>
      <c r="CE42" s="45">
        <f t="shared" si="503"/>
        <v>7.5276982017740648E-2</v>
      </c>
      <c r="CF42" s="45">
        <f t="shared" si="503"/>
        <v>8.249724663657762E-2</v>
      </c>
      <c r="CG42" s="45">
        <f t="shared" si="503"/>
        <v>9.0855299892493732E-2</v>
      </c>
      <c r="CH42" s="45">
        <f t="shared" si="503"/>
        <v>8.5826434266301432E-2</v>
      </c>
      <c r="CI42" s="45">
        <f t="shared" ref="CI42:CJ42" si="504">+CI41/CI10</f>
        <v>0.12593173310566758</v>
      </c>
      <c r="CJ42" s="45">
        <f t="shared" si="504"/>
        <v>8.6975646347737634E-2</v>
      </c>
      <c r="CK42" s="45">
        <f t="shared" ref="CK42:CL42" si="505">+CK41/CK10</f>
        <v>8.3679054755478377E-2</v>
      </c>
      <c r="CL42" s="45">
        <f t="shared" si="505"/>
        <v>7.0108379610894417E-2</v>
      </c>
      <c r="CM42" s="48">
        <f t="shared" si="503"/>
        <v>8.2875318441900908E-2</v>
      </c>
      <c r="CN42" s="48">
        <f t="shared" si="503"/>
        <v>8.344191336126057E-2</v>
      </c>
      <c r="CO42" s="48">
        <f t="shared" si="503"/>
        <v>8.3634253380827611E-2</v>
      </c>
      <c r="CP42" s="48">
        <f t="shared" si="503"/>
        <v>8.7603318301768013E-2</v>
      </c>
      <c r="CQ42" s="48">
        <f t="shared" si="503"/>
        <v>8.57468702367577E-2</v>
      </c>
      <c r="CR42" s="48">
        <f t="shared" si="503"/>
        <v>8.7708939206681547E-2</v>
      </c>
      <c r="CS42" s="48">
        <f t="shared" si="503"/>
        <v>8.9370582742228574E-2</v>
      </c>
      <c r="CT42" s="48">
        <f t="shared" si="503"/>
        <v>9.3729332629208045E-2</v>
      </c>
      <c r="CU42" s="48">
        <f t="shared" ref="CU42:DB42" si="506">+CU41/CU10</f>
        <v>8.9222072793076465E-2</v>
      </c>
      <c r="CV42" s="48">
        <f t="shared" si="506"/>
        <v>9.1722494010238659E-2</v>
      </c>
      <c r="CW42" s="48">
        <f t="shared" si="506"/>
        <v>9.3510697855200442E-2</v>
      </c>
      <c r="CX42" s="48">
        <f t="shared" si="506"/>
        <v>9.7448465957950439E-2</v>
      </c>
      <c r="CY42" s="48">
        <f t="shared" si="506"/>
        <v>9.4442938247440017E-2</v>
      </c>
      <c r="CZ42" s="48">
        <f t="shared" si="506"/>
        <v>9.6864741168598972E-2</v>
      </c>
      <c r="DA42" s="48">
        <f t="shared" si="506"/>
        <v>9.8552390323731115E-2</v>
      </c>
      <c r="DB42" s="48">
        <f t="shared" si="506"/>
        <v>0.10202706863769802</v>
      </c>
      <c r="DE42" s="129"/>
      <c r="DF42" s="45">
        <v>8.2935936219182868E-2</v>
      </c>
    </row>
    <row r="43" spans="1:110" s="39" customFormat="1" x14ac:dyDescent="0.2">
      <c r="A43" s="39" t="s">
        <v>451</v>
      </c>
      <c r="C43" s="39">
        <f t="shared" ref="C43:E43" si="507">+IF(B41&lt;0,1-C41/B41,C41/B41-1)</f>
        <v>8.374218519666643E-2</v>
      </c>
      <c r="D43" s="39">
        <f t="shared" si="507"/>
        <v>0.39625833138599864</v>
      </c>
      <c r="E43" s="39">
        <f t="shared" si="507"/>
        <v>0.29117904933667793</v>
      </c>
      <c r="F43" s="39">
        <f t="shared" ref="F43:AE43" si="508">+IF(E41&lt;0,1-F41/E41,F41/E41-1)</f>
        <v>0.46984227092719699</v>
      </c>
      <c r="G43" s="39">
        <f t="shared" si="508"/>
        <v>0.24964462461830017</v>
      </c>
      <c r="H43" s="39">
        <f t="shared" si="508"/>
        <v>0.27178833615959208</v>
      </c>
      <c r="I43" s="39">
        <f t="shared" si="508"/>
        <v>0.616866284491425</v>
      </c>
      <c r="J43" s="39">
        <f t="shared" si="508"/>
        <v>-0.23423007656515904</v>
      </c>
      <c r="K43" s="39">
        <f t="shared" si="508"/>
        <v>0.63365040591131372</v>
      </c>
      <c r="L43" s="39">
        <f t="shared" si="508"/>
        <v>-0.21092648989214524</v>
      </c>
      <c r="M43" s="39">
        <f t="shared" si="508"/>
        <v>2.3090493980904903E-2</v>
      </c>
      <c r="N43" s="39">
        <f t="shared" si="508"/>
        <v>5.9288938479484798E-2</v>
      </c>
      <c r="O43" s="39">
        <f t="shared" si="508"/>
        <v>7.9574834817581097E-2</v>
      </c>
      <c r="P43" s="39">
        <f t="shared" si="508"/>
        <v>4.8430015965939432E-2</v>
      </c>
      <c r="Q43" s="39">
        <f t="shared" si="508"/>
        <v>0.25317258883248739</v>
      </c>
      <c r="R43" s="39">
        <f t="shared" si="508"/>
        <v>1.0666666666666602E-2</v>
      </c>
      <c r="S43" s="39">
        <f t="shared" si="508"/>
        <v>0.20306602985872213</v>
      </c>
      <c r="T43" s="39">
        <f t="shared" si="508"/>
        <v>0.10307875961244828</v>
      </c>
      <c r="U43" s="39">
        <f t="shared" si="508"/>
        <v>0.11282528816630588</v>
      </c>
      <c r="V43" s="39">
        <f t="shared" si="508"/>
        <v>7.6079336001990239E-2</v>
      </c>
      <c r="W43" s="39">
        <f t="shared" si="508"/>
        <v>0.32517181227801006</v>
      </c>
      <c r="X43" s="39">
        <f t="shared" si="508"/>
        <v>0.1680015225286664</v>
      </c>
      <c r="Y43" s="39">
        <f t="shared" si="508"/>
        <v>6.7715829780300441E-2</v>
      </c>
      <c r="Z43" s="39">
        <f t="shared" ref="Z43" si="509">+IF(Y41&lt;0,1-Z41/Y41,Z41/Y41-1)</f>
        <v>2.7393079241539775E-2</v>
      </c>
      <c r="AA43" s="40">
        <f t="shared" si="508"/>
        <v>0.18348249099483827</v>
      </c>
      <c r="AB43" s="40">
        <f t="shared" si="508"/>
        <v>3.2191255452645784E-2</v>
      </c>
      <c r="AC43" s="40">
        <f t="shared" si="508"/>
        <v>0.16920820269280989</v>
      </c>
      <c r="AD43" s="40">
        <f t="shared" si="508"/>
        <v>0.15370162664783904</v>
      </c>
      <c r="AE43" s="40">
        <f t="shared" si="508"/>
        <v>0.16527509919979022</v>
      </c>
      <c r="AM43" s="39">
        <f>+IF(AI41&lt;0,1-AM41/AI41,AM41/AI41-1)</f>
        <v>0.16300244281590048</v>
      </c>
      <c r="AN43" s="39">
        <f t="shared" ref="AN43" si="510">+IF(AJ41&lt;0,1-AN41/AJ41,AN41/AJ41-1)</f>
        <v>8.1345904973192829E-2</v>
      </c>
      <c r="AO43" s="39">
        <f t="shared" ref="AO43" si="511">+IF(AK41&lt;0,1-AO41/AK41,AO41/AK41-1)</f>
        <v>-1.0905125408942062E-3</v>
      </c>
      <c r="AP43" s="39">
        <f t="shared" ref="AP43" si="512">+IF(AL41&lt;0,1-AP41/AL41,AP41/AL41-1)</f>
        <v>5.1350867775988629E-2</v>
      </c>
      <c r="AQ43" s="39">
        <f t="shared" ref="AQ43" si="513">+IF(AM41&lt;0,1-AQ41/AM41,AQ41/AM41-1)</f>
        <v>0.1286996371968685</v>
      </c>
      <c r="AR43" s="39">
        <f t="shared" ref="AR43" si="514">+IF(AN41&lt;0,1-AR41/AN41,AR41/AN41-1)</f>
        <v>1.2822704735852231E-2</v>
      </c>
      <c r="AS43" s="39">
        <f t="shared" ref="AS43" si="515">+IF(AO41&lt;0,1-AS41/AO41,AS41/AO41-1)</f>
        <v>-5.5494905385735094E-2</v>
      </c>
      <c r="AT43" s="39">
        <f t="shared" ref="AT43" si="516">+IF(AP41&lt;0,1-AT41/AP41,AT41/AP41-1)</f>
        <v>0.10551395507147721</v>
      </c>
      <c r="AU43" s="39">
        <f t="shared" ref="AU43" si="517">+IF(AQ41&lt;0,1-AU41/AQ41,AU41/AQ41-1)</f>
        <v>8.4588056166468029E-4</v>
      </c>
      <c r="AV43" s="39">
        <f t="shared" ref="AV43" si="518">+IF(AR41&lt;0,1-AV41/AR41,AV41/AR41-1)</f>
        <v>-0.16863605671843351</v>
      </c>
      <c r="AW43" s="39">
        <f t="shared" ref="AW43" si="519">+IF(AS41&lt;0,1-AW41/AS41,AW41/AS41-1)</f>
        <v>0.41128876902330957</v>
      </c>
      <c r="AX43" s="39">
        <f t="shared" ref="AX43" si="520">+IF(AT41&lt;0,1-AX41/AT41,AX41/AT41-1)</f>
        <v>6.1114532019704404E-2</v>
      </c>
      <c r="AY43" s="39">
        <f t="shared" ref="AY43" si="521">+IF(AU41&lt;0,1-AY41/AU41,AY41/AU41-1)</f>
        <v>0.19827586206896552</v>
      </c>
      <c r="AZ43" s="39">
        <f t="shared" ref="AZ43" si="522">+IF(AV41&lt;0,1-AZ41/AV41,AZ41/AV41-1)</f>
        <v>0.4613197969543148</v>
      </c>
      <c r="BA43" s="39">
        <f t="shared" ref="BA43" si="523">+IF(AW41&lt;0,1-BA41/AW41,BA41/AW41-1)</f>
        <v>3.6991536991537011E-2</v>
      </c>
      <c r="BB43" s="39">
        <f t="shared" ref="BB43" si="524">+IF(AX41&lt;0,1-BB41/AX41,BB41/AX41-1)</f>
        <v>0.1690120412012186</v>
      </c>
      <c r="BC43" s="39">
        <f t="shared" ref="BC43" si="525">+IF(AY41&lt;0,1-BC41/AY41,BC41/AY41-1)</f>
        <v>0.12540555790661578</v>
      </c>
      <c r="BD43" s="39">
        <f t="shared" ref="BD43" si="526">+IF(AZ41&lt;0,1-BD41/AZ41,BD41/AZ41-1)</f>
        <v>0.12310685007642075</v>
      </c>
      <c r="BE43" s="39">
        <f t="shared" ref="BE43" si="527">+IF(BA41&lt;0,1-BE41/BA41,BE41/BA41-1)</f>
        <v>0.23706726339344475</v>
      </c>
      <c r="BF43" s="39">
        <f t="shared" ref="BF43" si="528">+IF(BB41&lt;0,1-BF41/BB41,BF41/BB41-1)</f>
        <v>0.1758500868701911</v>
      </c>
      <c r="BG43" s="39">
        <f t="shared" ref="BG43" si="529">+IF(BC41&lt;0,1-BG41/BC41,BG41/BC41-1)</f>
        <v>0.1876410127851591</v>
      </c>
      <c r="BH43" s="39">
        <f t="shared" ref="BH43" si="530">+IF(BD41&lt;0,1-BH41/BD41,BH41/BD41-1)</f>
        <v>0.18124458740566629</v>
      </c>
      <c r="BI43" s="39">
        <f t="shared" ref="BI43" si="531">+IF(BE41&lt;0,1-BI41/BE41,BI41/BE41-1)</f>
        <v>0.1015109597786763</v>
      </c>
      <c r="BJ43" s="39">
        <f t="shared" ref="BJ43" si="532">+IF(BF41&lt;0,1-BJ41/BF41,BJ41/BF41-1)</f>
        <v>9.329815303430089E-2</v>
      </c>
      <c r="BK43" s="39">
        <f t="shared" ref="BK43" si="533">+IF(BG41&lt;0,1-BK41/BG41,BK41/BG41-1)</f>
        <v>6.7651715039577898E-2</v>
      </c>
      <c r="BL43" s="39">
        <f t="shared" ref="BL43" si="534">+IF(BH41&lt;0,1-BL41/BH41,BL41/BH41-1)</f>
        <v>0.18328445747800592</v>
      </c>
      <c r="BM43" s="39">
        <f t="shared" ref="BM43" si="535">+IF(BI41&lt;0,1-BM41/BI41,BM41/BI41-1)</f>
        <v>0.15542890262751152</v>
      </c>
      <c r="BN43" s="39">
        <f t="shared" ref="BN43" si="536">+IF(BJ41&lt;0,1-BN41/BJ41,BN41/BJ41-1)</f>
        <v>4.6626122212568788E-2</v>
      </c>
      <c r="BO43" s="39">
        <f t="shared" ref="BO43" si="537">+IF(BK41&lt;0,1-BO41/BK41,BO41/BK41-1)</f>
        <v>-0.21312771846579681</v>
      </c>
      <c r="BP43" s="39">
        <f t="shared" ref="BP43" si="538">+IF(BL41&lt;0,1-BP41/BL41,BP41/BL41-1)</f>
        <v>-7.0897503983005872E-2</v>
      </c>
      <c r="BQ43" s="39">
        <f t="shared" ref="BQ43" si="539">+IF(BM41&lt;0,1-BQ41/BM41,BQ41/BM41-1)</f>
        <v>0.24905944319036877</v>
      </c>
      <c r="BR43" s="39">
        <f t="shared" ref="BR43" si="540">+IF(BN41&lt;0,1-BR41/BN41,BR41/BN41-1)</f>
        <v>0.30824571112340893</v>
      </c>
      <c r="BS43" s="39">
        <f t="shared" ref="BS43" si="541">+IF(BO41&lt;0,1-BS41/BO41,BS41/BO41-1)</f>
        <v>0.73907035175879399</v>
      </c>
      <c r="BT43" s="39">
        <f t="shared" ref="BT43" si="542">+IF(BP41&lt;0,1-BT41/BP41,BT41/BP41-1)</f>
        <v>0.47089644660379149</v>
      </c>
      <c r="BU43" s="39">
        <f t="shared" ref="BU43" si="543">+IF(BQ41&lt;0,1-BU41/BQ41,BU41/BQ41-1)</f>
        <v>0.1760374832663989</v>
      </c>
      <c r="BV43" s="39">
        <f t="shared" ref="BV43" si="544">+IF(BR41&lt;0,1-BV41/BR41,BV41/BR41-1)</f>
        <v>0.26029328821206987</v>
      </c>
      <c r="BW43" s="39">
        <f t="shared" ref="BW43" si="545">+IF(BS41&lt;0,1-BW41/BS41,BW41/BS41-1)</f>
        <v>0.40605360109802779</v>
      </c>
      <c r="BX43" s="39">
        <f t="shared" ref="BX43" si="546">+IF(BT41&lt;0,1-BX41/BT41,BX41/BT41-1)</f>
        <v>-2.5259067357512599E-3</v>
      </c>
      <c r="BY43" s="39">
        <f t="shared" ref="BY43" si="547">+IF(BU41&lt;0,1-BY41/BU41,BY41/BU41-1)</f>
        <v>2.8457598178710519E-4</v>
      </c>
      <c r="BZ43" s="39">
        <f t="shared" ref="BZ43" si="548">+IF(BV41&lt;0,1-BZ41/BV41,BZ41/BV41-1)</f>
        <v>0.18628328485119705</v>
      </c>
      <c r="CA43" s="39">
        <f t="shared" ref="CA43" si="549">+IF(BW41&lt;0,1-CA41/BW41,CA41/BW41-1)</f>
        <v>-6.5865187011919457E-2</v>
      </c>
      <c r="CB43" s="39">
        <f t="shared" ref="CB43" si="550">+IF(BX41&lt;0,1-CB41/BX41,CB41/BX41-1)</f>
        <v>0.28692942016752165</v>
      </c>
      <c r="CC43" s="39">
        <f t="shared" ref="CC43" si="551">+IF(BY41&lt;0,1-CC41/BY41,CC41/BY41-1)</f>
        <v>0.10884779516358467</v>
      </c>
      <c r="CD43" s="39">
        <f t="shared" ref="CD43" si="552">+IF(BZ41&lt;0,1-CD41/BZ41,CD41/BZ41-1)</f>
        <v>-2.9708573045365005E-3</v>
      </c>
      <c r="CE43" s="39">
        <f t="shared" ref="CE43" si="553">+IF(CA41&lt;0,1-CE41/CA41,CE41/CA41-1)</f>
        <v>-4.0369596304036914E-2</v>
      </c>
      <c r="CF43" s="39">
        <f t="shared" ref="CF43" si="554">+IF(CB41&lt;0,1-CF41/CB41,CF41/CB41-1)</f>
        <v>-3.627648839556008E-2</v>
      </c>
      <c r="CG43" s="39">
        <f t="shared" ref="CG43" si="555">+IF(CC41&lt;0,1-CG41/CC41,CG41/CC41-1)</f>
        <v>0.1188423645320198</v>
      </c>
      <c r="CH43" s="39">
        <f t="shared" ref="CH43:CL43" si="556">+IF(CD41&lt;0,1-CH41/CD41,CH41/CD41-1)</f>
        <v>6.1060398240552427E-2</v>
      </c>
      <c r="CI43" s="39">
        <f t="shared" si="556"/>
        <v>0.75842503438789555</v>
      </c>
      <c r="CJ43" s="39">
        <f t="shared" si="556"/>
        <v>0.15941573739594794</v>
      </c>
      <c r="CK43" s="39">
        <f t="shared" si="556"/>
        <v>1.6648321408915701E-2</v>
      </c>
      <c r="CL43" s="39">
        <f t="shared" si="556"/>
        <v>-8.1037710617812286E-2</v>
      </c>
      <c r="CM43" s="40">
        <f t="shared" ref="CM43" si="557">+CM41/CI41-1</f>
        <v>-0.27943963766529512</v>
      </c>
      <c r="CN43" s="40">
        <f t="shared" ref="CN43" si="558">+CN41/CJ41-1</f>
        <v>6.0934241121196386E-2</v>
      </c>
      <c r="CO43" s="40">
        <f t="shared" ref="CO43" si="559">+CO41/CK41-1</f>
        <v>0.10680832471218227</v>
      </c>
      <c r="CP43" s="40">
        <f t="shared" ref="CP43" si="560">+CP41/CL41-1</f>
        <v>0.38485756787308212</v>
      </c>
      <c r="CQ43" s="40">
        <f t="shared" ref="CQ43" si="561">+CQ41/CM41-1</f>
        <v>0.14237495311595261</v>
      </c>
      <c r="CR43" s="40">
        <f t="shared" ref="CR43" si="562">+CR41/CN41-1</f>
        <v>0.16299886764630722</v>
      </c>
      <c r="CS43" s="40">
        <f t="shared" ref="CS43" si="563">+CS41/CO41-1</f>
        <v>0.18245474562559494</v>
      </c>
      <c r="CT43" s="40">
        <f t="shared" ref="CT43" si="564">+CT41/CP41-1</f>
        <v>0.18371276930047586</v>
      </c>
      <c r="CU43" s="40">
        <f t="shared" ref="CU43" si="565">+CU41/CQ41-1</f>
        <v>0.15067958290683148</v>
      </c>
      <c r="CV43" s="40">
        <f t="shared" ref="CV43" si="566">+CV41/CR41-1</f>
        <v>0.15692018047004974</v>
      </c>
      <c r="CW43" s="40">
        <f t="shared" ref="CW43" si="567">+CW41/CS41-1</f>
        <v>0.15751342228318443</v>
      </c>
      <c r="CX43" s="40">
        <f t="shared" ref="CX43" si="568">+CX41/CT41-1</f>
        <v>0.15008544111255495</v>
      </c>
      <c r="CY43" s="40">
        <f t="shared" ref="CY43" si="569">+CY41/CU41-1</f>
        <v>0.17088062267181847</v>
      </c>
      <c r="CZ43" s="40">
        <f t="shared" ref="CZ43" si="570">+CZ41/CV41-1</f>
        <v>0.16824536044272653</v>
      </c>
      <c r="DA43" s="40">
        <f t="shared" ref="DA43" si="571">+DA41/CW41-1</f>
        <v>0.16585156757054098</v>
      </c>
      <c r="DB43" s="40">
        <f t="shared" ref="DB43" si="572">+DB41/CX41-1</f>
        <v>0.15817001315987889</v>
      </c>
      <c r="DE43" s="122"/>
      <c r="DF43" s="39">
        <v>2.4300882867404949E-2</v>
      </c>
    </row>
    <row r="44" spans="1:110" s="39" customFormat="1" x14ac:dyDescent="0.2">
      <c r="A44" s="39" t="s">
        <v>452</v>
      </c>
      <c r="AA44" s="40"/>
      <c r="AB44" s="40"/>
      <c r="AC44" s="40"/>
      <c r="AD44" s="40"/>
      <c r="AE44" s="40"/>
      <c r="AJ44" s="39">
        <f>+IF(AI41&lt;0,1-AJ41/AI41,AJ41/AI41-1)</f>
        <v>0.20119920053297791</v>
      </c>
      <c r="AK44" s="39">
        <f t="shared" ref="AK44:AM44" si="573">+IF(AJ41&lt;0,1-AK41/AJ41,AK41/AJ41-1)</f>
        <v>1.7193566278424832E-2</v>
      </c>
      <c r="AL44" s="39">
        <f t="shared" si="573"/>
        <v>1.5812431842966213E-2</v>
      </c>
      <c r="AM44" s="39">
        <f t="shared" si="573"/>
        <v>-6.2980855251386636E-2</v>
      </c>
      <c r="AN44" s="39">
        <f t="shared" ref="AN44" si="574">+IF(AM41&lt;0,1-AN41/AM41,AN41/AM41-1)</f>
        <v>0.11686079816688943</v>
      </c>
      <c r="AO44" s="39">
        <f t="shared" ref="AO44" si="575">+IF(AN41&lt;0,1-AO41/AN41,AO41/AN41-1)</f>
        <v>-6.0352196956744764E-2</v>
      </c>
      <c r="AP44" s="39">
        <f t="shared" ref="AP44" si="576">+IF(AO41&lt;0,1-AP41/AO41,AP41/AO41-1)</f>
        <v>6.9141193595342099E-2</v>
      </c>
      <c r="AQ44" s="39">
        <f t="shared" ref="AQ44" si="577">+IF(AP41&lt;0,1-AQ41/AP41,AQ41/AP41-1)</f>
        <v>5.9564329475834121E-3</v>
      </c>
      <c r="AR44" s="39">
        <f t="shared" ref="AR44" si="578">+IF(AQ41&lt;0,1-AR41/AQ41,AR41/AQ41-1)</f>
        <v>2.1992894603282132E-3</v>
      </c>
      <c r="AS44" s="39">
        <f t="shared" ref="AS44" si="579">+IF(AR41&lt;0,1-AS41/AR41,AS41/AR41-1)</f>
        <v>-0.12373396353814992</v>
      </c>
      <c r="AT44" s="39">
        <f t="shared" ref="AT44" si="580">+IF(AS41&lt;0,1-AT41/AS41,AT41/AS41-1)</f>
        <v>0.25139664804469275</v>
      </c>
      <c r="AU44" s="39">
        <f t="shared" ref="AU44" si="581">+IF(AT41&lt;0,1-AU41/AT41,AU41/AT41-1)</f>
        <v>-8.9285714285714302E-2</v>
      </c>
      <c r="AV44" s="39">
        <f t="shared" ref="AV44" si="582">+IF(AU41&lt;0,1-AV41/AU41,AV41/AU41-1)</f>
        <v>-0.16751183231913458</v>
      </c>
      <c r="AW44" s="39">
        <f t="shared" ref="AW44" si="583">+IF(AV41&lt;0,1-AW41/AV41,AW41/AV41-1)</f>
        <v>0.48751269035532996</v>
      </c>
      <c r="AX44" s="39">
        <f t="shared" ref="AX44" si="584">+IF(AW41&lt;0,1-AX41/AW41,AX41/AW41-1)</f>
        <v>-5.910455910455914E-2</v>
      </c>
      <c r="AY44" s="39">
        <f t="shared" ref="AY44" si="585">+IF(AX41&lt;0,1-AY41/AX41,AY41/AX41-1)</f>
        <v>2.8434643841578344E-2</v>
      </c>
      <c r="AZ44" s="39">
        <f t="shared" ref="AZ44" si="586">+IF(AY41&lt;0,1-AZ41/AY41,AZ41/AY41-1)</f>
        <v>1.5234870926787991E-2</v>
      </c>
      <c r="BA44" s="39">
        <f t="shared" ref="BA44" si="587">+IF(AZ41&lt;0,1-BA41/AZ41,BA41/AZ41-1)</f>
        <v>5.5578713352785858E-2</v>
      </c>
      <c r="BB44" s="39">
        <f t="shared" ref="BB44" si="588">+IF(BA41&lt;0,1-BB41/BA41,BB41/BA41-1)</f>
        <v>6.0681848097933422E-2</v>
      </c>
      <c r="BC44" s="39">
        <f t="shared" ref="BC44" si="589">+IF(BB41&lt;0,1-BC41/BB41,BC41/BB41-1)</f>
        <v>-9.9280218416480936E-3</v>
      </c>
      <c r="BD44" s="39">
        <f t="shared" ref="BD44" si="590">+IF(BC41&lt;0,1-BD41/BC41,BD41/BC41-1)</f>
        <v>1.3161193281524097E-2</v>
      </c>
      <c r="BE44" s="39">
        <f t="shared" ref="BE44" si="591">+IF(BD41&lt;0,1-BE41/BD41,BE41/BD41-1)</f>
        <v>0.16268712111839667</v>
      </c>
      <c r="BF44" s="39">
        <f t="shared" ref="BF44" si="592">+IF(BE41&lt;0,1-BF41/BE41,BF41/BE41-1)</f>
        <v>8.193232602681455E-3</v>
      </c>
      <c r="BG44" s="39">
        <f t="shared" ref="BG44" si="593">+IF(BF41&lt;0,1-BG41/BF41,BG41/BF41-1)</f>
        <v>0</v>
      </c>
      <c r="BH44" s="39">
        <f t="shared" ref="BH44" si="594">+IF(BG41&lt;0,1-BH41/BG41,BH41/BG41-1)</f>
        <v>7.7044854881267444E-3</v>
      </c>
      <c r="BI44" s="39">
        <f t="shared" ref="BI44" si="595">+IF(BH41&lt;0,1-BI41/BH41,BI41/BH41-1)</f>
        <v>8.4206116464180969E-2</v>
      </c>
      <c r="BJ44" s="39">
        <f t="shared" ref="BJ44" si="596">+IF(BI41&lt;0,1-BJ41/BI41,BJ41/BI41-1)</f>
        <v>6.7619783616690299E-4</v>
      </c>
      <c r="BK44" s="39">
        <f t="shared" ref="BK44" si="597">+IF(BJ41&lt;0,1-BK41/BJ41,BK41/BJ41-1)</f>
        <v>-2.3457862728062606E-2</v>
      </c>
      <c r="BL44" s="39">
        <f t="shared" ref="BL44" si="598">+IF(BK41&lt;0,1-BL41/BK41,BL41/BK41-1)</f>
        <v>0.11684460260972718</v>
      </c>
      <c r="BM44" s="39">
        <f t="shared" ref="BM44" si="599">+IF(BL41&lt;0,1-BM41/BL41,BM41/BL41-1)</f>
        <v>5.868295273499724E-2</v>
      </c>
      <c r="BN44" s="39">
        <f t="shared" ref="BN44" si="600">+IF(BM41&lt;0,1-BN41/BM41,BN41/BM41-1)</f>
        <v>-9.355405066466016E-2</v>
      </c>
      <c r="BO44" s="39">
        <f t="shared" ref="BO44" si="601">+IF(BN41&lt;0,1-BO41/BN41,BO41/BN41-1)</f>
        <v>-0.2658181147389781</v>
      </c>
      <c r="BP44" s="39">
        <f t="shared" ref="BP44" si="602">+IF(BO41&lt;0,1-BP41/BO41,BP41/BO41-1)</f>
        <v>0.31871859296482419</v>
      </c>
      <c r="BQ44" s="39">
        <f t="shared" ref="BQ44" si="603">+IF(BP41&lt;0,1-BQ41/BP41,BQ41/BP41-1)</f>
        <v>0.42326378965418687</v>
      </c>
      <c r="BR44" s="39">
        <f t="shared" ref="BR44" si="604">+IF(BQ41&lt;0,1-BR41/BQ41,BR41/BQ41-1)</f>
        <v>-5.0602409638554224E-2</v>
      </c>
      <c r="BS44" s="39">
        <f t="shared" ref="BS44" si="605">+IF(BR41&lt;0,1-BS41/BR41,BS41/BR41-1)</f>
        <v>-2.4041173152848261E-2</v>
      </c>
      <c r="BT44" s="39">
        <f t="shared" ref="BT44" si="606">+IF(BS41&lt;0,1-BT41/BS41,BT41/BS41-1)</f>
        <v>0.11536516651014961</v>
      </c>
      <c r="BU44" s="39">
        <f t="shared" ref="BU44" si="607">+IF(BT41&lt;0,1-BU41/BT41,BU41/BT41-1)</f>
        <v>0.13795336787564771</v>
      </c>
      <c r="BV44" s="39">
        <f t="shared" ref="BV44" si="608">+IF(BU41&lt;0,1-BV41/BU41,BV41/BU41-1)</f>
        <v>1.7416050085372836E-2</v>
      </c>
      <c r="BW44" s="39">
        <f t="shared" ref="BW44" si="609">+IF(BV41&lt;0,1-BW41/BV41,BW41/BV41-1)</f>
        <v>8.883419109420454E-2</v>
      </c>
      <c r="BX44" s="39">
        <f t="shared" ref="BX44" si="610">+IF(BW41&lt;0,1-BX41/BW41,BX41/BW41-1)</f>
        <v>-0.20874434854089596</v>
      </c>
      <c r="BY44" s="39">
        <f t="shared" ref="BY44" si="611">+IF(BX41&lt;0,1-BY41/BX41,BY41/BX41-1)</f>
        <v>0.14115966495682097</v>
      </c>
      <c r="BZ44" s="39">
        <f t="shared" ref="BZ44" si="612">+IF(BY41&lt;0,1-BZ41/BY41,BZ41/BY41-1)</f>
        <v>0.20660028449502144</v>
      </c>
      <c r="CA44" s="39">
        <f t="shared" ref="CA44" si="613">+IF(BZ41&lt;0,1-CA41/BZ41,CA41/BZ41-1)</f>
        <v>-0.14260115061774969</v>
      </c>
      <c r="CB44" s="39">
        <f t="shared" ref="CB44" si="614">+IF(CA41&lt;0,1-CB41/CA41,CB41/CA41-1)</f>
        <v>9.0089099109008863E-2</v>
      </c>
      <c r="CC44" s="39">
        <f t="shared" ref="CC44" si="615">+IF(CB41&lt;0,1-CC41/CB41,CC41/CB41-1)</f>
        <v>-1.675075681130167E-2</v>
      </c>
      <c r="CD44" s="39">
        <f t="shared" ref="CD44" si="616">+IF(CC41&lt;0,1-CD41/CC41,CD41/CC41-1)</f>
        <v>8.4924055829228351E-2</v>
      </c>
      <c r="CE44" s="39">
        <f t="shared" ref="CE44" si="617">+IF(CD41&lt;0,1-CE41/CD41,CE41/CD41-1)</f>
        <v>-0.1747623326869413</v>
      </c>
      <c r="CF44" s="39">
        <f t="shared" ref="CF44" si="618">+IF(CE41&lt;0,1-CF41/CE41,CF41/CE41-1)</f>
        <v>9.4738651994497936E-2</v>
      </c>
      <c r="CG44" s="39">
        <f t="shared" ref="CG44" si="619">+IF(CF41&lt;0,1-CG41/CF41,CG41/CF41-1)</f>
        <v>0.14151091565886609</v>
      </c>
      <c r="CH44" s="39">
        <f t="shared" ref="CH44:CL44" si="620">+IF(CG41&lt;0,1-CH41/CG41,CH41/CG41-1)</f>
        <v>2.8893780957622406E-2</v>
      </c>
      <c r="CI44" s="39">
        <f t="shared" si="620"/>
        <v>0.3676116608718909</v>
      </c>
      <c r="CJ44" s="39">
        <f t="shared" si="620"/>
        <v>-0.2781851960496724</v>
      </c>
      <c r="CK44" s="39">
        <f t="shared" si="620"/>
        <v>9.4825250609598122E-4</v>
      </c>
      <c r="CL44" s="39">
        <f t="shared" si="620"/>
        <v>-6.9968872648531577E-2</v>
      </c>
      <c r="CM44" s="40">
        <f t="shared" ref="CM44" si="621">+CM41/CL41-1</f>
        <v>7.2347326192815364E-2</v>
      </c>
      <c r="CN44" s="40">
        <f t="shared" ref="CN44" si="622">+CN41/CM41-1</f>
        <v>6.2781248163311876E-2</v>
      </c>
      <c r="CO44" s="40">
        <f t="shared" ref="CO44" si="623">+CO41/CN41-1</f>
        <v>4.4228582262622718E-2</v>
      </c>
      <c r="CP44" s="40">
        <f t="shared" ref="CP44" si="624">+CP41/CO41-1</f>
        <v>0.1636709051724381</v>
      </c>
      <c r="CQ44" s="40">
        <f t="shared" ref="CQ44" si="625">+CQ41/CP41-1</f>
        <v>-0.11541608689406802</v>
      </c>
      <c r="CR44" s="40">
        <f t="shared" ref="CR44" si="626">+CR41/CQ41-1</f>
        <v>8.1968214375060411E-2</v>
      </c>
      <c r="CS44" s="40">
        <f t="shared" ref="CS44" si="627">+CS41/CR41-1</f>
        <v>6.169754499695701E-2</v>
      </c>
      <c r="CT44" s="40">
        <f t="shared" ref="CT44" si="628">+CT41/CS41-1</f>
        <v>0.16490894455947824</v>
      </c>
      <c r="CU44" s="40">
        <f t="shared" ref="CU44" si="629">+CU41/CT41-1</f>
        <v>-0.14010165761720528</v>
      </c>
      <c r="CV44" s="40">
        <f t="shared" ref="CV44" si="630">+CV41/CU41-1</f>
        <v>8.7836162587934252E-2</v>
      </c>
      <c r="CW44" s="40">
        <f t="shared" ref="CW44" si="631">+CW41/CV41-1</f>
        <v>6.2241958853009427E-2</v>
      </c>
      <c r="CX44" s="40">
        <f t="shared" ref="CX44" si="632">+CX41/CW41-1</f>
        <v>0.15743350493250818</v>
      </c>
      <c r="CY44" s="40">
        <f t="shared" ref="CY44" si="633">+CY41/CX41-1</f>
        <v>-0.12455347179280107</v>
      </c>
      <c r="CZ44" s="40">
        <f t="shared" ref="CZ44" si="634">+CZ41/CY41-1</f>
        <v>8.5387805774097547E-2</v>
      </c>
      <c r="DA44" s="40">
        <f t="shared" ref="DA44" si="635">+DA41/CZ41-1</f>
        <v>6.0065372225115432E-2</v>
      </c>
      <c r="DB44" s="40">
        <f t="shared" ref="DB44" si="636">+DB41/DA41-1</f>
        <v>0.14980741539231923</v>
      </c>
      <c r="DE44" s="122"/>
      <c r="DF44" s="39">
        <v>3.6638516995865844E-2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1.03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3.47</v>
      </c>
      <c r="H45" s="75">
        <f>'Annual Raw'!I32</f>
        <v>0.09</v>
      </c>
      <c r="I45" s="75">
        <f>'Annual Raw'!J32</f>
        <v>-1.86</v>
      </c>
      <c r="J45" s="75">
        <f>'Annual Raw'!K32</f>
        <v>18.41</v>
      </c>
      <c r="K45" s="75">
        <f>'Annual Raw'!L32</f>
        <v>79.56</v>
      </c>
      <c r="L45" s="75">
        <f>'Annual Raw'!M32</f>
        <v>22</v>
      </c>
      <c r="M45" s="75">
        <f>'Annual Raw'!N32</f>
        <v>7</v>
      </c>
      <c r="N45" s="75">
        <f>'Annual Raw'!O32</f>
        <v>-7</v>
      </c>
      <c r="O45" s="75">
        <f>'Annual Raw'!P32</f>
        <v>-55</v>
      </c>
      <c r="P45" s="75">
        <f>'Annual Raw'!Q32</f>
        <v>-74</v>
      </c>
      <c r="Q45" s="75">
        <f>'Annual Raw'!R32</f>
        <v>-116</v>
      </c>
      <c r="R45" s="75">
        <f>'Annual Raw'!S32</f>
        <v>68</v>
      </c>
      <c r="S45" s="75">
        <f>'Annual Raw'!T32</f>
        <v>-5</v>
      </c>
      <c r="T45" s="75">
        <f>'Annual Raw'!U32</f>
        <v>-249</v>
      </c>
      <c r="U45" s="75">
        <f>'Annual Raw'!V32</f>
        <v>-526</v>
      </c>
      <c r="V45" s="75">
        <f>'Annual Raw'!W32</f>
        <v>-4611</v>
      </c>
      <c r="W45" s="75">
        <f>'Annual Raw'!X32</f>
        <v>-7140</v>
      </c>
      <c r="X45" s="75">
        <f>'Annual Raw'!Y32</f>
        <v>-7386</v>
      </c>
      <c r="Y45" s="75">
        <f>'Annual Raw'!Z32</f>
        <v>-9399</v>
      </c>
      <c r="Z45" s="75">
        <f>'Annual Raw'!AA32</f>
        <v>-11661</v>
      </c>
      <c r="AA45" s="76">
        <f t="shared" ref="AA45:AA46" si="637">SUM(CI45:CL45)</f>
        <v>-14979</v>
      </c>
      <c r="AB45" s="76">
        <f t="shared" ref="AB45:AB46" si="638">+SUM(CM45:CP45)</f>
        <v>-14472</v>
      </c>
      <c r="AC45" s="76">
        <f t="shared" ref="AC45:AC46" si="639">+SUM(CQ45:CT45)</f>
        <v>-14472</v>
      </c>
      <c r="AD45" s="76">
        <f t="shared" ref="AD45:AD46" si="640">+SUM(CU45:CX45)</f>
        <v>-14472</v>
      </c>
      <c r="AE45" s="76">
        <f t="shared" ref="AE45:AE46" si="641">+SUM(CY45:DB45)</f>
        <v>-14472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-25</v>
      </c>
      <c r="AN45" s="75">
        <f>'QTR Raw'!H34</f>
        <v>-13</v>
      </c>
      <c r="AO45" s="75">
        <f>'QTR Raw'!I34</f>
        <v>-9</v>
      </c>
      <c r="AP45" s="75">
        <f>'QTR Raw'!J34</f>
        <v>-8</v>
      </c>
      <c r="AQ45" s="75">
        <f>'QTR Raw'!K34</f>
        <v>-7</v>
      </c>
      <c r="AR45" s="75">
        <f>'QTR Raw'!L34</f>
        <v>-4</v>
      </c>
      <c r="AS45" s="75">
        <f>'QTR Raw'!M34</f>
        <v>-15</v>
      </c>
      <c r="AT45" s="75">
        <f>'QTR Raw'!N34</f>
        <v>-48</v>
      </c>
      <c r="AU45" s="75">
        <f>'QTR Raw'!O34</f>
        <v>9</v>
      </c>
      <c r="AV45" s="75">
        <f>'QTR Raw'!P34</f>
        <v>14</v>
      </c>
      <c r="AW45" s="75">
        <f>'QTR Raw'!Q34</f>
        <v>-72</v>
      </c>
      <c r="AX45" s="75">
        <f>'QTR Raw'!R34</f>
        <v>-53</v>
      </c>
      <c r="AY45" s="75">
        <f>'QTR Raw'!S34</f>
        <v>36</v>
      </c>
      <c r="AZ45" s="75">
        <f>'QTR Raw'!T34</f>
        <v>30</v>
      </c>
      <c r="BA45" s="75">
        <f>'QTR Raw'!U34</f>
        <v>9</v>
      </c>
      <c r="BB45" s="75">
        <f>'QTR Raw'!V34</f>
        <v>-7</v>
      </c>
      <c r="BC45" s="75">
        <f>'QTR Raw'!W34</f>
        <v>29</v>
      </c>
      <c r="BD45" s="75">
        <f>'QTR Raw'!X34</f>
        <v>12</v>
      </c>
      <c r="BE45" s="75">
        <f>'QTR Raw'!Y34</f>
        <v>-17</v>
      </c>
      <c r="BF45" s="75">
        <f>'QTR Raw'!Z34</f>
        <v>-29</v>
      </c>
      <c r="BG45" s="75">
        <f>'QTR Raw'!AA34</f>
        <v>-26</v>
      </c>
      <c r="BH45" s="75">
        <f>'QTR Raw'!AB34</f>
        <v>-33</v>
      </c>
      <c r="BI45" s="75">
        <f>'QTR Raw'!AC34</f>
        <v>-125</v>
      </c>
      <c r="BJ45" s="75">
        <f>'QTR Raw'!AD34</f>
        <v>-65</v>
      </c>
      <c r="BK45" s="75">
        <f>'QTR Raw'!AE34</f>
        <v>-37</v>
      </c>
      <c r="BL45" s="75">
        <f>'QTR Raw'!AF34</f>
        <v>-90</v>
      </c>
      <c r="BM45" s="75">
        <f>'QTR Raw'!AG34</f>
        <v>-201</v>
      </c>
      <c r="BN45" s="75">
        <f>'QTR Raw'!AH34</f>
        <v>-198</v>
      </c>
      <c r="BO45" s="75">
        <f>'QTR Raw'!AI34</f>
        <v>-15</v>
      </c>
      <c r="BP45" s="75">
        <f>'QTR Raw'!AJ34</f>
        <v>-1035</v>
      </c>
      <c r="BQ45" s="75">
        <f>'QTR Raw'!AK34</f>
        <v>-1793</v>
      </c>
      <c r="BR45" s="75">
        <f>'QTR Raw'!AL34</f>
        <v>-1768</v>
      </c>
      <c r="BS45" s="75">
        <f>'QTR Raw'!AM34</f>
        <v>-1533</v>
      </c>
      <c r="BT45" s="75">
        <f>'QTR Raw'!AN34</f>
        <v>-1799</v>
      </c>
      <c r="BU45" s="75">
        <f>'QTR Raw'!AO34</f>
        <v>-1990</v>
      </c>
      <c r="BV45" s="75">
        <f>'QTR Raw'!AP34</f>
        <v>-1818</v>
      </c>
      <c r="BW45" s="75">
        <f>'QTR Raw'!AQ34</f>
        <v>-1488</v>
      </c>
      <c r="BX45" s="75">
        <f>'QTR Raw'!AR34</f>
        <v>-1856</v>
      </c>
      <c r="BY45" s="75">
        <f>'QTR Raw'!AS34</f>
        <v>-2014</v>
      </c>
      <c r="BZ45" s="75">
        <f>'QTR Raw'!AT34</f>
        <v>-2028</v>
      </c>
      <c r="CA45" s="75">
        <f>'QTR Raw'!AU34</f>
        <v>-2247</v>
      </c>
      <c r="CB45" s="75">
        <f>'QTR Raw'!AV34</f>
        <v>-2484</v>
      </c>
      <c r="CC45" s="75">
        <f>'QTR Raw'!AW34</f>
        <v>-2376</v>
      </c>
      <c r="CD45" s="75">
        <f>'QTR Raw'!AX34</f>
        <v>-2292</v>
      </c>
      <c r="CE45" s="75">
        <f>'QTR Raw'!AY34</f>
        <v>-2307</v>
      </c>
      <c r="CF45" s="75">
        <f>'QTR Raw'!AZ34</f>
        <v>-2760</v>
      </c>
      <c r="CG45" s="75">
        <f>'QTR Raw'!BA34</f>
        <v>-3390</v>
      </c>
      <c r="CH45" s="75">
        <f>'QTR Raw'!BB34</f>
        <v>-3204</v>
      </c>
      <c r="CI45" s="75">
        <f>'QTR Raw'!BC34</f>
        <v>-3789</v>
      </c>
      <c r="CJ45" s="75">
        <f>'QTR Raw'!BD34</f>
        <v>-3927</v>
      </c>
      <c r="CK45" s="75">
        <f>'QTR Raw'!BE34</f>
        <v>-3645</v>
      </c>
      <c r="CL45" s="75">
        <f>'QTR Raw'!BF34</f>
        <v>-3618</v>
      </c>
      <c r="CM45" s="76">
        <f t="shared" ref="CM45:CM46" si="642">+CL45</f>
        <v>-3618</v>
      </c>
      <c r="CN45" s="76">
        <f t="shared" ref="CN45:CN46" si="643">+CM45</f>
        <v>-3618</v>
      </c>
      <c r="CO45" s="76">
        <f t="shared" ref="CO45:CO46" si="644">+CN45</f>
        <v>-3618</v>
      </c>
      <c r="CP45" s="76">
        <f t="shared" ref="CP45:CP46" si="645">+CO45</f>
        <v>-3618</v>
      </c>
      <c r="CQ45" s="76">
        <f t="shared" ref="CQ45:CQ46" si="646">+CP45</f>
        <v>-3618</v>
      </c>
      <c r="CR45" s="76">
        <f t="shared" ref="CR45:CR46" si="647">+CQ45</f>
        <v>-3618</v>
      </c>
      <c r="CS45" s="76">
        <f t="shared" ref="CS45:CS46" si="648">+CR45</f>
        <v>-3618</v>
      </c>
      <c r="CT45" s="76">
        <f t="shared" ref="CT45:CT46" si="649">+CS45</f>
        <v>-3618</v>
      </c>
      <c r="CU45" s="76">
        <f t="shared" ref="CU45:CU46" si="650">+CT45</f>
        <v>-3618</v>
      </c>
      <c r="CV45" s="76">
        <f t="shared" ref="CV45:CV46" si="651">+CU45</f>
        <v>-3618</v>
      </c>
      <c r="CW45" s="76">
        <f t="shared" ref="CW45:CW46" si="652">+CV45</f>
        <v>-3618</v>
      </c>
      <c r="CX45" s="76">
        <f t="shared" ref="CX45:CX46" si="653">+CW45</f>
        <v>-3618</v>
      </c>
      <c r="CY45" s="76">
        <f t="shared" ref="CY45:CY46" si="654">+CX45</f>
        <v>-3618</v>
      </c>
      <c r="CZ45" s="76">
        <f t="shared" ref="CZ45:CZ46" si="655">+CY45</f>
        <v>-3618</v>
      </c>
      <c r="DA45" s="76">
        <f t="shared" ref="DA45:DA46" si="656">+CZ45</f>
        <v>-3618</v>
      </c>
      <c r="DB45" s="76">
        <f t="shared" ref="DB45:DB46" si="657">+DA45</f>
        <v>-3618</v>
      </c>
      <c r="DE45" s="131"/>
      <c r="DF45" s="75">
        <v>-3645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87.73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236</v>
      </c>
      <c r="R46" s="75">
        <f>'Annual Raw'!S33+'Annual Raw'!S28</f>
        <v>-108</v>
      </c>
      <c r="S46" s="75">
        <f>'Annual Raw'!T33+'Annual Raw'!T28</f>
        <v>59</v>
      </c>
      <c r="T46" s="75">
        <f>'Annual Raw'!U33+'Annual Raw'!U28</f>
        <v>103</v>
      </c>
      <c r="U46" s="75">
        <f>'Annual Raw'!V33+'Annual Raw'!V28</f>
        <v>107</v>
      </c>
      <c r="V46" s="75">
        <f>'Annual Raw'!W33+'Annual Raw'!W28</f>
        <v>516</v>
      </c>
      <c r="W46" s="75">
        <f>'Annual Raw'!X33+'Annual Raw'!X28</f>
        <v>295</v>
      </c>
      <c r="X46" s="75">
        <f>'Annual Raw'!Y33+'Annual Raw'!Y28</f>
        <v>24</v>
      </c>
      <c r="Y46" s="75">
        <f>'Annual Raw'!Z33+'Annual Raw'!Z28</f>
        <v>387</v>
      </c>
      <c r="Z46" s="75">
        <f>'Annual Raw'!AA33+'Annual Raw'!AA28</f>
        <v>522</v>
      </c>
      <c r="AA46" s="76">
        <f t="shared" si="637"/>
        <v>144</v>
      </c>
      <c r="AB46" s="76">
        <f t="shared" si="638"/>
        <v>-108</v>
      </c>
      <c r="AC46" s="76">
        <f t="shared" si="639"/>
        <v>-108</v>
      </c>
      <c r="AD46" s="76">
        <f t="shared" si="640"/>
        <v>-108</v>
      </c>
      <c r="AE46" s="76">
        <f t="shared" si="641"/>
        <v>-108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25</v>
      </c>
      <c r="AN46" s="75">
        <f>'QTR Raw'!H35</f>
        <v>37</v>
      </c>
      <c r="AO46" s="75">
        <f>'QTR Raw'!I35</f>
        <v>15</v>
      </c>
      <c r="AP46" s="75">
        <f>'QTR Raw'!J35</f>
        <v>13</v>
      </c>
      <c r="AQ46" s="75">
        <f>'QTR Raw'!K35</f>
        <v>53</v>
      </c>
      <c r="AR46" s="75">
        <f>'QTR Raw'!L35</f>
        <v>52</v>
      </c>
      <c r="AS46" s="75">
        <f>'QTR Raw'!M35</f>
        <v>80</v>
      </c>
      <c r="AT46" s="75">
        <f>'QTR Raw'!N35</f>
        <v>-67</v>
      </c>
      <c r="AU46" s="75">
        <f>'QTR Raw'!O35</f>
        <v>99</v>
      </c>
      <c r="AV46" s="75">
        <f>'QTR Raw'!P35</f>
        <v>96</v>
      </c>
      <c r="AW46" s="75">
        <f>'QTR Raw'!Q35</f>
        <v>-9</v>
      </c>
      <c r="AX46" s="75">
        <f>'QTR Raw'!R35</f>
        <v>63</v>
      </c>
      <c r="AY46" s="75">
        <f>'QTR Raw'!S35</f>
        <v>-12</v>
      </c>
      <c r="AZ46" s="75">
        <f>'QTR Raw'!T35</f>
        <v>-18</v>
      </c>
      <c r="BA46" s="75">
        <f>'QTR Raw'!U35</f>
        <v>-73</v>
      </c>
      <c r="BB46" s="75">
        <f>'QTR Raw'!V35</f>
        <v>-5</v>
      </c>
      <c r="BC46" s="75">
        <f>'QTR Raw'!W35</f>
        <v>14</v>
      </c>
      <c r="BD46" s="75">
        <f>'QTR Raw'!X35</f>
        <v>14</v>
      </c>
      <c r="BE46" s="75">
        <f>'QTR Raw'!Y35</f>
        <v>39</v>
      </c>
      <c r="BF46" s="75">
        <f>'QTR Raw'!Z35</f>
        <v>-8</v>
      </c>
      <c r="BG46" s="75">
        <f>'QTR Raw'!AA35</f>
        <v>10</v>
      </c>
      <c r="BH46" s="75">
        <f>'QTR Raw'!AB35</f>
        <v>1</v>
      </c>
      <c r="BI46" s="75">
        <f>'QTR Raw'!AC35</f>
        <v>24</v>
      </c>
      <c r="BJ46" s="75">
        <f>'QTR Raw'!AD35</f>
        <v>68</v>
      </c>
      <c r="BK46" s="75">
        <f>'QTR Raw'!AE35</f>
        <v>25</v>
      </c>
      <c r="BL46" s="75">
        <f>'QTR Raw'!AF35</f>
        <v>54</v>
      </c>
      <c r="BM46" s="75">
        <f>'QTR Raw'!AG35</f>
        <v>57</v>
      </c>
      <c r="BN46" s="75">
        <f>'QTR Raw'!AH35</f>
        <v>-29</v>
      </c>
      <c r="BO46" s="75">
        <f>'QTR Raw'!AI35</f>
        <v>322</v>
      </c>
      <c r="BP46" s="75">
        <f>'QTR Raw'!AJ35</f>
        <v>105</v>
      </c>
      <c r="BQ46" s="75">
        <f>'QTR Raw'!AK35</f>
        <v>75</v>
      </c>
      <c r="BR46" s="75">
        <f>'QTR Raw'!AL35</f>
        <v>14</v>
      </c>
      <c r="BS46" s="75">
        <f>'QTR Raw'!AM35</f>
        <v>-37</v>
      </c>
      <c r="BT46" s="75">
        <f>'QTR Raw'!AN35</f>
        <v>39</v>
      </c>
      <c r="BU46" s="75">
        <f>'QTR Raw'!AO35</f>
        <v>133</v>
      </c>
      <c r="BV46" s="75">
        <f>'QTR Raw'!AP35</f>
        <v>145</v>
      </c>
      <c r="BW46" s="75">
        <f>'QTR Raw'!AQ35</f>
        <v>-59</v>
      </c>
      <c r="BX46" s="75">
        <f>'QTR Raw'!AR35</f>
        <v>-69</v>
      </c>
      <c r="BY46" s="75">
        <f>'QTR Raw'!AS35</f>
        <v>131</v>
      </c>
      <c r="BZ46" s="75">
        <f>'QTR Raw'!AT35</f>
        <v>21</v>
      </c>
      <c r="CA46" s="75">
        <f>'QTR Raw'!AU35</f>
        <v>76</v>
      </c>
      <c r="CB46" s="75">
        <f>'QTR Raw'!AV35</f>
        <v>58</v>
      </c>
      <c r="CC46" s="75">
        <f>'QTR Raw'!AW35</f>
        <v>153</v>
      </c>
      <c r="CD46" s="75">
        <f>'QTR Raw'!AX35</f>
        <v>100</v>
      </c>
      <c r="CE46" s="75">
        <f>'QTR Raw'!AY35</f>
        <v>-3</v>
      </c>
      <c r="CF46" s="75">
        <f>'QTR Raw'!AZ35</f>
        <v>222</v>
      </c>
      <c r="CG46" s="75">
        <f>'QTR Raw'!BA35</f>
        <v>126</v>
      </c>
      <c r="CH46" s="75">
        <f>'QTR Raw'!BB35</f>
        <v>177</v>
      </c>
      <c r="CI46" s="75">
        <f>'QTR Raw'!BC35</f>
        <v>102</v>
      </c>
      <c r="CJ46" s="75">
        <f>'QTR Raw'!BD35</f>
        <v>-54</v>
      </c>
      <c r="CK46" s="75">
        <f>'QTR Raw'!BE35</f>
        <v>123</v>
      </c>
      <c r="CL46" s="75">
        <f>'QTR Raw'!BF35</f>
        <v>-27</v>
      </c>
      <c r="CM46" s="76">
        <f t="shared" si="642"/>
        <v>-27</v>
      </c>
      <c r="CN46" s="76">
        <f t="shared" si="643"/>
        <v>-27</v>
      </c>
      <c r="CO46" s="76">
        <f t="shared" si="644"/>
        <v>-27</v>
      </c>
      <c r="CP46" s="76">
        <f t="shared" si="645"/>
        <v>-27</v>
      </c>
      <c r="CQ46" s="76">
        <f t="shared" si="646"/>
        <v>-27</v>
      </c>
      <c r="CR46" s="76">
        <f t="shared" si="647"/>
        <v>-27</v>
      </c>
      <c r="CS46" s="76">
        <f t="shared" si="648"/>
        <v>-27</v>
      </c>
      <c r="CT46" s="76">
        <f t="shared" si="649"/>
        <v>-27</v>
      </c>
      <c r="CU46" s="76">
        <f t="shared" si="650"/>
        <v>-27</v>
      </c>
      <c r="CV46" s="76">
        <f t="shared" si="651"/>
        <v>-27</v>
      </c>
      <c r="CW46" s="76">
        <f t="shared" si="652"/>
        <v>-27</v>
      </c>
      <c r="CX46" s="76">
        <f t="shared" si="653"/>
        <v>-27</v>
      </c>
      <c r="CY46" s="76">
        <f t="shared" si="654"/>
        <v>-27</v>
      </c>
      <c r="CZ46" s="76">
        <f t="shared" si="655"/>
        <v>-27</v>
      </c>
      <c r="DA46" s="76">
        <f t="shared" si="656"/>
        <v>-27</v>
      </c>
      <c r="DB46" s="76">
        <f t="shared" si="657"/>
        <v>-27</v>
      </c>
      <c r="DE46" s="131"/>
      <c r="DF46" s="75">
        <v>123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411.7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30.63</v>
      </c>
      <c r="G47" s="75">
        <f>'Annual Raw'!H29+'Annual Raw'!H31+'Annual Raw'!H34+'Annual Raw'!H36</f>
        <v>-99.54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-4444</v>
      </c>
      <c r="V47" s="75">
        <f>'Annual Raw'!W29+'Annual Raw'!W31+'Annual Raw'!W34+'Annual Raw'!W36</f>
        <v>5642</v>
      </c>
      <c r="W47" s="75">
        <f>'Annual Raw'!X29+'Annual Raw'!X31+'Annual Raw'!X34+'Annual Raw'!X36</f>
        <v>4497</v>
      </c>
      <c r="X47" s="75">
        <f>'Annual Raw'!Y29+'Annual Raw'!Y31+'Annual Raw'!Y34+'Annual Raw'!Y36</f>
        <v>418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6">
        <f>SUM(CI47:CL47)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4310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264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1087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-177</v>
      </c>
      <c r="BN47" s="75">
        <f>'QTR Raw'!AH26+'QTR Raw'!AH31+'QTR Raw'!AH32+'QTR Raw'!AH33+'QTR Raw'!AH36+'QTR Raw'!AH37+'QTR Raw'!AH39</f>
        <v>-4267</v>
      </c>
      <c r="BO47" s="75">
        <f>'QTR Raw'!AI26+'QTR Raw'!AI31+'QTR Raw'!AI32+'QTR Raw'!AI33+'QTR Raw'!AI36+'QTR Raw'!AI37+'QTR Raw'!AI39</f>
        <v>4966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-121</v>
      </c>
      <c r="BR47" s="75">
        <f>'QTR Raw'!AL26+'QTR Raw'!AL31+'QTR Raw'!AL32+'QTR Raw'!AL33+'QTR Raw'!AL36+'QTR Raw'!AL37+'QTR Raw'!AL39</f>
        <v>797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2836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38</v>
      </c>
      <c r="BX47" s="75">
        <f>'QTR Raw'!AR26+'QTR Raw'!AR31+'QTR Raw'!AR32+'QTR Raw'!AR33+'QTR Raw'!AR36+'QTR Raw'!AR37+'QTR Raw'!AR39</f>
        <v>180</v>
      </c>
      <c r="BY47" s="75">
        <f>'QTR Raw'!AS26+'QTR Raw'!AS31+'QTR Raw'!AS32+'QTR Raw'!AS33+'QTR Raw'!AS36+'QTR Raw'!AS37+'QTR Raw'!AS39</f>
        <v>100</v>
      </c>
      <c r="BZ47" s="75">
        <f>'QTR Raw'!AT26+'QTR Raw'!AT31+'QTR Raw'!AT32+'QTR Raw'!AT33+'QTR Raw'!AT36+'QTR Raw'!AT37+'QTR Raw'!AT39</f>
        <v>100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</row>
    <row r="48" spans="1:110" s="26" customFormat="1" x14ac:dyDescent="0.2">
      <c r="A48" s="35" t="s">
        <v>25</v>
      </c>
      <c r="B48" s="26">
        <f>B41+B45+B46+B47</f>
        <v>2645.619999999999</v>
      </c>
      <c r="C48" s="26">
        <f>C41+C45+C46+C47</f>
        <v>3279.9000000000037</v>
      </c>
      <c r="D48" s="26">
        <f>D41+D45+D46+D47</f>
        <v>4091.0399999999991</v>
      </c>
      <c r="E48" s="26">
        <f t="shared" ref="E48:U48" si="658">E41+E45+E46+E47</f>
        <v>5168.9900000000152</v>
      </c>
      <c r="F48" s="26">
        <f t="shared" si="658"/>
        <v>7628.2299999999941</v>
      </c>
      <c r="G48" s="26">
        <f t="shared" si="658"/>
        <v>9398.2299999999886</v>
      </c>
      <c r="H48" s="26">
        <f t="shared" si="658"/>
        <v>12074.830000000002</v>
      </c>
      <c r="I48" s="26">
        <f t="shared" si="658"/>
        <v>19521.37999999999</v>
      </c>
      <c r="J48" s="26">
        <f t="shared" si="658"/>
        <v>14968.720000000018</v>
      </c>
      <c r="K48" s="26">
        <f t="shared" si="658"/>
        <v>24503.140000000003</v>
      </c>
      <c r="L48" s="26">
        <f t="shared" si="658"/>
        <v>19294</v>
      </c>
      <c r="M48" s="26">
        <f t="shared" si="658"/>
        <v>19724</v>
      </c>
      <c r="N48" s="26">
        <f t="shared" si="658"/>
        <v>20879</v>
      </c>
      <c r="O48" s="26">
        <f t="shared" si="658"/>
        <v>22493</v>
      </c>
      <c r="P48" s="26">
        <f t="shared" si="658"/>
        <v>23566</v>
      </c>
      <c r="Q48" s="26">
        <f t="shared" si="658"/>
        <v>29745</v>
      </c>
      <c r="R48" s="26">
        <f t="shared" si="658"/>
        <v>29901</v>
      </c>
      <c r="S48" s="26">
        <f t="shared" si="658"/>
        <v>36075</v>
      </c>
      <c r="T48" s="26">
        <f t="shared" si="658"/>
        <v>39588</v>
      </c>
      <c r="U48" s="26">
        <f t="shared" si="658"/>
        <v>39354</v>
      </c>
      <c r="V48" s="26">
        <f>V41+V45+V46+V47</f>
        <v>49128</v>
      </c>
      <c r="W48" s="26">
        <f>W41+W45+W46+W47</f>
        <v>60705</v>
      </c>
      <c r="X48" s="26">
        <f>X41+X45+X46+X47</f>
        <v>66702</v>
      </c>
      <c r="Y48" s="26">
        <f>Y41+Y45+Y46+Y47</f>
        <v>69621</v>
      </c>
      <c r="Z48" s="26">
        <f>Z41+Z45+Z46+Z47</f>
        <v>69648</v>
      </c>
      <c r="AA48" s="27">
        <f t="shared" ref="AA48:AD48" si="659">AA41+AA45+AA46+AA47</f>
        <v>80775</v>
      </c>
      <c r="AB48" s="27">
        <f t="shared" si="659"/>
        <v>84107.805933827462</v>
      </c>
      <c r="AC48" s="27">
        <f t="shared" si="659"/>
        <v>100806.59220358724</v>
      </c>
      <c r="AD48" s="27">
        <f t="shared" si="659"/>
        <v>118541.69911862945</v>
      </c>
      <c r="AE48" s="27">
        <f t="shared" ref="AE48" si="660">AE41+AE45+AE46+AE47</f>
        <v>140543.40114610555</v>
      </c>
      <c r="AI48" s="26">
        <f t="shared" ref="AI48" si="661">AI41+AI45+AI46+AI47</f>
        <v>4503</v>
      </c>
      <c r="AJ48" s="26">
        <f t="shared" ref="AJ48" si="662">AJ41+AJ45+AJ46+AJ47</f>
        <v>5409</v>
      </c>
      <c r="AK48" s="26">
        <f t="shared" ref="AK48:AM48" si="663">AK41+AK45+AK46+AK47</f>
        <v>5502</v>
      </c>
      <c r="AL48" s="26">
        <f t="shared" si="663"/>
        <v>5589</v>
      </c>
      <c r="AM48" s="26">
        <f t="shared" si="663"/>
        <v>5237</v>
      </c>
      <c r="AN48" s="26">
        <f t="shared" ref="AN48:AO48" si="664">AN41+AN45+AN46+AN47</f>
        <v>5873</v>
      </c>
      <c r="AO48" s="26">
        <f t="shared" si="664"/>
        <v>5502</v>
      </c>
      <c r="AP48" s="26">
        <f t="shared" ref="AP48:CD48" si="665">AP41+AP45+AP46+AP47</f>
        <v>5881</v>
      </c>
      <c r="AQ48" s="26">
        <f t="shared" si="665"/>
        <v>5957</v>
      </c>
      <c r="AR48" s="26">
        <f t="shared" si="665"/>
        <v>5972</v>
      </c>
      <c r="AS48" s="26">
        <f t="shared" si="665"/>
        <v>5256</v>
      </c>
      <c r="AT48" s="26">
        <f t="shared" si="665"/>
        <v>6381</v>
      </c>
      <c r="AU48" s="26">
        <f t="shared" si="665"/>
        <v>6024</v>
      </c>
      <c r="AV48" s="26">
        <f t="shared" si="665"/>
        <v>9345</v>
      </c>
      <c r="AW48" s="26">
        <f t="shared" si="665"/>
        <v>7245</v>
      </c>
      <c r="AX48" s="26">
        <f t="shared" si="665"/>
        <v>7167</v>
      </c>
      <c r="AY48" s="26">
        <f t="shared" si="665"/>
        <v>7113</v>
      </c>
      <c r="AZ48" s="26">
        <f t="shared" si="665"/>
        <v>7209</v>
      </c>
      <c r="BA48" s="26">
        <f t="shared" si="665"/>
        <v>7533</v>
      </c>
      <c r="BB48" s="26">
        <f t="shared" si="665"/>
        <v>8046</v>
      </c>
      <c r="BC48" s="26">
        <f t="shared" si="665"/>
        <v>9108</v>
      </c>
      <c r="BD48" s="26">
        <f t="shared" si="665"/>
        <v>8109</v>
      </c>
      <c r="BE48" s="26">
        <f t="shared" si="665"/>
        <v>9420</v>
      </c>
      <c r="BF48" s="26">
        <f t="shared" si="665"/>
        <v>9438</v>
      </c>
      <c r="BG48" s="26">
        <f t="shared" si="665"/>
        <v>9459</v>
      </c>
      <c r="BH48" s="26">
        <f t="shared" si="665"/>
        <v>9516</v>
      </c>
      <c r="BI48" s="26">
        <f t="shared" si="665"/>
        <v>10251</v>
      </c>
      <c r="BJ48" s="26">
        <f t="shared" si="665"/>
        <v>10362</v>
      </c>
      <c r="BK48" s="26">
        <f t="shared" si="665"/>
        <v>10104</v>
      </c>
      <c r="BL48" s="26">
        <f t="shared" si="665"/>
        <v>11262</v>
      </c>
      <c r="BM48" s="26">
        <f t="shared" si="665"/>
        <v>11640</v>
      </c>
      <c r="BN48" s="26">
        <f t="shared" si="665"/>
        <v>6348</v>
      </c>
      <c r="BO48" s="26">
        <f t="shared" si="665"/>
        <v>13233</v>
      </c>
      <c r="BP48" s="26">
        <f t="shared" si="665"/>
        <v>9567</v>
      </c>
      <c r="BQ48" s="26">
        <f t="shared" si="665"/>
        <v>13101</v>
      </c>
      <c r="BR48" s="26">
        <f t="shared" si="665"/>
        <v>13227</v>
      </c>
      <c r="BS48" s="26">
        <f t="shared" si="665"/>
        <v>12273</v>
      </c>
      <c r="BT48" s="26">
        <f t="shared" si="665"/>
        <v>13680</v>
      </c>
      <c r="BU48" s="26">
        <f t="shared" si="665"/>
        <v>18549</v>
      </c>
      <c r="BV48" s="26">
        <f t="shared" si="665"/>
        <v>16203</v>
      </c>
      <c r="BW48" s="26">
        <f t="shared" si="665"/>
        <v>17955</v>
      </c>
      <c r="BX48" s="26">
        <f t="shared" si="665"/>
        <v>13656</v>
      </c>
      <c r="BY48" s="26">
        <f t="shared" si="665"/>
        <v>15792</v>
      </c>
      <c r="BZ48" s="26">
        <f t="shared" si="665"/>
        <v>19299</v>
      </c>
      <c r="CA48" s="26">
        <f t="shared" si="665"/>
        <v>16011</v>
      </c>
      <c r="CB48" s="26">
        <f t="shared" si="665"/>
        <v>17394</v>
      </c>
      <c r="CC48" s="26">
        <f t="shared" si="665"/>
        <v>17265</v>
      </c>
      <c r="CD48" s="26">
        <f t="shared" si="665"/>
        <v>18951</v>
      </c>
      <c r="CE48" s="26">
        <f t="shared" ref="CE48:CF48" si="666">CE41+CE45+CE46+CE47</f>
        <v>15138</v>
      </c>
      <c r="CF48" s="26">
        <f t="shared" si="666"/>
        <v>16563</v>
      </c>
      <c r="CG48" s="26">
        <f t="shared" ref="CG48:CH48" si="667">CG41+CG45+CG46+CG47</f>
        <v>18540</v>
      </c>
      <c r="CH48" s="26">
        <f t="shared" si="667"/>
        <v>19407</v>
      </c>
      <c r="CI48" s="26">
        <f t="shared" ref="CI48:CJ48" si="668">CI41+CI45+CI46+CI47</f>
        <v>26994</v>
      </c>
      <c r="CJ48" s="26">
        <f t="shared" si="668"/>
        <v>18165</v>
      </c>
      <c r="CK48" s="26">
        <f t="shared" ref="CK48:CL48" si="669">CK41+CK45+CK46+CK47</f>
        <v>18645</v>
      </c>
      <c r="CL48" s="26">
        <f t="shared" si="669"/>
        <v>16971</v>
      </c>
      <c r="CM48" s="27">
        <f t="shared" ref="CM48:DB48" si="670">CM41+CM45+CM46+CM47</f>
        <v>18462.512476791082</v>
      </c>
      <c r="CN48" s="27">
        <f t="shared" si="670"/>
        <v>19850.449703870017</v>
      </c>
      <c r="CO48" s="27">
        <f t="shared" si="670"/>
        <v>20889.620133894947</v>
      </c>
      <c r="CP48" s="27">
        <f t="shared" si="670"/>
        <v>24905.223619271459</v>
      </c>
      <c r="CQ48" s="27">
        <f t="shared" si="670"/>
        <v>21610.068529184551</v>
      </c>
      <c r="CR48" s="27">
        <f t="shared" si="670"/>
        <v>23680.181400441594</v>
      </c>
      <c r="CS48" s="27">
        <f t="shared" si="670"/>
        <v>25366.078009445351</v>
      </c>
      <c r="CT48" s="27">
        <f t="shared" si="670"/>
        <v>30150.264264515674</v>
      </c>
      <c r="CU48" s="27">
        <f t="shared" si="670"/>
        <v>25415.491721445527</v>
      </c>
      <c r="CV48" s="27">
        <f t="shared" si="670"/>
        <v>27968.053797175737</v>
      </c>
      <c r="CW48" s="27">
        <f t="shared" si="670"/>
        <v>29935.712190837519</v>
      </c>
      <c r="CX48" s="27">
        <f t="shared" si="670"/>
        <v>35222.441409170875</v>
      </c>
      <c r="CY48" s="27">
        <f t="shared" si="670"/>
        <v>30381.366641955363</v>
      </c>
      <c r="CZ48" s="27">
        <f t="shared" si="670"/>
        <v>33286.803427976876</v>
      </c>
      <c r="DA48" s="27">
        <f t="shared" si="670"/>
        <v>35505.1259478231</v>
      </c>
      <c r="DB48" s="27">
        <f t="shared" si="670"/>
        <v>41370.105128350253</v>
      </c>
      <c r="DE48" s="121"/>
      <c r="DF48" s="26">
        <v>19457.16600624736</v>
      </c>
    </row>
    <row r="49" spans="1:110" s="25" customFormat="1" x14ac:dyDescent="0.2">
      <c r="A49" s="151" t="s">
        <v>486</v>
      </c>
      <c r="AA49" s="17"/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A50" s="20"/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2645.62</v>
      </c>
      <c r="C51" s="22">
        <f>'Annual Raw'!D35</f>
        <v>3279.9</v>
      </c>
      <c r="D51" s="22">
        <f>'Annual Raw'!E35</f>
        <v>4091.04</v>
      </c>
      <c r="E51" s="22">
        <f>'Annual Raw'!F35</f>
        <v>5168.99</v>
      </c>
      <c r="F51" s="22">
        <f>'Annual Raw'!G35</f>
        <v>7628.23</v>
      </c>
      <c r="G51" s="22">
        <f>'Annual Raw'!H35</f>
        <v>9398.23</v>
      </c>
      <c r="H51" s="22">
        <f>'Annual Raw'!I35</f>
        <v>12074.83</v>
      </c>
      <c r="I51" s="22">
        <f>'Annual Raw'!J35</f>
        <v>19521.38</v>
      </c>
      <c r="J51" s="22">
        <f>'Annual Raw'!K35</f>
        <v>14968.72</v>
      </c>
      <c r="K51" s="22">
        <f>'Annual Raw'!L35</f>
        <v>24503.14</v>
      </c>
      <c r="L51" s="22">
        <f>'Annual Raw'!M35</f>
        <v>19294</v>
      </c>
      <c r="M51" s="22">
        <f>'Annual Raw'!N35</f>
        <v>19724</v>
      </c>
      <c r="N51" s="22">
        <f>'Annual Raw'!O35</f>
        <v>20879</v>
      </c>
      <c r="O51" s="22">
        <f>'Annual Raw'!P35</f>
        <v>22493</v>
      </c>
      <c r="P51" s="22">
        <f>'Annual Raw'!Q35</f>
        <v>23566</v>
      </c>
      <c r="Q51" s="22">
        <f>'Annual Raw'!R35</f>
        <v>29745</v>
      </c>
      <c r="R51" s="22">
        <f>'Annual Raw'!S35</f>
        <v>29901</v>
      </c>
      <c r="S51" s="22">
        <f>'Annual Raw'!T35</f>
        <v>36075</v>
      </c>
      <c r="T51" s="22">
        <f>'Annual Raw'!U35</f>
        <v>39588</v>
      </c>
      <c r="U51" s="22">
        <f>'Annual Raw'!V35</f>
        <v>39354</v>
      </c>
      <c r="V51" s="22">
        <f>'Annual Raw'!W35</f>
        <v>49128</v>
      </c>
      <c r="W51" s="22">
        <f>'Annual Raw'!X35</f>
        <v>60705</v>
      </c>
      <c r="X51" s="22">
        <f>'Annual Raw'!Y35</f>
        <v>66702</v>
      </c>
      <c r="Y51" s="22">
        <f>'Annual Raw'!Z35</f>
        <v>69621</v>
      </c>
      <c r="Z51" s="22">
        <f>'Annual Raw'!AA35</f>
        <v>69648</v>
      </c>
      <c r="AA51" s="21">
        <f t="shared" ref="AA51:AD51" si="671">+AA48</f>
        <v>80775</v>
      </c>
      <c r="AB51" s="21">
        <f t="shared" si="671"/>
        <v>84107.805933827462</v>
      </c>
      <c r="AC51" s="21">
        <f t="shared" si="671"/>
        <v>100806.59220358724</v>
      </c>
      <c r="AD51" s="21">
        <f t="shared" si="671"/>
        <v>118541.69911862945</v>
      </c>
      <c r="AE51" s="21">
        <f t="shared" ref="AE51" si="672">+AE48</f>
        <v>140543.40114610555</v>
      </c>
      <c r="AI51" s="22">
        <f>'QTR Raw'!C42</f>
        <v>4503</v>
      </c>
      <c r="AJ51" s="22">
        <f>'QTR Raw'!D42</f>
        <v>5409</v>
      </c>
      <c r="AK51" s="22">
        <f>'QTR Raw'!E42</f>
        <v>5502</v>
      </c>
      <c r="AL51" s="22">
        <f>'QTR Raw'!F42</f>
        <v>5589</v>
      </c>
      <c r="AM51" s="22">
        <f>'QTR Raw'!G42</f>
        <v>5237</v>
      </c>
      <c r="AN51" s="22">
        <f>'QTR Raw'!H42</f>
        <v>5873</v>
      </c>
      <c r="AO51" s="22">
        <f>'QTR Raw'!I42</f>
        <v>5502</v>
      </c>
      <c r="AP51" s="22">
        <f>'QTR Raw'!J42</f>
        <v>5881</v>
      </c>
      <c r="AQ51" s="22">
        <f>'QTR Raw'!K42</f>
        <v>5957</v>
      </c>
      <c r="AR51" s="22">
        <f>'QTR Raw'!L42</f>
        <v>5972</v>
      </c>
      <c r="AS51" s="22">
        <f>'QTR Raw'!M42</f>
        <v>5256</v>
      </c>
      <c r="AT51" s="22">
        <f>'QTR Raw'!N42</f>
        <v>6381</v>
      </c>
      <c r="AU51" s="22">
        <f>'QTR Raw'!O42</f>
        <v>6024</v>
      </c>
      <c r="AV51" s="22">
        <f>'QTR Raw'!P42</f>
        <v>9345</v>
      </c>
      <c r="AW51" s="22">
        <f>'QTR Raw'!Q42</f>
        <v>7245</v>
      </c>
      <c r="AX51" s="22">
        <f>'QTR Raw'!R42</f>
        <v>7167</v>
      </c>
      <c r="AY51" s="22">
        <f>'QTR Raw'!S42</f>
        <v>7113</v>
      </c>
      <c r="AZ51" s="22">
        <f>'QTR Raw'!T42</f>
        <v>7209</v>
      </c>
      <c r="BA51" s="22">
        <f>'QTR Raw'!U42</f>
        <v>7533</v>
      </c>
      <c r="BB51" s="22">
        <f>'QTR Raw'!V42</f>
        <v>8046</v>
      </c>
      <c r="BC51" s="22">
        <f>'QTR Raw'!W42</f>
        <v>9108</v>
      </c>
      <c r="BD51" s="22">
        <f>'QTR Raw'!X42</f>
        <v>8109</v>
      </c>
      <c r="BE51" s="22">
        <f>'QTR Raw'!Y42</f>
        <v>9420</v>
      </c>
      <c r="BF51" s="22">
        <f>'QTR Raw'!Z42</f>
        <v>9438</v>
      </c>
      <c r="BG51" s="22">
        <f>'QTR Raw'!AA42</f>
        <v>9459</v>
      </c>
      <c r="BH51" s="22">
        <f>'QTR Raw'!AB42</f>
        <v>9516</v>
      </c>
      <c r="BI51" s="22">
        <f>'QTR Raw'!AC42</f>
        <v>10251</v>
      </c>
      <c r="BJ51" s="22">
        <f>'QTR Raw'!AD42</f>
        <v>10362</v>
      </c>
      <c r="BK51" s="22">
        <f>'QTR Raw'!AE42</f>
        <v>10104</v>
      </c>
      <c r="BL51" s="22">
        <f>'QTR Raw'!AF42</f>
        <v>11262</v>
      </c>
      <c r="BM51" s="22">
        <f>'QTR Raw'!AG42</f>
        <v>11640</v>
      </c>
      <c r="BN51" s="22">
        <f>'QTR Raw'!AH42</f>
        <v>6348</v>
      </c>
      <c r="BO51" s="22">
        <f>'QTR Raw'!AI42</f>
        <v>13233</v>
      </c>
      <c r="BP51" s="22">
        <f>'QTR Raw'!AJ42</f>
        <v>9567</v>
      </c>
      <c r="BQ51" s="22">
        <f>'QTR Raw'!AK42</f>
        <v>13101</v>
      </c>
      <c r="BR51" s="22">
        <f>'QTR Raw'!AL42</f>
        <v>13227</v>
      </c>
      <c r="BS51" s="22">
        <f>'QTR Raw'!AM42</f>
        <v>12273</v>
      </c>
      <c r="BT51" s="22">
        <f>'QTR Raw'!AN42</f>
        <v>13680</v>
      </c>
      <c r="BU51" s="22">
        <f>'QTR Raw'!AO42</f>
        <v>18549</v>
      </c>
      <c r="BV51" s="22">
        <f>'QTR Raw'!AP42</f>
        <v>16203</v>
      </c>
      <c r="BW51" s="22">
        <f>'QTR Raw'!AQ42</f>
        <v>17955</v>
      </c>
      <c r="BX51" s="22">
        <f>'QTR Raw'!AR42</f>
        <v>13656</v>
      </c>
      <c r="BY51" s="22">
        <f>'QTR Raw'!AS42</f>
        <v>15792</v>
      </c>
      <c r="BZ51" s="22">
        <f>'QTR Raw'!AT42</f>
        <v>19299</v>
      </c>
      <c r="CA51" s="22">
        <f>'QTR Raw'!AU42</f>
        <v>16011</v>
      </c>
      <c r="CB51" s="22">
        <f>'QTR Raw'!AV42</f>
        <v>17394</v>
      </c>
      <c r="CC51" s="22">
        <f>'QTR Raw'!AW42</f>
        <v>17265</v>
      </c>
      <c r="CD51" s="22">
        <f>'QTR Raw'!AX42</f>
        <v>18951</v>
      </c>
      <c r="CE51" s="22">
        <f>'QTR Raw'!AY42</f>
        <v>15138</v>
      </c>
      <c r="CF51" s="22">
        <f>'QTR Raw'!AZ42</f>
        <v>16563</v>
      </c>
      <c r="CG51" s="22">
        <f>'QTR Raw'!BA42</f>
        <v>18540</v>
      </c>
      <c r="CH51" s="22">
        <f>'QTR Raw'!BB42</f>
        <v>19407</v>
      </c>
      <c r="CI51" s="22">
        <f>'QTR Raw'!BC42</f>
        <v>26994</v>
      </c>
      <c r="CJ51" s="22">
        <f>'QTR Raw'!BD42</f>
        <v>18165</v>
      </c>
      <c r="CK51" s="22">
        <f>'QTR Raw'!BE42</f>
        <v>18645</v>
      </c>
      <c r="CL51" s="22">
        <f>'QTR Raw'!BF42</f>
        <v>16971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</row>
    <row r="52" spans="1:110" s="25" customFormat="1" x14ac:dyDescent="0.2">
      <c r="A52" s="36" t="s">
        <v>435</v>
      </c>
      <c r="B52" s="25">
        <f t="shared" ref="B52:V52" si="673">B51-B48</f>
        <v>0</v>
      </c>
      <c r="C52" s="25">
        <f>C51-C48</f>
        <v>-3.637978807091713E-12</v>
      </c>
      <c r="D52" s="25">
        <f t="shared" si="673"/>
        <v>0</v>
      </c>
      <c r="E52" s="25">
        <f t="shared" si="673"/>
        <v>-1.546140993013978E-11</v>
      </c>
      <c r="F52" s="25">
        <f t="shared" si="673"/>
        <v>0</v>
      </c>
      <c r="G52" s="25">
        <f t="shared" si="673"/>
        <v>0</v>
      </c>
      <c r="H52" s="25">
        <f t="shared" si="673"/>
        <v>0</v>
      </c>
      <c r="I52" s="25">
        <f t="shared" si="673"/>
        <v>0</v>
      </c>
      <c r="J52" s="25">
        <f t="shared" si="673"/>
        <v>-1.8189894035458565E-11</v>
      </c>
      <c r="K52" s="25">
        <f t="shared" si="673"/>
        <v>0</v>
      </c>
      <c r="L52" s="25">
        <f t="shared" si="673"/>
        <v>0</v>
      </c>
      <c r="M52" s="25">
        <f t="shared" si="673"/>
        <v>0</v>
      </c>
      <c r="N52" s="25">
        <f t="shared" si="673"/>
        <v>0</v>
      </c>
      <c r="O52" s="25">
        <f t="shared" si="673"/>
        <v>0</v>
      </c>
      <c r="P52" s="25">
        <f t="shared" si="673"/>
        <v>0</v>
      </c>
      <c r="Q52" s="25">
        <f t="shared" si="673"/>
        <v>0</v>
      </c>
      <c r="R52" s="25">
        <f t="shared" si="673"/>
        <v>0</v>
      </c>
      <c r="S52" s="25">
        <f t="shared" si="673"/>
        <v>0</v>
      </c>
      <c r="T52" s="25">
        <f t="shared" si="673"/>
        <v>0</v>
      </c>
      <c r="U52" s="25">
        <f t="shared" si="673"/>
        <v>0</v>
      </c>
      <c r="V52" s="25">
        <f t="shared" si="673"/>
        <v>0</v>
      </c>
      <c r="W52" s="25">
        <f t="shared" ref="W52" si="674">W51-W48</f>
        <v>0</v>
      </c>
      <c r="X52" s="25">
        <f t="shared" ref="X52:Y52" si="675">X51-X48</f>
        <v>0</v>
      </c>
      <c r="Y52" s="25">
        <f t="shared" si="675"/>
        <v>0</v>
      </c>
      <c r="Z52" s="25">
        <f t="shared" ref="Z52" si="676">Z51-Z48</f>
        <v>0</v>
      </c>
      <c r="AA52" s="17">
        <f t="shared" ref="AA52:AD52" si="677">AA51-AA48</f>
        <v>0</v>
      </c>
      <c r="AB52" s="17">
        <f t="shared" si="677"/>
        <v>0</v>
      </c>
      <c r="AC52" s="17">
        <f t="shared" si="677"/>
        <v>0</v>
      </c>
      <c r="AD52" s="17">
        <f t="shared" si="677"/>
        <v>0</v>
      </c>
      <c r="AE52" s="17">
        <f t="shared" ref="AE52" si="678">AE51-AE48</f>
        <v>0</v>
      </c>
      <c r="AI52" s="25">
        <f t="shared" ref="AI52" si="679">AI51-AI48</f>
        <v>0</v>
      </c>
      <c r="AJ52" s="25">
        <f t="shared" ref="AJ52" si="680">AJ51-AJ48</f>
        <v>0</v>
      </c>
      <c r="AK52" s="25">
        <f t="shared" ref="AK52:AM52" si="681">AK51-AK48</f>
        <v>0</v>
      </c>
      <c r="AL52" s="25">
        <f t="shared" si="681"/>
        <v>0</v>
      </c>
      <c r="AM52" s="25">
        <f t="shared" si="681"/>
        <v>0</v>
      </c>
      <c r="AN52" s="25">
        <f t="shared" ref="AN52:AO52" si="682">AN51-AN48</f>
        <v>0</v>
      </c>
      <c r="AO52" s="25">
        <f t="shared" si="682"/>
        <v>0</v>
      </c>
      <c r="AP52" s="25">
        <f t="shared" ref="AP52:CD52" si="683">AP51-AP48</f>
        <v>0</v>
      </c>
      <c r="AQ52" s="25">
        <f t="shared" si="683"/>
        <v>0</v>
      </c>
      <c r="AR52" s="25">
        <f t="shared" si="683"/>
        <v>0</v>
      </c>
      <c r="AS52" s="25">
        <f t="shared" si="683"/>
        <v>0</v>
      </c>
      <c r="AT52" s="25">
        <f t="shared" si="683"/>
        <v>0</v>
      </c>
      <c r="AU52" s="25">
        <f t="shared" si="683"/>
        <v>0</v>
      </c>
      <c r="AV52" s="25">
        <f t="shared" si="683"/>
        <v>0</v>
      </c>
      <c r="AW52" s="25">
        <f t="shared" si="683"/>
        <v>0</v>
      </c>
      <c r="AX52" s="25">
        <f t="shared" si="683"/>
        <v>0</v>
      </c>
      <c r="AY52" s="25">
        <f t="shared" si="683"/>
        <v>0</v>
      </c>
      <c r="AZ52" s="25">
        <f t="shared" si="683"/>
        <v>0</v>
      </c>
      <c r="BA52" s="25">
        <f t="shared" si="683"/>
        <v>0</v>
      </c>
      <c r="BB52" s="25">
        <f t="shared" si="683"/>
        <v>0</v>
      </c>
      <c r="BC52" s="25">
        <f t="shared" si="683"/>
        <v>0</v>
      </c>
      <c r="BD52" s="25">
        <f t="shared" si="683"/>
        <v>0</v>
      </c>
      <c r="BE52" s="25">
        <f t="shared" si="683"/>
        <v>0</v>
      </c>
      <c r="BF52" s="25">
        <f t="shared" si="683"/>
        <v>0</v>
      </c>
      <c r="BG52" s="25">
        <f t="shared" si="683"/>
        <v>0</v>
      </c>
      <c r="BH52" s="25">
        <f t="shared" si="683"/>
        <v>0</v>
      </c>
      <c r="BI52" s="25">
        <f t="shared" si="683"/>
        <v>0</v>
      </c>
      <c r="BJ52" s="25">
        <f t="shared" si="683"/>
        <v>0</v>
      </c>
      <c r="BK52" s="25">
        <f t="shared" si="683"/>
        <v>0</v>
      </c>
      <c r="BL52" s="25">
        <f t="shared" si="683"/>
        <v>0</v>
      </c>
      <c r="BM52" s="25">
        <f t="shared" si="683"/>
        <v>0</v>
      </c>
      <c r="BN52" s="25">
        <f t="shared" si="683"/>
        <v>0</v>
      </c>
      <c r="BO52" s="25">
        <f t="shared" si="683"/>
        <v>0</v>
      </c>
      <c r="BP52" s="25">
        <f t="shared" si="683"/>
        <v>0</v>
      </c>
      <c r="BQ52" s="25">
        <f t="shared" si="683"/>
        <v>0</v>
      </c>
      <c r="BR52" s="25">
        <f t="shared" si="683"/>
        <v>0</v>
      </c>
      <c r="BS52" s="25">
        <f t="shared" si="683"/>
        <v>0</v>
      </c>
      <c r="BT52" s="25">
        <f t="shared" si="683"/>
        <v>0</v>
      </c>
      <c r="BU52" s="25">
        <f t="shared" si="683"/>
        <v>0</v>
      </c>
      <c r="BV52" s="25">
        <f t="shared" si="683"/>
        <v>0</v>
      </c>
      <c r="BW52" s="25">
        <f t="shared" si="683"/>
        <v>0</v>
      </c>
      <c r="BX52" s="25">
        <f t="shared" si="683"/>
        <v>0</v>
      </c>
      <c r="BY52" s="25">
        <f t="shared" si="683"/>
        <v>0</v>
      </c>
      <c r="BZ52" s="25">
        <f t="shared" si="683"/>
        <v>0</v>
      </c>
      <c r="CA52" s="25">
        <f t="shared" si="683"/>
        <v>0</v>
      </c>
      <c r="CB52" s="25">
        <f t="shared" si="683"/>
        <v>0</v>
      </c>
      <c r="CC52" s="25">
        <f t="shared" si="683"/>
        <v>0</v>
      </c>
      <c r="CD52" s="25">
        <f t="shared" si="683"/>
        <v>0</v>
      </c>
      <c r="CE52" s="25">
        <f t="shared" ref="CE52:CF52" si="684">CE51-CE48</f>
        <v>0</v>
      </c>
      <c r="CF52" s="25">
        <f t="shared" si="684"/>
        <v>0</v>
      </c>
      <c r="CG52" s="25">
        <f t="shared" ref="CG52:CH52" si="685">CG51-CG48</f>
        <v>0</v>
      </c>
      <c r="CH52" s="25">
        <f t="shared" si="685"/>
        <v>0</v>
      </c>
      <c r="CI52" s="25">
        <f t="shared" ref="CI52:CJ52" si="686">CI51-CI48</f>
        <v>0</v>
      </c>
      <c r="CJ52" s="25">
        <f t="shared" si="686"/>
        <v>0</v>
      </c>
      <c r="CK52" s="25">
        <f t="shared" ref="CK52:CL52" si="687">CK51-CK48</f>
        <v>0</v>
      </c>
      <c r="CL52" s="25">
        <f t="shared" si="687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</row>
    <row r="53" spans="1:110" s="1" customFormat="1" x14ac:dyDescent="0.2">
      <c r="A53" s="150" t="s">
        <v>487</v>
      </c>
      <c r="AA53" s="20"/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688">(B48-B47)/B120</f>
        <v>0.1791773589148121</v>
      </c>
      <c r="C54" s="39">
        <f t="shared" si="688"/>
        <v>0.10252080655515521</v>
      </c>
      <c r="D54" s="39">
        <f t="shared" si="688"/>
        <v>0.13397559775096107</v>
      </c>
      <c r="E54" s="39">
        <f t="shared" si="688"/>
        <v>0.14761141199198732</v>
      </c>
      <c r="F54" s="39">
        <f t="shared" si="688"/>
        <v>0.18488492266570483</v>
      </c>
      <c r="G54" s="39">
        <f t="shared" si="688"/>
        <v>0.18612848663763798</v>
      </c>
      <c r="H54" s="39">
        <f t="shared" si="688"/>
        <v>0.17700077456336263</v>
      </c>
      <c r="I54" s="39">
        <f t="shared" si="688"/>
        <v>0.22829225142929838</v>
      </c>
      <c r="J54" s="39">
        <f t="shared" si="688"/>
        <v>0.12344670233869462</v>
      </c>
      <c r="K54" s="39">
        <f t="shared" si="688"/>
        <v>0.17377746200824981</v>
      </c>
      <c r="L54" s="39">
        <f t="shared" si="688"/>
        <v>0.12520278776394855</v>
      </c>
      <c r="M54" s="39">
        <f t="shared" si="688"/>
        <v>0.1164035527752368</v>
      </c>
      <c r="N54" s="39">
        <f t="shared" si="688"/>
        <v>0.11468512262777732</v>
      </c>
      <c r="O54" s="39">
        <f t="shared" si="688"/>
        <v>0.11320821191119701</v>
      </c>
      <c r="P54" s="39">
        <f t="shared" si="688"/>
        <v>0.10785404052192459</v>
      </c>
      <c r="Q54" s="39">
        <f t="shared" si="688"/>
        <v>0.12845704710739519</v>
      </c>
      <c r="R54" s="39">
        <f t="shared" si="688"/>
        <v>0.11338634631355016</v>
      </c>
      <c r="S54" s="39">
        <f t="shared" si="688"/>
        <v>0.12291060489393743</v>
      </c>
      <c r="T54" s="39">
        <f t="shared" si="688"/>
        <v>0.10226497757754861</v>
      </c>
      <c r="U54" s="39">
        <f t="shared" si="688"/>
        <v>9.7509606693293796E-2</v>
      </c>
      <c r="V54" s="39">
        <f t="shared" si="688"/>
        <v>6.2107596419165578E-2</v>
      </c>
      <c r="W54" s="39">
        <f t="shared" si="688"/>
        <v>7.210914898939684E-2</v>
      </c>
      <c r="X54" s="39">
        <f t="shared" si="688"/>
        <v>9.2591971749139509E-2</v>
      </c>
      <c r="Y54" s="39">
        <f t="shared" si="688"/>
        <v>8.7741231359036956E-2</v>
      </c>
      <c r="Z54" s="39">
        <f t="shared" si="688"/>
        <v>8.259962049335863E-2</v>
      </c>
      <c r="AA54" s="40">
        <f t="shared" si="688"/>
        <v>8.9349910954282491E-2</v>
      </c>
      <c r="AB54" s="40">
        <f t="shared" si="688"/>
        <v>8.5117486072038728E-2</v>
      </c>
      <c r="AC54" s="40">
        <f t="shared" si="688"/>
        <v>9.2572763472599628E-2</v>
      </c>
      <c r="AD54" s="40">
        <f t="shared" si="688"/>
        <v>9.8172309716865414E-2</v>
      </c>
      <c r="AE54" s="40">
        <f t="shared" si="688"/>
        <v>0.1042584018470626</v>
      </c>
      <c r="AF54" s="39"/>
      <c r="AG54" s="39"/>
      <c r="AH54" s="39"/>
      <c r="AI54" s="39"/>
      <c r="AJ54" s="39"/>
      <c r="AK54" s="39"/>
      <c r="AL54" s="39">
        <f t="shared" ref="AL54:BQ54" si="689">(SUM(AI48:AL48)-SUM(AI47:AL47))/AL120</f>
        <v>0.11536623547828953</v>
      </c>
      <c r="AM54" s="39">
        <f t="shared" si="689"/>
        <v>0.11605941524464472</v>
      </c>
      <c r="AN54" s="39">
        <f t="shared" si="689"/>
        <v>0.11681416860471235</v>
      </c>
      <c r="AO54" s="39">
        <f t="shared" si="689"/>
        <v>0.11352758289185706</v>
      </c>
      <c r="AP54" s="39">
        <f t="shared" si="689"/>
        <v>0.11320821191119701</v>
      </c>
      <c r="AQ54" s="39">
        <f t="shared" si="689"/>
        <v>0.11343112918043041</v>
      </c>
      <c r="AR54" s="39">
        <f t="shared" si="689"/>
        <v>0.1109514064061682</v>
      </c>
      <c r="AS54" s="39">
        <f t="shared" si="689"/>
        <v>0.10710139947809776</v>
      </c>
      <c r="AT54" s="39">
        <f t="shared" si="689"/>
        <v>0.10785404052192459</v>
      </c>
      <c r="AU54" s="39">
        <f t="shared" si="689"/>
        <v>0.10525870400805262</v>
      </c>
      <c r="AV54" s="39">
        <f t="shared" si="689"/>
        <v>9.8009241266139829E-2</v>
      </c>
      <c r="AW54" s="39">
        <f t="shared" si="689"/>
        <v>0.1033645290287461</v>
      </c>
      <c r="AX54" s="39">
        <f t="shared" si="689"/>
        <v>0.10885919604760835</v>
      </c>
      <c r="AY54" s="39">
        <f t="shared" si="689"/>
        <v>0.11017769379349643</v>
      </c>
      <c r="AZ54" s="39">
        <f t="shared" si="689"/>
        <v>0.11172504728791077</v>
      </c>
      <c r="BA54" s="39">
        <f t="shared" si="689"/>
        <v>0.1096148348611614</v>
      </c>
      <c r="BB54" s="39">
        <f t="shared" si="689"/>
        <v>0.11338634631355016</v>
      </c>
      <c r="BC54" s="39">
        <f t="shared" si="689"/>
        <v>0.112929179633234</v>
      </c>
      <c r="BD54" s="39">
        <f t="shared" si="689"/>
        <v>0.11475920074988509</v>
      </c>
      <c r="BE54" s="39">
        <f t="shared" si="689"/>
        <v>0.1175799446328514</v>
      </c>
      <c r="BF54" s="39">
        <f t="shared" si="689"/>
        <v>0.11920710309158927</v>
      </c>
      <c r="BG54" s="39">
        <f t="shared" si="689"/>
        <v>0.12023170993349067</v>
      </c>
      <c r="BH54" s="39">
        <f t="shared" si="689"/>
        <v>0.12430672379350226</v>
      </c>
      <c r="BI54" s="39">
        <f t="shared" si="689"/>
        <v>0.12289774731963776</v>
      </c>
      <c r="BJ54" s="39">
        <f t="shared" si="689"/>
        <v>0.10226497757754861</v>
      </c>
      <c r="BK54" s="39">
        <f t="shared" si="689"/>
        <v>0.10128746072665754</v>
      </c>
      <c r="BL54" s="39">
        <f t="shared" si="689"/>
        <v>0.10355647761444398</v>
      </c>
      <c r="BM54" s="39">
        <f t="shared" si="689"/>
        <v>0.10442120509432559</v>
      </c>
      <c r="BN54" s="39">
        <f t="shared" si="689"/>
        <v>9.7509606693293796E-2</v>
      </c>
      <c r="BO54" s="39">
        <f t="shared" si="689"/>
        <v>9.0746303517092383E-2</v>
      </c>
      <c r="BP54" s="39">
        <f t="shared" si="689"/>
        <v>6.5641597464714346E-2</v>
      </c>
      <c r="BQ54" s="39">
        <f t="shared" si="689"/>
        <v>6.6511524716570666E-2</v>
      </c>
      <c r="BR54" s="39">
        <f t="shared" ref="BR54:CW54" si="690">(SUM(BO48:BR48)-SUM(BO47:BR47))/BR120</f>
        <v>6.2107596419165578E-2</v>
      </c>
      <c r="BS54" s="39">
        <f t="shared" si="690"/>
        <v>6.6660584325807612E-2</v>
      </c>
      <c r="BT54" s="39">
        <f t="shared" si="690"/>
        <v>6.9566518560058674E-2</v>
      </c>
      <c r="BU54" s="39">
        <f t="shared" si="690"/>
        <v>7.1145527692912672E-2</v>
      </c>
      <c r="BV54" s="39">
        <f t="shared" si="690"/>
        <v>7.424004310538368E-2</v>
      </c>
      <c r="BW54" s="39">
        <f t="shared" si="690"/>
        <v>7.9646117576243985E-2</v>
      </c>
      <c r="BX54" s="39">
        <f t="shared" si="690"/>
        <v>8.0133004408587311E-2</v>
      </c>
      <c r="BY54" s="39">
        <f t="shared" si="690"/>
        <v>7.8536584760517267E-2</v>
      </c>
      <c r="BZ54" s="39">
        <f t="shared" si="690"/>
        <v>9.2591971749139509E-2</v>
      </c>
      <c r="CA54" s="39">
        <f t="shared" si="690"/>
        <v>8.796214695518273E-2</v>
      </c>
      <c r="CB54" s="39">
        <f t="shared" si="690"/>
        <v>9.0913205417306742E-2</v>
      </c>
      <c r="CC54" s="39">
        <f t="shared" si="690"/>
        <v>9.0917608235402805E-2</v>
      </c>
      <c r="CD54" s="39">
        <f t="shared" si="690"/>
        <v>8.7741231359036956E-2</v>
      </c>
      <c r="CE54" s="39">
        <f t="shared" si="690"/>
        <v>8.5019026265769168E-2</v>
      </c>
      <c r="CF54" s="39">
        <f t="shared" si="690"/>
        <v>8.2880897379105326E-2</v>
      </c>
      <c r="CG54" s="39">
        <f t="shared" si="690"/>
        <v>8.2568708807830141E-2</v>
      </c>
      <c r="CH54" s="39">
        <f t="shared" si="690"/>
        <v>8.259962049335863E-2</v>
      </c>
      <c r="CI54" s="39">
        <f t="shared" si="690"/>
        <v>9.3661873099561713E-2</v>
      </c>
      <c r="CJ54" s="39">
        <f t="shared" si="690"/>
        <v>9.4731442640890021E-2</v>
      </c>
      <c r="CK54" s="39">
        <f t="shared" si="690"/>
        <v>9.2877193961548116E-2</v>
      </c>
      <c r="CL54" s="39">
        <f t="shared" si="690"/>
        <v>8.9349910954282491E-2</v>
      </c>
      <c r="CM54" s="40">
        <f t="shared" si="690"/>
        <v>7.8313386287358774E-2</v>
      </c>
      <c r="CN54" s="40">
        <f t="shared" si="690"/>
        <v>7.8452288760753566E-2</v>
      </c>
      <c r="CO54" s="40">
        <f t="shared" si="690"/>
        <v>7.9081193590356119E-2</v>
      </c>
      <c r="CP54" s="40">
        <f t="shared" si="690"/>
        <v>8.511748607203877E-2</v>
      </c>
      <c r="CQ54" s="40">
        <f t="shared" si="690"/>
        <v>8.6413018727693525E-2</v>
      </c>
      <c r="CR54" s="40">
        <f t="shared" si="690"/>
        <v>8.813878543938776E-2</v>
      </c>
      <c r="CS54" s="40">
        <f t="shared" si="690"/>
        <v>9.0255082174278925E-2</v>
      </c>
      <c r="CT54" s="40">
        <f t="shared" si="690"/>
        <v>9.2572763472599559E-2</v>
      </c>
      <c r="CU54" s="40">
        <f t="shared" si="690"/>
        <v>9.387632877660182E-2</v>
      </c>
      <c r="CV54" s="40">
        <f t="shared" si="690"/>
        <v>9.5331545023793027E-2</v>
      </c>
      <c r="CW54" s="40">
        <f t="shared" si="690"/>
        <v>9.6795222992732938E-2</v>
      </c>
      <c r="CX54" s="40">
        <f t="shared" ref="CX54:DB54" si="691">(SUM(CU48:CX48)-SUM(CU47:CX47))/CX120</f>
        <v>9.8172309716865594E-2</v>
      </c>
      <c r="CY54" s="40">
        <f t="shared" si="691"/>
        <v>9.9774473149345594E-2</v>
      </c>
      <c r="CZ54" s="40">
        <f t="shared" si="691"/>
        <v>0.10134593965604353</v>
      </c>
      <c r="DA54" s="40">
        <f t="shared" si="691"/>
        <v>0.10285445321003001</v>
      </c>
      <c r="DB54" s="40">
        <f t="shared" si="691"/>
        <v>0.10425840184706264</v>
      </c>
      <c r="DE54" s="122"/>
      <c r="DF54" s="38">
        <v>9.0957819693506151E-2</v>
      </c>
    </row>
    <row r="55" spans="1:110" s="38" customFormat="1" x14ac:dyDescent="0.2">
      <c r="A55" s="38" t="s">
        <v>351</v>
      </c>
      <c r="B55" s="39">
        <f t="shared" ref="B55:AE55" si="692">+B34/B129</f>
        <v>7.8004398188678728E-2</v>
      </c>
      <c r="C55" s="39">
        <f t="shared" si="692"/>
        <v>9.4307078544871747E-2</v>
      </c>
      <c r="D55" s="39">
        <f t="shared" si="692"/>
        <v>9.4464911942503574E-2</v>
      </c>
      <c r="E55" s="39">
        <f t="shared" si="692"/>
        <v>0.10938586384668897</v>
      </c>
      <c r="F55" s="39">
        <f t="shared" si="692"/>
        <v>0.14783358796183851</v>
      </c>
      <c r="G55" s="39">
        <f t="shared" si="692"/>
        <v>0.1256333184013273</v>
      </c>
      <c r="H55" s="39">
        <f t="shared" si="692"/>
        <v>0.12563650027727508</v>
      </c>
      <c r="I55" s="39">
        <f t="shared" si="692"/>
        <v>0.10929729217296529</v>
      </c>
      <c r="J55" s="39">
        <f t="shared" si="692"/>
        <v>7.8389830937237059E-2</v>
      </c>
      <c r="K55" s="39">
        <f t="shared" si="692"/>
        <v>7.8334615291158038E-2</v>
      </c>
      <c r="L55" s="39">
        <f t="shared" si="692"/>
        <v>8.7494143631617699E-2</v>
      </c>
      <c r="M55" s="39">
        <f t="shared" si="692"/>
        <v>7.4920724349140239E-2</v>
      </c>
      <c r="N55" s="39">
        <f t="shared" si="692"/>
        <v>6.7517047236090866E-2</v>
      </c>
      <c r="O55" s="39">
        <f t="shared" si="692"/>
        <v>6.3947234666256902E-2</v>
      </c>
      <c r="P55" s="39">
        <f t="shared" si="692"/>
        <v>6.7214958158995822E-2</v>
      </c>
      <c r="Q55" s="39">
        <f t="shared" si="692"/>
        <v>7.1277587217402169E-2</v>
      </c>
      <c r="R55" s="39">
        <f t="shared" si="692"/>
        <v>7.446267382814184E-2</v>
      </c>
      <c r="S55" s="39">
        <f t="shared" si="692"/>
        <v>9.1875404023395613E-2</v>
      </c>
      <c r="T55" s="39">
        <f t="shared" si="692"/>
        <v>9.2409834172917885E-2</v>
      </c>
      <c r="U55" s="39">
        <f t="shared" si="692"/>
        <v>8.361029585991693E-2</v>
      </c>
      <c r="V55" s="39">
        <f t="shared" si="692"/>
        <v>5.0749446131864849E-2</v>
      </c>
      <c r="W55" s="39">
        <f t="shared" si="692"/>
        <v>6.8090321988697203E-2</v>
      </c>
      <c r="X55" s="39">
        <f t="shared" si="692"/>
        <v>8.7988155894883568E-2</v>
      </c>
      <c r="Y55" s="39">
        <f t="shared" si="692"/>
        <v>8.9091577962428323E-2</v>
      </c>
      <c r="Z55" s="39">
        <f t="shared" si="692"/>
        <v>8.2613199956379363E-2</v>
      </c>
      <c r="AA55" s="40">
        <f t="shared" si="692"/>
        <v>8.3039156001525727E-2</v>
      </c>
      <c r="AB55" s="40">
        <f t="shared" si="692"/>
        <v>8.4525593305896457E-2</v>
      </c>
      <c r="AC55" s="40">
        <f t="shared" si="692"/>
        <v>9.06688192175613E-2</v>
      </c>
      <c r="AD55" s="40">
        <f t="shared" si="692"/>
        <v>9.679212522196623E-2</v>
      </c>
      <c r="AE55" s="40">
        <f t="shared" si="692"/>
        <v>0.10235569003162524</v>
      </c>
      <c r="AF55" s="39"/>
      <c r="AG55" s="39"/>
      <c r="AH55" s="39"/>
      <c r="AI55" s="39"/>
      <c r="AJ55" s="39"/>
      <c r="AK55" s="39"/>
      <c r="AL55" s="39">
        <f t="shared" ref="AL55:BQ55" si="693">+SUM(AI34:AL34)/AL129</f>
        <v>7.829219391464641E-2</v>
      </c>
      <c r="AM55" s="39">
        <f t="shared" si="693"/>
        <v>7.9661194035228033E-2</v>
      </c>
      <c r="AN55" s="39">
        <f t="shared" si="693"/>
        <v>8.8197484066661752E-2</v>
      </c>
      <c r="AO55" s="39">
        <f t="shared" si="693"/>
        <v>8.6196341180541564E-2</v>
      </c>
      <c r="AP55" s="39">
        <f t="shared" si="693"/>
        <v>7.0767745166543217E-2</v>
      </c>
      <c r="AQ55" s="39">
        <f t="shared" si="693"/>
        <v>7.2675257944575064E-2</v>
      </c>
      <c r="AR55" s="39">
        <f t="shared" si="693"/>
        <v>7.1827424090700795E-2</v>
      </c>
      <c r="AS55" s="39">
        <f t="shared" si="693"/>
        <v>7.0384926275887064E-2</v>
      </c>
      <c r="AT55" s="39">
        <f t="shared" si="693"/>
        <v>6.8359162966316889E-2</v>
      </c>
      <c r="AU55" s="39">
        <f t="shared" si="693"/>
        <v>6.9894785126573211E-2</v>
      </c>
      <c r="AV55" s="39">
        <f t="shared" si="693"/>
        <v>6.5356396328808103E-2</v>
      </c>
      <c r="AW55" s="39">
        <f t="shared" si="693"/>
        <v>7.0577567437823369E-2</v>
      </c>
      <c r="AX55" s="39">
        <f t="shared" si="693"/>
        <v>7.5342910843180774E-2</v>
      </c>
      <c r="AY55" s="39">
        <f t="shared" si="693"/>
        <v>7.7194714366050535E-2</v>
      </c>
      <c r="AZ55" s="39">
        <f t="shared" si="693"/>
        <v>7.6003170785042637E-2</v>
      </c>
      <c r="BA55" s="39">
        <f t="shared" si="693"/>
        <v>7.5659345950315871E-2</v>
      </c>
      <c r="BB55" s="39">
        <f t="shared" si="693"/>
        <v>7.6721844451057286E-2</v>
      </c>
      <c r="BC55" s="39">
        <f t="shared" si="693"/>
        <v>7.7418863324699064E-2</v>
      </c>
      <c r="BD55" s="39">
        <f t="shared" si="693"/>
        <v>8.3546245361559385E-2</v>
      </c>
      <c r="BE55" s="39">
        <f t="shared" si="693"/>
        <v>9.095941273653195E-2</v>
      </c>
      <c r="BF55" s="39">
        <f t="shared" si="693"/>
        <v>9.9174969549711792E-2</v>
      </c>
      <c r="BG55" s="39">
        <f t="shared" si="693"/>
        <v>0.10948601539003663</v>
      </c>
      <c r="BH55" s="39">
        <f t="shared" si="693"/>
        <v>0.10662546798590623</v>
      </c>
      <c r="BI55" s="39">
        <f t="shared" si="693"/>
        <v>0.11011801191839236</v>
      </c>
      <c r="BJ55" s="39">
        <f t="shared" si="693"/>
        <v>9.4862542594862542E-2</v>
      </c>
      <c r="BK55" s="39">
        <f t="shared" si="693"/>
        <v>9.5095049288643388E-2</v>
      </c>
      <c r="BL55" s="39">
        <f t="shared" si="693"/>
        <v>9.8852590454969955E-2</v>
      </c>
      <c r="BM55" s="39">
        <f t="shared" si="693"/>
        <v>9.8813272693466653E-2</v>
      </c>
      <c r="BN55" s="39">
        <f t="shared" si="693"/>
        <v>8.8747602170135664E-2</v>
      </c>
      <c r="BO55" s="39">
        <f t="shared" si="693"/>
        <v>7.9333208876797165E-2</v>
      </c>
      <c r="BP55" s="39">
        <f t="shared" si="693"/>
        <v>6.0731406775897279E-2</v>
      </c>
      <c r="BQ55" s="39">
        <f t="shared" si="693"/>
        <v>5.7405859177542928E-2</v>
      </c>
      <c r="BR55" s="39">
        <f t="shared" ref="BR55:CW55" si="694">+SUM(BO34:BR34)/BR129</f>
        <v>5.152471883284835E-2</v>
      </c>
      <c r="BS55" s="39">
        <f t="shared" si="694"/>
        <v>5.6494683671895862E-2</v>
      </c>
      <c r="BT55" s="39">
        <f t="shared" si="694"/>
        <v>6.0421134051504219E-2</v>
      </c>
      <c r="BU55" s="39">
        <f t="shared" si="694"/>
        <v>6.5779147556673759E-2</v>
      </c>
      <c r="BV55" s="39">
        <f t="shared" si="694"/>
        <v>6.9820624969163567E-2</v>
      </c>
      <c r="BW55" s="39">
        <f t="shared" si="694"/>
        <v>7.9261432404512611E-2</v>
      </c>
      <c r="BX55" s="39">
        <f t="shared" si="694"/>
        <v>7.9755415723131801E-2</v>
      </c>
      <c r="BY55" s="39">
        <f t="shared" si="694"/>
        <v>8.1027446481668278E-2</v>
      </c>
      <c r="BZ55" s="39">
        <f t="shared" si="694"/>
        <v>8.9127416005817056E-2</v>
      </c>
      <c r="CA55" s="39">
        <f t="shared" si="694"/>
        <v>8.5741307390551733E-2</v>
      </c>
      <c r="CB55" s="39">
        <f t="shared" si="694"/>
        <v>9.073695482036076E-2</v>
      </c>
      <c r="CC55" s="39">
        <f t="shared" si="694"/>
        <v>9.1879952311617871E-2</v>
      </c>
      <c r="CD55" s="39">
        <f t="shared" si="694"/>
        <v>8.9091577962428323E-2</v>
      </c>
      <c r="CE55" s="39">
        <f t="shared" si="694"/>
        <v>8.7117991573610803E-2</v>
      </c>
      <c r="CF55" s="39">
        <f t="shared" si="694"/>
        <v>8.3714468787698712E-2</v>
      </c>
      <c r="CG55" s="39">
        <f t="shared" si="694"/>
        <v>8.4709681706628695E-2</v>
      </c>
      <c r="CH55" s="39">
        <f t="shared" si="694"/>
        <v>8.2752461765633431E-2</v>
      </c>
      <c r="CI55" s="39">
        <f t="shared" si="694"/>
        <v>8.3951883827619839E-2</v>
      </c>
      <c r="CJ55" s="39">
        <f t="shared" si="694"/>
        <v>8.6845414119233119E-2</v>
      </c>
      <c r="CK55" s="39">
        <f t="shared" si="694"/>
        <v>8.625904873159039E-2</v>
      </c>
      <c r="CL55" s="39">
        <f t="shared" si="694"/>
        <v>8.3039156001525727E-2</v>
      </c>
      <c r="CM55" s="40">
        <f t="shared" si="694"/>
        <v>8.224485817802786E-2</v>
      </c>
      <c r="CN55" s="40">
        <f t="shared" si="694"/>
        <v>8.1140037844087312E-2</v>
      </c>
      <c r="CO55" s="40">
        <f t="shared" si="694"/>
        <v>8.075495614600961E-2</v>
      </c>
      <c r="CP55" s="40">
        <f t="shared" si="694"/>
        <v>8.4525593305896485E-2</v>
      </c>
      <c r="CQ55" s="40">
        <f t="shared" si="694"/>
        <v>8.5619780544731988E-2</v>
      </c>
      <c r="CR55" s="40">
        <f t="shared" si="694"/>
        <v>8.6891853869939736E-2</v>
      </c>
      <c r="CS55" s="40">
        <f t="shared" si="694"/>
        <v>8.8565187420679592E-2</v>
      </c>
      <c r="CT55" s="40">
        <f t="shared" si="694"/>
        <v>9.0668819217561258E-2</v>
      </c>
      <c r="CU55" s="40">
        <f t="shared" si="694"/>
        <v>9.2083712892587752E-2</v>
      </c>
      <c r="CV55" s="40">
        <f t="shared" si="694"/>
        <v>9.3596556064805436E-2</v>
      </c>
      <c r="CW55" s="40">
        <f t="shared" si="694"/>
        <v>9.5178735448006382E-2</v>
      </c>
      <c r="CX55" s="40">
        <f t="shared" ref="CX55:DB55" si="695">+SUM(CU34:CX34)/CX129</f>
        <v>9.6792125221966355E-2</v>
      </c>
      <c r="CY55" s="40">
        <f t="shared" si="695"/>
        <v>9.8184048435904864E-2</v>
      </c>
      <c r="CZ55" s="40">
        <f t="shared" si="695"/>
        <v>9.9587781676925002E-2</v>
      </c>
      <c r="DA55" s="40">
        <f t="shared" si="695"/>
        <v>0.10097349296773737</v>
      </c>
      <c r="DB55" s="40">
        <f t="shared" si="695"/>
        <v>0.10235569003162527</v>
      </c>
      <c r="DE55" s="122"/>
      <c r="DF55" s="38">
        <v>8.7362645967187902E-2</v>
      </c>
    </row>
    <row r="56" spans="1:110" s="1" customFormat="1" x14ac:dyDescent="0.2">
      <c r="A56" s="150" t="s">
        <v>488</v>
      </c>
      <c r="AA56" s="20"/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A57" s="58"/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36766</v>
      </c>
      <c r="O58" s="9">
        <f>O10-SUM(AM10:AP10)</f>
        <v>0</v>
      </c>
      <c r="P58" s="9">
        <f>P10-SUM(AQ10:AT10)</f>
        <v>0</v>
      </c>
      <c r="Q58" s="9">
        <f>Q10-SUM(AU10:AX10)</f>
        <v>-152</v>
      </c>
      <c r="R58" s="9">
        <f>R10-SUM(AY10:BB10)</f>
        <v>0</v>
      </c>
      <c r="S58" s="9">
        <f>S10-SUM(BC10:BF10)</f>
        <v>0</v>
      </c>
      <c r="T58" s="9">
        <f>T10-SUM(BG10:BJ10)</f>
        <v>642</v>
      </c>
      <c r="U58" s="9">
        <f>U10-SUM(BK10:BN10)</f>
        <v>0</v>
      </c>
      <c r="V58" s="9">
        <f>V10-SUM(BO10:BR10)</f>
        <v>0</v>
      </c>
      <c r="W58" s="9">
        <f>W10-SUM(BS10:BV10)</f>
        <v>-3999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15">
        <f>AA10-SUM(CI10:CL10)</f>
        <v>0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</row>
    <row r="59" spans="1:110" s="9" customFormat="1" x14ac:dyDescent="0.2">
      <c r="A59" s="9" t="s">
        <v>454</v>
      </c>
      <c r="N59" s="9">
        <f>N16-SUM(AI16:AL16)</f>
        <v>7778</v>
      </c>
      <c r="O59" s="9">
        <f>O16-SUM(AM16:AP16)</f>
        <v>1</v>
      </c>
      <c r="P59" s="9">
        <f>P16-SUM(AQ16:AT16)</f>
        <v>-305</v>
      </c>
      <c r="Q59" s="9">
        <f>Q16-SUM(AU16:AX16)</f>
        <v>-740</v>
      </c>
      <c r="R59" s="9">
        <f>R16-SUM(AY16:BB16)</f>
        <v>-240</v>
      </c>
      <c r="S59" s="9">
        <f>S16-SUM(BC16:BF16)</f>
        <v>95</v>
      </c>
      <c r="T59" s="9">
        <f>T16-SUM(BG16:BJ16)</f>
        <v>483</v>
      </c>
      <c r="U59" s="9">
        <f>U16-SUM(BK16:BN16)</f>
        <v>-189</v>
      </c>
      <c r="V59" s="9">
        <f>V16-SUM(BO16:BR16)</f>
        <v>-241</v>
      </c>
      <c r="W59" s="9">
        <f>W16-SUM(BS16:BV16)</f>
        <v>-2039</v>
      </c>
      <c r="X59" s="9">
        <f>X16-SUM(BW16:BZ16)</f>
        <v>-4460</v>
      </c>
      <c r="Y59" s="9">
        <f>Y16-SUM(CA16:CD16)</f>
        <v>-603</v>
      </c>
      <c r="Z59" s="9">
        <f>Z16-SUM(CE16:CH16)</f>
        <v>-51</v>
      </c>
      <c r="AA59" s="15">
        <f>AA16-SUM(CI16:CL16)</f>
        <v>0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</row>
    <row r="60" spans="1:110" s="9" customFormat="1" x14ac:dyDescent="0.2">
      <c r="A60" s="9" t="s">
        <v>455</v>
      </c>
      <c r="N60" s="9">
        <f>N28-SUM(AI28:AL28)</f>
        <v>2202</v>
      </c>
      <c r="O60" s="9">
        <f>O28-SUM(AM28:AP28)</f>
        <v>0</v>
      </c>
      <c r="P60" s="9">
        <f>P28-SUM(AQ28:AT28)</f>
        <v>0</v>
      </c>
      <c r="Q60" s="9">
        <f>Q28-SUM(AU28:AX28)</f>
        <v>-517</v>
      </c>
      <c r="R60" s="9">
        <f>R28-SUM(AY28:BB28)</f>
        <v>0</v>
      </c>
      <c r="S60" s="9">
        <f>S28-SUM(BC28:BF28)</f>
        <v>0</v>
      </c>
      <c r="T60" s="9">
        <f>T28-SUM(BG28:BJ28)</f>
        <v>-72</v>
      </c>
      <c r="U60" s="9">
        <f>U28-SUM(BK28:BN28)</f>
        <v>-115</v>
      </c>
      <c r="V60" s="9">
        <f>V28-SUM(BO28:BR28)</f>
        <v>-815</v>
      </c>
      <c r="W60" s="9">
        <f>W28-SUM(BS28:BV28)</f>
        <v>-2014</v>
      </c>
      <c r="X60" s="9">
        <f>X28-SUM(BW28:BZ28)</f>
        <v>-1302</v>
      </c>
      <c r="Y60" s="9">
        <f>Y28-SUM(CA28:CD28)</f>
        <v>0</v>
      </c>
      <c r="Z60" s="9">
        <f>Z28-SUM(CE28:CH28)</f>
        <v>-189</v>
      </c>
      <c r="AA60" s="15">
        <f>AA28-SUM(CI28:CL28)</f>
        <v>0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</row>
    <row r="61" spans="1:110" s="9" customFormat="1" x14ac:dyDescent="0.2">
      <c r="A61" s="9" t="s">
        <v>456</v>
      </c>
      <c r="N61" s="9">
        <f>N48-SUM(AI48:AL48)</f>
        <v>-124</v>
      </c>
      <c r="O61" s="9">
        <f>O48-SUM(AM48:AP48)</f>
        <v>0</v>
      </c>
      <c r="P61" s="9">
        <f>P48-SUM(AQ48:AT48)</f>
        <v>0</v>
      </c>
      <c r="Q61" s="9">
        <f>Q48-SUM(AU48:AX48)</f>
        <v>-36</v>
      </c>
      <c r="R61" s="9">
        <f>R48-SUM(AY48:BB48)</f>
        <v>0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0</v>
      </c>
      <c r="W61" s="9">
        <f>W41-SUM(BS41:BV41)</f>
        <v>-1676</v>
      </c>
      <c r="X61" s="9">
        <f>X41-SUM(BW41:BZ41)</f>
        <v>0</v>
      </c>
      <c r="Y61" s="9">
        <f>Y41-SUM(CA41:CD41)</f>
        <v>0</v>
      </c>
      <c r="Z61" s="9">
        <f>Z41-SUM(CE41:CH41)</f>
        <v>0</v>
      </c>
      <c r="AA61" s="15">
        <f>AA41-SUM(CI41:CL41)</f>
        <v>0</v>
      </c>
      <c r="AB61" s="15">
        <f>AB41-SUM(CM41:CP41)</f>
        <v>0</v>
      </c>
      <c r="AC61" s="15">
        <f>AC41-SUM(CQ41:CT41)</f>
        <v>0</v>
      </c>
      <c r="AD61" s="15">
        <f>AD41-SUM(CU41:CX41)</f>
        <v>-2.3283064365386963E-10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</row>
    <row r="62" spans="1:110" s="8" customFormat="1" x14ac:dyDescent="0.2">
      <c r="A62" s="149" t="s">
        <v>489</v>
      </c>
      <c r="AA62" s="58"/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1053.49</v>
      </c>
      <c r="C63" s="3">
        <f>'Annual Raw'!D104</f>
        <v>1053.56</v>
      </c>
      <c r="D63" s="3">
        <f>'Annual Raw'!E104</f>
        <v>1395.92</v>
      </c>
      <c r="E63" s="3">
        <f t="shared" ref="E63:Y63" si="696">+F63</f>
        <v>13532</v>
      </c>
      <c r="F63" s="3">
        <f t="shared" si="696"/>
        <v>13532</v>
      </c>
      <c r="G63" s="3">
        <f t="shared" si="696"/>
        <v>13532</v>
      </c>
      <c r="H63" s="3">
        <f t="shared" si="696"/>
        <v>13532</v>
      </c>
      <c r="I63" s="3">
        <f t="shared" si="696"/>
        <v>13532</v>
      </c>
      <c r="J63" s="3">
        <f t="shared" si="696"/>
        <v>13532</v>
      </c>
      <c r="K63" s="3">
        <f t="shared" si="696"/>
        <v>13532</v>
      </c>
      <c r="L63" s="3">
        <f t="shared" si="696"/>
        <v>13532</v>
      </c>
      <c r="M63" s="3">
        <f t="shared" si="696"/>
        <v>13532</v>
      </c>
      <c r="N63" s="3">
        <f t="shared" si="696"/>
        <v>13532</v>
      </c>
      <c r="O63" s="3">
        <f t="shared" si="696"/>
        <v>13532</v>
      </c>
      <c r="P63" s="3">
        <f t="shared" si="696"/>
        <v>13532</v>
      </c>
      <c r="Q63" s="3">
        <f t="shared" si="696"/>
        <v>13532</v>
      </c>
      <c r="R63" s="3">
        <f t="shared" si="696"/>
        <v>13532</v>
      </c>
      <c r="S63" s="3">
        <f t="shared" si="696"/>
        <v>13532</v>
      </c>
      <c r="T63" s="3">
        <f t="shared" si="696"/>
        <v>13532</v>
      </c>
      <c r="U63" s="3">
        <f t="shared" si="696"/>
        <v>13532</v>
      </c>
      <c r="V63" s="3">
        <f t="shared" si="696"/>
        <v>13532</v>
      </c>
      <c r="W63" s="3">
        <f t="shared" si="696"/>
        <v>13532</v>
      </c>
      <c r="X63" s="3">
        <f t="shared" si="696"/>
        <v>13532</v>
      </c>
      <c r="Y63" s="3">
        <f t="shared" si="696"/>
        <v>13532</v>
      </c>
      <c r="Z63" s="3">
        <f>+AA63</f>
        <v>13532</v>
      </c>
      <c r="AA63" s="37">
        <f>+CL63</f>
        <v>13532</v>
      </c>
      <c r="AB63" s="37">
        <f>CP63</f>
        <v>13532</v>
      </c>
      <c r="AC63" s="37">
        <f>CT63</f>
        <v>13532</v>
      </c>
      <c r="AD63" s="37">
        <f>CX63</f>
        <v>13532</v>
      </c>
      <c r="AE63" s="37">
        <f>DB63</f>
        <v>13532</v>
      </c>
      <c r="AI63" s="3">
        <f t="shared" ref="AI63:CH63" si="697">+AJ63</f>
        <v>13532</v>
      </c>
      <c r="AJ63" s="3">
        <f t="shared" si="697"/>
        <v>13532</v>
      </c>
      <c r="AK63" s="3">
        <f t="shared" si="697"/>
        <v>13532</v>
      </c>
      <c r="AL63" s="3">
        <f t="shared" si="697"/>
        <v>13532</v>
      </c>
      <c r="AM63" s="3">
        <f t="shared" si="697"/>
        <v>13532</v>
      </c>
      <c r="AN63" s="3">
        <f t="shared" si="697"/>
        <v>13532</v>
      </c>
      <c r="AO63" s="3">
        <f t="shared" si="697"/>
        <v>13532</v>
      </c>
      <c r="AP63" s="3">
        <f t="shared" si="697"/>
        <v>13532</v>
      </c>
      <c r="AQ63" s="3">
        <f t="shared" si="697"/>
        <v>13532</v>
      </c>
      <c r="AR63" s="3">
        <f t="shared" si="697"/>
        <v>13532</v>
      </c>
      <c r="AS63" s="3">
        <f t="shared" si="697"/>
        <v>13532</v>
      </c>
      <c r="AT63" s="3">
        <f t="shared" si="697"/>
        <v>13532</v>
      </c>
      <c r="AU63" s="3">
        <f t="shared" si="697"/>
        <v>13532</v>
      </c>
      <c r="AV63" s="3">
        <f t="shared" si="697"/>
        <v>13532</v>
      </c>
      <c r="AW63" s="3">
        <f t="shared" si="697"/>
        <v>13532</v>
      </c>
      <c r="AX63" s="3">
        <f t="shared" si="697"/>
        <v>13532</v>
      </c>
      <c r="AY63" s="3">
        <f t="shared" si="697"/>
        <v>13532</v>
      </c>
      <c r="AZ63" s="3">
        <f t="shared" si="697"/>
        <v>13532</v>
      </c>
      <c r="BA63" s="3">
        <f t="shared" si="697"/>
        <v>13532</v>
      </c>
      <c r="BB63" s="3">
        <f t="shared" si="697"/>
        <v>13532</v>
      </c>
      <c r="BC63" s="3">
        <f t="shared" si="697"/>
        <v>13532</v>
      </c>
      <c r="BD63" s="3">
        <f t="shared" si="697"/>
        <v>13532</v>
      </c>
      <c r="BE63" s="3">
        <f t="shared" si="697"/>
        <v>13532</v>
      </c>
      <c r="BF63" s="3">
        <f t="shared" si="697"/>
        <v>13532</v>
      </c>
      <c r="BG63" s="3">
        <f t="shared" si="697"/>
        <v>13532</v>
      </c>
      <c r="BH63" s="3">
        <f t="shared" si="697"/>
        <v>13532</v>
      </c>
      <c r="BI63" s="3">
        <f t="shared" si="697"/>
        <v>13532</v>
      </c>
      <c r="BJ63" s="3">
        <f t="shared" si="697"/>
        <v>13532</v>
      </c>
      <c r="BK63" s="3">
        <f t="shared" si="697"/>
        <v>13532</v>
      </c>
      <c r="BL63" s="3">
        <f t="shared" si="697"/>
        <v>13532</v>
      </c>
      <c r="BM63" s="3">
        <f t="shared" si="697"/>
        <v>13532</v>
      </c>
      <c r="BN63" s="3">
        <f t="shared" si="697"/>
        <v>13532</v>
      </c>
      <c r="BO63" s="3">
        <f t="shared" si="697"/>
        <v>13532</v>
      </c>
      <c r="BP63" s="3">
        <f t="shared" si="697"/>
        <v>13532</v>
      </c>
      <c r="BQ63" s="3">
        <f t="shared" si="697"/>
        <v>13532</v>
      </c>
      <c r="BR63" s="3">
        <f t="shared" si="697"/>
        <v>13532</v>
      </c>
      <c r="BS63" s="3">
        <f t="shared" si="697"/>
        <v>13532</v>
      </c>
      <c r="BT63" s="3">
        <f t="shared" si="697"/>
        <v>13532</v>
      </c>
      <c r="BU63" s="3">
        <f t="shared" si="697"/>
        <v>13532</v>
      </c>
      <c r="BV63" s="3">
        <f t="shared" si="697"/>
        <v>13532</v>
      </c>
      <c r="BW63" s="3">
        <f t="shared" si="697"/>
        <v>13532</v>
      </c>
      <c r="BX63" s="3">
        <f t="shared" si="697"/>
        <v>13532</v>
      </c>
      <c r="BY63" s="3">
        <f t="shared" si="697"/>
        <v>13532</v>
      </c>
      <c r="BZ63" s="3">
        <f t="shared" si="697"/>
        <v>13532</v>
      </c>
      <c r="CA63" s="3">
        <f t="shared" si="697"/>
        <v>13532</v>
      </c>
      <c r="CB63" s="3">
        <f t="shared" si="697"/>
        <v>13532</v>
      </c>
      <c r="CC63" s="3">
        <f t="shared" si="697"/>
        <v>13532</v>
      </c>
      <c r="CD63" s="3">
        <f t="shared" si="697"/>
        <v>13532</v>
      </c>
      <c r="CE63" s="3">
        <f t="shared" si="697"/>
        <v>13532</v>
      </c>
      <c r="CF63" s="3">
        <f t="shared" si="697"/>
        <v>13532</v>
      </c>
      <c r="CG63" s="3">
        <f t="shared" si="697"/>
        <v>13532</v>
      </c>
      <c r="CH63" s="3">
        <f t="shared" si="697"/>
        <v>13532</v>
      </c>
      <c r="CI63" s="3">
        <f>+CJ63</f>
        <v>13532</v>
      </c>
      <c r="CJ63" s="3">
        <f>'QTR Raw'!BD45</f>
        <v>13532</v>
      </c>
      <c r="CK63" s="3">
        <f>'QTR Raw'!BE45</f>
        <v>13532</v>
      </c>
      <c r="CL63" s="3">
        <f>'QTR Raw'!BF45</f>
        <v>13532</v>
      </c>
      <c r="CM63" s="37">
        <f t="shared" ref="CM63:CM64" si="698">+CL63</f>
        <v>13532</v>
      </c>
      <c r="CN63" s="37">
        <f t="shared" ref="CN63:CN64" si="699">+CM63</f>
        <v>13532</v>
      </c>
      <c r="CO63" s="37">
        <f t="shared" ref="CO63:CO64" si="700">+CN63</f>
        <v>13532</v>
      </c>
      <c r="CP63" s="37">
        <f t="shared" ref="CP63:CP64" si="701">+CO63</f>
        <v>13532</v>
      </c>
      <c r="CQ63" s="37">
        <f t="shared" ref="CQ63:CQ64" si="702">+CP63</f>
        <v>13532</v>
      </c>
      <c r="CR63" s="37">
        <f t="shared" ref="CR63:CR64" si="703">+CQ63</f>
        <v>13532</v>
      </c>
      <c r="CS63" s="37">
        <f t="shared" ref="CS63:CS64" si="704">+CR63</f>
        <v>13532</v>
      </c>
      <c r="CT63" s="37">
        <f t="shared" ref="CT63:CT64" si="705">+CS63</f>
        <v>13532</v>
      </c>
      <c r="CU63" s="37">
        <f t="shared" ref="CU63:CU64" si="706">+CT63</f>
        <v>13532</v>
      </c>
      <c r="CV63" s="37">
        <f t="shared" ref="CV63:CV64" si="707">+CU63</f>
        <v>13532</v>
      </c>
      <c r="CW63" s="37">
        <f t="shared" ref="CW63:CW64" si="708">+CV63</f>
        <v>13532</v>
      </c>
      <c r="CX63" s="37">
        <f t="shared" ref="CX63:CX64" si="709">+CW63</f>
        <v>13532</v>
      </c>
      <c r="CY63" s="37">
        <f t="shared" ref="CY63:CY64" si="710">+CX63</f>
        <v>13532</v>
      </c>
      <c r="CZ63" s="37">
        <f t="shared" ref="CZ63:CZ64" si="711">+CY63</f>
        <v>13532</v>
      </c>
      <c r="DA63" s="37">
        <f t="shared" ref="DA63:DA64" si="712">+CZ63</f>
        <v>13532</v>
      </c>
      <c r="DB63" s="37">
        <f t="shared" ref="DB63:DB64" si="713">+DA63</f>
        <v>13532</v>
      </c>
      <c r="DE63" s="134"/>
      <c r="DF63" s="3">
        <v>13532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si="714">+F64</f>
        <v>10</v>
      </c>
      <c r="F64" s="3">
        <f t="shared" si="714"/>
        <v>10</v>
      </c>
      <c r="G64" s="3">
        <f t="shared" si="714"/>
        <v>10</v>
      </c>
      <c r="H64" s="3">
        <f t="shared" si="714"/>
        <v>10</v>
      </c>
      <c r="I64" s="3">
        <f t="shared" si="714"/>
        <v>10</v>
      </c>
      <c r="J64" s="3">
        <f t="shared" si="714"/>
        <v>10</v>
      </c>
      <c r="K64" s="3">
        <f t="shared" si="714"/>
        <v>10</v>
      </c>
      <c r="L64" s="3">
        <f t="shared" si="714"/>
        <v>10</v>
      </c>
      <c r="M64" s="3">
        <f t="shared" si="714"/>
        <v>10</v>
      </c>
      <c r="N64" s="3">
        <f t="shared" si="714"/>
        <v>10</v>
      </c>
      <c r="O64" s="3">
        <f t="shared" si="714"/>
        <v>10</v>
      </c>
      <c r="P64" s="3">
        <f t="shared" si="714"/>
        <v>10</v>
      </c>
      <c r="Q64" s="3">
        <f t="shared" si="714"/>
        <v>10</v>
      </c>
      <c r="R64" s="3">
        <f t="shared" si="714"/>
        <v>10</v>
      </c>
      <c r="S64" s="3">
        <f t="shared" si="714"/>
        <v>10</v>
      </c>
      <c r="T64" s="3">
        <f t="shared" si="714"/>
        <v>10</v>
      </c>
      <c r="U64" s="3">
        <f t="shared" si="714"/>
        <v>10</v>
      </c>
      <c r="V64" s="3">
        <f t="shared" si="714"/>
        <v>10</v>
      </c>
      <c r="W64" s="3">
        <f t="shared" si="714"/>
        <v>10</v>
      </c>
      <c r="X64" s="3">
        <f t="shared" si="714"/>
        <v>10</v>
      </c>
      <c r="Y64" s="3">
        <f t="shared" si="714"/>
        <v>10</v>
      </c>
      <c r="Z64" s="3">
        <f>+AA64</f>
        <v>10</v>
      </c>
      <c r="AA64" s="37">
        <f>+CL64</f>
        <v>10</v>
      </c>
      <c r="AB64" s="37">
        <f>CP64</f>
        <v>10</v>
      </c>
      <c r="AC64" s="37">
        <f>CT64</f>
        <v>10</v>
      </c>
      <c r="AD64" s="37">
        <f>CX64</f>
        <v>10</v>
      </c>
      <c r="AE64" s="37">
        <f>DB64</f>
        <v>10</v>
      </c>
      <c r="AI64" s="3">
        <f t="shared" ref="AI64:CH64" si="715">AJ64</f>
        <v>10</v>
      </c>
      <c r="AJ64" s="3">
        <f t="shared" si="715"/>
        <v>10</v>
      </c>
      <c r="AK64" s="3">
        <f t="shared" si="715"/>
        <v>10</v>
      </c>
      <c r="AL64" s="3">
        <f t="shared" si="715"/>
        <v>10</v>
      </c>
      <c r="AM64" s="3">
        <f t="shared" si="715"/>
        <v>10</v>
      </c>
      <c r="AN64" s="3">
        <f t="shared" si="715"/>
        <v>10</v>
      </c>
      <c r="AO64" s="3">
        <f t="shared" si="715"/>
        <v>10</v>
      </c>
      <c r="AP64" s="3">
        <f t="shared" si="715"/>
        <v>10</v>
      </c>
      <c r="AQ64" s="3">
        <f t="shared" si="715"/>
        <v>10</v>
      </c>
      <c r="AR64" s="3">
        <f t="shared" si="715"/>
        <v>10</v>
      </c>
      <c r="AS64" s="3">
        <f t="shared" si="715"/>
        <v>10</v>
      </c>
      <c r="AT64" s="3">
        <f t="shared" si="715"/>
        <v>10</v>
      </c>
      <c r="AU64" s="3">
        <f t="shared" si="715"/>
        <v>10</v>
      </c>
      <c r="AV64" s="3">
        <f t="shared" si="715"/>
        <v>10</v>
      </c>
      <c r="AW64" s="3">
        <f t="shared" si="715"/>
        <v>10</v>
      </c>
      <c r="AX64" s="3">
        <f t="shared" si="715"/>
        <v>10</v>
      </c>
      <c r="AY64" s="3">
        <f t="shared" si="715"/>
        <v>10</v>
      </c>
      <c r="AZ64" s="3">
        <f t="shared" si="715"/>
        <v>10</v>
      </c>
      <c r="BA64" s="3">
        <f t="shared" si="715"/>
        <v>10</v>
      </c>
      <c r="BB64" s="3">
        <f t="shared" si="715"/>
        <v>10</v>
      </c>
      <c r="BC64" s="3">
        <f t="shared" si="715"/>
        <v>10</v>
      </c>
      <c r="BD64" s="3">
        <f t="shared" si="715"/>
        <v>10</v>
      </c>
      <c r="BE64" s="3">
        <f t="shared" si="715"/>
        <v>10</v>
      </c>
      <c r="BF64" s="3">
        <f t="shared" si="715"/>
        <v>10</v>
      </c>
      <c r="BG64" s="3">
        <f t="shared" si="715"/>
        <v>10</v>
      </c>
      <c r="BH64" s="3">
        <f t="shared" si="715"/>
        <v>10</v>
      </c>
      <c r="BI64" s="3">
        <f t="shared" si="715"/>
        <v>10</v>
      </c>
      <c r="BJ64" s="3">
        <f t="shared" si="715"/>
        <v>10</v>
      </c>
      <c r="BK64" s="3">
        <f t="shared" si="715"/>
        <v>10</v>
      </c>
      <c r="BL64" s="3">
        <f t="shared" si="715"/>
        <v>10</v>
      </c>
      <c r="BM64" s="3">
        <f t="shared" si="715"/>
        <v>10</v>
      </c>
      <c r="BN64" s="3">
        <f t="shared" si="715"/>
        <v>10</v>
      </c>
      <c r="BO64" s="3">
        <f t="shared" si="715"/>
        <v>10</v>
      </c>
      <c r="BP64" s="3">
        <f t="shared" si="715"/>
        <v>10</v>
      </c>
      <c r="BQ64" s="3">
        <f t="shared" si="715"/>
        <v>10</v>
      </c>
      <c r="BR64" s="3">
        <f t="shared" si="715"/>
        <v>10</v>
      </c>
      <c r="BS64" s="3">
        <f t="shared" si="715"/>
        <v>10</v>
      </c>
      <c r="BT64" s="3">
        <f t="shared" si="715"/>
        <v>10</v>
      </c>
      <c r="BU64" s="3">
        <f t="shared" si="715"/>
        <v>10</v>
      </c>
      <c r="BV64" s="3">
        <f t="shared" si="715"/>
        <v>10</v>
      </c>
      <c r="BW64" s="3">
        <f t="shared" si="715"/>
        <v>10</v>
      </c>
      <c r="BX64" s="3">
        <f t="shared" si="715"/>
        <v>10</v>
      </c>
      <c r="BY64" s="3">
        <f t="shared" si="715"/>
        <v>10</v>
      </c>
      <c r="BZ64" s="3">
        <f t="shared" si="715"/>
        <v>10</v>
      </c>
      <c r="CA64" s="3">
        <f t="shared" si="715"/>
        <v>10</v>
      </c>
      <c r="CB64" s="3">
        <f t="shared" si="715"/>
        <v>10</v>
      </c>
      <c r="CC64" s="3">
        <f t="shared" si="715"/>
        <v>10</v>
      </c>
      <c r="CD64" s="3">
        <f t="shared" si="715"/>
        <v>10</v>
      </c>
      <c r="CE64" s="3">
        <f t="shared" si="715"/>
        <v>10</v>
      </c>
      <c r="CF64" s="3">
        <f t="shared" si="715"/>
        <v>10</v>
      </c>
      <c r="CG64" s="3">
        <f t="shared" si="715"/>
        <v>10</v>
      </c>
      <c r="CH64" s="3">
        <f t="shared" si="715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698"/>
        <v>10</v>
      </c>
      <c r="CN64" s="37">
        <f t="shared" si="699"/>
        <v>10</v>
      </c>
      <c r="CO64" s="37">
        <f t="shared" si="700"/>
        <v>10</v>
      </c>
      <c r="CP64" s="37">
        <f t="shared" si="701"/>
        <v>10</v>
      </c>
      <c r="CQ64" s="37">
        <f t="shared" si="702"/>
        <v>10</v>
      </c>
      <c r="CR64" s="37">
        <f t="shared" si="703"/>
        <v>10</v>
      </c>
      <c r="CS64" s="37">
        <f t="shared" si="704"/>
        <v>10</v>
      </c>
      <c r="CT64" s="37">
        <f t="shared" si="705"/>
        <v>10</v>
      </c>
      <c r="CU64" s="37">
        <f t="shared" si="706"/>
        <v>10</v>
      </c>
      <c r="CV64" s="37">
        <f t="shared" si="707"/>
        <v>10</v>
      </c>
      <c r="CW64" s="37">
        <f t="shared" si="708"/>
        <v>10</v>
      </c>
      <c r="CX64" s="37">
        <f t="shared" si="709"/>
        <v>10</v>
      </c>
      <c r="CY64" s="37">
        <f t="shared" si="710"/>
        <v>10</v>
      </c>
      <c r="CZ64" s="37">
        <f t="shared" si="711"/>
        <v>10</v>
      </c>
      <c r="DA64" s="37">
        <f t="shared" si="712"/>
        <v>10</v>
      </c>
      <c r="DB64" s="37">
        <f t="shared" si="713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105.349</v>
      </c>
      <c r="C65" s="3">
        <f t="shared" ref="C65:W65" si="716">C63/C64</f>
        <v>105.35599999999999</v>
      </c>
      <c r="D65" s="3">
        <f t="shared" si="716"/>
        <v>139.59200000000001</v>
      </c>
      <c r="E65" s="3">
        <f t="shared" si="716"/>
        <v>1353.2</v>
      </c>
      <c r="F65" s="3">
        <f t="shared" si="716"/>
        <v>1353.2</v>
      </c>
      <c r="G65" s="3">
        <f t="shared" si="716"/>
        <v>1353.2</v>
      </c>
      <c r="H65" s="3">
        <f t="shared" si="716"/>
        <v>1353.2</v>
      </c>
      <c r="I65" s="3">
        <f t="shared" si="716"/>
        <v>1353.2</v>
      </c>
      <c r="J65" s="3">
        <f t="shared" si="716"/>
        <v>1353.2</v>
      </c>
      <c r="K65" s="3">
        <f t="shared" si="716"/>
        <v>1353.2</v>
      </c>
      <c r="L65" s="3">
        <f t="shared" si="716"/>
        <v>1353.2</v>
      </c>
      <c r="M65" s="3">
        <f t="shared" si="716"/>
        <v>1353.2</v>
      </c>
      <c r="N65" s="3">
        <f t="shared" si="716"/>
        <v>1353.2</v>
      </c>
      <c r="O65" s="3">
        <f t="shared" si="716"/>
        <v>1353.2</v>
      </c>
      <c r="P65" s="3">
        <f t="shared" si="716"/>
        <v>1353.2</v>
      </c>
      <c r="Q65" s="3">
        <f t="shared" si="716"/>
        <v>1353.2</v>
      </c>
      <c r="R65" s="3">
        <f t="shared" si="716"/>
        <v>1353.2</v>
      </c>
      <c r="S65" s="3">
        <f t="shared" si="716"/>
        <v>1353.2</v>
      </c>
      <c r="T65" s="3">
        <f t="shared" si="716"/>
        <v>1353.2</v>
      </c>
      <c r="U65" s="3">
        <f t="shared" si="716"/>
        <v>1353.2</v>
      </c>
      <c r="V65" s="3">
        <f>V63/V64</f>
        <v>1353.2</v>
      </c>
      <c r="W65" s="3">
        <f t="shared" si="716"/>
        <v>1353.2</v>
      </c>
      <c r="X65" s="3">
        <f t="shared" ref="X65:Y65" si="717">X63/X64</f>
        <v>1353.2</v>
      </c>
      <c r="Y65" s="3">
        <f t="shared" si="717"/>
        <v>1353.2</v>
      </c>
      <c r="Z65" s="3">
        <f t="shared" ref="Z65" si="718">Z63/Z64</f>
        <v>1353.2</v>
      </c>
      <c r="AA65" s="37">
        <f t="shared" ref="AA65:AD65" si="719">AA63/AA64</f>
        <v>1353.2</v>
      </c>
      <c r="AB65" s="37">
        <f t="shared" si="719"/>
        <v>1353.2</v>
      </c>
      <c r="AC65" s="37">
        <f t="shared" si="719"/>
        <v>1353.2</v>
      </c>
      <c r="AD65" s="37">
        <f t="shared" si="719"/>
        <v>1353.2</v>
      </c>
      <c r="AE65" s="37">
        <f t="shared" ref="AE65" si="720">AE63/AE64</f>
        <v>1353.2</v>
      </c>
      <c r="AI65" s="3">
        <f t="shared" ref="AI65" si="721">AI63/AI64</f>
        <v>1353.2</v>
      </c>
      <c r="AJ65" s="3">
        <f t="shared" ref="AJ65" si="722">AJ63/AJ64</f>
        <v>1353.2</v>
      </c>
      <c r="AK65" s="3">
        <f t="shared" ref="AK65:AM65" si="723">AK63/AK64</f>
        <v>1353.2</v>
      </c>
      <c r="AL65" s="3">
        <f t="shared" si="723"/>
        <v>1353.2</v>
      </c>
      <c r="AM65" s="3">
        <f t="shared" si="723"/>
        <v>1353.2</v>
      </c>
      <c r="AN65" s="3">
        <f t="shared" ref="AN65:AO65" si="724">AN63/AN64</f>
        <v>1353.2</v>
      </c>
      <c r="AO65" s="3">
        <f t="shared" si="724"/>
        <v>1353.2</v>
      </c>
      <c r="AP65" s="3">
        <f t="shared" ref="AP65:CD65" si="725">AP63/AP64</f>
        <v>1353.2</v>
      </c>
      <c r="AQ65" s="3">
        <f t="shared" si="725"/>
        <v>1353.2</v>
      </c>
      <c r="AR65" s="3">
        <f t="shared" si="725"/>
        <v>1353.2</v>
      </c>
      <c r="AS65" s="3">
        <f t="shared" si="725"/>
        <v>1353.2</v>
      </c>
      <c r="AT65" s="3">
        <f t="shared" si="725"/>
        <v>1353.2</v>
      </c>
      <c r="AU65" s="3">
        <f t="shared" si="725"/>
        <v>1353.2</v>
      </c>
      <c r="AV65" s="3">
        <f t="shared" si="725"/>
        <v>1353.2</v>
      </c>
      <c r="AW65" s="3">
        <f t="shared" si="725"/>
        <v>1353.2</v>
      </c>
      <c r="AX65" s="3">
        <f t="shared" si="725"/>
        <v>1353.2</v>
      </c>
      <c r="AY65" s="3">
        <f t="shared" si="725"/>
        <v>1353.2</v>
      </c>
      <c r="AZ65" s="3">
        <f t="shared" si="725"/>
        <v>1353.2</v>
      </c>
      <c r="BA65" s="3">
        <f t="shared" si="725"/>
        <v>1353.2</v>
      </c>
      <c r="BB65" s="3">
        <f t="shared" si="725"/>
        <v>1353.2</v>
      </c>
      <c r="BC65" s="3">
        <f t="shared" si="725"/>
        <v>1353.2</v>
      </c>
      <c r="BD65" s="3">
        <f t="shared" si="725"/>
        <v>1353.2</v>
      </c>
      <c r="BE65" s="3">
        <f t="shared" si="725"/>
        <v>1353.2</v>
      </c>
      <c r="BF65" s="3">
        <f t="shared" si="725"/>
        <v>1353.2</v>
      </c>
      <c r="BG65" s="3">
        <f t="shared" si="725"/>
        <v>1353.2</v>
      </c>
      <c r="BH65" s="3">
        <f t="shared" si="725"/>
        <v>1353.2</v>
      </c>
      <c r="BI65" s="3">
        <f t="shared" si="725"/>
        <v>1353.2</v>
      </c>
      <c r="BJ65" s="3">
        <f t="shared" si="725"/>
        <v>1353.2</v>
      </c>
      <c r="BK65" s="3">
        <f t="shared" si="725"/>
        <v>1353.2</v>
      </c>
      <c r="BL65" s="3">
        <f t="shared" si="725"/>
        <v>1353.2</v>
      </c>
      <c r="BM65" s="3">
        <f t="shared" si="725"/>
        <v>1353.2</v>
      </c>
      <c r="BN65" s="3">
        <f t="shared" si="725"/>
        <v>1353.2</v>
      </c>
      <c r="BO65" s="3">
        <f t="shared" si="725"/>
        <v>1353.2</v>
      </c>
      <c r="BP65" s="3">
        <f t="shared" si="725"/>
        <v>1353.2</v>
      </c>
      <c r="BQ65" s="3">
        <f t="shared" si="725"/>
        <v>1353.2</v>
      </c>
      <c r="BR65" s="3">
        <f t="shared" si="725"/>
        <v>1353.2</v>
      </c>
      <c r="BS65" s="3">
        <f t="shared" si="725"/>
        <v>1353.2</v>
      </c>
      <c r="BT65" s="3">
        <f t="shared" si="725"/>
        <v>1353.2</v>
      </c>
      <c r="BU65" s="3">
        <f t="shared" si="725"/>
        <v>1353.2</v>
      </c>
      <c r="BV65" s="3">
        <f t="shared" si="725"/>
        <v>1353.2</v>
      </c>
      <c r="BW65" s="3">
        <f t="shared" si="725"/>
        <v>1353.2</v>
      </c>
      <c r="BX65" s="3">
        <f t="shared" si="725"/>
        <v>1353.2</v>
      </c>
      <c r="BY65" s="3">
        <f t="shared" si="725"/>
        <v>1353.2</v>
      </c>
      <c r="BZ65" s="3">
        <f t="shared" si="725"/>
        <v>1353.2</v>
      </c>
      <c r="CA65" s="3">
        <f t="shared" si="725"/>
        <v>1353.2</v>
      </c>
      <c r="CB65" s="3">
        <f t="shared" si="725"/>
        <v>1353.2</v>
      </c>
      <c r="CC65" s="3">
        <f t="shared" si="725"/>
        <v>1353.2</v>
      </c>
      <c r="CD65" s="3">
        <f t="shared" si="725"/>
        <v>1353.2</v>
      </c>
      <c r="CE65" s="3">
        <f t="shared" ref="CE65:CF65" si="726">CE63/CE64</f>
        <v>1353.2</v>
      </c>
      <c r="CF65" s="3">
        <f t="shared" si="726"/>
        <v>1353.2</v>
      </c>
      <c r="CG65" s="3">
        <f t="shared" ref="CG65:CH65" si="727">CG63/CG64</f>
        <v>1353.2</v>
      </c>
      <c r="CH65" s="3">
        <f t="shared" si="727"/>
        <v>1353.2</v>
      </c>
      <c r="CI65" s="3">
        <f t="shared" ref="CI65:CJ65" si="728">CI63/CI64</f>
        <v>1353.2</v>
      </c>
      <c r="CJ65" s="3">
        <f t="shared" si="728"/>
        <v>1353.2</v>
      </c>
      <c r="CK65" s="3">
        <f t="shared" ref="CK65:CL65" si="729">CK63/CK64</f>
        <v>1353.2</v>
      </c>
      <c r="CL65" s="3">
        <f t="shared" si="729"/>
        <v>1353.2</v>
      </c>
      <c r="CM65" s="37">
        <f t="shared" ref="CM65:DB65" si="730">CM63/CM64</f>
        <v>1353.2</v>
      </c>
      <c r="CN65" s="37">
        <f t="shared" si="730"/>
        <v>1353.2</v>
      </c>
      <c r="CO65" s="37">
        <f t="shared" si="730"/>
        <v>1353.2</v>
      </c>
      <c r="CP65" s="37">
        <f t="shared" si="730"/>
        <v>1353.2</v>
      </c>
      <c r="CQ65" s="37">
        <f t="shared" si="730"/>
        <v>1353.2</v>
      </c>
      <c r="CR65" s="37">
        <f t="shared" si="730"/>
        <v>1353.2</v>
      </c>
      <c r="CS65" s="37">
        <f t="shared" si="730"/>
        <v>1353.2</v>
      </c>
      <c r="CT65" s="37">
        <f t="shared" si="730"/>
        <v>1353.2</v>
      </c>
      <c r="CU65" s="37">
        <f t="shared" si="730"/>
        <v>1353.2</v>
      </c>
      <c r="CV65" s="37">
        <f t="shared" si="730"/>
        <v>1353.2</v>
      </c>
      <c r="CW65" s="37">
        <f t="shared" si="730"/>
        <v>1353.2</v>
      </c>
      <c r="CX65" s="37">
        <f t="shared" si="730"/>
        <v>1353.2</v>
      </c>
      <c r="CY65" s="37">
        <f t="shared" si="730"/>
        <v>1353.2</v>
      </c>
      <c r="CZ65" s="37">
        <f t="shared" si="730"/>
        <v>1353.2</v>
      </c>
      <c r="DA65" s="37">
        <f t="shared" si="730"/>
        <v>1353.2</v>
      </c>
      <c r="DB65" s="37">
        <f t="shared" si="730"/>
        <v>1353.2</v>
      </c>
      <c r="DE65" s="134"/>
      <c r="DF65" s="3">
        <v>1353.2</v>
      </c>
    </row>
    <row r="66" spans="1:110" s="53" customFormat="1" x14ac:dyDescent="0.2">
      <c r="A66" s="53" t="s">
        <v>30</v>
      </c>
      <c r="B66" s="53">
        <f t="shared" ref="B66:AE66" si="731">(B48-B47)/B65</f>
        <v>25.112910421551213</v>
      </c>
      <c r="C66" s="53">
        <f t="shared" si="731"/>
        <v>27.223888530316298</v>
      </c>
      <c r="D66" s="53">
        <f t="shared" si="731"/>
        <v>29.307123617399267</v>
      </c>
      <c r="E66" s="53">
        <f t="shared" si="731"/>
        <v>3.8198270765592781</v>
      </c>
      <c r="F66" s="53">
        <f t="shared" si="731"/>
        <v>5.6145433047590849</v>
      </c>
      <c r="G66" s="53">
        <f t="shared" si="731"/>
        <v>7.0187481525273343</v>
      </c>
      <c r="H66" s="53">
        <f t="shared" si="731"/>
        <v>8.9231673071238564</v>
      </c>
      <c r="I66" s="53">
        <f t="shared" si="731"/>
        <v>14.426086313922546</v>
      </c>
      <c r="J66" s="53">
        <f t="shared" si="731"/>
        <v>11.061720366538587</v>
      </c>
      <c r="K66" s="53">
        <f t="shared" si="731"/>
        <v>18.107552468223471</v>
      </c>
      <c r="L66" s="53">
        <f t="shared" si="731"/>
        <v>14.258054980786284</v>
      </c>
      <c r="M66" s="53">
        <f t="shared" si="731"/>
        <v>14.575820277859886</v>
      </c>
      <c r="N66" s="53">
        <f t="shared" si="731"/>
        <v>15.429352645580845</v>
      </c>
      <c r="O66" s="53">
        <f t="shared" si="731"/>
        <v>16.622080993201301</v>
      </c>
      <c r="P66" s="53">
        <f t="shared" si="731"/>
        <v>17.415016257759383</v>
      </c>
      <c r="Q66" s="53">
        <f t="shared" si="731"/>
        <v>21.981229677800769</v>
      </c>
      <c r="R66" s="53">
        <f t="shared" si="731"/>
        <v>22.096511971622821</v>
      </c>
      <c r="S66" s="53">
        <f t="shared" si="731"/>
        <v>26.659030446349394</v>
      </c>
      <c r="T66" s="53">
        <f t="shared" si="731"/>
        <v>29.255099024534434</v>
      </c>
      <c r="U66" s="53">
        <f t="shared" si="731"/>
        <v>32.366242979603904</v>
      </c>
      <c r="V66" s="53">
        <f t="shared" si="731"/>
        <v>32.1356783919598</v>
      </c>
      <c r="W66" s="53">
        <f t="shared" si="731"/>
        <v>41.537097250960684</v>
      </c>
      <c r="X66" s="53">
        <f t="shared" si="731"/>
        <v>48.983151049364466</v>
      </c>
      <c r="Y66" s="53">
        <f t="shared" si="731"/>
        <v>51.449157552468222</v>
      </c>
      <c r="Z66" s="53">
        <f t="shared" si="731"/>
        <v>51.46911025716819</v>
      </c>
      <c r="AA66" s="54">
        <f t="shared" si="731"/>
        <v>59.691841560744898</v>
      </c>
      <c r="AB66" s="54">
        <f t="shared" si="731"/>
        <v>62.154748694817812</v>
      </c>
      <c r="AC66" s="54">
        <f t="shared" si="731"/>
        <v>74.494969112908095</v>
      </c>
      <c r="AD66" s="54">
        <f t="shared" si="731"/>
        <v>87.601019153583692</v>
      </c>
      <c r="AE66" s="54">
        <f t="shared" si="731"/>
        <v>103.86003631843448</v>
      </c>
      <c r="AI66" s="53">
        <f t="shared" ref="AI66:BN66" si="732">(AI48-AI47)/AI65</f>
        <v>3.3276677505172922</v>
      </c>
      <c r="AJ66" s="53">
        <f t="shared" si="732"/>
        <v>3.9971918415607446</v>
      </c>
      <c r="AK66" s="53">
        <f t="shared" si="732"/>
        <v>4.0659178244161982</v>
      </c>
      <c r="AL66" s="53">
        <f t="shared" si="732"/>
        <v>4.1302098728938814</v>
      </c>
      <c r="AM66" s="53">
        <f t="shared" si="732"/>
        <v>3.8700857227313032</v>
      </c>
      <c r="AN66" s="53">
        <f t="shared" si="732"/>
        <v>4.3400827667750512</v>
      </c>
      <c r="AO66" s="53">
        <f t="shared" si="732"/>
        <v>4.0659178244161982</v>
      </c>
      <c r="AP66" s="53">
        <f t="shared" si="732"/>
        <v>4.3459946792787463</v>
      </c>
      <c r="AQ66" s="53">
        <f t="shared" si="732"/>
        <v>4.4021578480638484</v>
      </c>
      <c r="AR66" s="53">
        <f t="shared" si="732"/>
        <v>4.4132426840082761</v>
      </c>
      <c r="AS66" s="53">
        <f t="shared" si="732"/>
        <v>3.884126514927579</v>
      </c>
      <c r="AT66" s="53">
        <f t="shared" si="732"/>
        <v>4.7154892107596806</v>
      </c>
      <c r="AU66" s="53">
        <f t="shared" si="732"/>
        <v>4.4516701152822939</v>
      </c>
      <c r="AV66" s="53">
        <f t="shared" si="732"/>
        <v>3.7208099320130059</v>
      </c>
      <c r="AW66" s="53">
        <f t="shared" si="732"/>
        <v>5.3539757611587344</v>
      </c>
      <c r="AX66" s="53">
        <f t="shared" si="732"/>
        <v>5.1012415016257755</v>
      </c>
      <c r="AY66" s="53">
        <f t="shared" si="732"/>
        <v>5.2564292048477679</v>
      </c>
      <c r="AZ66" s="53">
        <f t="shared" si="732"/>
        <v>5.3273721548921076</v>
      </c>
      <c r="BA66" s="53">
        <f t="shared" si="732"/>
        <v>5.5668046112917526</v>
      </c>
      <c r="BB66" s="53">
        <f t="shared" si="732"/>
        <v>5.945906000591191</v>
      </c>
      <c r="BC66" s="53">
        <f t="shared" si="732"/>
        <v>5.9274312740171444</v>
      </c>
      <c r="BD66" s="53">
        <f t="shared" si="732"/>
        <v>5.9924623115577891</v>
      </c>
      <c r="BE66" s="53">
        <f t="shared" si="732"/>
        <v>6.961276973100798</v>
      </c>
      <c r="BF66" s="53">
        <f t="shared" si="732"/>
        <v>6.9745787762341118</v>
      </c>
      <c r="BG66" s="53">
        <f t="shared" si="732"/>
        <v>6.9900975465563109</v>
      </c>
      <c r="BH66" s="53">
        <f t="shared" si="732"/>
        <v>7.0322199231451368</v>
      </c>
      <c r="BI66" s="53">
        <f t="shared" si="732"/>
        <v>7.5753768844221101</v>
      </c>
      <c r="BJ66" s="53">
        <f t="shared" si="732"/>
        <v>7.6574046704108776</v>
      </c>
      <c r="BK66" s="53">
        <f t="shared" si="732"/>
        <v>7.4667454921667158</v>
      </c>
      <c r="BL66" s="53">
        <f t="shared" si="732"/>
        <v>8.3224948270765591</v>
      </c>
      <c r="BM66" s="53">
        <f t="shared" si="732"/>
        <v>8.7326337570203965</v>
      </c>
      <c r="BN66" s="53">
        <f t="shared" si="732"/>
        <v>7.8443689033402304</v>
      </c>
      <c r="BO66" s="53">
        <f t="shared" ref="BO66:CT66" si="733">(BO48-BO47)/BO65</f>
        <v>6.1092225835057636</v>
      </c>
      <c r="BP66" s="53">
        <f t="shared" si="733"/>
        <v>7.0699083653561923</v>
      </c>
      <c r="BQ66" s="53">
        <f t="shared" si="733"/>
        <v>9.7709133904818213</v>
      </c>
      <c r="BR66" s="53">
        <f t="shared" si="733"/>
        <v>9.1856340526160203</v>
      </c>
      <c r="BS66" s="53">
        <f t="shared" si="733"/>
        <v>9.0696127697310072</v>
      </c>
      <c r="BT66" s="53">
        <f t="shared" si="733"/>
        <v>10.109370381318357</v>
      </c>
      <c r="BU66" s="53">
        <f t="shared" si="733"/>
        <v>11.611735146319834</v>
      </c>
      <c r="BV66" s="53">
        <f t="shared" si="733"/>
        <v>11.973839787171149</v>
      </c>
      <c r="BW66" s="53">
        <f t="shared" si="733"/>
        <v>13.240467041087792</v>
      </c>
      <c r="BX66" s="53">
        <f t="shared" si="733"/>
        <v>9.9586166124741347</v>
      </c>
      <c r="BY66" s="53">
        <f t="shared" si="733"/>
        <v>11.596216375997635</v>
      </c>
      <c r="BZ66" s="53">
        <f t="shared" si="733"/>
        <v>14.187851019804906</v>
      </c>
      <c r="CA66" s="53">
        <f t="shared" si="733"/>
        <v>11.83195388708247</v>
      </c>
      <c r="CB66" s="53">
        <f t="shared" si="733"/>
        <v>12.853975761158734</v>
      </c>
      <c r="CC66" s="53">
        <f t="shared" si="733"/>
        <v>12.758646172036654</v>
      </c>
      <c r="CD66" s="53">
        <f t="shared" si="733"/>
        <v>14.004581732190363</v>
      </c>
      <c r="CE66" s="53">
        <f t="shared" si="733"/>
        <v>11.186816435116761</v>
      </c>
      <c r="CF66" s="53">
        <f t="shared" si="733"/>
        <v>12.239875849837421</v>
      </c>
      <c r="CG66" s="53">
        <f t="shared" si="733"/>
        <v>13.700857227313035</v>
      </c>
      <c r="CH66" s="53">
        <f t="shared" si="733"/>
        <v>14.341560744900974</v>
      </c>
      <c r="CI66" s="53">
        <f t="shared" si="733"/>
        <v>19.948270765592667</v>
      </c>
      <c r="CJ66" s="53">
        <f t="shared" si="733"/>
        <v>13.423736328702335</v>
      </c>
      <c r="CK66" s="53">
        <f t="shared" ref="CK66:CL66" si="734">(CK48-CK47)/CK65</f>
        <v>13.778451078924032</v>
      </c>
      <c r="CL66" s="53">
        <f t="shared" si="734"/>
        <v>12.541383387525864</v>
      </c>
      <c r="CM66" s="54">
        <f t="shared" si="733"/>
        <v>13.64359479514564</v>
      </c>
      <c r="CN66" s="54">
        <f t="shared" si="733"/>
        <v>14.669265226034597</v>
      </c>
      <c r="CO66" s="54">
        <f t="shared" si="733"/>
        <v>15.437200808376401</v>
      </c>
      <c r="CP66" s="54">
        <f t="shared" si="733"/>
        <v>18.404687865261202</v>
      </c>
      <c r="CQ66" s="54">
        <f t="shared" si="733"/>
        <v>15.969604292923847</v>
      </c>
      <c r="CR66" s="54">
        <f t="shared" si="733"/>
        <v>17.49939506387939</v>
      </c>
      <c r="CS66" s="54">
        <f t="shared" si="733"/>
        <v>18.745254219217671</v>
      </c>
      <c r="CT66" s="54">
        <f t="shared" si="733"/>
        <v>22.280715536887136</v>
      </c>
      <c r="CU66" s="54">
        <f t="shared" ref="CU66:DB66" si="735">(CU48-CU47)/CU65</f>
        <v>18.781770411946148</v>
      </c>
      <c r="CV66" s="54">
        <f t="shared" si="735"/>
        <v>20.668085868442017</v>
      </c>
      <c r="CW66" s="54">
        <f t="shared" si="735"/>
        <v>22.122163901003191</v>
      </c>
      <c r="CX66" s="54">
        <f t="shared" si="735"/>
        <v>26.028998972192486</v>
      </c>
      <c r="CY66" s="54">
        <f t="shared" si="735"/>
        <v>22.45149766623955</v>
      </c>
      <c r="CZ66" s="54">
        <f t="shared" si="735"/>
        <v>24.598583674236533</v>
      </c>
      <c r="DA66" s="54">
        <f t="shared" si="735"/>
        <v>26.237899754524904</v>
      </c>
      <c r="DB66" s="54">
        <f t="shared" si="735"/>
        <v>30.57205522343353</v>
      </c>
      <c r="DE66" s="132"/>
      <c r="DF66" s="53">
        <v>14.378632874850251</v>
      </c>
    </row>
    <row r="67" spans="1:110" s="3" customFormat="1" x14ac:dyDescent="0.2">
      <c r="A67" s="3" t="s">
        <v>31</v>
      </c>
      <c r="B67" s="3">
        <f>'Annual Raw'!C110</f>
        <v>0.42783548611322098</v>
      </c>
      <c r="C67" s="3">
        <f>'Annual Raw'!D110</f>
        <v>0.47816907271477599</v>
      </c>
      <c r="D67" s="3">
        <f>'Annual Raw'!E110</f>
        <v>0.50333586601555402</v>
      </c>
      <c r="E67" s="3">
        <f>'Annual Raw'!F110</f>
        <v>0.528502659316332</v>
      </c>
      <c r="F67" s="3">
        <f>'Annual Raw'!G110</f>
        <v>0.75500379902333103</v>
      </c>
      <c r="G67" s="3">
        <f>'Annual Raw'!H110</f>
        <v>1.23821725637561</v>
      </c>
      <c r="H67" s="3">
        <f>'Annual Raw'!I110</f>
        <v>1.36203898201317</v>
      </c>
      <c r="I67" s="3">
        <f>'Annual Raw'!J110</f>
        <v>1.6096824332883</v>
      </c>
      <c r="J67" s="3">
        <f>'Annual Raw'!K110</f>
        <v>1.6096824332883</v>
      </c>
      <c r="K67" s="3">
        <f>'Annual Raw'!L110</f>
        <v>1.73350415892586</v>
      </c>
      <c r="L67" s="3">
        <f>'Annual Raw'!M110</f>
        <v>1.98114761020098</v>
      </c>
      <c r="M67" s="3">
        <f>'Annual Raw'!N110</f>
        <v>2.1039603960396001</v>
      </c>
      <c r="N67" s="3">
        <f>'Annual Raw'!O110</f>
        <v>2.2277227722772301</v>
      </c>
      <c r="O67" s="3">
        <f>'Annual Raw'!P110</f>
        <v>2.35148514851485</v>
      </c>
      <c r="P67" s="3">
        <f>'Annual Raw'!Q110</f>
        <v>2.4752475247524801</v>
      </c>
      <c r="Q67" s="3">
        <f>'Annual Raw'!R110</f>
        <v>2.5990099009901</v>
      </c>
      <c r="R67" s="3">
        <f>'Annual Raw'!S110</f>
        <v>2.7227722772277199</v>
      </c>
      <c r="S67" s="3">
        <f>'Annual Raw'!T110</f>
        <v>2.9702970297029698</v>
      </c>
      <c r="T67" s="3">
        <f>'Annual Raw'!U110</f>
        <v>3.2178217821782198</v>
      </c>
      <c r="U67" s="3">
        <f>'Annual Raw'!V110</f>
        <v>3.2178217821782198</v>
      </c>
      <c r="V67" s="3">
        <f>'Annual Raw'!W110</f>
        <v>3.5</v>
      </c>
      <c r="W67" s="3">
        <f>'Annual Raw'!X110</f>
        <v>4</v>
      </c>
      <c r="X67" s="3">
        <f>'Annual Raw'!Y110</f>
        <v>4.5</v>
      </c>
      <c r="Y67" s="3">
        <f>'Annual Raw'!Z110</f>
        <v>5</v>
      </c>
      <c r="Z67" s="3">
        <f>'Annual Raw'!AA110</f>
        <v>5.5</v>
      </c>
      <c r="AA67" s="37"/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1.7036475618774329E-2</v>
      </c>
      <c r="C68" s="3">
        <f t="shared" ref="C68:U68" si="736">C67/C66</f>
        <v>1.7564319372755689E-2</v>
      </c>
      <c r="D68" s="3">
        <f t="shared" si="736"/>
        <v>1.717452291076187E-2</v>
      </c>
      <c r="E68" s="3">
        <f t="shared" si="736"/>
        <v>0.13835774466324338</v>
      </c>
      <c r="F68" s="3">
        <f t="shared" si="736"/>
        <v>0.13447287838769775</v>
      </c>
      <c r="G68" s="3">
        <f t="shared" si="736"/>
        <v>0.1764156840318809</v>
      </c>
      <c r="H68" s="3">
        <f t="shared" si="736"/>
        <v>0.15264075357253237</v>
      </c>
      <c r="I68" s="3">
        <f t="shared" si="736"/>
        <v>0.11158136713314984</v>
      </c>
      <c r="J68" s="3">
        <f t="shared" si="736"/>
        <v>0.14551827201829717</v>
      </c>
      <c r="K68" s="3">
        <f t="shared" si="736"/>
        <v>9.5733764238316948E-2</v>
      </c>
      <c r="L68" s="3">
        <f t="shared" si="736"/>
        <v>0.13894935970374034</v>
      </c>
      <c r="M68" s="3">
        <f t="shared" si="736"/>
        <v>0.14434593428923073</v>
      </c>
      <c r="N68" s="3">
        <f t="shared" si="736"/>
        <v>0.14438212823629235</v>
      </c>
      <c r="O68" s="3">
        <f t="shared" si="736"/>
        <v>0.14146755448229648</v>
      </c>
      <c r="P68" s="3">
        <f t="shared" si="736"/>
        <v>0.14213294366863516</v>
      </c>
      <c r="Q68" s="3">
        <f t="shared" si="736"/>
        <v>0.11823769366346623</v>
      </c>
      <c r="R68" s="3">
        <f t="shared" si="736"/>
        <v>0.12322181350271062</v>
      </c>
      <c r="S68" s="3">
        <f t="shared" si="736"/>
        <v>0.1114180440913114</v>
      </c>
      <c r="T68" s="3">
        <f t="shared" si="736"/>
        <v>0.10999182670616266</v>
      </c>
      <c r="U68" s="3">
        <f t="shared" si="736"/>
        <v>9.9419070177715119E-2</v>
      </c>
      <c r="V68" s="3">
        <f>V67/V66</f>
        <v>0.10891321344800625</v>
      </c>
      <c r="W68" s="3">
        <f t="shared" ref="W68" si="737">W67/W66</f>
        <v>9.629945915172218E-2</v>
      </c>
      <c r="X68" s="3">
        <f t="shared" ref="X68:Y68" si="738">X67/X66</f>
        <v>9.1868324180797781E-2</v>
      </c>
      <c r="Y68" s="3">
        <f t="shared" si="738"/>
        <v>9.718332112437339E-2</v>
      </c>
      <c r="Z68" s="3">
        <f t="shared" ref="Z68" si="739">Z67/Z66</f>
        <v>0.1068602113484953</v>
      </c>
      <c r="AA68" s="37">
        <f t="shared" ref="AA68:AD68" si="740">AA67/AA66</f>
        <v>0</v>
      </c>
      <c r="AB68" s="37">
        <f t="shared" si="740"/>
        <v>0</v>
      </c>
      <c r="AC68" s="37">
        <f t="shared" si="740"/>
        <v>0</v>
      </c>
      <c r="AD68" s="37">
        <f t="shared" si="740"/>
        <v>0</v>
      </c>
      <c r="AE68" s="37">
        <f t="shared" ref="AE68" si="741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</row>
    <row r="69" spans="1:110" s="3" customFormat="1" x14ac:dyDescent="0.2">
      <c r="A69" s="3" t="s">
        <v>33</v>
      </c>
      <c r="B69" s="3">
        <f>+B66</f>
        <v>25.112910421551213</v>
      </c>
      <c r="C69" s="3">
        <f t="shared" ref="C69:U69" si="742">+C66</f>
        <v>27.223888530316298</v>
      </c>
      <c r="D69" s="3">
        <f t="shared" si="742"/>
        <v>29.307123617399267</v>
      </c>
      <c r="E69" s="3">
        <f t="shared" si="742"/>
        <v>3.8198270765592781</v>
      </c>
      <c r="F69" s="3">
        <f t="shared" si="742"/>
        <v>5.6145433047590849</v>
      </c>
      <c r="G69" s="3">
        <f t="shared" si="742"/>
        <v>7.0187481525273343</v>
      </c>
      <c r="H69" s="3">
        <f t="shared" si="742"/>
        <v>8.9231673071238564</v>
      </c>
      <c r="I69" s="3">
        <f t="shared" si="742"/>
        <v>14.426086313922546</v>
      </c>
      <c r="J69" s="3">
        <f t="shared" si="742"/>
        <v>11.061720366538587</v>
      </c>
      <c r="K69" s="3">
        <f t="shared" si="742"/>
        <v>18.107552468223471</v>
      </c>
      <c r="L69" s="3">
        <f t="shared" si="742"/>
        <v>14.258054980786284</v>
      </c>
      <c r="M69" s="3">
        <f t="shared" si="742"/>
        <v>14.575820277859886</v>
      </c>
      <c r="N69" s="3">
        <f t="shared" si="742"/>
        <v>15.429352645580845</v>
      </c>
      <c r="O69" s="3">
        <f t="shared" si="742"/>
        <v>16.622080993201301</v>
      </c>
      <c r="P69" s="3">
        <f t="shared" si="742"/>
        <v>17.415016257759383</v>
      </c>
      <c r="Q69" s="3">
        <f t="shared" si="742"/>
        <v>21.981229677800769</v>
      </c>
      <c r="R69" s="3">
        <f t="shared" si="742"/>
        <v>22.096511971622821</v>
      </c>
      <c r="S69" s="3">
        <f t="shared" si="742"/>
        <v>26.659030446349394</v>
      </c>
      <c r="T69" s="3">
        <f>+T66</f>
        <v>29.255099024534434</v>
      </c>
      <c r="U69" s="3">
        <f t="shared" si="742"/>
        <v>32.366242979603904</v>
      </c>
      <c r="V69" s="3">
        <f>+V66</f>
        <v>32.1356783919598</v>
      </c>
      <c r="W69" s="3">
        <f t="shared" ref="W69" si="743">+W66</f>
        <v>41.537097250960684</v>
      </c>
      <c r="X69" s="3">
        <f t="shared" ref="X69:Y69" si="744">+X66</f>
        <v>48.983151049364466</v>
      </c>
      <c r="Y69" s="3">
        <f t="shared" si="744"/>
        <v>51.449157552468222</v>
      </c>
      <c r="Z69" s="3">
        <f t="shared" ref="Z69" si="745">+Z66</f>
        <v>51.46911025716819</v>
      </c>
      <c r="AA69" s="37">
        <f t="shared" ref="AA69:AD69" si="746">+AA66</f>
        <v>59.691841560744898</v>
      </c>
      <c r="AB69" s="37">
        <f t="shared" si="746"/>
        <v>62.154748694817812</v>
      </c>
      <c r="AC69" s="37">
        <f t="shared" si="746"/>
        <v>74.494969112908095</v>
      </c>
      <c r="AD69" s="37">
        <f t="shared" si="746"/>
        <v>87.601019153583692</v>
      </c>
      <c r="AE69" s="37">
        <f t="shared" ref="AE69" si="747">+AE66</f>
        <v>103.86003631843448</v>
      </c>
      <c r="AL69" s="3">
        <f>SUM(AI66:AL66)</f>
        <v>15.520987289388117</v>
      </c>
      <c r="AM69" s="3">
        <f t="shared" ref="AM69" si="748">SUM(AJ66:AM66)</f>
        <v>16.063405261602128</v>
      </c>
      <c r="AN69" s="3">
        <f t="shared" ref="AN69" si="749">SUM(AK66:AN66)</f>
        <v>16.406296186816434</v>
      </c>
      <c r="AO69" s="3">
        <f t="shared" ref="AO69" si="750">SUM(AL66:AO66)</f>
        <v>16.406296186816434</v>
      </c>
      <c r="AP69" s="3">
        <f t="shared" ref="AP69" si="751">SUM(AM66:AP66)</f>
        <v>16.622080993201301</v>
      </c>
      <c r="AQ69" s="3">
        <f t="shared" ref="AQ69" si="752">SUM(AN66:AQ66)</f>
        <v>17.154153118533845</v>
      </c>
      <c r="AR69" s="3">
        <f t="shared" ref="AR69" si="753">SUM(AO66:AR66)</f>
        <v>17.227313035767068</v>
      </c>
      <c r="AS69" s="3">
        <f t="shared" ref="AS69" si="754">SUM(AP66:AS66)</f>
        <v>17.045521726278448</v>
      </c>
      <c r="AT69" s="3">
        <f t="shared" ref="AT69" si="755">SUM(AQ66:AT66)</f>
        <v>17.415016257759387</v>
      </c>
      <c r="AU69" s="3">
        <f t="shared" ref="AU69" si="756">SUM(AR66:AU66)</f>
        <v>17.46452852497783</v>
      </c>
      <c r="AV69" s="3">
        <f t="shared" ref="AV69" si="757">SUM(AS66:AV66)</f>
        <v>16.77209577298256</v>
      </c>
      <c r="AW69" s="3">
        <f t="shared" ref="AW69" si="758">SUM(AT66:AW66)</f>
        <v>18.241945019213716</v>
      </c>
      <c r="AX69" s="3">
        <f t="shared" ref="AX69" si="759">SUM(AU66:AX66)</f>
        <v>18.62769731007981</v>
      </c>
      <c r="AY69" s="3">
        <f t="shared" ref="AY69" si="760">SUM(AV66:AY66)</f>
        <v>19.432456399645282</v>
      </c>
      <c r="AZ69" s="3">
        <f t="shared" ref="AZ69" si="761">SUM(AW66:AZ66)</f>
        <v>21.039018622524384</v>
      </c>
      <c r="BA69" s="3">
        <f t="shared" ref="BA69" si="762">SUM(AX66:BA66)</f>
        <v>21.251847472657403</v>
      </c>
      <c r="BB69" s="3">
        <f t="shared" ref="BB69" si="763">SUM(AY66:BB66)</f>
        <v>22.096511971622821</v>
      </c>
      <c r="BC69" s="3">
        <f t="shared" ref="BC69" si="764">SUM(AZ66:BC66)</f>
        <v>22.767514040792197</v>
      </c>
      <c r="BD69" s="3">
        <f t="shared" ref="BD69" si="765">SUM(BA66:BD66)</f>
        <v>23.432604197457877</v>
      </c>
      <c r="BE69" s="3">
        <f t="shared" ref="BE69" si="766">SUM(BB66:BE66)</f>
        <v>24.827076559266924</v>
      </c>
      <c r="BF69" s="3">
        <f t="shared" ref="BF69" si="767">SUM(BC66:BF66)</f>
        <v>25.855749334909842</v>
      </c>
      <c r="BG69" s="3">
        <f t="shared" ref="BG69" si="768">SUM(BD66:BG66)</f>
        <v>26.91841560744901</v>
      </c>
      <c r="BH69" s="3">
        <f t="shared" ref="BH69" si="769">SUM(BE66:BH66)</f>
        <v>27.958173219036354</v>
      </c>
      <c r="BI69" s="3">
        <f t="shared" ref="BI69" si="770">SUM(BF66:BI66)</f>
        <v>28.572273130357669</v>
      </c>
      <c r="BJ69" s="3">
        <f t="shared" ref="BJ69" si="771">SUM(BG66:BJ66)</f>
        <v>29.255099024534434</v>
      </c>
      <c r="BK69" s="3">
        <f t="shared" ref="BK69" si="772">SUM(BH66:BK66)</f>
        <v>29.73174697014484</v>
      </c>
      <c r="BL69" s="3">
        <f t="shared" ref="BL69" si="773">SUM(BI66:BL66)</f>
        <v>31.022021874076266</v>
      </c>
      <c r="BM69" s="3">
        <f t="shared" ref="BM69" si="774">SUM(BJ66:BM66)</f>
        <v>32.179278746674548</v>
      </c>
      <c r="BN69" s="3">
        <f t="shared" ref="BN69" si="775">SUM(BK66:BN66)</f>
        <v>32.366242979603904</v>
      </c>
      <c r="BO69" s="3">
        <f t="shared" ref="BO69" si="776">SUM(BL66:BO66)</f>
        <v>31.00872007094295</v>
      </c>
      <c r="BP69" s="3">
        <f t="shared" ref="BP69" si="777">SUM(BM66:BP66)</f>
        <v>29.75613360922258</v>
      </c>
      <c r="BQ69" s="3">
        <f t="shared" ref="BQ69" si="778">SUM(BN66:BQ66)</f>
        <v>30.794413242684008</v>
      </c>
      <c r="BR69" s="3">
        <f t="shared" ref="BR69" si="779">SUM(BO66:BR66)</f>
        <v>32.1356783919598</v>
      </c>
      <c r="BS69" s="3">
        <f t="shared" ref="BS69" si="780">SUM(BP66:BS66)</f>
        <v>35.09606857818504</v>
      </c>
      <c r="BT69" s="3">
        <f t="shared" ref="BT69" si="781">SUM(BQ66:BT66)</f>
        <v>38.135530594147205</v>
      </c>
      <c r="BU69" s="3">
        <f t="shared" ref="BU69" si="782">SUM(BR66:BU66)</f>
        <v>39.97635234998522</v>
      </c>
      <c r="BV69" s="3">
        <f t="shared" ref="BV69" si="783">SUM(BS66:BV66)</f>
        <v>42.764558084540347</v>
      </c>
      <c r="BW69" s="3">
        <f t="shared" ref="BW69" si="784">SUM(BT66:BW66)</f>
        <v>46.935412355897128</v>
      </c>
      <c r="BX69" s="3">
        <f t="shared" ref="BX69" si="785">SUM(BU66:BX66)</f>
        <v>46.784658587052903</v>
      </c>
      <c r="BY69" s="3">
        <f t="shared" ref="BY69" si="786">SUM(BV66:BY66)</f>
        <v>46.769139816730707</v>
      </c>
      <c r="BZ69" s="3">
        <f t="shared" ref="BZ69" si="787">SUM(BW66:BZ66)</f>
        <v>48.983151049364466</v>
      </c>
      <c r="CA69" s="3">
        <f t="shared" ref="CA69" si="788">SUM(BX66:CA66)</f>
        <v>47.574637895359146</v>
      </c>
      <c r="CB69" s="3">
        <f t="shared" ref="CB69" si="789">SUM(BY66:CB66)</f>
        <v>50.469997044043751</v>
      </c>
      <c r="CC69" s="3">
        <f t="shared" ref="CC69" si="790">SUM(BZ66:CC66)</f>
        <v>51.632426840082765</v>
      </c>
      <c r="CD69" s="3">
        <f t="shared" ref="CD69" si="791">SUM(CA66:CD66)</f>
        <v>51.449157552468222</v>
      </c>
      <c r="CE69" s="3">
        <f t="shared" ref="CE69" si="792">SUM(CB66:CE66)</f>
        <v>50.804020100502512</v>
      </c>
      <c r="CF69" s="3">
        <f t="shared" ref="CF69" si="793">SUM(CC66:CF66)</f>
        <v>50.189920189181194</v>
      </c>
      <c r="CG69" s="3">
        <f t="shared" ref="CG69" si="794">SUM(CD66:CG66)</f>
        <v>51.132131244457582</v>
      </c>
      <c r="CH69" s="3">
        <f t="shared" ref="CH69:CL69" si="795">SUM(CE66:CH66)</f>
        <v>51.46911025716819</v>
      </c>
      <c r="CI69" s="3">
        <f t="shared" si="795"/>
        <v>60.230564587644096</v>
      </c>
      <c r="CJ69" s="3">
        <f t="shared" si="795"/>
        <v>61.414425066509011</v>
      </c>
      <c r="CK69" s="3">
        <f t="shared" si="795"/>
        <v>61.49201891812001</v>
      </c>
      <c r="CL69" s="3">
        <f t="shared" si="795"/>
        <v>59.691841560744898</v>
      </c>
      <c r="CM69" s="37">
        <f t="shared" ref="CM69" si="796">SUM(CJ66:CM66)</f>
        <v>53.387165590297869</v>
      </c>
      <c r="CN69" s="37">
        <f t="shared" ref="CN69" si="797">SUM(CK66:CN66)</f>
        <v>54.632694487630133</v>
      </c>
      <c r="CO69" s="37">
        <f t="shared" ref="CO69" si="798">SUM(CL66:CO66)</f>
        <v>56.2914442170825</v>
      </c>
      <c r="CP69" s="37">
        <f t="shared" ref="CP69" si="799">SUM(CM66:CP66)</f>
        <v>62.15474869481784</v>
      </c>
      <c r="CQ69" s="37">
        <f t="shared" ref="CQ69" si="800">SUM(CN66:CQ66)</f>
        <v>64.480758192596056</v>
      </c>
      <c r="CR69" s="37">
        <f t="shared" ref="CR69" si="801">SUM(CO66:CR66)</f>
        <v>67.31088803044085</v>
      </c>
      <c r="CS69" s="37">
        <f t="shared" ref="CS69" si="802">SUM(CP66:CS66)</f>
        <v>70.618941441282118</v>
      </c>
      <c r="CT69" s="37">
        <f t="shared" ref="CT69" si="803">SUM(CQ66:CT66)</f>
        <v>74.494969112908052</v>
      </c>
      <c r="CU69" s="37">
        <f t="shared" ref="CU69" si="804">SUM(CR66:CU66)</f>
        <v>77.307135231930346</v>
      </c>
      <c r="CV69" s="37">
        <f t="shared" ref="CV69" si="805">SUM(CS66:CV66)</f>
        <v>80.475826036492975</v>
      </c>
      <c r="CW69" s="37">
        <f t="shared" ref="CW69" si="806">SUM(CT66:CW66)</f>
        <v>83.852735718278495</v>
      </c>
      <c r="CX69" s="37">
        <f t="shared" ref="CX69" si="807">SUM(CU66:CX66)</f>
        <v>87.601019153583835</v>
      </c>
      <c r="CY69" s="37">
        <f t="shared" ref="CY69" si="808">SUM(CV66:CY66)</f>
        <v>91.27074640787724</v>
      </c>
      <c r="CZ69" s="37">
        <f t="shared" ref="CZ69" si="809">SUM(CW66:CZ66)</f>
        <v>95.201244213671757</v>
      </c>
      <c r="DA69" s="37">
        <f t="shared" ref="DA69" si="810">SUM(CX66:DA66)</f>
        <v>99.316980067193469</v>
      </c>
      <c r="DB69" s="37">
        <f t="shared" ref="DB69" si="811">SUM(CY66:DB66)</f>
        <v>103.86003631843451</v>
      </c>
      <c r="DE69" s="134"/>
      <c r="DF69" s="3">
        <v>61.52909104806929</v>
      </c>
    </row>
    <row r="70" spans="1:110" s="97" customFormat="1" x14ac:dyDescent="0.2">
      <c r="A70" s="97" t="s">
        <v>425</v>
      </c>
      <c r="C70" s="101">
        <f t="shared" ref="C70:AA70" si="812">+C69/B69-1</f>
        <v>8.4059476712563752E-2</v>
      </c>
      <c r="D70" s="101">
        <f t="shared" si="812"/>
        <v>7.6522319166973274E-2</v>
      </c>
      <c r="E70" s="101">
        <f t="shared" si="812"/>
        <v>-0.86966216383338635</v>
      </c>
      <c r="F70" s="101">
        <f t="shared" si="812"/>
        <v>0.46984227092719699</v>
      </c>
      <c r="G70" s="101">
        <f t="shared" si="812"/>
        <v>0.2501013477940397</v>
      </c>
      <c r="H70" s="101">
        <f t="shared" si="812"/>
        <v>0.27133316557465781</v>
      </c>
      <c r="I70" s="101">
        <f t="shared" si="812"/>
        <v>0.61670019370873019</v>
      </c>
      <c r="J70" s="101">
        <f t="shared" si="812"/>
        <v>-0.23321404531851619</v>
      </c>
      <c r="K70" s="101">
        <f t="shared" si="812"/>
        <v>0.63695626613364231</v>
      </c>
      <c r="L70" s="101">
        <f t="shared" si="812"/>
        <v>-0.2125907128637391</v>
      </c>
      <c r="M70" s="101">
        <f t="shared" si="812"/>
        <v>2.2286721260495357E-2</v>
      </c>
      <c r="N70" s="101">
        <f t="shared" si="812"/>
        <v>5.8558101804907725E-2</v>
      </c>
      <c r="O70" s="101">
        <f t="shared" si="812"/>
        <v>7.7302552804253022E-2</v>
      </c>
      <c r="P70" s="101">
        <f t="shared" si="812"/>
        <v>4.7703730049348581E-2</v>
      </c>
      <c r="Q70" s="101">
        <f t="shared" si="812"/>
        <v>0.26219977934312166</v>
      </c>
      <c r="R70" s="101">
        <f t="shared" si="812"/>
        <v>5.244578920827081E-3</v>
      </c>
      <c r="S70" s="101">
        <f t="shared" si="812"/>
        <v>0.20648138858232157</v>
      </c>
      <c r="T70" s="101">
        <f t="shared" si="812"/>
        <v>9.7380457380457308E-2</v>
      </c>
      <c r="U70" s="101">
        <f t="shared" si="812"/>
        <v>0.10634535717894322</v>
      </c>
      <c r="V70" s="101">
        <f t="shared" si="812"/>
        <v>-7.1236129503630119E-3</v>
      </c>
      <c r="W70" s="101">
        <f t="shared" si="812"/>
        <v>0.29255392540127856</v>
      </c>
      <c r="X70" s="101">
        <f t="shared" si="812"/>
        <v>0.17926273840022766</v>
      </c>
      <c r="Y70" s="101">
        <f t="shared" si="812"/>
        <v>5.034397441313132E-2</v>
      </c>
      <c r="Z70" s="101">
        <f t="shared" si="812"/>
        <v>3.878140216313497E-4</v>
      </c>
      <c r="AA70" s="174">
        <f t="shared" si="812"/>
        <v>0.15976050999310831</v>
      </c>
      <c r="AB70" s="174">
        <f t="shared" ref="AB70" si="813">+AB69/AA69-1</f>
        <v>4.126036439278824E-2</v>
      </c>
      <c r="AC70" s="174">
        <f t="shared" ref="AC70" si="814">+AC69/AB69-1</f>
        <v>0.19854026727195428</v>
      </c>
      <c r="AD70" s="174">
        <f t="shared" ref="AD70" si="815">+AD69/AC69-1</f>
        <v>0.17593201523194746</v>
      </c>
      <c r="AE70" s="174">
        <f t="shared" ref="AE70" si="816">+AE69/AD69-1</f>
        <v>0.1856030594386715</v>
      </c>
      <c r="AL70" s="176"/>
      <c r="AM70" s="176"/>
      <c r="AN70" s="176"/>
      <c r="AO70" s="176"/>
      <c r="AP70" s="176">
        <f t="shared" ref="AP70:CL70" si="817">+IF(AL69&lt;0,1-AP69/AL69,AP69/AL69-1)</f>
        <v>7.0942246345760074E-2</v>
      </c>
      <c r="AQ70" s="176">
        <f t="shared" si="817"/>
        <v>6.7902654460137102E-2</v>
      </c>
      <c r="AR70" s="176">
        <f t="shared" si="817"/>
        <v>5.0042790865276299E-2</v>
      </c>
      <c r="AS70" s="176">
        <f t="shared" si="817"/>
        <v>3.8962208909508522E-2</v>
      </c>
      <c r="AT70" s="176">
        <f t="shared" si="817"/>
        <v>4.7703730049348803E-2</v>
      </c>
      <c r="AU70" s="176">
        <f t="shared" si="817"/>
        <v>1.809330978331114E-2</v>
      </c>
      <c r="AV70" s="176">
        <f t="shared" si="817"/>
        <v>-2.642415923129704E-2</v>
      </c>
      <c r="AW70" s="176">
        <f t="shared" si="817"/>
        <v>7.0189889881210776E-2</v>
      </c>
      <c r="AX70" s="176">
        <f t="shared" si="817"/>
        <v>6.9634218789781821E-2</v>
      </c>
      <c r="AY70" s="176">
        <f t="shared" si="817"/>
        <v>0.11268142004823756</v>
      </c>
      <c r="AZ70" s="176">
        <f t="shared" si="817"/>
        <v>0.25440606274233324</v>
      </c>
      <c r="BA70" s="176">
        <f t="shared" si="817"/>
        <v>0.16499898723921391</v>
      </c>
      <c r="BB70" s="176">
        <f t="shared" si="817"/>
        <v>0.18621811401594801</v>
      </c>
      <c r="BC70" s="176">
        <f t="shared" si="817"/>
        <v>0.17162306054152743</v>
      </c>
      <c r="BD70" s="176">
        <f t="shared" si="817"/>
        <v>0.11376887952230419</v>
      </c>
      <c r="BE70" s="176">
        <f t="shared" si="817"/>
        <v>0.16823144864037842</v>
      </c>
      <c r="BF70" s="176">
        <f t="shared" si="817"/>
        <v>0.17012808936155976</v>
      </c>
      <c r="BG70" s="176">
        <f t="shared" si="817"/>
        <v>0.18231685546431242</v>
      </c>
      <c r="BH70" s="176">
        <f t="shared" si="817"/>
        <v>0.19313128764704013</v>
      </c>
      <c r="BI70" s="176">
        <f t="shared" si="817"/>
        <v>0.15085129182045476</v>
      </c>
      <c r="BJ70" s="176">
        <f t="shared" si="817"/>
        <v>0.13147364810792261</v>
      </c>
      <c r="BK70" s="176">
        <f t="shared" si="817"/>
        <v>0.10451325975951242</v>
      </c>
      <c r="BL70" s="176">
        <f t="shared" si="817"/>
        <v>0.10958686860677203</v>
      </c>
      <c r="BM70" s="176">
        <f t="shared" si="817"/>
        <v>0.12624146492861588</v>
      </c>
      <c r="BN70" s="176">
        <f t="shared" si="817"/>
        <v>0.10634535717894322</v>
      </c>
      <c r="BO70" s="176">
        <f t="shared" si="817"/>
        <v>4.2949817314145156E-2</v>
      </c>
      <c r="BP70" s="176">
        <f t="shared" si="817"/>
        <v>-4.0806117344386661E-2</v>
      </c>
      <c r="BQ70" s="176">
        <f t="shared" si="817"/>
        <v>-4.3035939832357317E-2</v>
      </c>
      <c r="BR70" s="176">
        <f t="shared" si="817"/>
        <v>-7.1236129503630119E-3</v>
      </c>
      <c r="BS70" s="176">
        <f t="shared" si="817"/>
        <v>0.1318128738590596</v>
      </c>
      <c r="BT70" s="176">
        <f t="shared" si="817"/>
        <v>0.2816023444096758</v>
      </c>
      <c r="BU70" s="176">
        <f t="shared" si="817"/>
        <v>0.29816899042499578</v>
      </c>
      <c r="BV70" s="176">
        <f t="shared" si="817"/>
        <v>0.33075012647748681</v>
      </c>
      <c r="BW70" s="176">
        <f t="shared" si="817"/>
        <v>0.33734102585698644</v>
      </c>
      <c r="BX70" s="176">
        <f t="shared" si="817"/>
        <v>0.22679972870845821</v>
      </c>
      <c r="BY70" s="176">
        <f t="shared" si="817"/>
        <v>0.1699201419698313</v>
      </c>
      <c r="BZ70" s="176">
        <f t="shared" si="817"/>
        <v>0.14541464341875621</v>
      </c>
      <c r="CA70" s="176">
        <f t="shared" si="817"/>
        <v>1.361925904932848E-2</v>
      </c>
      <c r="CB70" s="176">
        <f t="shared" si="817"/>
        <v>7.8772370437062866E-2</v>
      </c>
      <c r="CC70" s="176">
        <f t="shared" si="817"/>
        <v>0.10398495765389981</v>
      </c>
      <c r="CD70" s="176">
        <f t="shared" si="817"/>
        <v>5.034397441313132E-2</v>
      </c>
      <c r="CE70" s="176">
        <f t="shared" si="817"/>
        <v>6.7880331790363124E-2</v>
      </c>
      <c r="CF70" s="176">
        <f t="shared" si="817"/>
        <v>-5.5493733161533498E-3</v>
      </c>
      <c r="CG70" s="176">
        <f t="shared" si="817"/>
        <v>-9.6895618944022877E-3</v>
      </c>
      <c r="CH70" s="176">
        <f t="shared" si="817"/>
        <v>3.878140216313497E-4</v>
      </c>
      <c r="CI70" s="176">
        <f t="shared" si="817"/>
        <v>0.18554721591900836</v>
      </c>
      <c r="CJ70" s="176">
        <f t="shared" si="817"/>
        <v>0.22364062016873532</v>
      </c>
      <c r="CK70" s="176">
        <f t="shared" si="817"/>
        <v>0.2026101283385362</v>
      </c>
      <c r="CL70" s="176">
        <f t="shared" si="817"/>
        <v>0.15976050999310831</v>
      </c>
      <c r="CM70" s="102">
        <f t="shared" ref="CM70:DB70" si="818">+IF(CI69&lt;0,1-CM69/CI69,CM69/CI69-1)</f>
        <v>-0.11362003733815418</v>
      </c>
      <c r="CN70" s="102">
        <f t="shared" si="818"/>
        <v>-0.11042569512837697</v>
      </c>
      <c r="CO70" s="102">
        <f t="shared" si="818"/>
        <v>-8.4573165632475966E-2</v>
      </c>
      <c r="CP70" s="102">
        <f t="shared" si="818"/>
        <v>4.1260364392788684E-2</v>
      </c>
      <c r="CQ70" s="102">
        <f t="shared" si="818"/>
        <v>0.20779512228523789</v>
      </c>
      <c r="CR70" s="102">
        <f t="shared" si="818"/>
        <v>0.23206238794759249</v>
      </c>
      <c r="CS70" s="102">
        <f t="shared" si="818"/>
        <v>0.25452353236749459</v>
      </c>
      <c r="CT70" s="102">
        <f t="shared" si="818"/>
        <v>0.19854026727195317</v>
      </c>
      <c r="CU70" s="102">
        <f t="shared" si="818"/>
        <v>0.19891790045370561</v>
      </c>
      <c r="CV70" s="102">
        <f t="shared" si="818"/>
        <v>0.19558407846436943</v>
      </c>
      <c r="CW70" s="102">
        <f t="shared" si="818"/>
        <v>0.18739723375774386</v>
      </c>
      <c r="CX70" s="102">
        <f t="shared" si="818"/>
        <v>0.1759320152319499</v>
      </c>
      <c r="CY70" s="102">
        <f t="shared" si="818"/>
        <v>0.18062512773309281</v>
      </c>
      <c r="CZ70" s="102">
        <f t="shared" si="818"/>
        <v>0.18297939769517013</v>
      </c>
      <c r="DA70" s="102">
        <f t="shared" si="818"/>
        <v>0.18442146480313371</v>
      </c>
      <c r="DB70" s="102">
        <f t="shared" si="818"/>
        <v>0.18560305943866995</v>
      </c>
      <c r="DE70" s="135"/>
      <c r="DF70" s="97">
        <v>0.19545666790499894</v>
      </c>
    </row>
    <row r="71" spans="1:110" s="144" customFormat="1" x14ac:dyDescent="0.2">
      <c r="A71" s="144" t="s">
        <v>424</v>
      </c>
      <c r="AA71" s="145"/>
      <c r="AB71" s="145"/>
      <c r="AC71" s="145"/>
      <c r="AD71" s="145"/>
      <c r="AE71" s="145"/>
      <c r="CM71" s="145"/>
      <c r="CN71" s="145"/>
      <c r="CO71" s="145"/>
      <c r="CP71" s="145">
        <v>65.3</v>
      </c>
      <c r="CQ71" s="145"/>
      <c r="CR71" s="145"/>
      <c r="CS71" s="145"/>
      <c r="CT71" s="145">
        <v>73.599999999999994</v>
      </c>
      <c r="CU71" s="145"/>
      <c r="CV71" s="145"/>
      <c r="CW71" s="145"/>
      <c r="CX71" s="145"/>
      <c r="CY71" s="145"/>
      <c r="CZ71" s="145"/>
      <c r="DA71" s="145"/>
      <c r="DB71" s="145"/>
      <c r="DE71" s="146"/>
      <c r="DF71" s="144">
        <v>59.5</v>
      </c>
    </row>
    <row r="72" spans="1:110" s="144" customFormat="1" x14ac:dyDescent="0.2">
      <c r="A72" s="144" t="s">
        <v>436</v>
      </c>
      <c r="AA72" s="145"/>
      <c r="AB72" s="145"/>
      <c r="AC72" s="145"/>
      <c r="AD72" s="145"/>
      <c r="AE72" s="145"/>
      <c r="CM72" s="145"/>
      <c r="CN72" s="145"/>
      <c r="CO72" s="145"/>
      <c r="CP72" s="145">
        <f>+CP71/CP69-1</f>
        <v>5.0603555982913884E-2</v>
      </c>
      <c r="CQ72" s="145"/>
      <c r="CR72" s="145"/>
      <c r="CS72" s="145"/>
      <c r="CT72" s="145">
        <f>+CT71/CT69-1</f>
        <v>-1.2013819504396395E-2</v>
      </c>
      <c r="CU72" s="145"/>
      <c r="CV72" s="145"/>
      <c r="CW72" s="145"/>
      <c r="CX72" s="145"/>
      <c r="CY72" s="145"/>
      <c r="CZ72" s="145"/>
      <c r="DA72" s="145"/>
      <c r="DB72" s="145"/>
      <c r="DE72" s="146"/>
      <c r="DF72" s="144">
        <v>-3.2977751068743566E-2</v>
      </c>
    </row>
    <row r="73" spans="1:110" s="3" customFormat="1" x14ac:dyDescent="0.2">
      <c r="A73" s="3" t="s">
        <v>34</v>
      </c>
      <c r="B73" s="3">
        <f>'Annual Raw'!C112</f>
        <v>43.24</v>
      </c>
      <c r="C73" s="3">
        <f>'Annual Raw'!D112</f>
        <v>43.77</v>
      </c>
      <c r="D73" s="3">
        <f>'Annual Raw'!E112</f>
        <v>46.52</v>
      </c>
      <c r="E73" s="3">
        <f>'Annual Raw'!F112</f>
        <v>46.67</v>
      </c>
      <c r="F73" s="3">
        <f>'Annual Raw'!G112</f>
        <v>46.76</v>
      </c>
      <c r="G73" s="3">
        <f>'Annual Raw'!H112</f>
        <v>47.9</v>
      </c>
      <c r="H73" s="3">
        <f>'Annual Raw'!I112</f>
        <v>50.98</v>
      </c>
      <c r="I73" s="3">
        <f>'Annual Raw'!J112</f>
        <v>51.37</v>
      </c>
      <c r="J73" s="3">
        <f>'Annual Raw'!K112</f>
        <v>49.03</v>
      </c>
      <c r="K73" s="3">
        <f>'Annual Raw'!L112</f>
        <v>44.76</v>
      </c>
      <c r="L73" s="3">
        <f>'Annual Raw'!M112</f>
        <v>44.72</v>
      </c>
      <c r="M73" s="3">
        <f>'Annual Raw'!N112</f>
        <v>44.75</v>
      </c>
      <c r="N73" s="3">
        <f>'Annual Raw'!O112</f>
        <v>45.34</v>
      </c>
      <c r="O73" s="3">
        <f>'Annual Raw'!P112</f>
        <v>45.3</v>
      </c>
      <c r="P73" s="3">
        <f>'Annual Raw'!Q112</f>
        <v>45.24</v>
      </c>
      <c r="Q73" s="3">
        <f>'Annual Raw'!R112</f>
        <v>46.53</v>
      </c>
      <c r="R73" s="3">
        <f>'Annual Raw'!S112</f>
        <v>46.32</v>
      </c>
      <c r="S73" s="3">
        <f>'Annual Raw'!T112</f>
        <v>47.45</v>
      </c>
      <c r="T73" s="3">
        <f>'Annual Raw'!U112</f>
        <v>47.27</v>
      </c>
      <c r="U73" s="3">
        <f>'Annual Raw'!V112</f>
        <v>50.07</v>
      </c>
      <c r="V73" s="3">
        <f>'Annual Raw'!W112</f>
        <v>50.58</v>
      </c>
      <c r="W73" s="3">
        <f>'Annual Raw'!X112</f>
        <v>50.66</v>
      </c>
      <c r="X73" s="3">
        <f>'Annual Raw'!Y112</f>
        <v>50.41</v>
      </c>
      <c r="Y73" s="3">
        <f>'Annual Raw'!Z112</f>
        <v>50.31</v>
      </c>
      <c r="Z73" s="3">
        <f>'Annual Raw'!AA112</f>
        <v>50.11</v>
      </c>
      <c r="AA73" s="37"/>
      <c r="AB73" s="37"/>
      <c r="AC73" s="37"/>
      <c r="AD73" s="37"/>
      <c r="AE73" s="37"/>
      <c r="AI73" s="3">
        <f>'QTR Raw'!C49</f>
        <v>45.15</v>
      </c>
      <c r="AJ73" s="3">
        <f>'QTR Raw'!D49</f>
        <v>45.24</v>
      </c>
      <c r="AK73" s="3">
        <f>'QTR Raw'!E49</f>
        <v>45.34</v>
      </c>
      <c r="AL73" s="3">
        <f>'QTR Raw'!F49</f>
        <v>45.34</v>
      </c>
      <c r="AM73" s="3">
        <f>'QTR Raw'!G49</f>
        <v>45.33</v>
      </c>
      <c r="AN73" s="3">
        <f>'QTR Raw'!H49</f>
        <v>45.31</v>
      </c>
      <c r="AO73" s="3">
        <f>'QTR Raw'!I49</f>
        <v>45.31</v>
      </c>
      <c r="AP73" s="3">
        <f>'QTR Raw'!J49</f>
        <v>45.3</v>
      </c>
      <c r="AQ73" s="3">
        <f>'QTR Raw'!K49</f>
        <v>45.29</v>
      </c>
      <c r="AR73" s="3">
        <f>'QTR Raw'!L49</f>
        <v>45.26</v>
      </c>
      <c r="AS73" s="3">
        <f>'QTR Raw'!M49</f>
        <v>45.25</v>
      </c>
      <c r="AT73" s="3">
        <f>'QTR Raw'!N49</f>
        <v>45.24</v>
      </c>
      <c r="AU73" s="3">
        <f>'QTR Raw'!O49</f>
        <v>45.23</v>
      </c>
      <c r="AV73" s="3">
        <f>'QTR Raw'!P49</f>
        <v>45.21</v>
      </c>
      <c r="AW73" s="3">
        <f>'QTR Raw'!Q49</f>
        <v>46.66</v>
      </c>
      <c r="AX73" s="3">
        <f>'QTR Raw'!R49</f>
        <v>46.53</v>
      </c>
      <c r="AY73" s="3">
        <f>'QTR Raw'!S49</f>
        <v>46.49</v>
      </c>
      <c r="AZ73" s="3">
        <f>'QTR Raw'!T49</f>
        <v>46.48</v>
      </c>
      <c r="BA73" s="3">
        <f>'QTR Raw'!U49</f>
        <v>46.48</v>
      </c>
      <c r="BB73" s="3">
        <f>'QTR Raw'!V49</f>
        <v>46.32</v>
      </c>
      <c r="BC73" s="3">
        <f>'QTR Raw'!W49</f>
        <v>46.3</v>
      </c>
      <c r="BD73" s="3">
        <f>'QTR Raw'!X49</f>
        <v>47.55</v>
      </c>
      <c r="BE73" s="3">
        <f>'QTR Raw'!Y49</f>
        <v>47.48</v>
      </c>
      <c r="BF73" s="3">
        <f>'QTR Raw'!Z49</f>
        <v>47.45</v>
      </c>
      <c r="BG73" s="3">
        <f>'QTR Raw'!AA49</f>
        <v>47.35</v>
      </c>
      <c r="BH73" s="3">
        <f>'QTR Raw'!AB49</f>
        <v>47.27</v>
      </c>
      <c r="BI73" s="3">
        <f>'QTR Raw'!AC49</f>
        <v>47.19</v>
      </c>
      <c r="BJ73" s="3">
        <f>'QTR Raw'!AD49</f>
        <v>47.27</v>
      </c>
      <c r="BK73" s="3">
        <f>'QTR Raw'!AE49</f>
        <v>47.29</v>
      </c>
      <c r="BL73" s="3">
        <f>'QTR Raw'!AF49</f>
        <v>50.05</v>
      </c>
      <c r="BM73" s="3">
        <f>'QTR Raw'!AG49</f>
        <v>50.03</v>
      </c>
      <c r="BN73" s="3">
        <f>'QTR Raw'!AH49</f>
        <v>50.07</v>
      </c>
      <c r="BO73" s="3">
        <f>'QTR Raw'!AI49</f>
        <v>50.37</v>
      </c>
      <c r="BP73" s="3">
        <f>'QTR Raw'!AJ49</f>
        <v>50.49</v>
      </c>
      <c r="BQ73" s="3">
        <f>'QTR Raw'!AK49</f>
        <v>50.54</v>
      </c>
      <c r="BR73" s="3">
        <f>'QTR Raw'!AL49</f>
        <v>50.58</v>
      </c>
      <c r="BS73" s="3">
        <f>'QTR Raw'!AM49</f>
        <v>50.59</v>
      </c>
      <c r="BT73" s="3">
        <f>'QTR Raw'!AN49</f>
        <v>50.61</v>
      </c>
      <c r="BU73" s="3">
        <f>'QTR Raw'!AO49</f>
        <v>50.62</v>
      </c>
      <c r="BV73" s="3">
        <f>'QTR Raw'!AP49</f>
        <v>50.66</v>
      </c>
      <c r="BW73" s="3">
        <f>'QTR Raw'!AQ49</f>
        <v>50.62</v>
      </c>
      <c r="BX73" s="3">
        <f>'QTR Raw'!AR49</f>
        <v>50.57</v>
      </c>
      <c r="BY73" s="3">
        <f>'QTR Raw'!AS49</f>
        <v>50.49</v>
      </c>
      <c r="BZ73" s="3">
        <f>'QTR Raw'!AT49</f>
        <v>50.41</v>
      </c>
      <c r="CA73" s="3">
        <f>'QTR Raw'!AU49</f>
        <v>50.39</v>
      </c>
      <c r="CB73" s="3">
        <f>'QTR Raw'!AV49</f>
        <v>50.27</v>
      </c>
      <c r="CC73" s="3">
        <f>'QTR Raw'!AW49</f>
        <v>50.3</v>
      </c>
      <c r="CD73" s="3">
        <f>'QTR Raw'!AX49</f>
        <v>50.31</v>
      </c>
      <c r="CE73" s="3">
        <f>'QTR Raw'!AY49</f>
        <v>50.33</v>
      </c>
      <c r="CF73" s="3">
        <f>'QTR Raw'!AZ49</f>
        <v>50.24</v>
      </c>
      <c r="CG73" s="3">
        <f>'QTR Raw'!BA49</f>
        <v>50.13</v>
      </c>
      <c r="CH73" s="3">
        <f>'QTR Raw'!BB49</f>
        <v>50.11</v>
      </c>
      <c r="CI73" s="3">
        <f>'QTR Raw'!BC49</f>
        <v>50.07</v>
      </c>
      <c r="CJ73" s="3">
        <f>'QTR Raw'!BD49</f>
        <v>50.01</v>
      </c>
      <c r="CK73" s="3">
        <f>'QTR Raw'!BE49</f>
        <v>50.01</v>
      </c>
      <c r="CL73" s="3">
        <f>'QTR Raw'!BF49</f>
        <v>50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7"/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A75" s="37"/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A76" s="37"/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39.350798005096003</v>
      </c>
      <c r="C77" s="13">
        <f>'Annual Raw'!D106</f>
        <v>30.270618982175399</v>
      </c>
      <c r="D77" s="13">
        <f>'Annual Raw'!E106</f>
        <v>27.829440032000001</v>
      </c>
      <c r="E77" s="13">
        <f>'Annual Raw'!F106</f>
        <v>54.163972541933703</v>
      </c>
      <c r="F77" s="13">
        <f>'Annual Raw'!G106</f>
        <v>54.959243210238299</v>
      </c>
      <c r="G77" s="13">
        <f>'Annual Raw'!H106</f>
        <v>98.593049038908106</v>
      </c>
      <c r="H77" s="13">
        <f>'Annual Raw'!I106</f>
        <v>169.431458276157</v>
      </c>
      <c r="I77" s="13">
        <f>'Annual Raw'!J106</f>
        <v>280.39429770625702</v>
      </c>
      <c r="J77" s="13">
        <f>'Annual Raw'!K106</f>
        <v>188.605252491133</v>
      </c>
      <c r="K77" s="13">
        <f>'Annual Raw'!L106</f>
        <v>266.13003491281</v>
      </c>
      <c r="L77" s="13">
        <f>'Annual Raw'!M106</f>
        <v>259.48080824607302</v>
      </c>
      <c r="M77" s="13">
        <f>'Annual Raw'!N106</f>
        <v>185.29921241661</v>
      </c>
      <c r="N77" s="13">
        <f>'Annual Raw'!O106</f>
        <v>191.60173825156201</v>
      </c>
      <c r="O77" s="13">
        <f>'Annual Raw'!P106</f>
        <v>230.184587960226</v>
      </c>
      <c r="P77" s="13">
        <f>'Annual Raw'!Q106</f>
        <v>204.231554266594</v>
      </c>
      <c r="Q77" s="13">
        <f>'Annual Raw'!R106</f>
        <v>258.84931744532201</v>
      </c>
      <c r="R77" s="13">
        <f>'Annual Raw'!S106</f>
        <v>326.69124092214201</v>
      </c>
      <c r="S77" s="13">
        <f>'Annual Raw'!T106</f>
        <v>437.23927757135601</v>
      </c>
      <c r="T77" s="13">
        <f>'Annual Raw'!U106</f>
        <v>675.10081252111104</v>
      </c>
      <c r="U77" s="13">
        <f>'Annual Raw'!V106</f>
        <v>550.98191474201997</v>
      </c>
      <c r="V77" s="13">
        <f>'Annual Raw'!W106</f>
        <v>1001.6</v>
      </c>
      <c r="W77" s="13">
        <f>'Annual Raw'!X106</f>
        <v>1316.9749999999999</v>
      </c>
      <c r="X77" s="13">
        <f>'Annual Raw'!Y106</f>
        <v>1165.5250000000001</v>
      </c>
      <c r="Y77" s="13">
        <f>'Annual Raw'!Z106</f>
        <v>1488.4</v>
      </c>
      <c r="Z77" s="13">
        <f>'Annual Raw'!AA106</f>
        <v>1275</v>
      </c>
      <c r="AA77" s="37">
        <f>+CL77</f>
        <v>1344.25</v>
      </c>
      <c r="AB77" s="37">
        <f>+CP77</f>
        <v>1328</v>
      </c>
      <c r="AC77" s="37">
        <f>+CT77</f>
        <v>1328</v>
      </c>
      <c r="AD77" s="37">
        <f>+CX77</f>
        <v>1328</v>
      </c>
      <c r="AE77" s="37">
        <f>+DB77</f>
        <v>1328</v>
      </c>
      <c r="AJ77" s="13">
        <f>'QTR Share Price'!HP21</f>
        <v>207.20327568189501</v>
      </c>
      <c r="AK77" s="13">
        <f>'QTR Share Price'!HQ21</f>
        <v>207.797619964955</v>
      </c>
      <c r="AL77" s="13">
        <f>'QTR Share Price'!HR21</f>
        <v>191.60173825156201</v>
      </c>
      <c r="AM77" s="13">
        <f>'QTR Share Price'!HS21</f>
        <v>213.43150848146399</v>
      </c>
      <c r="AN77" s="13">
        <f>'QTR Share Price'!HT21</f>
        <v>203.64959215609699</v>
      </c>
      <c r="AO77" s="13">
        <f>'QTR Share Price'!HU21</f>
        <v>221.59136020098001</v>
      </c>
      <c r="AP77" s="13">
        <f>'QTR Share Price'!HV21</f>
        <v>230.184587960226</v>
      </c>
      <c r="AQ77" s="13">
        <f>'QTR Share Price'!HW21</f>
        <v>251.28381000886699</v>
      </c>
      <c r="AR77" s="13">
        <f>'QTR Share Price'!HX21</f>
        <v>234.109736662937</v>
      </c>
      <c r="AS77" s="13">
        <f>'QTR Share Price'!HY21</f>
        <v>220.687461603825</v>
      </c>
      <c r="AT77" s="13">
        <f>'QTR Share Price'!HZ21</f>
        <v>204.231554266594</v>
      </c>
      <c r="AU77" s="13">
        <f>'QTR Share Price'!IA21</f>
        <v>247.75489082819601</v>
      </c>
      <c r="AV77" s="13">
        <f>'QTR Share Price'!IB21</f>
        <v>213.097189822243</v>
      </c>
      <c r="AW77" s="13">
        <f>'QTR Share Price'!IC21</f>
        <v>250.763758761189</v>
      </c>
      <c r="AX77" s="13">
        <f>'QTR Share Price'!ID21</f>
        <v>258.84931744532201</v>
      </c>
      <c r="AY77" s="13">
        <f>'QTR Share Price'!IE21</f>
        <v>240.07794383866701</v>
      </c>
      <c r="AZ77" s="13">
        <f>'QTR Share Price'!IF21</f>
        <v>267.97497862480998</v>
      </c>
      <c r="BA77" s="13">
        <f>'QTR Share Price'!IG21</f>
        <v>267.47969172225999</v>
      </c>
      <c r="BB77" s="13">
        <f>'QTR Share Price'!IH21</f>
        <v>326.69124092214201</v>
      </c>
      <c r="BC77" s="13">
        <f>'QTR Share Price'!II21</f>
        <v>341.809873622488</v>
      </c>
      <c r="BD77" s="13">
        <f>'QTR Share Price'!IJ21</f>
        <v>387.38865082967402</v>
      </c>
      <c r="BE77" s="13">
        <f>'QTR Share Price'!IK21</f>
        <v>456.18400159390302</v>
      </c>
      <c r="BF77" s="13">
        <f>'QTR Share Price'!IL21</f>
        <v>437.23927757135601</v>
      </c>
      <c r="BG77" s="13">
        <f>'QTR Share Price'!IM21</f>
        <v>481.88939183626098</v>
      </c>
      <c r="BH77" s="13">
        <f>'QTR Share Price'!IN21</f>
        <v>623.16998078871802</v>
      </c>
      <c r="BI77" s="13">
        <f>'QTR Share Price'!IO21</f>
        <v>555.24138210395199</v>
      </c>
      <c r="BJ77" s="13">
        <f>'QTR Share Price'!IP21</f>
        <v>675.10081252111104</v>
      </c>
      <c r="BK77" s="13">
        <f>'QTR Share Price'!IQ21</f>
        <v>620.09920199290696</v>
      </c>
      <c r="BL77" s="13">
        <f>'QTR Share Price'!IR21</f>
        <v>660.01932633845604</v>
      </c>
      <c r="BM77" s="13">
        <f>'QTR Share Price'!IS21</f>
        <v>749.91389915132595</v>
      </c>
      <c r="BN77" s="13">
        <f>'QTR Share Price'!IT21</f>
        <v>550.98191474201997</v>
      </c>
      <c r="BO77" s="13">
        <f>'QTR Share Price'!IU21</f>
        <v>851.67499999999995</v>
      </c>
      <c r="BP77" s="13">
        <f>'QTR Share Price'!IV21</f>
        <v>1116.875</v>
      </c>
      <c r="BQ77" s="13">
        <f>'QTR Share Price'!IW21</f>
        <v>992.32500000000005</v>
      </c>
      <c r="BR77" s="13">
        <f>'QTR Share Price'!IX21</f>
        <v>1001.6</v>
      </c>
      <c r="BS77" s="13">
        <f>'QTR Share Price'!IY21</f>
        <v>1055.45</v>
      </c>
      <c r="BT77" s="13">
        <f>'QTR Share Price'!IZ21</f>
        <v>1258.5</v>
      </c>
      <c r="BU77" s="13">
        <f>'QTR Share Price'!JA21</f>
        <v>1184.075</v>
      </c>
      <c r="BV77" s="13">
        <f>'QTR Share Price'!JB21</f>
        <v>1316.9749999999999</v>
      </c>
      <c r="BW77" s="13">
        <f>'QTR Share Price'!JC21</f>
        <v>1297.0250000000001</v>
      </c>
      <c r="BX77" s="13">
        <f>'QTR Share Price'!JD21</f>
        <v>1188.8499999999999</v>
      </c>
      <c r="BY77" s="13">
        <f>'QTR Share Price'!JE21</f>
        <v>1274.0999999999999</v>
      </c>
      <c r="BZ77" s="13">
        <f>'QTR Share Price'!JF21</f>
        <v>1165.5250000000001</v>
      </c>
      <c r="CA77" s="13">
        <f>'QTR Share Price'!JG21</f>
        <v>1275.3499999999999</v>
      </c>
      <c r="CB77" s="13">
        <f>'QTR Share Price'!JH21</f>
        <v>1173.25</v>
      </c>
      <c r="CC77" s="13">
        <f>'QTR Share Price'!JI21</f>
        <v>1292.425</v>
      </c>
      <c r="CD77" s="13">
        <f>'QTR Share Price'!JJ21</f>
        <v>1488.4</v>
      </c>
      <c r="CE77" s="13">
        <f>'QTR Share Price'!JK21</f>
        <v>1565.925</v>
      </c>
      <c r="CF77" s="13">
        <f>'QTR Share Price'!JL21</f>
        <v>1476.9</v>
      </c>
      <c r="CG77" s="13">
        <f>'QTR Share Price'!JM21</f>
        <v>1215.45</v>
      </c>
      <c r="CH77" s="13">
        <f>'QTR Share Price'!JN21</f>
        <v>1275</v>
      </c>
      <c r="CI77" s="13">
        <f>'QTR Share Price'!JO21</f>
        <v>1500.65</v>
      </c>
      <c r="CJ77" s="13">
        <f>'QTR Share Price'!JP21</f>
        <v>1363.8</v>
      </c>
      <c r="CK77" s="13">
        <f>'QTR Share Price'!JQ21</f>
        <v>1569.4</v>
      </c>
      <c r="CL77" s="13">
        <f>'QTR Share Price'!JR21</f>
        <v>1344.25</v>
      </c>
      <c r="CM77" s="37">
        <v>1328</v>
      </c>
      <c r="CN77" s="37">
        <f t="shared" ref="CN77" si="819">+CM77</f>
        <v>1328</v>
      </c>
      <c r="CO77" s="37">
        <f t="shared" ref="CO77" si="820">+CN77</f>
        <v>1328</v>
      </c>
      <c r="CP77" s="37">
        <f t="shared" ref="CP77" si="821">+CO77</f>
        <v>1328</v>
      </c>
      <c r="CQ77" s="37">
        <f t="shared" ref="CQ77" si="822">+CP77</f>
        <v>1328</v>
      </c>
      <c r="CR77" s="37">
        <f t="shared" ref="CR77" si="823">+CQ77</f>
        <v>1328</v>
      </c>
      <c r="CS77" s="37">
        <f t="shared" ref="CS77" si="824">+CR77</f>
        <v>1328</v>
      </c>
      <c r="CT77" s="37">
        <f t="shared" ref="CT77" si="825">+CS77</f>
        <v>1328</v>
      </c>
      <c r="CU77" s="37">
        <f t="shared" ref="CU77" si="826">+CT77</f>
        <v>1328</v>
      </c>
      <c r="CV77" s="37">
        <f t="shared" ref="CV77" si="827">+CU77</f>
        <v>1328</v>
      </c>
      <c r="CW77" s="37">
        <f t="shared" ref="CW77" si="828">+CV77</f>
        <v>1328</v>
      </c>
      <c r="CX77" s="37">
        <f t="shared" ref="CX77" si="829">+CW77</f>
        <v>1328</v>
      </c>
      <c r="CY77" s="37">
        <f t="shared" ref="CY77" si="830">+CX77</f>
        <v>1328</v>
      </c>
      <c r="CZ77" s="37">
        <f t="shared" ref="CZ77" si="831">+CY77</f>
        <v>1328</v>
      </c>
      <c r="DA77" s="37">
        <f t="shared" ref="DA77" si="832">+CZ77</f>
        <v>1328</v>
      </c>
      <c r="DB77" s="37">
        <f t="shared" ref="DB77" si="833">+DA77</f>
        <v>1328</v>
      </c>
      <c r="DE77" s="134"/>
      <c r="DF77" s="13">
        <v>1344.25</v>
      </c>
    </row>
    <row r="78" spans="1:110" s="13" customFormat="1" x14ac:dyDescent="0.2">
      <c r="A78" s="13" t="s">
        <v>458</v>
      </c>
      <c r="B78" s="13">
        <f>'Annual Raw'!C107</f>
        <v>45.481428853165397</v>
      </c>
      <c r="C78" s="13">
        <f>'Annual Raw'!D107</f>
        <v>40.921205907064497</v>
      </c>
      <c r="D78" s="13">
        <f>'Annual Raw'!E107</f>
        <v>31.503791853913501</v>
      </c>
      <c r="E78" s="13">
        <f>'Annual Raw'!F107</f>
        <v>61.452275881839</v>
      </c>
      <c r="F78" s="13">
        <f>'Annual Raw'!G107</f>
        <v>60.490904377749303</v>
      </c>
      <c r="G78" s="13">
        <f>'Annual Raw'!H107</f>
        <v>100.109865177968</v>
      </c>
      <c r="H78" s="13">
        <f>'Annual Raw'!I107</f>
        <v>178.922393546276</v>
      </c>
      <c r="I78" s="13">
        <f>'Annual Raw'!J107</f>
        <v>402.68063394591297</v>
      </c>
      <c r="J78" s="13">
        <f>'Annual Raw'!K107</f>
        <v>335.13588261062301</v>
      </c>
      <c r="K78" s="13">
        <f>'Annual Raw'!L107</f>
        <v>308.31609683752703</v>
      </c>
      <c r="L78" s="13">
        <f>'Annual Raw'!M107</f>
        <v>293.95277666356998</v>
      </c>
      <c r="M78" s="13">
        <f>'Annual Raw'!N107</f>
        <v>263.87647950620698</v>
      </c>
      <c r="N78" s="13">
        <f>'Annual Raw'!O107</f>
        <v>236.44996727748699</v>
      </c>
      <c r="O78" s="13">
        <f>'Annual Raw'!P107</f>
        <v>232.61149378272299</v>
      </c>
      <c r="P78" s="13">
        <f>'Annual Raw'!Q107</f>
        <v>282.932643081827</v>
      </c>
      <c r="Q78" s="13">
        <f>'Annual Raw'!R107</f>
        <v>269.80754016424601</v>
      </c>
      <c r="R78" s="13">
        <f>'Annual Raw'!S107</f>
        <v>330.85165090356401</v>
      </c>
      <c r="S78" s="13">
        <f>'Annual Raw'!T107</f>
        <v>490.33403352474198</v>
      </c>
      <c r="T78" s="13">
        <f>'Annual Raw'!U107</f>
        <v>686.76481907617006</v>
      </c>
      <c r="U78" s="13">
        <f>'Annual Raw'!V107</f>
        <v>801.27515094578598</v>
      </c>
      <c r="V78" s="13">
        <f>'Annual Raw'!W107</f>
        <v>1184.4000000000001</v>
      </c>
      <c r="W78" s="13">
        <f>'Annual Raw'!X107</f>
        <v>1375</v>
      </c>
      <c r="X78" s="13">
        <f>'Annual Raw'!Y107</f>
        <v>1427.5</v>
      </c>
      <c r="Y78" s="13">
        <f>'Annual Raw'!Z107</f>
        <v>1512.4</v>
      </c>
      <c r="Z78" s="13">
        <f>'Annual Raw'!AA107</f>
        <v>1608.95</v>
      </c>
      <c r="AA78" s="37">
        <f>MAX(CI78:CL78)</f>
        <v>1611.2</v>
      </c>
      <c r="AB78" s="37">
        <f>+MAX(CM78:CP78)</f>
        <v>1811.9117684988385</v>
      </c>
      <c r="AC78" s="37">
        <f>+MAX(CQ78:CT78)</f>
        <v>2016.0288918174226</v>
      </c>
      <c r="AD78" s="37">
        <f>+MAX(CU78:CX78)</f>
        <v>2303.5504627314026</v>
      </c>
      <c r="AE78" s="37">
        <f>+MAX(CY78:DB78)</f>
        <v>2632.1747817511041</v>
      </c>
      <c r="AJ78" s="13">
        <f>'QTR Share Price'!HP19</f>
        <v>218.173880573383</v>
      </c>
      <c r="AK78" s="13">
        <f>'QTR Share Price'!HQ19</f>
        <v>213.07242547711499</v>
      </c>
      <c r="AL78" s="13">
        <f>'QTR Share Price'!HR19</f>
        <v>236.44996727748699</v>
      </c>
      <c r="AM78" s="13">
        <f>'QTR Share Price'!HS19</f>
        <v>216.19273296318201</v>
      </c>
      <c r="AN78" s="13">
        <f>'QTR Share Price'!HT19</f>
        <v>229.78835843818601</v>
      </c>
      <c r="AO78" s="13">
        <f>'QTR Share Price'!HU19</f>
        <v>229.070192429488</v>
      </c>
      <c r="AP78" s="13">
        <f>'QTR Share Price'!HV19</f>
        <v>232.61149378272299</v>
      </c>
      <c r="AQ78" s="13">
        <f>'QTR Share Price'!HW19</f>
        <v>282.932643081827</v>
      </c>
      <c r="AR78" s="13">
        <f>'QTR Share Price'!HX19</f>
        <v>260.00085949375102</v>
      </c>
      <c r="AS78" s="13">
        <f>'QTR Share Price'!HY19</f>
        <v>251.655275185779</v>
      </c>
      <c r="AT78" s="13">
        <f>'QTR Share Price'!HZ19</f>
        <v>233.55253889756801</v>
      </c>
      <c r="AU78" s="13">
        <f>'QTR Share Price'!IA19</f>
        <v>251.06093090271901</v>
      </c>
      <c r="AV78" s="13">
        <f>'QTR Share Price'!IB19</f>
        <v>264.23556251055601</v>
      </c>
      <c r="AW78" s="13">
        <f>'QTR Share Price'!IC19</f>
        <v>252.22485512371199</v>
      </c>
      <c r="AX78" s="13">
        <f>'QTR Share Price'!ID19</f>
        <v>269.80754016424601</v>
      </c>
      <c r="AY78" s="13">
        <f>'QTR Share Price'!IE19</f>
        <v>264.978492864381</v>
      </c>
      <c r="AZ78" s="13">
        <f>'QTR Share Price'!IF19</f>
        <v>279.564692144486</v>
      </c>
      <c r="BA78" s="13">
        <f>'QTR Share Price'!IG19</f>
        <v>278.54935399425801</v>
      </c>
      <c r="BB78" s="13">
        <f>'QTR Share Price'!IH19</f>
        <v>330.85165090356401</v>
      </c>
      <c r="BC78" s="13">
        <f>'QTR Share Price'!II19</f>
        <v>362.79765611805402</v>
      </c>
      <c r="BD78" s="13">
        <f>'QTR Share Price'!IJ19</f>
        <v>431.93970771406902</v>
      </c>
      <c r="BE78" s="13">
        <f>'QTR Share Price'!IK19</f>
        <v>474.98013954568501</v>
      </c>
      <c r="BF78" s="13">
        <f>'QTR Share Price'!IL19</f>
        <v>490.33403352474198</v>
      </c>
      <c r="BG78" s="13">
        <f>'QTR Share Price'!IM19</f>
        <v>513.01817366154398</v>
      </c>
      <c r="BH78" s="13">
        <f>'QTR Share Price'!IN19</f>
        <v>658.11247176363804</v>
      </c>
      <c r="BI78" s="13">
        <f>'QTR Share Price'!IO19</f>
        <v>624.06149721330905</v>
      </c>
      <c r="BJ78" s="13">
        <f>'QTR Share Price'!IP19</f>
        <v>686.76481907617006</v>
      </c>
      <c r="BK78" s="13">
        <f>'QTR Share Price'!IQ19</f>
        <v>701.82154091369705</v>
      </c>
      <c r="BL78" s="13">
        <f>'QTR Share Price'!IR19</f>
        <v>661.70330180712699</v>
      </c>
      <c r="BM78" s="13">
        <f>'QTR Share Price'!IS19</f>
        <v>801.27515094578598</v>
      </c>
      <c r="BN78" s="13">
        <f>'QTR Share Price'!IT19</f>
        <v>797.16426965461903</v>
      </c>
      <c r="BO78" s="13">
        <f>'QTR Share Price'!IU19</f>
        <v>902.05</v>
      </c>
      <c r="BP78" s="13">
        <f>'QTR Share Price'!IV19</f>
        <v>1184.4000000000001</v>
      </c>
      <c r="BQ78" s="13">
        <f>'QTR Share Price'!IW19</f>
        <v>1154.7</v>
      </c>
      <c r="BR78" s="13">
        <f>'QTR Share Price'!IX19</f>
        <v>1115.5</v>
      </c>
      <c r="BS78" s="13">
        <f>'QTR Share Price'!IY19</f>
        <v>1137.25</v>
      </c>
      <c r="BT78" s="13">
        <f>'QTR Share Price'!IZ19</f>
        <v>1282.5</v>
      </c>
      <c r="BU78" s="13">
        <f>'QTR Share Price'!JA19</f>
        <v>1375</v>
      </c>
      <c r="BV78" s="13">
        <f>'QTR Share Price'!JB19</f>
        <v>1344</v>
      </c>
      <c r="BW78" s="13">
        <f>'QTR Share Price'!JC19</f>
        <v>1427.5</v>
      </c>
      <c r="BX78" s="13">
        <f>'QTR Share Price'!JD19</f>
        <v>1338.8</v>
      </c>
      <c r="BY78" s="13">
        <f>'QTR Share Price'!JE19</f>
        <v>1377.35</v>
      </c>
      <c r="BZ78" s="13">
        <f>'QTR Share Price'!JF19</f>
        <v>1302.5</v>
      </c>
      <c r="CA78" s="13">
        <f>'QTR Share Price'!JG19</f>
        <v>1292</v>
      </c>
      <c r="CB78" s="13">
        <f>'QTR Share Price'!JH19</f>
        <v>1427.5</v>
      </c>
      <c r="CC78" s="13">
        <f>'QTR Share Price'!JI19</f>
        <v>1307.4000000000001</v>
      </c>
      <c r="CD78" s="13">
        <f>'QTR Share Price'!JJ19</f>
        <v>1512.4</v>
      </c>
      <c r="CE78" s="13">
        <f>'QTR Share Price'!JK19</f>
        <v>1580.7249999999999</v>
      </c>
      <c r="CF78" s="13">
        <f>'QTR Share Price'!JL19</f>
        <v>1608.95</v>
      </c>
      <c r="CG78" s="13">
        <f>'QTR Share Price'!JM19</f>
        <v>1489</v>
      </c>
      <c r="CH78" s="13">
        <f>'QTR Share Price'!JN19</f>
        <v>1325.1</v>
      </c>
      <c r="CI78" s="13">
        <f>'QTR Share Price'!JO19</f>
        <v>1524.95</v>
      </c>
      <c r="CJ78" s="13">
        <f>'QTR Share Price'!JP19</f>
        <v>1551</v>
      </c>
      <c r="CK78" s="13">
        <f>'QTR Share Price'!JQ19</f>
        <v>1580.9</v>
      </c>
      <c r="CL78" s="13">
        <f>'QTR Share Price'!JR19</f>
        <v>1611.2</v>
      </c>
      <c r="CM78" s="37">
        <f t="shared" ref="CM78:DB78" si="834">+CM107/CM65</f>
        <v>1644.931583490129</v>
      </c>
      <c r="CN78" s="37">
        <f t="shared" si="834"/>
        <v>1671.673157001004</v>
      </c>
      <c r="CO78" s="37">
        <f t="shared" si="834"/>
        <v>1708.7063024607385</v>
      </c>
      <c r="CP78" s="37">
        <f t="shared" si="834"/>
        <v>1811.9117684988385</v>
      </c>
      <c r="CQ78" s="37">
        <f t="shared" si="834"/>
        <v>1861.2446539753512</v>
      </c>
      <c r="CR78" s="37">
        <f t="shared" si="834"/>
        <v>1917.2397993989059</v>
      </c>
      <c r="CS78" s="37">
        <f t="shared" si="834"/>
        <v>1982.6427076217128</v>
      </c>
      <c r="CT78" s="37">
        <f t="shared" si="834"/>
        <v>2016.0288918174226</v>
      </c>
      <c r="CU78" s="37">
        <f t="shared" si="834"/>
        <v>2083.5172101056805</v>
      </c>
      <c r="CV78" s="37">
        <f t="shared" si="834"/>
        <v>2150.6738526742142</v>
      </c>
      <c r="CW78" s="37">
        <f t="shared" si="834"/>
        <v>2223.5928390338072</v>
      </c>
      <c r="CX78" s="37">
        <f t="shared" si="834"/>
        <v>2303.5504627314026</v>
      </c>
      <c r="CY78" s="37">
        <f t="shared" si="834"/>
        <v>2382.5394874759781</v>
      </c>
      <c r="CZ78" s="37">
        <f t="shared" si="834"/>
        <v>2459.9555139919398</v>
      </c>
      <c r="DA78" s="37">
        <f t="shared" si="834"/>
        <v>2542.3548166523665</v>
      </c>
      <c r="DB78" s="37">
        <f t="shared" si="834"/>
        <v>2632.1747817511041</v>
      </c>
      <c r="DE78" s="134"/>
      <c r="DF78" s="13">
        <v>1611.2</v>
      </c>
    </row>
    <row r="79" spans="1:110" s="13" customFormat="1" x14ac:dyDescent="0.2">
      <c r="A79" s="13" t="s">
        <v>459</v>
      </c>
      <c r="B79" s="13">
        <f>'Annual Raw'!C108</f>
        <v>28.096208040988198</v>
      </c>
      <c r="C79" s="13">
        <f>'Annual Raw'!D108</f>
        <v>20.546170050754899</v>
      </c>
      <c r="D79" s="13">
        <f>'Annual Raw'!E108</f>
        <v>21.950477116938298</v>
      </c>
      <c r="E79" s="13">
        <f>'Annual Raw'!F108</f>
        <v>25.9721306864026</v>
      </c>
      <c r="F79" s="13">
        <f>'Annual Raw'!G108</f>
        <v>40.629271104775498</v>
      </c>
      <c r="G79" s="13">
        <f>'Annual Raw'!H108</f>
        <v>51.551659397313003</v>
      </c>
      <c r="H79" s="13">
        <f>'Annual Raw'!I108</f>
        <v>98.562093607498696</v>
      </c>
      <c r="I79" s="13">
        <f>'Annual Raw'!J108</f>
        <v>161.58735195701701</v>
      </c>
      <c r="J79" s="13">
        <f>'Annual Raw'!K108</f>
        <v>115.154204842932</v>
      </c>
      <c r="K79" s="13">
        <f>'Annual Raw'!L108</f>
        <v>185.42922522852999</v>
      </c>
      <c r="L79" s="13">
        <f>'Annual Raw'!M108</f>
        <v>208.15670296930401</v>
      </c>
      <c r="M79" s="13">
        <f>'Annual Raw'!N108</f>
        <v>170.26725492420999</v>
      </c>
      <c r="N79" s="13">
        <f>'Annual Raw'!O108</f>
        <v>166.16875580560699</v>
      </c>
      <c r="O79" s="13">
        <f>'Annual Raw'!P108</f>
        <v>189.44724022546899</v>
      </c>
      <c r="P79" s="13">
        <f>'Annual Raw'!Q108</f>
        <v>197.30991980345399</v>
      </c>
      <c r="Q79" s="13">
        <f>'Annual Raw'!R108</f>
        <v>201.58176933794999</v>
      </c>
      <c r="R79" s="13">
        <f>'Annual Raw'!S108</f>
        <v>229.243542845381</v>
      </c>
      <c r="S79" s="13">
        <f>'Annual Raw'!T108</f>
        <v>320.69826940128399</v>
      </c>
      <c r="T79" s="13">
        <f>'Annual Raw'!U108</f>
        <v>438.87372434977198</v>
      </c>
      <c r="U79" s="13">
        <f>'Annual Raw'!V108</f>
        <v>433.72274056325</v>
      </c>
      <c r="V79" s="13">
        <f>'Annual Raw'!W108</f>
        <v>517.45099143936795</v>
      </c>
      <c r="W79" s="13">
        <f>'Annual Raw'!X108</f>
        <v>938.8</v>
      </c>
      <c r="X79" s="13">
        <f>'Annual Raw'!Y108</f>
        <v>1090</v>
      </c>
      <c r="Y79" s="13">
        <f>'Annual Raw'!Z108</f>
        <v>1110.5250000000001</v>
      </c>
      <c r="Z79" s="13">
        <f>'Annual Raw'!AA108</f>
        <v>1156</v>
      </c>
      <c r="AA79" s="37">
        <f>MIN(CI79:CL79)</f>
        <v>1115.55</v>
      </c>
      <c r="AB79" s="37">
        <f>+MIN(CM79:CP79)</f>
        <v>1254.0426824887743</v>
      </c>
      <c r="AC79" s="37">
        <f>+MIN(CQ79:CT79)</f>
        <v>1433.5126962979359</v>
      </c>
      <c r="AD79" s="37">
        <f>+MIN(CU79:CX79)</f>
        <v>1611.0072369195891</v>
      </c>
      <c r="AE79" s="37">
        <f>+MIN(CY79:DB79)</f>
        <v>1859.8756651558247</v>
      </c>
      <c r="AJ79" s="13">
        <f>+'QTR Share Price'!HP20</f>
        <v>175.15821308689399</v>
      </c>
      <c r="AK79" s="13">
        <f>+'QTR Share Price'!HQ20</f>
        <v>188.45666642036801</v>
      </c>
      <c r="AL79" s="13">
        <f>+'QTR Share Price'!HR20</f>
        <v>189.44724022546899</v>
      </c>
      <c r="AM79" s="13">
        <f>+'QTR Share Price'!HS20</f>
        <v>189.44724022546899</v>
      </c>
      <c r="AN79" s="13">
        <f>+'QTR Share Price'!HT20</f>
        <v>189.44724022546899</v>
      </c>
      <c r="AO79" s="13">
        <f>+'QTR Share Price'!HU20</f>
        <v>202.69616486868799</v>
      </c>
      <c r="AP79" s="13">
        <f>+'QTR Share Price'!HV20</f>
        <v>196.628900312447</v>
      </c>
      <c r="AQ79" s="13">
        <f>+'QTR Share Price'!HW20</f>
        <v>229.070192429488</v>
      </c>
      <c r="AR79" s="13">
        <f>+'QTR Share Price'!HX20</f>
        <v>227.36145261569001</v>
      </c>
      <c r="AS79" s="13">
        <f>+'QTR Share Price'!HY20</f>
        <v>212.96098592404201</v>
      </c>
      <c r="AT79" s="13">
        <f>+'QTR Share Price'!HZ20</f>
        <v>197.30991980345399</v>
      </c>
      <c r="AU79" s="13">
        <f>+'QTR Share Price'!IA20</f>
        <v>201.58176933794999</v>
      </c>
      <c r="AV79" s="13">
        <f>+'QTR Share Price'!IB20</f>
        <v>202.819986594325</v>
      </c>
      <c r="AW79" s="13">
        <f>+'QTR Share Price'!IC20</f>
        <v>212.676195955075</v>
      </c>
      <c r="AX79" s="13">
        <f>+'QTR Share Price'!ID20</f>
        <v>220.03120645794601</v>
      </c>
      <c r="AY79" s="13">
        <f>+'QTR Share Price'!IE20</f>
        <v>229.243542845381</v>
      </c>
      <c r="AZ79" s="13">
        <f>+'QTR Share Price'!IF20</f>
        <v>240.26367642712401</v>
      </c>
      <c r="BA79" s="13">
        <f>+'QTR Share Price'!IG20</f>
        <v>230.803696588414</v>
      </c>
      <c r="BB79" s="13">
        <f>+'QTR Share Price'!IH20</f>
        <v>251.122841765538</v>
      </c>
      <c r="BC79" s="13">
        <f>+'QTR Share Price'!II20</f>
        <v>320.69826940128399</v>
      </c>
      <c r="BD79" s="13">
        <f>+'QTR Share Price'!IJ20</f>
        <v>339.79157949459602</v>
      </c>
      <c r="BE79" s="13">
        <f>+'QTR Share Price'!IK20</f>
        <v>389.41932713013</v>
      </c>
      <c r="BF79" s="13">
        <f>+'QTR Share Price'!IL20</f>
        <v>431.93970771406902</v>
      </c>
      <c r="BG79" s="13">
        <f>+'QTR Share Price'!IM20</f>
        <v>438.87372434977198</v>
      </c>
      <c r="BH79" s="13">
        <f>+'QTR Share Price'!IN20</f>
        <v>474.261973536987</v>
      </c>
      <c r="BI79" s="13">
        <f>+'QTR Share Price'!IO20</f>
        <v>503.70677989359899</v>
      </c>
      <c r="BJ79" s="13">
        <f>+'QTR Share Price'!IP20</f>
        <v>535.52896338245205</v>
      </c>
      <c r="BK79" s="13">
        <f>+'QTR Share Price'!IQ20</f>
        <v>607.71702942915101</v>
      </c>
      <c r="BL79" s="13">
        <f>+'QTR Share Price'!IR20</f>
        <v>542.66109477917598</v>
      </c>
      <c r="BM79" s="13">
        <f>+'QTR Share Price'!IS20</f>
        <v>634.56157954737398</v>
      </c>
      <c r="BN79" s="13">
        <f>+'QTR Share Price'!IT20</f>
        <v>433.72274056325</v>
      </c>
      <c r="BO79" s="13">
        <f>+'QTR Share Price'!IU20</f>
        <v>517.45099143936795</v>
      </c>
      <c r="BP79" s="13">
        <f>+'QTR Share Price'!IV20</f>
        <v>854.375</v>
      </c>
      <c r="BQ79" s="13">
        <f>+'QTR Share Price'!IW20</f>
        <v>917.5</v>
      </c>
      <c r="BR79" s="13">
        <f>+'QTR Share Price'!IX20</f>
        <v>915</v>
      </c>
      <c r="BS79" s="13">
        <f>+'QTR Share Price'!IY20</f>
        <v>938.8</v>
      </c>
      <c r="BT79" s="13">
        <f>+'QTR Share Price'!IZ20</f>
        <v>1008.3</v>
      </c>
      <c r="BU79" s="13">
        <f>+'QTR Share Price'!JA20</f>
        <v>1124</v>
      </c>
      <c r="BV79" s="13">
        <f>+'QTR Share Price'!JB20</f>
        <v>1090.5</v>
      </c>
      <c r="BW79" s="13">
        <f>+'QTR Share Price'!JC20</f>
        <v>1185</v>
      </c>
      <c r="BX79" s="13">
        <f>+'QTR Share Price'!JD20</f>
        <v>1156.7750000000001</v>
      </c>
      <c r="BY79" s="13">
        <f>+'QTR Share Price'!JE20</f>
        <v>1171.8</v>
      </c>
      <c r="BZ79" s="13">
        <f>+'QTR Share Price'!JF20</f>
        <v>1090</v>
      </c>
      <c r="CA79" s="13">
        <f>+'QTR Share Price'!JG20</f>
        <v>1154.25</v>
      </c>
      <c r="CB79" s="13">
        <f>+'QTR Share Price'!JH20</f>
        <v>1162.825</v>
      </c>
      <c r="CC79" s="13">
        <f>+'QTR Share Price'!JI20</f>
        <v>1110.5250000000001</v>
      </c>
      <c r="CD79" s="13">
        <f>+'QTR Share Price'!JJ20</f>
        <v>1284.1500000000001</v>
      </c>
      <c r="CE79" s="13">
        <f>+'QTR Share Price'!JK20</f>
        <v>1359.575</v>
      </c>
      <c r="CF79" s="13">
        <f>+'QTR Share Price'!JL20</f>
        <v>1432.9</v>
      </c>
      <c r="CG79" s="13">
        <f>+'QTR Share Price'!JM20</f>
        <v>1202.0999999999999</v>
      </c>
      <c r="CH79" s="13">
        <f>+'QTR Share Price'!JN20</f>
        <v>1156</v>
      </c>
      <c r="CI79" s="13">
        <f>+'QTR Share Price'!JO20</f>
        <v>1115.55</v>
      </c>
      <c r="CJ79" s="13">
        <f>+'QTR Share Price'!JP20</f>
        <v>1341.7</v>
      </c>
      <c r="CK79" s="13">
        <f>+'QTR Share Price'!JQ20</f>
        <v>1357.2</v>
      </c>
      <c r="CL79" s="13">
        <f>+'QTR Share Price'!JR20</f>
        <v>1307</v>
      </c>
      <c r="CM79" s="37">
        <f t="shared" ref="CM79:DB79" si="835">+CM108/CM65</f>
        <v>1254.0426824887743</v>
      </c>
      <c r="CN79" s="37">
        <f t="shared" si="835"/>
        <v>1277.4105348799712</v>
      </c>
      <c r="CO79" s="37">
        <f t="shared" si="835"/>
        <v>1308.9273787187653</v>
      </c>
      <c r="CP79" s="37">
        <f t="shared" si="835"/>
        <v>1392.3840276946435</v>
      </c>
      <c r="CQ79" s="37">
        <f t="shared" si="835"/>
        <v>1433.5126962979359</v>
      </c>
      <c r="CR79" s="37">
        <f t="shared" si="835"/>
        <v>1480.2152783239155</v>
      </c>
      <c r="CS79" s="37">
        <f t="shared" si="835"/>
        <v>1534.4886229671215</v>
      </c>
      <c r="CT79" s="37">
        <f t="shared" si="835"/>
        <v>1554.1159688255434</v>
      </c>
      <c r="CU79" s="37">
        <f t="shared" si="835"/>
        <v>1611.0072369195891</v>
      </c>
      <c r="CV79" s="37">
        <f t="shared" si="835"/>
        <v>1666.5481441006643</v>
      </c>
      <c r="CW79" s="37">
        <f t="shared" si="835"/>
        <v>1727.0164550337463</v>
      </c>
      <c r="CX79" s="37">
        <f t="shared" si="835"/>
        <v>1793.1071378721222</v>
      </c>
      <c r="CY79" s="37">
        <f t="shared" si="835"/>
        <v>1859.8756651558247</v>
      </c>
      <c r="CZ79" s="37">
        <f t="shared" si="835"/>
        <v>1924.2275012643008</v>
      </c>
      <c r="DA79" s="37">
        <f t="shared" si="835"/>
        <v>1992.9591710548234</v>
      </c>
      <c r="DB79" s="37">
        <f t="shared" si="835"/>
        <v>2067.6284670058199</v>
      </c>
      <c r="DE79" s="134"/>
      <c r="DF79" s="13">
        <v>1307</v>
      </c>
    </row>
    <row r="80" spans="1:110" s="14" customFormat="1" x14ac:dyDescent="0.2">
      <c r="AA80" s="16"/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A81" s="48">
        <f t="shared" ref="AA81" si="836">+AA78/AA77-1</f>
        <v>0.19858657243816258</v>
      </c>
      <c r="AB81" s="48">
        <f t="shared" ref="AB81:AD81" si="837">+AB78/AB77-1</f>
        <v>0.3643913919418964</v>
      </c>
      <c r="AC81" s="48">
        <f t="shared" si="837"/>
        <v>0.51809404504323986</v>
      </c>
      <c r="AD81" s="48">
        <f t="shared" si="837"/>
        <v>0.73460125205677906</v>
      </c>
      <c r="AE81" s="48">
        <f t="shared" ref="AE81" si="838">+AE78/AE77-1</f>
        <v>0.98205932360775905</v>
      </c>
      <c r="CM81" s="48">
        <f t="shared" ref="CM81:DB81" si="839">+CM78/CM77-1</f>
        <v>0.23865330082088021</v>
      </c>
      <c r="CN81" s="48">
        <f t="shared" si="839"/>
        <v>0.25879002786220173</v>
      </c>
      <c r="CO81" s="48">
        <f t="shared" si="839"/>
        <v>0.28667643257585729</v>
      </c>
      <c r="CP81" s="48">
        <f t="shared" si="839"/>
        <v>0.3643913919418964</v>
      </c>
      <c r="CQ81" s="48">
        <f t="shared" si="839"/>
        <v>0.40153964907782469</v>
      </c>
      <c r="CR81" s="48">
        <f t="shared" si="839"/>
        <v>0.44370466822206778</v>
      </c>
      <c r="CS81" s="48">
        <f t="shared" si="839"/>
        <v>0.49295384610068727</v>
      </c>
      <c r="CT81" s="48">
        <f t="shared" si="839"/>
        <v>0.51809404504323986</v>
      </c>
      <c r="CU81" s="48">
        <f t="shared" si="839"/>
        <v>0.56891356182656661</v>
      </c>
      <c r="CV81" s="48">
        <f t="shared" si="839"/>
        <v>0.61948332279684815</v>
      </c>
      <c r="CW81" s="48">
        <f t="shared" si="839"/>
        <v>0.67439219806762596</v>
      </c>
      <c r="CX81" s="48">
        <f t="shared" si="839"/>
        <v>0.73460125205677906</v>
      </c>
      <c r="CY81" s="48">
        <f t="shared" si="839"/>
        <v>0.79408093936444146</v>
      </c>
      <c r="CZ81" s="48">
        <f t="shared" si="839"/>
        <v>0.85237614005417162</v>
      </c>
      <c r="DA81" s="48">
        <f t="shared" si="839"/>
        <v>0.91442380772015541</v>
      </c>
      <c r="DB81" s="48">
        <f t="shared" si="839"/>
        <v>0.98205932360775905</v>
      </c>
      <c r="DE81" s="129"/>
    </row>
    <row r="82" spans="1:110" s="51" customFormat="1" x14ac:dyDescent="0.2">
      <c r="A82" s="51" t="s">
        <v>347</v>
      </c>
      <c r="AA82" s="48">
        <f t="shared" ref="AA82" si="840">+AA79/AA77-1</f>
        <v>-0.1701320438906454</v>
      </c>
      <c r="AB82" s="48">
        <f t="shared" ref="AB82:AD82" si="841">+AB79/AB77-1</f>
        <v>-5.5690751137971173E-2</v>
      </c>
      <c r="AC82" s="48">
        <f t="shared" si="841"/>
        <v>7.9452331549650479E-2</v>
      </c>
      <c r="AD82" s="48">
        <f t="shared" si="841"/>
        <v>0.21310785912619656</v>
      </c>
      <c r="AE82" s="48">
        <f t="shared" ref="AE82" si="842">+AE79/AE77-1</f>
        <v>0.40050878400288004</v>
      </c>
      <c r="CM82" s="48">
        <f t="shared" ref="CM82:DB82" si="843">+CM79/CM77-1</f>
        <v>-5.5690751137971173E-2</v>
      </c>
      <c r="CN82" s="48">
        <f t="shared" si="843"/>
        <v>-3.8094476747009609E-2</v>
      </c>
      <c r="CO82" s="48">
        <f t="shared" si="843"/>
        <v>-1.4361913615387523E-2</v>
      </c>
      <c r="CP82" s="48">
        <f t="shared" si="843"/>
        <v>4.8481948565243682E-2</v>
      </c>
      <c r="CQ82" s="48">
        <f t="shared" si="843"/>
        <v>7.9452331549650479E-2</v>
      </c>
      <c r="CR82" s="48">
        <f t="shared" si="843"/>
        <v>0.11461993849692442</v>
      </c>
      <c r="CS82" s="48">
        <f t="shared" si="843"/>
        <v>0.15548842090897708</v>
      </c>
      <c r="CT82" s="48">
        <f t="shared" si="843"/>
        <v>0.17026804881441526</v>
      </c>
      <c r="CU82" s="48">
        <f t="shared" si="843"/>
        <v>0.21310785912619656</v>
      </c>
      <c r="CV82" s="48">
        <f t="shared" si="843"/>
        <v>0.25493083140110273</v>
      </c>
      <c r="CW82" s="48">
        <f t="shared" si="843"/>
        <v>0.30046419806757996</v>
      </c>
      <c r="CX82" s="48">
        <f t="shared" si="843"/>
        <v>0.35023127851816427</v>
      </c>
      <c r="CY82" s="48">
        <f t="shared" si="843"/>
        <v>0.40050878400288004</v>
      </c>
      <c r="CZ82" s="48">
        <f t="shared" si="843"/>
        <v>0.44896649191588911</v>
      </c>
      <c r="DA82" s="48">
        <f t="shared" si="843"/>
        <v>0.5007222673605598</v>
      </c>
      <c r="DB82" s="48">
        <f t="shared" si="843"/>
        <v>0.5569491468417318</v>
      </c>
      <c r="DE82" s="129"/>
    </row>
    <row r="83" spans="1:110" s="14" customFormat="1" x14ac:dyDescent="0.2">
      <c r="AA83" s="16"/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A84" s="37"/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44">+B77/B69</f>
        <v>1.566954898677384</v>
      </c>
      <c r="C85" s="13">
        <f t="shared" si="844"/>
        <v>1.1119138600816076</v>
      </c>
      <c r="D85" s="13">
        <f t="shared" si="844"/>
        <v>0.94957937173602447</v>
      </c>
      <c r="E85" s="13">
        <f t="shared" ref="E85:AE85" si="845">+E77/E69</f>
        <v>14.179692288772946</v>
      </c>
      <c r="F85" s="13">
        <f t="shared" si="845"/>
        <v>9.7887290607684694</v>
      </c>
      <c r="G85" s="13">
        <f t="shared" si="845"/>
        <v>14.047098841038538</v>
      </c>
      <c r="H85" s="13">
        <f t="shared" si="845"/>
        <v>18.98781592281594</v>
      </c>
      <c r="I85" s="13">
        <f t="shared" si="845"/>
        <v>19.436615836385911</v>
      </c>
      <c r="J85" s="13">
        <f t="shared" si="845"/>
        <v>17.050263995251491</v>
      </c>
      <c r="K85" s="13">
        <f t="shared" si="845"/>
        <v>14.697184248386716</v>
      </c>
      <c r="L85" s="13">
        <f t="shared" si="845"/>
        <v>18.198892387197368</v>
      </c>
      <c r="M85" s="13">
        <f t="shared" si="845"/>
        <v>12.712781091165924</v>
      </c>
      <c r="N85" s="13">
        <f t="shared" si="845"/>
        <v>12.418002404426156</v>
      </c>
      <c r="O85" s="13">
        <f t="shared" si="845"/>
        <v>13.848120945528734</v>
      </c>
      <c r="P85" s="13">
        <f t="shared" si="845"/>
        <v>11.727324927164348</v>
      </c>
      <c r="Q85" s="13">
        <f t="shared" si="845"/>
        <v>11.775925243469818</v>
      </c>
      <c r="R85" s="13">
        <f t="shared" si="845"/>
        <v>14.784742557634948</v>
      </c>
      <c r="S85" s="13">
        <f t="shared" si="845"/>
        <v>16.401169519322494</v>
      </c>
      <c r="T85" s="13">
        <f t="shared" si="845"/>
        <v>23.07634686024976</v>
      </c>
      <c r="U85" s="13">
        <f t="shared" si="845"/>
        <v>17.023350998422334</v>
      </c>
      <c r="V85" s="13">
        <f t="shared" si="845"/>
        <v>31.167849882720876</v>
      </c>
      <c r="W85" s="13">
        <f t="shared" si="845"/>
        <v>31.705995054084827</v>
      </c>
      <c r="X85" s="13">
        <f t="shared" si="845"/>
        <v>23.794406342405409</v>
      </c>
      <c r="Y85" s="13">
        <f t="shared" si="845"/>
        <v>28.929531032303473</v>
      </c>
      <c r="Z85" s="13">
        <f t="shared" ref="Z85" si="846">+Z77/Z69</f>
        <v>24.77213990351482</v>
      </c>
      <c r="AA85" s="37">
        <f t="shared" si="845"/>
        <v>22.519827917053544</v>
      </c>
      <c r="AB85" s="37">
        <f t="shared" si="845"/>
        <v>21.366026375885305</v>
      </c>
      <c r="AC85" s="37">
        <f t="shared" si="845"/>
        <v>17.826707169811971</v>
      </c>
      <c r="AD85" s="37">
        <f t="shared" si="845"/>
        <v>15.159640981707375</v>
      </c>
      <c r="AE85" s="37">
        <f t="shared" si="845"/>
        <v>12.786438817798571</v>
      </c>
      <c r="AL85" s="13">
        <f t="shared" ref="AL85:BQ85" si="847">+AL77/AL69</f>
        <v>12.344687530448684</v>
      </c>
      <c r="AM85" s="13">
        <f t="shared" si="847"/>
        <v>13.28681590270585</v>
      </c>
      <c r="AN85" s="13">
        <f t="shared" si="847"/>
        <v>12.412892577164563</v>
      </c>
      <c r="AO85" s="13">
        <f t="shared" si="847"/>
        <v>13.506482979323732</v>
      </c>
      <c r="AP85" s="13">
        <f t="shared" si="847"/>
        <v>13.848120945528734</v>
      </c>
      <c r="AQ85" s="13">
        <f t="shared" si="847"/>
        <v>14.64856984034803</v>
      </c>
      <c r="AR85" s="13">
        <f t="shared" si="847"/>
        <v>13.589451597987576</v>
      </c>
      <c r="AS85" s="13">
        <f t="shared" si="847"/>
        <v>12.946946719946936</v>
      </c>
      <c r="AT85" s="13">
        <f t="shared" si="847"/>
        <v>11.727324927164346</v>
      </c>
      <c r="AU85" s="13">
        <f t="shared" si="847"/>
        <v>14.186176882694319</v>
      </c>
      <c r="AV85" s="13">
        <f t="shared" si="847"/>
        <v>12.705459872552838</v>
      </c>
      <c r="AW85" s="13">
        <f t="shared" si="847"/>
        <v>13.746547229315006</v>
      </c>
      <c r="AX85" s="13">
        <f t="shared" ref="AX85" si="848">+AX77/AX69</f>
        <v>13.895937492244606</v>
      </c>
      <c r="AY85" s="13">
        <f t="shared" si="847"/>
        <v>12.354482567785375</v>
      </c>
      <c r="AZ85" s="13">
        <f t="shared" si="847"/>
        <v>12.737047456097397</v>
      </c>
      <c r="BA85" s="13">
        <f t="shared" si="847"/>
        <v>12.586185368890822</v>
      </c>
      <c r="BB85" s="13">
        <f t="shared" si="847"/>
        <v>14.784742557634948</v>
      </c>
      <c r="BC85" s="13">
        <f t="shared" si="847"/>
        <v>15.013052062252937</v>
      </c>
      <c r="BD85" s="13">
        <f t="shared" si="847"/>
        <v>16.532035772263864</v>
      </c>
      <c r="BE85" s="13">
        <f t="shared" si="847"/>
        <v>18.374455023123868</v>
      </c>
      <c r="BF85" s="13">
        <f t="shared" si="847"/>
        <v>16.910717686337001</v>
      </c>
      <c r="BG85" s="13">
        <f t="shared" si="847"/>
        <v>17.901848268622093</v>
      </c>
      <c r="BH85" s="13">
        <f t="shared" si="847"/>
        <v>22.289366901998079</v>
      </c>
      <c r="BI85" s="13">
        <f t="shared" si="847"/>
        <v>19.432873946385989</v>
      </c>
      <c r="BJ85" s="13">
        <f t="shared" si="847"/>
        <v>23.07634686024976</v>
      </c>
      <c r="BK85" s="13">
        <f t="shared" si="847"/>
        <v>20.856467082663528</v>
      </c>
      <c r="BL85" s="13">
        <f t="shared" si="847"/>
        <v>21.275832020800845</v>
      </c>
      <c r="BM85" s="13">
        <f t="shared" si="847"/>
        <v>23.304248210622902</v>
      </c>
      <c r="BN85" s="13">
        <f t="shared" si="847"/>
        <v>17.023350998422334</v>
      </c>
      <c r="BO85" s="13">
        <f t="shared" si="847"/>
        <v>27.465661209218084</v>
      </c>
      <c r="BP85" s="13">
        <f t="shared" si="847"/>
        <v>37.534278299309598</v>
      </c>
      <c r="BQ85" s="13">
        <f t="shared" si="847"/>
        <v>32.224189244318595</v>
      </c>
      <c r="BR85" s="13">
        <f t="shared" ref="BR85:DB85" si="849">+BR77/BR69</f>
        <v>31.167849882720876</v>
      </c>
      <c r="BS85" s="13">
        <f t="shared" si="849"/>
        <v>30.073168954771333</v>
      </c>
      <c r="BT85" s="13">
        <f t="shared" si="849"/>
        <v>33.000720860381747</v>
      </c>
      <c r="BU85" s="13">
        <f t="shared" si="849"/>
        <v>29.619385721679979</v>
      </c>
      <c r="BV85" s="13">
        <f t="shared" si="849"/>
        <v>30.795945497589383</v>
      </c>
      <c r="BW85" s="13">
        <f t="shared" si="849"/>
        <v>27.634251727992698</v>
      </c>
      <c r="BX85" s="13">
        <f t="shared" si="849"/>
        <v>25.41110774139538</v>
      </c>
      <c r="BY85" s="13">
        <f t="shared" si="849"/>
        <v>27.242322715206676</v>
      </c>
      <c r="BZ85" s="13">
        <f t="shared" si="849"/>
        <v>23.794406342405409</v>
      </c>
      <c r="CA85" s="13">
        <f t="shared" si="849"/>
        <v>26.807350647736804</v>
      </c>
      <c r="CB85" s="13">
        <f t="shared" si="849"/>
        <v>23.246484420756705</v>
      </c>
      <c r="CC85" s="13">
        <f t="shared" si="849"/>
        <v>25.031265797420886</v>
      </c>
      <c r="CD85" s="13">
        <f t="shared" si="849"/>
        <v>28.929531032303473</v>
      </c>
      <c r="CE85" s="13">
        <f t="shared" si="849"/>
        <v>30.822856083086052</v>
      </c>
      <c r="CF85" s="13">
        <f t="shared" si="849"/>
        <v>29.42622730685985</v>
      </c>
      <c r="CG85" s="13">
        <f t="shared" si="849"/>
        <v>23.770767429760667</v>
      </c>
      <c r="CH85" s="13">
        <f t="shared" si="849"/>
        <v>24.77213990351482</v>
      </c>
      <c r="CI85" s="13">
        <f t="shared" ref="CI85:CJ85" si="850">+CI77/CI69</f>
        <v>24.915091038476643</v>
      </c>
      <c r="CJ85" s="13">
        <f t="shared" si="850"/>
        <v>22.206509277308498</v>
      </c>
      <c r="CK85" s="13">
        <f t="shared" ref="CK85:CL85" si="851">+CK77/CK69</f>
        <v>25.522011272548102</v>
      </c>
      <c r="CL85" s="13">
        <f t="shared" si="851"/>
        <v>22.519827917053544</v>
      </c>
      <c r="CM85" s="37">
        <f t="shared" si="849"/>
        <v>24.874892407499143</v>
      </c>
      <c r="CN85" s="37">
        <f t="shared" si="849"/>
        <v>24.307788815004979</v>
      </c>
      <c r="CO85" s="37">
        <f t="shared" si="849"/>
        <v>23.591506994894228</v>
      </c>
      <c r="CP85" s="37">
        <f t="shared" si="849"/>
        <v>21.366026375885294</v>
      </c>
      <c r="CQ85" s="37">
        <f t="shared" si="849"/>
        <v>20.595291327583777</v>
      </c>
      <c r="CR85" s="37">
        <f t="shared" si="849"/>
        <v>19.729348978421172</v>
      </c>
      <c r="CS85" s="37">
        <f t="shared" si="849"/>
        <v>18.805153021221631</v>
      </c>
      <c r="CT85" s="37">
        <f t="shared" si="849"/>
        <v>17.826707169811982</v>
      </c>
      <c r="CU85" s="37">
        <f t="shared" si="849"/>
        <v>17.178233238314245</v>
      </c>
      <c r="CV85" s="37">
        <f t="shared" si="849"/>
        <v>16.501849877226466</v>
      </c>
      <c r="CW85" s="37">
        <f t="shared" si="849"/>
        <v>15.837288892537805</v>
      </c>
      <c r="CX85" s="37">
        <f t="shared" si="849"/>
        <v>15.15964098170735</v>
      </c>
      <c r="CY85" s="37">
        <f t="shared" si="849"/>
        <v>14.550116573664672</v>
      </c>
      <c r="CZ85" s="37">
        <f t="shared" si="849"/>
        <v>13.949397520681639</v>
      </c>
      <c r="DA85" s="37">
        <f t="shared" si="849"/>
        <v>13.371328841266962</v>
      </c>
      <c r="DB85" s="37">
        <f t="shared" si="849"/>
        <v>12.786438817798567</v>
      </c>
      <c r="DE85" s="134"/>
      <c r="DF85" s="13">
        <v>21.847389212199015</v>
      </c>
    </row>
    <row r="86" spans="1:110" s="13" customFormat="1" x14ac:dyDescent="0.2">
      <c r="A86" s="13" t="s">
        <v>461</v>
      </c>
      <c r="B86" s="13">
        <f t="shared" ref="B86:D86" si="852">+B78/B69</f>
        <v>1.8110775728381716</v>
      </c>
      <c r="C86" s="13">
        <f t="shared" si="852"/>
        <v>1.5031359631631969</v>
      </c>
      <c r="D86" s="13">
        <f t="shared" si="852"/>
        <v>1.0749533889845846</v>
      </c>
      <c r="E86" s="13">
        <f t="shared" ref="E86:AE86" si="853">+E78/E69</f>
        <v>16.087711472319405</v>
      </c>
      <c r="F86" s="13">
        <f t="shared" si="853"/>
        <v>10.773967016422347</v>
      </c>
      <c r="G86" s="13">
        <f t="shared" si="853"/>
        <v>14.263208053977561</v>
      </c>
      <c r="H86" s="13">
        <f t="shared" si="853"/>
        <v>20.051444446573626</v>
      </c>
      <c r="I86" s="13">
        <f t="shared" si="853"/>
        <v>27.913366465670446</v>
      </c>
      <c r="J86" s="13">
        <f t="shared" si="853"/>
        <v>30.296904234209375</v>
      </c>
      <c r="K86" s="13">
        <f t="shared" si="853"/>
        <v>17.026933782386322</v>
      </c>
      <c r="L86" s="13">
        <f t="shared" si="853"/>
        <v>20.616611246042442</v>
      </c>
      <c r="M86" s="13">
        <f t="shared" si="853"/>
        <v>18.103713854583212</v>
      </c>
      <c r="N86" s="13">
        <f t="shared" si="853"/>
        <v>15.32468488528643</v>
      </c>
      <c r="O86" s="13">
        <f t="shared" si="853"/>
        <v>13.9941258785747</v>
      </c>
      <c r="P86" s="13">
        <f t="shared" si="853"/>
        <v>16.246475966151589</v>
      </c>
      <c r="Q86" s="13">
        <f t="shared" si="853"/>
        <v>12.274451617087164</v>
      </c>
      <c r="R86" s="13">
        <f t="shared" si="853"/>
        <v>14.973026119618167</v>
      </c>
      <c r="S86" s="13">
        <f t="shared" si="853"/>
        <v>18.392793185465859</v>
      </c>
      <c r="T86" s="13">
        <f t="shared" si="853"/>
        <v>23.47504681150534</v>
      </c>
      <c r="U86" s="13">
        <f t="shared" si="853"/>
        <v>24.756507928668832</v>
      </c>
      <c r="V86" s="13">
        <f t="shared" si="853"/>
        <v>36.856231430805316</v>
      </c>
      <c r="W86" s="13">
        <f t="shared" si="853"/>
        <v>33.1029390834045</v>
      </c>
      <c r="X86" s="13">
        <f t="shared" si="853"/>
        <v>29.142673948464186</v>
      </c>
      <c r="Y86" s="13">
        <f t="shared" si="853"/>
        <v>29.396010973700466</v>
      </c>
      <c r="Z86" s="13">
        <f t="shared" ref="Z86" si="854">+Z78/Z69</f>
        <v>31.260497645302095</v>
      </c>
      <c r="AA86" s="60">
        <f t="shared" si="853"/>
        <v>26.991963354998454</v>
      </c>
      <c r="AB86" s="60">
        <f t="shared" si="853"/>
        <v>29.151622467261422</v>
      </c>
      <c r="AC86" s="60">
        <f t="shared" si="853"/>
        <v>27.062617997221182</v>
      </c>
      <c r="AD86" s="60">
        <f t="shared" si="853"/>
        <v>26.295932227600872</v>
      </c>
      <c r="AE86" s="60">
        <f t="shared" si="853"/>
        <v>25.34348027455783</v>
      </c>
      <c r="AL86" s="13">
        <f t="shared" ref="AL86:BQ86" si="855">+AL78/AL69</f>
        <v>15.234209194871942</v>
      </c>
      <c r="AM86" s="13">
        <f t="shared" si="855"/>
        <v>13.458711241007402</v>
      </c>
      <c r="AN86" s="13">
        <f t="shared" si="855"/>
        <v>14.006108132000961</v>
      </c>
      <c r="AO86" s="13">
        <f t="shared" si="855"/>
        <v>13.962334327083608</v>
      </c>
      <c r="AP86" s="13">
        <f t="shared" si="855"/>
        <v>13.9941258785747</v>
      </c>
      <c r="AQ86" s="13">
        <f t="shared" si="855"/>
        <v>16.493536062479141</v>
      </c>
      <c r="AR86" s="13">
        <f t="shared" si="855"/>
        <v>15.092362863201096</v>
      </c>
      <c r="AS86" s="13">
        <f t="shared" si="855"/>
        <v>14.763717956359846</v>
      </c>
      <c r="AT86" s="13">
        <f t="shared" si="855"/>
        <v>13.410985981337054</v>
      </c>
      <c r="AU86" s="13">
        <f t="shared" si="855"/>
        <v>14.375477158953979</v>
      </c>
      <c r="AV86" s="13">
        <f t="shared" si="855"/>
        <v>15.754474937842986</v>
      </c>
      <c r="AW86" s="13">
        <f t="shared" si="855"/>
        <v>13.826642655596801</v>
      </c>
      <c r="AX86" s="13">
        <f t="shared" ref="AX86" si="856">+AX78/AX69</f>
        <v>14.484213248314266</v>
      </c>
      <c r="AY86" s="13">
        <f t="shared" si="855"/>
        <v>13.635872244602997</v>
      </c>
      <c r="AZ86" s="13">
        <f t="shared" si="855"/>
        <v>13.287915047766719</v>
      </c>
      <c r="BA86" s="13">
        <f t="shared" si="855"/>
        <v>13.107065367029348</v>
      </c>
      <c r="BB86" s="13">
        <f t="shared" si="855"/>
        <v>14.973026119618167</v>
      </c>
      <c r="BC86" s="13">
        <f t="shared" si="855"/>
        <v>15.934882283065036</v>
      </c>
      <c r="BD86" s="13">
        <f t="shared" si="855"/>
        <v>18.433278011879221</v>
      </c>
      <c r="BE86" s="13">
        <f t="shared" si="855"/>
        <v>19.131537231611528</v>
      </c>
      <c r="BF86" s="13">
        <f t="shared" si="855"/>
        <v>18.964216707604919</v>
      </c>
      <c r="BG86" s="13">
        <f t="shared" si="855"/>
        <v>19.058260379915481</v>
      </c>
      <c r="BH86" s="13">
        <f t="shared" si="855"/>
        <v>23.539179996049882</v>
      </c>
      <c r="BI86" s="13">
        <f t="shared" si="855"/>
        <v>21.841506777080742</v>
      </c>
      <c r="BJ86" s="13">
        <f t="shared" si="855"/>
        <v>23.47504681150534</v>
      </c>
      <c r="BK86" s="13">
        <f t="shared" si="855"/>
        <v>23.605122888286107</v>
      </c>
      <c r="BL86" s="13">
        <f t="shared" si="855"/>
        <v>21.330115248228974</v>
      </c>
      <c r="BM86" s="13">
        <f t="shared" si="855"/>
        <v>24.900345258005228</v>
      </c>
      <c r="BN86" s="13">
        <f t="shared" si="855"/>
        <v>24.629496545427426</v>
      </c>
      <c r="BO86" s="13">
        <f t="shared" si="855"/>
        <v>29.090204237267937</v>
      </c>
      <c r="BP86" s="13">
        <f t="shared" si="855"/>
        <v>39.803558337058568</v>
      </c>
      <c r="BQ86" s="13">
        <f t="shared" si="855"/>
        <v>37.497061265628375</v>
      </c>
      <c r="BR86" s="13">
        <f t="shared" ref="BR86:CH86" si="857">+BR78/BR69</f>
        <v>34.712197028928848</v>
      </c>
      <c r="BS86" s="13">
        <f t="shared" si="857"/>
        <v>32.403914343468379</v>
      </c>
      <c r="BT86" s="13">
        <f t="shared" si="857"/>
        <v>33.630055227206668</v>
      </c>
      <c r="BU86" s="13">
        <f t="shared" si="857"/>
        <v>34.395334220644777</v>
      </c>
      <c r="BV86" s="13">
        <f t="shared" si="857"/>
        <v>31.427894036530788</v>
      </c>
      <c r="BW86" s="13">
        <f t="shared" si="857"/>
        <v>30.414135688756634</v>
      </c>
      <c r="BX86" s="13">
        <f t="shared" si="857"/>
        <v>28.616218231215157</v>
      </c>
      <c r="BY86" s="13">
        <f t="shared" si="857"/>
        <v>29.449975034761724</v>
      </c>
      <c r="BZ86" s="13">
        <f t="shared" si="857"/>
        <v>26.590776054553135</v>
      </c>
      <c r="CA86" s="13">
        <f t="shared" si="857"/>
        <v>27.157327037186619</v>
      </c>
      <c r="CB86" s="13">
        <f t="shared" si="857"/>
        <v>28.284130842216232</v>
      </c>
      <c r="CC86" s="13">
        <f t="shared" si="857"/>
        <v>25.32129671241896</v>
      </c>
      <c r="CD86" s="13">
        <f t="shared" si="857"/>
        <v>29.396010973700466</v>
      </c>
      <c r="CE86" s="13">
        <f t="shared" si="857"/>
        <v>31.114171612265082</v>
      </c>
      <c r="CF86" s="13">
        <f t="shared" si="857"/>
        <v>32.057233682288683</v>
      </c>
      <c r="CG86" s="13">
        <f t="shared" si="857"/>
        <v>29.120632443057001</v>
      </c>
      <c r="CH86" s="13">
        <f t="shared" si="857"/>
        <v>25.745539283252928</v>
      </c>
      <c r="CI86" s="13">
        <f t="shared" ref="CI86:CJ86" si="858">+CI78/CI69</f>
        <v>25.318540685119753</v>
      </c>
      <c r="CJ86" s="13">
        <f t="shared" si="858"/>
        <v>25.254653093639451</v>
      </c>
      <c r="CK86" s="13">
        <f t="shared" ref="CK86:CL86" si="859">+CK78/CK69</f>
        <v>25.709027412241173</v>
      </c>
      <c r="CL86" s="13">
        <f t="shared" si="859"/>
        <v>26.991963354998454</v>
      </c>
      <c r="CM86" s="60">
        <f t="shared" ref="CM86:CM87" si="860">+CL86</f>
        <v>26.991963354998454</v>
      </c>
      <c r="CN86" s="60">
        <f t="shared" ref="CN86:CN87" si="861">+CM86</f>
        <v>26.991963354998454</v>
      </c>
      <c r="CO86" s="60">
        <f t="shared" ref="CO86:CO87" si="862">+CN86</f>
        <v>26.991963354998454</v>
      </c>
      <c r="CP86" s="60">
        <f t="shared" ref="CP86:CP87" si="863">+CO86</f>
        <v>26.991963354998454</v>
      </c>
      <c r="CQ86" s="60">
        <f t="shared" ref="CQ86:CQ87" si="864">+CP86</f>
        <v>26.991963354998454</v>
      </c>
      <c r="CR86" s="60">
        <f t="shared" ref="CR86:CR87" si="865">+CQ86</f>
        <v>26.991963354998454</v>
      </c>
      <c r="CS86" s="60">
        <f t="shared" ref="CS86:CS87" si="866">+CR86</f>
        <v>26.991963354998454</v>
      </c>
      <c r="CT86" s="60">
        <f t="shared" ref="CT86:CT87" si="867">+CS86</f>
        <v>26.991963354998454</v>
      </c>
      <c r="CU86" s="60">
        <f t="shared" ref="CU86:CU87" si="868">+CT86</f>
        <v>26.991963354998454</v>
      </c>
      <c r="CV86" s="60">
        <f t="shared" ref="CV86:CV87" si="869">+CU86</f>
        <v>26.991963354998454</v>
      </c>
      <c r="CW86" s="60">
        <f t="shared" ref="CW86:CW87" si="870">+CV86</f>
        <v>26.991963354998454</v>
      </c>
      <c r="CX86" s="60">
        <f t="shared" ref="CX86:CX87" si="871">+CW86</f>
        <v>26.991963354998454</v>
      </c>
      <c r="CY86" s="60">
        <f t="shared" ref="CY86:CY87" si="872">+CX86</f>
        <v>26.991963354998454</v>
      </c>
      <c r="CZ86" s="60">
        <f t="shared" ref="CZ86:CZ87" si="873">+CY86</f>
        <v>26.991963354998454</v>
      </c>
      <c r="DA86" s="60">
        <f t="shared" ref="DA86:DA87" si="874">+CZ86</f>
        <v>26.991963354998454</v>
      </c>
      <c r="DB86" s="60">
        <f t="shared" ref="DB86:DB87" si="875">+DA86</f>
        <v>26.991963354998454</v>
      </c>
      <c r="DE86" s="136"/>
      <c r="DF86" s="13">
        <v>26.185987352572106</v>
      </c>
    </row>
    <row r="87" spans="1:110" s="13" customFormat="1" x14ac:dyDescent="0.2">
      <c r="A87" s="13" t="s">
        <v>462</v>
      </c>
      <c r="B87" s="13">
        <f t="shared" ref="B87:D87" si="876">+B79/B69</f>
        <v>1.1187953753411553</v>
      </c>
      <c r="C87" s="13">
        <f t="shared" si="876"/>
        <v>0.75471107031146023</v>
      </c>
      <c r="D87" s="13">
        <f t="shared" si="876"/>
        <v>0.74898094413832472</v>
      </c>
      <c r="E87" s="13">
        <f t="shared" ref="E87:AE87" si="877">+E79/E69</f>
        <v>6.7992948805936742</v>
      </c>
      <c r="F87" s="13">
        <f t="shared" si="877"/>
        <v>7.2364338289699708</v>
      </c>
      <c r="G87" s="13">
        <f t="shared" si="877"/>
        <v>7.344851001492354</v>
      </c>
      <c r="H87" s="13">
        <f t="shared" si="877"/>
        <v>11.045639985794185</v>
      </c>
      <c r="I87" s="13">
        <f t="shared" si="877"/>
        <v>11.201052623750755</v>
      </c>
      <c r="J87" s="13">
        <f t="shared" si="877"/>
        <v>10.410153305924315</v>
      </c>
      <c r="K87" s="13">
        <f t="shared" si="877"/>
        <v>10.240435616792247</v>
      </c>
      <c r="L87" s="13">
        <f t="shared" si="877"/>
        <v>14.599235537372353</v>
      </c>
      <c r="M87" s="13">
        <f t="shared" si="877"/>
        <v>11.681486988614935</v>
      </c>
      <c r="N87" s="13">
        <f t="shared" si="877"/>
        <v>10.769651820304965</v>
      </c>
      <c r="O87" s="13">
        <f t="shared" si="877"/>
        <v>11.397323855115131</v>
      </c>
      <c r="P87" s="13">
        <f t="shared" si="877"/>
        <v>11.329872845541626</v>
      </c>
      <c r="Q87" s="13">
        <f t="shared" si="877"/>
        <v>9.1706320480118979</v>
      </c>
      <c r="R87" s="13">
        <f t="shared" si="877"/>
        <v>10.374648412373149</v>
      </c>
      <c r="S87" s="13">
        <f t="shared" si="877"/>
        <v>12.029629886453707</v>
      </c>
      <c r="T87" s="13">
        <f t="shared" si="877"/>
        <v>15.001614726435069</v>
      </c>
      <c r="U87" s="13">
        <f t="shared" si="877"/>
        <v>13.400466060783366</v>
      </c>
      <c r="V87" s="13">
        <f t="shared" si="877"/>
        <v>16.102071508433809</v>
      </c>
      <c r="W87" s="13">
        <f t="shared" si="877"/>
        <v>22.601483062909193</v>
      </c>
      <c r="X87" s="13">
        <f t="shared" si="877"/>
        <v>22.252549634904351</v>
      </c>
      <c r="Y87" s="13">
        <f t="shared" si="877"/>
        <v>21.584901538328953</v>
      </c>
      <c r="Z87" s="13">
        <f t="shared" ref="Z87" si="878">+Z79/Z69</f>
        <v>22.460073512520104</v>
      </c>
      <c r="AA87" s="60">
        <f t="shared" si="877"/>
        <v>18.68848356545961</v>
      </c>
      <c r="AB87" s="60">
        <f t="shared" si="877"/>
        <v>20.176136318178546</v>
      </c>
      <c r="AC87" s="60">
        <f t="shared" si="877"/>
        <v>19.243080618306404</v>
      </c>
      <c r="AD87" s="60">
        <f t="shared" si="877"/>
        <v>18.390279616440786</v>
      </c>
      <c r="AE87" s="60">
        <f t="shared" si="877"/>
        <v>17.907519880442297</v>
      </c>
      <c r="AL87" s="13">
        <f t="shared" ref="AL87:BQ87" si="879">+AL79/AL69</f>
        <v>12.205875611727118</v>
      </c>
      <c r="AM87" s="13">
        <f t="shared" si="879"/>
        <v>11.793716035934334</v>
      </c>
      <c r="AN87" s="13">
        <f t="shared" si="879"/>
        <v>11.547227848885395</v>
      </c>
      <c r="AO87" s="13">
        <f t="shared" si="879"/>
        <v>12.354779077532932</v>
      </c>
      <c r="AP87" s="13">
        <f t="shared" si="879"/>
        <v>11.829379269230573</v>
      </c>
      <c r="AQ87" s="13">
        <f t="shared" si="879"/>
        <v>13.35362875955642</v>
      </c>
      <c r="AR87" s="13">
        <f t="shared" si="879"/>
        <v>13.19773154081811</v>
      </c>
      <c r="AS87" s="13">
        <f t="shared" si="879"/>
        <v>12.493661933253</v>
      </c>
      <c r="AT87" s="13">
        <f t="shared" si="879"/>
        <v>11.329872845541624</v>
      </c>
      <c r="AU87" s="13">
        <f t="shared" si="879"/>
        <v>11.542353923247743</v>
      </c>
      <c r="AV87" s="13">
        <f t="shared" si="879"/>
        <v>12.092703818269325</v>
      </c>
      <c r="AW87" s="13">
        <f t="shared" si="879"/>
        <v>11.658635947596009</v>
      </c>
      <c r="AX87" s="13">
        <f t="shared" ref="AX87" si="880">+AX79/AX69</f>
        <v>11.812045407184216</v>
      </c>
      <c r="AY87" s="13">
        <f t="shared" si="879"/>
        <v>11.796941062457012</v>
      </c>
      <c r="AZ87" s="13">
        <f t="shared" si="879"/>
        <v>11.419908919606049</v>
      </c>
      <c r="BA87" s="13">
        <f t="shared" si="879"/>
        <v>10.860406225170104</v>
      </c>
      <c r="BB87" s="13">
        <f t="shared" si="879"/>
        <v>11.364818216017056</v>
      </c>
      <c r="BC87" s="13">
        <f t="shared" si="879"/>
        <v>14.085783315064347</v>
      </c>
      <c r="BD87" s="13">
        <f t="shared" si="879"/>
        <v>14.500803096032273</v>
      </c>
      <c r="BE87" s="13">
        <f t="shared" si="879"/>
        <v>15.685267099431238</v>
      </c>
      <c r="BF87" s="13">
        <f t="shared" si="879"/>
        <v>16.705750899699275</v>
      </c>
      <c r="BG87" s="13">
        <f t="shared" si="879"/>
        <v>16.303846806954137</v>
      </c>
      <c r="BH87" s="13">
        <f t="shared" si="879"/>
        <v>16.963267586240871</v>
      </c>
      <c r="BI87" s="13">
        <f t="shared" si="879"/>
        <v>17.629216184358011</v>
      </c>
      <c r="BJ87" s="13">
        <f t="shared" si="879"/>
        <v>18.305491392571845</v>
      </c>
      <c r="BK87" s="13">
        <f t="shared" si="879"/>
        <v>20.440004081811626</v>
      </c>
      <c r="BL87" s="13">
        <f t="shared" si="879"/>
        <v>17.492770038714141</v>
      </c>
      <c r="BM87" s="13">
        <f t="shared" si="879"/>
        <v>19.71957123535438</v>
      </c>
      <c r="BN87" s="13">
        <f t="shared" si="879"/>
        <v>13.400466060783366</v>
      </c>
      <c r="BO87" s="13">
        <f t="shared" si="879"/>
        <v>16.687273459063242</v>
      </c>
      <c r="BP87" s="13">
        <f t="shared" si="879"/>
        <v>28.712567674961509</v>
      </c>
      <c r="BQ87" s="13">
        <f t="shared" si="879"/>
        <v>29.794365385999857</v>
      </c>
      <c r="BR87" s="13">
        <f t="shared" ref="BR87:CH87" si="881">+BR79/BR69</f>
        <v>28.473025801407349</v>
      </c>
      <c r="BS87" s="13">
        <f t="shared" si="881"/>
        <v>26.749434852185633</v>
      </c>
      <c r="BT87" s="13">
        <f t="shared" si="881"/>
        <v>26.439910086231954</v>
      </c>
      <c r="BU87" s="13">
        <f t="shared" si="881"/>
        <v>28.116622301094353</v>
      </c>
      <c r="BV87" s="13">
        <f t="shared" si="881"/>
        <v>25.500088130086922</v>
      </c>
      <c r="BW87" s="13">
        <f t="shared" si="881"/>
        <v>25.247461149685893</v>
      </c>
      <c r="BX87" s="13">
        <f t="shared" si="881"/>
        <v>24.725519752325901</v>
      </c>
      <c r="BY87" s="13">
        <f t="shared" si="881"/>
        <v>25.054982935153586</v>
      </c>
      <c r="BZ87" s="13">
        <f t="shared" si="881"/>
        <v>22.252549634904351</v>
      </c>
      <c r="CA87" s="13">
        <f t="shared" si="881"/>
        <v>24.26187672807481</v>
      </c>
      <c r="CB87" s="13">
        <f t="shared" si="881"/>
        <v>23.039926057162937</v>
      </c>
      <c r="CC87" s="13">
        <f t="shared" si="881"/>
        <v>21.508285935107132</v>
      </c>
      <c r="CD87" s="13">
        <f t="shared" si="881"/>
        <v>24.959592364372821</v>
      </c>
      <c r="CE87" s="13">
        <f t="shared" si="881"/>
        <v>26.76116963402572</v>
      </c>
      <c r="CF87" s="13">
        <f t="shared" si="881"/>
        <v>28.549557253706734</v>
      </c>
      <c r="CG87" s="13">
        <f t="shared" si="881"/>
        <v>23.509679153659381</v>
      </c>
      <c r="CH87" s="13">
        <f t="shared" si="881"/>
        <v>22.460073512520104</v>
      </c>
      <c r="CI87" s="13">
        <f t="shared" ref="CI87:CJ87" si="882">+CI79/CI69</f>
        <v>18.521327296819788</v>
      </c>
      <c r="CJ87" s="13">
        <f t="shared" si="882"/>
        <v>21.846658965658317</v>
      </c>
      <c r="CK87" s="13">
        <f t="shared" ref="CK87:CL87" si="883">+CK79/CK69</f>
        <v>22.071156938385553</v>
      </c>
      <c r="CL87" s="13">
        <f t="shared" si="883"/>
        <v>21.895789538842465</v>
      </c>
      <c r="CM87" s="60">
        <f t="shared" si="860"/>
        <v>21.895789538842465</v>
      </c>
      <c r="CN87" s="60">
        <f t="shared" si="861"/>
        <v>21.895789538842465</v>
      </c>
      <c r="CO87" s="60">
        <f t="shared" si="862"/>
        <v>21.895789538842465</v>
      </c>
      <c r="CP87" s="60">
        <f t="shared" si="863"/>
        <v>21.895789538842465</v>
      </c>
      <c r="CQ87" s="60">
        <f t="shared" si="864"/>
        <v>21.895789538842465</v>
      </c>
      <c r="CR87" s="60">
        <f t="shared" si="865"/>
        <v>21.895789538842465</v>
      </c>
      <c r="CS87" s="60">
        <f t="shared" si="866"/>
        <v>21.895789538842465</v>
      </c>
      <c r="CT87" s="60">
        <f t="shared" si="867"/>
        <v>21.895789538842465</v>
      </c>
      <c r="CU87" s="60">
        <f t="shared" si="868"/>
        <v>21.895789538842465</v>
      </c>
      <c r="CV87" s="60">
        <f t="shared" si="869"/>
        <v>21.895789538842465</v>
      </c>
      <c r="CW87" s="60">
        <f t="shared" si="870"/>
        <v>21.895789538842465</v>
      </c>
      <c r="CX87" s="60">
        <f t="shared" si="871"/>
        <v>21.895789538842465</v>
      </c>
      <c r="CY87" s="60">
        <f t="shared" si="872"/>
        <v>21.895789538842465</v>
      </c>
      <c r="CZ87" s="60">
        <f t="shared" si="873"/>
        <v>21.895789538842465</v>
      </c>
      <c r="DA87" s="60">
        <f t="shared" si="874"/>
        <v>21.895789538842465</v>
      </c>
      <c r="DB87" s="60">
        <f t="shared" si="875"/>
        <v>21.895789538842465</v>
      </c>
      <c r="DE87" s="136"/>
      <c r="DF87" s="13">
        <v>21.241984526943732</v>
      </c>
    </row>
    <row r="88" spans="1:110" s="13" customFormat="1" x14ac:dyDescent="0.2">
      <c r="AA88" s="60"/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884">+B78/C69</f>
        <v>1.6706441037075821</v>
      </c>
      <c r="C89" s="13">
        <f t="shared" si="884"/>
        <v>1.3962887126449386</v>
      </c>
      <c r="D89" s="13">
        <f t="shared" si="884"/>
        <v>8.2474392747356102</v>
      </c>
      <c r="E89" s="13">
        <f t="shared" si="884"/>
        <v>10.94519581490268</v>
      </c>
      <c r="F89" s="13">
        <f t="shared" si="884"/>
        <v>8.6184748424072648</v>
      </c>
      <c r="G89" s="13">
        <f t="shared" si="884"/>
        <v>11.219095387581131</v>
      </c>
      <c r="H89" s="13">
        <f t="shared" si="884"/>
        <v>12.402698115953934</v>
      </c>
      <c r="I89" s="13">
        <f t="shared" si="884"/>
        <v>36.403074802361779</v>
      </c>
      <c r="J89" s="13">
        <f t="shared" si="884"/>
        <v>18.508071877673434</v>
      </c>
      <c r="K89" s="13">
        <f t="shared" si="884"/>
        <v>21.623994103894557</v>
      </c>
      <c r="L89" s="13">
        <f t="shared" si="884"/>
        <v>20.167151560593336</v>
      </c>
      <c r="M89" s="13">
        <f t="shared" si="884"/>
        <v>17.10223919094781</v>
      </c>
      <c r="N89" s="13">
        <f t="shared" si="884"/>
        <v>14.22505204818812</v>
      </c>
      <c r="O89" s="13">
        <f t="shared" si="884"/>
        <v>13.356949562368699</v>
      </c>
      <c r="P89" s="13">
        <f t="shared" si="884"/>
        <v>12.871556652154254</v>
      </c>
      <c r="Q89" s="13">
        <f t="shared" si="884"/>
        <v>12.210413141709564</v>
      </c>
      <c r="R89" s="13">
        <f t="shared" si="884"/>
        <v>12.410490755445677</v>
      </c>
      <c r="S89" s="13">
        <f t="shared" si="884"/>
        <v>16.760634893545543</v>
      </c>
      <c r="T89" s="13">
        <f t="shared" si="884"/>
        <v>21.21855228946238</v>
      </c>
      <c r="U89" s="13">
        <f t="shared" si="884"/>
        <v>24.934129013011948</v>
      </c>
      <c r="V89" s="13">
        <f t="shared" si="884"/>
        <v>28.514269854824938</v>
      </c>
      <c r="W89" s="13">
        <f t="shared" si="884"/>
        <v>28.070876833021547</v>
      </c>
      <c r="X89" s="13">
        <f t="shared" si="884"/>
        <v>27.745838181008605</v>
      </c>
      <c r="Y89" s="13">
        <f t="shared" si="884"/>
        <v>29.384615207902598</v>
      </c>
      <c r="Z89" s="13">
        <f t="shared" ref="Z89" si="885">+Z78/AA69</f>
        <v>26.95426976168369</v>
      </c>
      <c r="AA89" s="37">
        <f t="shared" si="884"/>
        <v>25.922395856043977</v>
      </c>
      <c r="AB89" s="37">
        <f t="shared" si="884"/>
        <v>24.32260580916034</v>
      </c>
      <c r="AC89" s="37">
        <f t="shared" si="884"/>
        <v>23.01376069932342</v>
      </c>
      <c r="AD89" s="37">
        <f t="shared" si="884"/>
        <v>22.179372782700803</v>
      </c>
      <c r="AE89" s="37"/>
      <c r="AL89" s="13">
        <f t="shared" ref="AL89:BQ89" si="886">+AL78/AP69</f>
        <v>14.22505204818812</v>
      </c>
      <c r="AM89" s="13">
        <f t="shared" si="886"/>
        <v>12.602938277938135</v>
      </c>
      <c r="AN89" s="13">
        <f t="shared" si="886"/>
        <v>13.338607010919413</v>
      </c>
      <c r="AO89" s="13">
        <f t="shared" si="886"/>
        <v>13.438731656792822</v>
      </c>
      <c r="AP89" s="13">
        <f t="shared" si="886"/>
        <v>13.356949562368698</v>
      </c>
      <c r="AQ89" s="13">
        <f t="shared" si="886"/>
        <v>16.20041690087286</v>
      </c>
      <c r="AR89" s="13">
        <f t="shared" si="886"/>
        <v>15.501989913065909</v>
      </c>
      <c r="AS89" s="13">
        <f t="shared" si="886"/>
        <v>13.795419014842865</v>
      </c>
      <c r="AT89" s="13">
        <f t="shared" si="886"/>
        <v>12.537917865521047</v>
      </c>
      <c r="AU89" s="13">
        <f t="shared" si="886"/>
        <v>12.919670356615432</v>
      </c>
      <c r="AV89" s="13">
        <f t="shared" si="886"/>
        <v>12.559310263058814</v>
      </c>
      <c r="AW89" s="13">
        <f t="shared" si="886"/>
        <v>11.868373111948227</v>
      </c>
      <c r="AX89" s="13">
        <f t="shared" si="886"/>
        <v>12.210413141709564</v>
      </c>
      <c r="AY89" s="13">
        <f t="shared" si="886"/>
        <v>11.638446445651606</v>
      </c>
      <c r="AZ89" s="13">
        <f t="shared" si="886"/>
        <v>11.930585682611198</v>
      </c>
      <c r="BA89" s="13">
        <f t="shared" si="886"/>
        <v>11.219579289946122</v>
      </c>
      <c r="BB89" s="13">
        <f t="shared" si="886"/>
        <v>12.796057334020317</v>
      </c>
      <c r="BC89" s="13">
        <f t="shared" si="886"/>
        <v>13.477674964556929</v>
      </c>
      <c r="BD89" s="13">
        <f t="shared" si="886"/>
        <v>15.449496801170362</v>
      </c>
      <c r="BE89" s="13">
        <f t="shared" si="886"/>
        <v>16.623813491444782</v>
      </c>
      <c r="BF89" s="13">
        <f t="shared" si="886"/>
        <v>16.760634893545543</v>
      </c>
      <c r="BG89" s="13">
        <f t="shared" si="886"/>
        <v>17.254895051296234</v>
      </c>
      <c r="BH89" s="13">
        <f t="shared" si="886"/>
        <v>21.214364248566067</v>
      </c>
      <c r="BI89" s="13">
        <f t="shared" si="886"/>
        <v>19.393271742543341</v>
      </c>
      <c r="BJ89" s="13">
        <f t="shared" si="886"/>
        <v>21.21855228946238</v>
      </c>
      <c r="BK89" s="13">
        <f t="shared" si="886"/>
        <v>22.633038039236787</v>
      </c>
      <c r="BL89" s="13">
        <f t="shared" si="886"/>
        <v>22.237543038926248</v>
      </c>
      <c r="BM89" s="13">
        <f t="shared" si="886"/>
        <v>26.020146726976495</v>
      </c>
      <c r="BN89" s="13">
        <f t="shared" si="886"/>
        <v>24.806206358290723</v>
      </c>
      <c r="BO89" s="13">
        <f t="shared" si="886"/>
        <v>25.702309020466604</v>
      </c>
      <c r="BP89" s="13">
        <f t="shared" si="886"/>
        <v>31.057651002809809</v>
      </c>
      <c r="BQ89" s="13">
        <f t="shared" si="886"/>
        <v>28.884576308784386</v>
      </c>
      <c r="BR89" s="13">
        <f t="shared" ref="BR89:CL89" si="887">+BR78/BV69</f>
        <v>26.08468437332596</v>
      </c>
      <c r="BS89" s="13">
        <f t="shared" si="887"/>
        <v>24.230105647662686</v>
      </c>
      <c r="BT89" s="13">
        <f t="shared" si="887"/>
        <v>27.412832298725306</v>
      </c>
      <c r="BU89" s="13">
        <f t="shared" si="887"/>
        <v>29.39972822652004</v>
      </c>
      <c r="BV89" s="13">
        <f t="shared" si="887"/>
        <v>27.438006155331607</v>
      </c>
      <c r="BW89" s="13">
        <f t="shared" si="887"/>
        <v>30.005483239616019</v>
      </c>
      <c r="BX89" s="13">
        <f t="shared" si="887"/>
        <v>26.526651048377648</v>
      </c>
      <c r="BY89" s="13">
        <f t="shared" si="887"/>
        <v>26.676065493995907</v>
      </c>
      <c r="BZ89" s="13">
        <f t="shared" si="887"/>
        <v>25.31625515289927</v>
      </c>
      <c r="CA89" s="13">
        <f t="shared" si="887"/>
        <v>25.431058358061325</v>
      </c>
      <c r="CB89" s="13">
        <f t="shared" si="887"/>
        <v>28.441965929001579</v>
      </c>
      <c r="CC89" s="13">
        <f t="shared" si="887"/>
        <v>25.569049601109956</v>
      </c>
      <c r="CD89" s="13">
        <f t="shared" si="887"/>
        <v>29.384615207902598</v>
      </c>
      <c r="CE89" s="13">
        <f t="shared" si="887"/>
        <v>26.244565542795446</v>
      </c>
      <c r="CF89" s="13">
        <f t="shared" si="887"/>
        <v>26.198242485500447</v>
      </c>
      <c r="CG89" s="13">
        <f t="shared" si="887"/>
        <v>24.214524521998293</v>
      </c>
      <c r="CH89" s="13">
        <f t="shared" si="887"/>
        <v>22.19901355617456</v>
      </c>
      <c r="CI89" s="13">
        <f t="shared" si="887"/>
        <v>28.563981307843239</v>
      </c>
      <c r="CJ89" s="13">
        <f t="shared" si="887"/>
        <v>28.389593713910184</v>
      </c>
      <c r="CK89" s="13">
        <f t="shared" si="887"/>
        <v>28.084196843545396</v>
      </c>
      <c r="CL89" s="13">
        <f t="shared" si="887"/>
        <v>25.922395856043966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23.949258180519745</v>
      </c>
    </row>
    <row r="90" spans="1:110" s="98" customFormat="1" x14ac:dyDescent="0.2">
      <c r="A90" s="98" t="s">
        <v>426</v>
      </c>
      <c r="AA90" s="99"/>
      <c r="AB90" s="99"/>
      <c r="AC90" s="99"/>
      <c r="AD90" s="99"/>
      <c r="AE90" s="99"/>
      <c r="AL90" s="175"/>
      <c r="AM90" s="175"/>
      <c r="AN90" s="175"/>
      <c r="AO90" s="175">
        <f t="shared" ref="AO90:CI90" si="888">+CORREL(AL69:AO69,AL86:AO86)</f>
        <v>-0.74389305662167804</v>
      </c>
      <c r="AP90" s="175">
        <f t="shared" si="888"/>
        <v>0.90340837453735312</v>
      </c>
      <c r="AQ90" s="175">
        <f t="shared" si="888"/>
        <v>0.958536334622893</v>
      </c>
      <c r="AR90" s="175">
        <f t="shared" si="888"/>
        <v>0.82052055628615506</v>
      </c>
      <c r="AS90" s="175">
        <f t="shared" si="888"/>
        <v>0.72637646267833955</v>
      </c>
      <c r="AT90" s="175">
        <f t="shared" si="888"/>
        <v>-0.62445925903274613</v>
      </c>
      <c r="AU90" s="175">
        <f t="shared" si="888"/>
        <v>-0.6227398383839825</v>
      </c>
      <c r="AV90" s="175">
        <f t="shared" si="888"/>
        <v>-0.87992512643000054</v>
      </c>
      <c r="AW90" s="175">
        <f t="shared" si="888"/>
        <v>-0.72295715046136422</v>
      </c>
      <c r="AX90" s="175">
        <f t="shared" si="888"/>
        <v>-0.76610948395537748</v>
      </c>
      <c r="AY90" s="175">
        <f t="shared" si="888"/>
        <v>-0.89681893145478353</v>
      </c>
      <c r="AZ90" s="175">
        <f t="shared" si="888"/>
        <v>-0.75010895769812957</v>
      </c>
      <c r="BA90" s="175">
        <f t="shared" si="888"/>
        <v>-0.94030500179133558</v>
      </c>
      <c r="BB90" s="175">
        <f t="shared" si="888"/>
        <v>0.47570272691621346</v>
      </c>
      <c r="BC90" s="175">
        <f t="shared" si="888"/>
        <v>0.98484162283433241</v>
      </c>
      <c r="BD90" s="175">
        <f t="shared" si="888"/>
        <v>0.98335233353151497</v>
      </c>
      <c r="BE90" s="175">
        <f t="shared" si="888"/>
        <v>0.9317170668765814</v>
      </c>
      <c r="BF90" s="175">
        <f t="shared" si="888"/>
        <v>0.79682818503209984</v>
      </c>
      <c r="BG90" s="175">
        <f t="shared" si="888"/>
        <v>0.74606339295337276</v>
      </c>
      <c r="BH90" s="175">
        <f t="shared" si="888"/>
        <v>0.76592074022125434</v>
      </c>
      <c r="BI90" s="175">
        <f t="shared" si="888"/>
        <v>0.80401256917164965</v>
      </c>
      <c r="BJ90" s="175">
        <f t="shared" si="888"/>
        <v>0.78341936281673097</v>
      </c>
      <c r="BK90" s="175">
        <f t="shared" si="888"/>
        <v>0.27907662237497782</v>
      </c>
      <c r="BL90" s="175">
        <f t="shared" si="888"/>
        <v>-0.33372557917855566</v>
      </c>
      <c r="BM90" s="175">
        <f t="shared" si="888"/>
        <v>0.20522858746305628</v>
      </c>
      <c r="BN90" s="175">
        <f t="shared" si="888"/>
        <v>0.48301307039528596</v>
      </c>
      <c r="BO90" s="175">
        <f t="shared" si="888"/>
        <v>-9.1426879268510883E-2</v>
      </c>
      <c r="BP90" s="175">
        <f t="shared" si="888"/>
        <v>-0.9735408070067052</v>
      </c>
      <c r="BQ90" s="175">
        <f t="shared" si="888"/>
        <v>-0.91211140041586269</v>
      </c>
      <c r="BR90" s="175">
        <f t="shared" si="888"/>
        <v>-0.501622997860108</v>
      </c>
      <c r="BS90" s="175">
        <f t="shared" si="888"/>
        <v>-0.96460750750900781</v>
      </c>
      <c r="BT90" s="175">
        <f t="shared" si="888"/>
        <v>-0.74667039565052074</v>
      </c>
      <c r="BU90" s="175">
        <f t="shared" si="888"/>
        <v>-2.2505006396640041E-2</v>
      </c>
      <c r="BV90" s="175">
        <f t="shared" si="888"/>
        <v>-0.21885331006363337</v>
      </c>
      <c r="BW90" s="175">
        <f t="shared" si="888"/>
        <v>-0.90519722244887157</v>
      </c>
      <c r="BX90" s="175">
        <f t="shared" si="888"/>
        <v>-0.9264979225924147</v>
      </c>
      <c r="BY90" s="175">
        <f t="shared" si="888"/>
        <v>-0.77698087962661921</v>
      </c>
      <c r="BZ90" s="175">
        <f t="shared" si="888"/>
        <v>-0.86357350925862664</v>
      </c>
      <c r="CA90" s="175">
        <f t="shared" si="888"/>
        <v>-0.89034276286512637</v>
      </c>
      <c r="CB90" s="175">
        <f t="shared" si="888"/>
        <v>-0.30340482346787045</v>
      </c>
      <c r="CC90" s="175">
        <f t="shared" si="888"/>
        <v>-0.35526238007087219</v>
      </c>
      <c r="CD90" s="175">
        <f t="shared" si="888"/>
        <v>3.5372694256494586E-2</v>
      </c>
      <c r="CE90" s="175">
        <f t="shared" si="888"/>
        <v>-0.5069122648265304</v>
      </c>
      <c r="CF90" s="175">
        <f t="shared" si="888"/>
        <v>-0.86452611218860609</v>
      </c>
      <c r="CG90" s="175">
        <f t="shared" si="888"/>
        <v>-0.92458463828882853</v>
      </c>
      <c r="CH90" s="175">
        <f t="shared" si="888"/>
        <v>-0.91903633845273536</v>
      </c>
      <c r="CI90" s="175">
        <f t="shared" si="888"/>
        <v>-0.66435043007861849</v>
      </c>
      <c r="CJ90" s="175">
        <f>+CORREL(CG69:CJ69,CG86:CJ86)</f>
        <v>-0.68563925039473339</v>
      </c>
      <c r="CK90" s="175">
        <f>+CORREL(CH69:CK69,CH86:CK86)</f>
        <v>-0.57574597319770526</v>
      </c>
      <c r="CL90" s="175">
        <f>+CORREL(CI69:CL69,CI86:CL86)</f>
        <v>-0.66707521800824898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0.5284184470018628</v>
      </c>
    </row>
    <row r="91" spans="1:110" s="4" customFormat="1" x14ac:dyDescent="0.2">
      <c r="A91" s="3"/>
      <c r="AA91" s="17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si="889">+E$120/E$65</f>
        <v>25.877586461720362</v>
      </c>
      <c r="F92" s="162">
        <f t="shared" si="889"/>
        <v>30.36777268696423</v>
      </c>
      <c r="G92" s="162">
        <f t="shared" si="889"/>
        <v>37.709156074490096</v>
      </c>
      <c r="H92" s="162">
        <f t="shared" si="889"/>
        <v>50.41315400532072</v>
      </c>
      <c r="I92" s="162">
        <f t="shared" si="889"/>
        <v>63.191309488619567</v>
      </c>
      <c r="J92" s="162">
        <f t="shared" si="889"/>
        <v>89.607256872598285</v>
      </c>
      <c r="K92" s="162">
        <f t="shared" si="889"/>
        <v>104.19966006503103</v>
      </c>
      <c r="L92" s="162">
        <f t="shared" si="889"/>
        <v>113.8796925805498</v>
      </c>
      <c r="M92" s="162">
        <f t="shared" si="889"/>
        <v>125.21800177357375</v>
      </c>
      <c r="N92" s="162">
        <f t="shared" si="889"/>
        <v>134.53665385752291</v>
      </c>
      <c r="O92" s="162">
        <f t="shared" si="889"/>
        <v>146.82751995270471</v>
      </c>
      <c r="P92" s="162">
        <f t="shared" si="889"/>
        <v>161.46837126810522</v>
      </c>
      <c r="Q92" s="162">
        <f t="shared" si="889"/>
        <v>171.11735146319833</v>
      </c>
      <c r="R92" s="162">
        <f t="shared" si="889"/>
        <v>194.87806680461128</v>
      </c>
      <c r="S92" s="162">
        <f t="shared" si="889"/>
        <v>216.89772391368606</v>
      </c>
      <c r="T92" s="162">
        <f t="shared" si="889"/>
        <v>286.07153414129471</v>
      </c>
      <c r="U92" s="162">
        <f t="shared" si="889"/>
        <v>331.92876145433047</v>
      </c>
      <c r="V92" s="162">
        <f t="shared" si="889"/>
        <v>517.41945019213711</v>
      </c>
      <c r="W92" s="162">
        <f t="shared" si="889"/>
        <v>576.03088974283173</v>
      </c>
      <c r="X92" s="162">
        <f t="shared" si="889"/>
        <v>529.02157848063848</v>
      </c>
      <c r="Y92" s="162">
        <f t="shared" si="889"/>
        <v>586.37378066804604</v>
      </c>
      <c r="Z92" s="162">
        <f t="shared" si="889"/>
        <v>623.1155778894472</v>
      </c>
      <c r="AA92" s="21">
        <f t="shared" si="889"/>
        <v>668.06828258941766</v>
      </c>
      <c r="AB92" s="21">
        <f t="shared" si="889"/>
        <v>730.22303128423539</v>
      </c>
      <c r="AC92" s="21">
        <f t="shared" si="889"/>
        <v>804.71800039714344</v>
      </c>
      <c r="AD92" s="21">
        <f t="shared" si="889"/>
        <v>892.31901955072726</v>
      </c>
      <c r="AE92" s="21">
        <f t="shared" si="889"/>
        <v>996.17905586916174</v>
      </c>
      <c r="AL92" s="162">
        <f t="shared" ref="AL92:BQ92" si="890">+AL$120/AL$65</f>
        <v>134.53665385752291</v>
      </c>
      <c r="AM92" s="162">
        <f t="shared" si="890"/>
        <v>138.4067395802542</v>
      </c>
      <c r="AN92" s="162">
        <f t="shared" si="890"/>
        <v>140.44782737215488</v>
      </c>
      <c r="AO92" s="162">
        <f t="shared" si="890"/>
        <v>144.51374519657108</v>
      </c>
      <c r="AP92" s="162">
        <f t="shared" si="890"/>
        <v>146.82751995270471</v>
      </c>
      <c r="AQ92" s="162">
        <f t="shared" si="890"/>
        <v>151.22967780076854</v>
      </c>
      <c r="AR92" s="162">
        <f t="shared" si="890"/>
        <v>155.26899201891811</v>
      </c>
      <c r="AS92" s="162">
        <f t="shared" si="890"/>
        <v>159.15311853384569</v>
      </c>
      <c r="AT92" s="162">
        <f t="shared" si="890"/>
        <v>161.46837126810522</v>
      </c>
      <c r="AU92" s="162">
        <f t="shared" si="890"/>
        <v>165.92004138338751</v>
      </c>
      <c r="AV92" s="162">
        <f t="shared" si="890"/>
        <v>171.12769731007981</v>
      </c>
      <c r="AW92" s="162">
        <f t="shared" si="890"/>
        <v>176.48167307123853</v>
      </c>
      <c r="AX92" s="162">
        <f t="shared" si="890"/>
        <v>171.11735146319833</v>
      </c>
      <c r="AY92" s="162">
        <f t="shared" si="890"/>
        <v>176.37378066804609</v>
      </c>
      <c r="AZ92" s="162">
        <f t="shared" si="890"/>
        <v>188.31067100206917</v>
      </c>
      <c r="BA92" s="162">
        <f t="shared" si="890"/>
        <v>193.87747561336093</v>
      </c>
      <c r="BB92" s="162">
        <f t="shared" si="890"/>
        <v>194.87806680461128</v>
      </c>
      <c r="BC92" s="162">
        <f t="shared" si="890"/>
        <v>201.60877919006799</v>
      </c>
      <c r="BD92" s="162">
        <f t="shared" si="890"/>
        <v>204.18932899793083</v>
      </c>
      <c r="BE92" s="162">
        <f t="shared" si="890"/>
        <v>211.15060597103161</v>
      </c>
      <c r="BF92" s="162">
        <f t="shared" si="890"/>
        <v>216.89772391368606</v>
      </c>
      <c r="BG92" s="162">
        <f t="shared" si="890"/>
        <v>223.88782146024238</v>
      </c>
      <c r="BH92" s="162">
        <f t="shared" si="890"/>
        <v>224.91279929057049</v>
      </c>
      <c r="BI92" s="162">
        <f t="shared" si="890"/>
        <v>232.48817617499259</v>
      </c>
      <c r="BJ92" s="162">
        <f t="shared" si="890"/>
        <v>286.07153414129471</v>
      </c>
      <c r="BK92" s="162">
        <f t="shared" si="890"/>
        <v>293.5382796334614</v>
      </c>
      <c r="BL92" s="162">
        <f t="shared" si="890"/>
        <v>299.56621342004138</v>
      </c>
      <c r="BM92" s="162">
        <f t="shared" si="890"/>
        <v>308.16804611291752</v>
      </c>
      <c r="BN92" s="162">
        <f t="shared" si="890"/>
        <v>331.92876145433047</v>
      </c>
      <c r="BO92" s="162">
        <f t="shared" si="890"/>
        <v>341.70780372450486</v>
      </c>
      <c r="BP92" s="162">
        <f t="shared" si="890"/>
        <v>453.3121489801951</v>
      </c>
      <c r="BQ92" s="162">
        <f t="shared" si="890"/>
        <v>462.9936446940585</v>
      </c>
      <c r="BR92" s="162">
        <f t="shared" ref="BR92:DB92" si="891">+BR$120/BR$65</f>
        <v>517.41945019213711</v>
      </c>
      <c r="BS92" s="162">
        <f t="shared" si="891"/>
        <v>526.48906296186817</v>
      </c>
      <c r="BT92" s="162">
        <f t="shared" si="891"/>
        <v>548.18799881761743</v>
      </c>
      <c r="BU92" s="162">
        <f t="shared" si="891"/>
        <v>561.89550694649722</v>
      </c>
      <c r="BV92" s="162">
        <f t="shared" si="891"/>
        <v>576.03088974283173</v>
      </c>
      <c r="BW92" s="162">
        <f t="shared" si="891"/>
        <v>589.29943836831217</v>
      </c>
      <c r="BX92" s="162">
        <f t="shared" si="891"/>
        <v>583.83757020396092</v>
      </c>
      <c r="BY92" s="162">
        <f t="shared" si="891"/>
        <v>595.50768548625479</v>
      </c>
      <c r="BZ92" s="162">
        <f t="shared" si="891"/>
        <v>529.02157848063848</v>
      </c>
      <c r="CA92" s="162">
        <f t="shared" si="891"/>
        <v>540.85353236772096</v>
      </c>
      <c r="CB92" s="162">
        <f t="shared" si="891"/>
        <v>555.14484185634046</v>
      </c>
      <c r="CC92" s="162">
        <f t="shared" si="891"/>
        <v>567.90348802837718</v>
      </c>
      <c r="CD92" s="162">
        <f t="shared" si="891"/>
        <v>586.37378066804604</v>
      </c>
      <c r="CE92" s="162">
        <f t="shared" si="891"/>
        <v>597.56059710316288</v>
      </c>
      <c r="CF92" s="162">
        <f t="shared" si="891"/>
        <v>605.56680461129179</v>
      </c>
      <c r="CG92" s="162">
        <f t="shared" si="891"/>
        <v>619.26766183860479</v>
      </c>
      <c r="CH92" s="162">
        <f t="shared" si="891"/>
        <v>623.1155778894472</v>
      </c>
      <c r="CI92" s="162">
        <f t="shared" si="891"/>
        <v>643.06384865503992</v>
      </c>
      <c r="CJ92" s="162">
        <f t="shared" si="891"/>
        <v>648.30032515518769</v>
      </c>
      <c r="CK92" s="162">
        <f t="shared" si="891"/>
        <v>662.07877623411173</v>
      </c>
      <c r="CL92" s="162">
        <f t="shared" si="891"/>
        <v>668.06828258941766</v>
      </c>
      <c r="CM92" s="21">
        <f t="shared" si="891"/>
        <v>681.71187738456331</v>
      </c>
      <c r="CN92" s="21">
        <f t="shared" si="891"/>
        <v>696.38114261059786</v>
      </c>
      <c r="CO92" s="21">
        <f t="shared" si="891"/>
        <v>711.81834341897422</v>
      </c>
      <c r="CP92" s="21">
        <f t="shared" si="891"/>
        <v>730.22303128423539</v>
      </c>
      <c r="CQ92" s="21">
        <f t="shared" si="891"/>
        <v>746.19263557715931</v>
      </c>
      <c r="CR92" s="21">
        <f t="shared" si="891"/>
        <v>763.69203064103863</v>
      </c>
      <c r="CS92" s="21">
        <f t="shared" si="891"/>
        <v>782.43728486025623</v>
      </c>
      <c r="CT92" s="21">
        <f t="shared" si="891"/>
        <v>804.71800039714344</v>
      </c>
      <c r="CU92" s="21">
        <f t="shared" si="891"/>
        <v>823.49977080908957</v>
      </c>
      <c r="CV92" s="21">
        <f t="shared" si="891"/>
        <v>844.16785667753152</v>
      </c>
      <c r="CW92" s="21">
        <f t="shared" si="891"/>
        <v>866.29002057853472</v>
      </c>
      <c r="CX92" s="21">
        <f t="shared" si="891"/>
        <v>892.31901955072726</v>
      </c>
      <c r="CY92" s="21">
        <f t="shared" si="891"/>
        <v>914.77051721696682</v>
      </c>
      <c r="CZ92" s="21">
        <f t="shared" si="891"/>
        <v>939.36910089120329</v>
      </c>
      <c r="DA92" s="21">
        <f t="shared" si="891"/>
        <v>965.60700064572825</v>
      </c>
      <c r="DB92" s="21">
        <f t="shared" si="891"/>
        <v>996.17905586916174</v>
      </c>
      <c r="DE92" s="22"/>
      <c r="DF92" s="162">
        <v>676.457409108962</v>
      </c>
    </row>
    <row r="93" spans="1:110" s="162" customFormat="1" x14ac:dyDescent="0.2">
      <c r="A93" s="49" t="s">
        <v>501</v>
      </c>
      <c r="AA93" s="21"/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si="892">+E77/E$92</f>
        <v>2.093084400357669</v>
      </c>
      <c r="F94" s="162">
        <f t="shared" si="892"/>
        <v>1.809788415395716</v>
      </c>
      <c r="G94" s="162">
        <f t="shared" si="892"/>
        <v>2.6145652489318216</v>
      </c>
      <c r="H94" s="162">
        <f t="shared" si="892"/>
        <v>3.3608581256049725</v>
      </c>
      <c r="I94" s="162">
        <f t="shared" si="892"/>
        <v>4.4372287894548954</v>
      </c>
      <c r="J94" s="162">
        <f t="shared" si="892"/>
        <v>2.1047988642179729</v>
      </c>
      <c r="K94" s="162">
        <f t="shared" si="892"/>
        <v>2.5540393773522698</v>
      </c>
      <c r="L94" s="162">
        <f t="shared" si="892"/>
        <v>2.2785520610932113</v>
      </c>
      <c r="M94" s="162">
        <f t="shared" si="892"/>
        <v>1.4798128846655649</v>
      </c>
      <c r="N94" s="162">
        <f t="shared" si="892"/>
        <v>1.4241601285436474</v>
      </c>
      <c r="O94" s="162">
        <f t="shared" si="892"/>
        <v>1.5677210105733028</v>
      </c>
      <c r="P94" s="162">
        <f t="shared" si="892"/>
        <v>1.2648393779081599</v>
      </c>
      <c r="Q94" s="162">
        <f t="shared" si="892"/>
        <v>1.5127005837335668</v>
      </c>
      <c r="R94" s="162">
        <f t="shared" si="892"/>
        <v>1.6763879397966797</v>
      </c>
      <c r="S94" s="162">
        <f t="shared" si="892"/>
        <v>2.015877666587937</v>
      </c>
      <c r="T94" s="162">
        <f t="shared" si="892"/>
        <v>2.3599020942351761</v>
      </c>
      <c r="U94" s="162">
        <f t="shared" si="892"/>
        <v>1.6599402604580522</v>
      </c>
      <c r="V94" s="162">
        <f t="shared" si="892"/>
        <v>1.9357602417691655</v>
      </c>
      <c r="W94" s="162">
        <f t="shared" si="892"/>
        <v>2.2862923212120823</v>
      </c>
      <c r="X94" s="162">
        <f t="shared" si="892"/>
        <v>2.2031709998435476</v>
      </c>
      <c r="Y94" s="162">
        <f t="shared" si="892"/>
        <v>2.5383126754137786</v>
      </c>
      <c r="Z94" s="162">
        <f t="shared" si="892"/>
        <v>2.0461693548387099</v>
      </c>
      <c r="AA94" s="21">
        <f t="shared" si="892"/>
        <v>2.0121446190944989</v>
      </c>
      <c r="AB94" s="21">
        <f t="shared" si="892"/>
        <v>1.8186224524642296</v>
      </c>
      <c r="AC94" s="21">
        <f t="shared" si="892"/>
        <v>1.6502675463262995</v>
      </c>
      <c r="AD94" s="21">
        <f t="shared" si="892"/>
        <v>1.4882569696526622</v>
      </c>
      <c r="AE94" s="21">
        <f t="shared" si="892"/>
        <v>1.3330936764589234</v>
      </c>
      <c r="AL94" s="162">
        <f t="shared" ref="AL94:CI96" si="893">+AL77/AL$92</f>
        <v>1.4241601285436474</v>
      </c>
      <c r="AM94" s="162">
        <f t="shared" si="893"/>
        <v>1.5420600841312875</v>
      </c>
      <c r="AN94" s="162">
        <f t="shared" si="893"/>
        <v>1.4500017263810836</v>
      </c>
      <c r="AO94" s="162">
        <f t="shared" si="893"/>
        <v>1.5333583660126315</v>
      </c>
      <c r="AP94" s="162">
        <f t="shared" si="893"/>
        <v>1.5677210105733028</v>
      </c>
      <c r="AQ94" s="162">
        <f t="shared" si="893"/>
        <v>1.6616038178690742</v>
      </c>
      <c r="AR94" s="162">
        <f t="shared" si="893"/>
        <v>1.5077687670852713</v>
      </c>
      <c r="AS94" s="162">
        <f t="shared" si="893"/>
        <v>1.386636112674684</v>
      </c>
      <c r="AT94" s="162">
        <f t="shared" si="893"/>
        <v>1.2648393779081599</v>
      </c>
      <c r="AU94" s="162">
        <f t="shared" si="893"/>
        <v>1.4932185935014002</v>
      </c>
      <c r="AV94" s="162">
        <f t="shared" si="893"/>
        <v>1.2452524820462894</v>
      </c>
      <c r="AW94" s="162">
        <f t="shared" si="893"/>
        <v>1.4209053801295604</v>
      </c>
      <c r="AX94" s="162">
        <f t="shared" ref="AX94" si="894">+AX77/AX$92</f>
        <v>1.5127005837335668</v>
      </c>
      <c r="AY94" s="162">
        <f t="shared" si="893"/>
        <v>1.3611883973305465</v>
      </c>
      <c r="AZ94" s="162">
        <f t="shared" si="893"/>
        <v>1.4230472293408452</v>
      </c>
      <c r="BA94" s="162">
        <f t="shared" si="893"/>
        <v>1.379632630742933</v>
      </c>
      <c r="BB94" s="162">
        <f t="shared" si="893"/>
        <v>1.6763879397966797</v>
      </c>
      <c r="BC94" s="162">
        <f t="shared" si="893"/>
        <v>1.6954116531812562</v>
      </c>
      <c r="BD94" s="162">
        <f t="shared" si="893"/>
        <v>1.8972032119935105</v>
      </c>
      <c r="BE94" s="162">
        <f t="shared" si="893"/>
        <v>2.1604674042777234</v>
      </c>
      <c r="BF94" s="162">
        <f t="shared" si="893"/>
        <v>2.015877666587937</v>
      </c>
      <c r="BG94" s="162">
        <f t="shared" si="893"/>
        <v>2.1523698283063335</v>
      </c>
      <c r="BH94" s="162">
        <f t="shared" si="893"/>
        <v>2.7707181750187062</v>
      </c>
      <c r="BI94" s="162">
        <f t="shared" si="893"/>
        <v>2.3882564319573172</v>
      </c>
      <c r="BJ94" s="162">
        <f t="shared" si="893"/>
        <v>2.3599020942351761</v>
      </c>
      <c r="BK94" s="162">
        <f t="shared" si="893"/>
        <v>2.1124985905321081</v>
      </c>
      <c r="BL94" s="162">
        <f t="shared" si="893"/>
        <v>2.2032502223907331</v>
      </c>
      <c r="BM94" s="162">
        <f t="shared" si="893"/>
        <v>2.4334576819705243</v>
      </c>
      <c r="BN94" s="162">
        <f t="shared" si="893"/>
        <v>1.6599402604580522</v>
      </c>
      <c r="BO94" s="162">
        <f t="shared" si="893"/>
        <v>2.4924072283893346</v>
      </c>
      <c r="BP94" s="162">
        <f t="shared" si="893"/>
        <v>2.4638099872518429</v>
      </c>
      <c r="BQ94" s="162">
        <f t="shared" si="893"/>
        <v>2.1432799593949468</v>
      </c>
      <c r="BR94" s="162">
        <f t="shared" si="893"/>
        <v>1.9357602417691655</v>
      </c>
      <c r="BS94" s="162">
        <f t="shared" si="893"/>
        <v>2.0046950150537937</v>
      </c>
      <c r="BT94" s="162">
        <f t="shared" si="893"/>
        <v>2.2957452602290624</v>
      </c>
      <c r="BU94" s="162">
        <f t="shared" si="893"/>
        <v>2.1072868271088447</v>
      </c>
      <c r="BV94" s="162">
        <f t="shared" si="893"/>
        <v>2.2862923212120823</v>
      </c>
      <c r="BW94" s="162">
        <f t="shared" si="893"/>
        <v>2.2009608622592296</v>
      </c>
      <c r="BX94" s="162">
        <f t="shared" si="893"/>
        <v>2.0362684086683234</v>
      </c>
      <c r="BY94" s="162">
        <f t="shared" si="893"/>
        <v>2.1395189869961939</v>
      </c>
      <c r="BZ94" s="162">
        <f t="shared" si="893"/>
        <v>2.2031709998435476</v>
      </c>
      <c r="CA94" s="162">
        <f t="shared" si="893"/>
        <v>2.3580321171553376</v>
      </c>
      <c r="CB94" s="162">
        <f t="shared" si="893"/>
        <v>2.1134124133744754</v>
      </c>
      <c r="CC94" s="162">
        <f t="shared" si="893"/>
        <v>2.2757828174061498</v>
      </c>
      <c r="CD94" s="162">
        <f t="shared" si="893"/>
        <v>2.5383126754137786</v>
      </c>
      <c r="CE94" s="162">
        <f t="shared" si="893"/>
        <v>2.620529210913916</v>
      </c>
      <c r="CF94" s="162">
        <f t="shared" si="893"/>
        <v>2.4388721256740777</v>
      </c>
      <c r="CG94" s="162">
        <f t="shared" si="893"/>
        <v>1.9627215740465613</v>
      </c>
      <c r="CH94" s="162">
        <f t="shared" si="893"/>
        <v>2.0461693548387099</v>
      </c>
      <c r="CI94" s="162">
        <f t="shared" si="893"/>
        <v>2.333594095109826</v>
      </c>
      <c r="CJ94" s="162">
        <f>+CJ77/CJ$92</f>
        <v>2.1036546598577419</v>
      </c>
      <c r="CK94" s="162">
        <f>+CK77/CK$92</f>
        <v>2.3704127912492678</v>
      </c>
      <c r="CL94" s="162">
        <f>+CL77/CL$92</f>
        <v>2.0121446190944989</v>
      </c>
      <c r="CM94" s="21">
        <f t="shared" ref="CM94:DB94" si="895">+CM77/CM$92</f>
        <v>1.9480370579649684</v>
      </c>
      <c r="CN94" s="21">
        <f t="shared" si="895"/>
        <v>1.9070016672501864</v>
      </c>
      <c r="CO94" s="21">
        <f t="shared" si="895"/>
        <v>1.8656445317514712</v>
      </c>
      <c r="CP94" s="21">
        <f t="shared" si="895"/>
        <v>1.8186224524642296</v>
      </c>
      <c r="CQ94" s="21">
        <f t="shared" si="895"/>
        <v>1.7797012951928008</v>
      </c>
      <c r="CR94" s="21">
        <f t="shared" si="895"/>
        <v>1.7389208564678678</v>
      </c>
      <c r="CS94" s="21">
        <f t="shared" si="895"/>
        <v>1.6972606312302483</v>
      </c>
      <c r="CT94" s="21">
        <f t="shared" si="895"/>
        <v>1.6502675463262995</v>
      </c>
      <c r="CU94" s="21">
        <f t="shared" si="895"/>
        <v>1.6126294712811375</v>
      </c>
      <c r="CV94" s="21">
        <f t="shared" si="895"/>
        <v>1.5731468445466887</v>
      </c>
      <c r="CW94" s="21">
        <f t="shared" si="895"/>
        <v>1.5329739099535296</v>
      </c>
      <c r="CX94" s="21">
        <f t="shared" si="895"/>
        <v>1.4882569696526622</v>
      </c>
      <c r="CY94" s="21">
        <f t="shared" si="895"/>
        <v>1.4517302153989542</v>
      </c>
      <c r="CZ94" s="21">
        <f t="shared" si="895"/>
        <v>1.4137147993691646</v>
      </c>
      <c r="DA94" s="21">
        <f t="shared" si="895"/>
        <v>1.3753007166600175</v>
      </c>
      <c r="DB94" s="21">
        <f t="shared" si="895"/>
        <v>1.3330936764589234</v>
      </c>
      <c r="DE94" s="22"/>
      <c r="DF94" s="162">
        <v>1.9871908887370493</v>
      </c>
    </row>
    <row r="95" spans="1:110" s="162" customFormat="1" x14ac:dyDescent="0.2">
      <c r="A95" s="49" t="s">
        <v>503</v>
      </c>
      <c r="E95" s="162">
        <f t="shared" si="892"/>
        <v>2.3747298061487609</v>
      </c>
      <c r="F95" s="162">
        <f t="shared" si="892"/>
        <v>1.9919440586341002</v>
      </c>
      <c r="G95" s="162">
        <f t="shared" si="892"/>
        <v>2.6547893296846126</v>
      </c>
      <c r="H95" s="162">
        <f t="shared" si="892"/>
        <v>3.5491211981577688</v>
      </c>
      <c r="I95" s="162">
        <f t="shared" si="892"/>
        <v>6.3724052754189833</v>
      </c>
      <c r="J95" s="162">
        <f t="shared" si="892"/>
        <v>3.740052918784381</v>
      </c>
      <c r="K95" s="162">
        <f t="shared" si="892"/>
        <v>2.9588973384856239</v>
      </c>
      <c r="L95" s="162">
        <f t="shared" si="892"/>
        <v>2.5812572022500873</v>
      </c>
      <c r="M95" s="162">
        <f t="shared" si="892"/>
        <v>2.1073366110997629</v>
      </c>
      <c r="N95" s="162">
        <f t="shared" si="892"/>
        <v>1.7575133653011199</v>
      </c>
      <c r="O95" s="162">
        <f t="shared" si="892"/>
        <v>1.5842499679736508</v>
      </c>
      <c r="P95" s="162">
        <f t="shared" si="892"/>
        <v>1.7522480771917872</v>
      </c>
      <c r="Q95" s="162">
        <f t="shared" si="892"/>
        <v>1.5767398095936089</v>
      </c>
      <c r="R95" s="162">
        <f t="shared" si="892"/>
        <v>1.6977367249608577</v>
      </c>
      <c r="S95" s="162">
        <f t="shared" si="892"/>
        <v>2.2606693361146992</v>
      </c>
      <c r="T95" s="162">
        <f t="shared" si="892"/>
        <v>2.4006751358104976</v>
      </c>
      <c r="U95" s="162">
        <f t="shared" si="892"/>
        <v>2.4139973512239075</v>
      </c>
      <c r="V95" s="162">
        <f t="shared" si="892"/>
        <v>2.2890519472358224</v>
      </c>
      <c r="W95" s="162">
        <f t="shared" si="892"/>
        <v>2.3870247663521429</v>
      </c>
      <c r="X95" s="162">
        <f t="shared" si="892"/>
        <v>2.6983776429305797</v>
      </c>
      <c r="Y95" s="162">
        <f t="shared" si="892"/>
        <v>2.579242199876242</v>
      </c>
      <c r="Z95" s="162">
        <f t="shared" si="892"/>
        <v>2.582105241935484</v>
      </c>
      <c r="AA95" s="21">
        <f t="shared" si="892"/>
        <v>2.4117295222503681</v>
      </c>
      <c r="AB95" s="21">
        <f t="shared" si="892"/>
        <v>2.4813128193344554</v>
      </c>
      <c r="AC95" s="21">
        <f t="shared" si="892"/>
        <v>2.5052613348060744</v>
      </c>
      <c r="AD95" s="21">
        <f t="shared" si="892"/>
        <v>2.5815324029417357</v>
      </c>
      <c r="AE95" s="21">
        <f t="shared" si="892"/>
        <v>2.6422707506679544</v>
      </c>
      <c r="AL95" s="162">
        <f t="shared" si="893"/>
        <v>1.7575133653011199</v>
      </c>
      <c r="AM95" s="162">
        <f t="shared" si="893"/>
        <v>1.5620101565778459</v>
      </c>
      <c r="AN95" s="162">
        <f t="shared" si="893"/>
        <v>1.636111876827393</v>
      </c>
      <c r="AO95" s="162">
        <f t="shared" si="893"/>
        <v>1.5851100676818057</v>
      </c>
      <c r="AP95" s="162">
        <f t="shared" si="893"/>
        <v>1.5842499679736508</v>
      </c>
      <c r="AQ95" s="162">
        <f t="shared" si="893"/>
        <v>1.870880419745159</v>
      </c>
      <c r="AR95" s="162">
        <f t="shared" si="893"/>
        <v>1.6745188856643849</v>
      </c>
      <c r="AS95" s="162">
        <f t="shared" si="893"/>
        <v>1.5812148546260607</v>
      </c>
      <c r="AT95" s="162">
        <f t="shared" si="893"/>
        <v>1.4464290254700893</v>
      </c>
      <c r="AU95" s="162">
        <f t="shared" si="893"/>
        <v>1.5131440952488582</v>
      </c>
      <c r="AV95" s="162">
        <f t="shared" si="893"/>
        <v>1.5440841352044063</v>
      </c>
      <c r="AW95" s="162">
        <f t="shared" si="893"/>
        <v>1.4291844061445349</v>
      </c>
      <c r="AX95" s="162">
        <f t="shared" ref="AX95" si="896">+AX78/AX$92</f>
        <v>1.5767398095936089</v>
      </c>
      <c r="AY95" s="162">
        <f t="shared" si="893"/>
        <v>1.5023689567731058</v>
      </c>
      <c r="AZ95" s="162">
        <f t="shared" si="893"/>
        <v>1.4845929370694777</v>
      </c>
      <c r="BA95" s="162">
        <f t="shared" si="893"/>
        <v>1.4367288057213696</v>
      </c>
      <c r="BB95" s="162">
        <f t="shared" si="893"/>
        <v>1.6977367249608577</v>
      </c>
      <c r="BC95" s="162">
        <f t="shared" si="893"/>
        <v>1.7995131837786893</v>
      </c>
      <c r="BD95" s="162">
        <f t="shared" si="893"/>
        <v>2.1153882518436902</v>
      </c>
      <c r="BE95" s="162">
        <f t="shared" si="893"/>
        <v>2.249485088434219</v>
      </c>
      <c r="BF95" s="162">
        <f t="shared" si="893"/>
        <v>2.2606693361146992</v>
      </c>
      <c r="BG95" s="162">
        <f t="shared" si="893"/>
        <v>2.2914072338349358</v>
      </c>
      <c r="BH95" s="162">
        <f t="shared" si="893"/>
        <v>2.9260783460945059</v>
      </c>
      <c r="BI95" s="162">
        <f t="shared" si="893"/>
        <v>2.6842719809698252</v>
      </c>
      <c r="BJ95" s="162">
        <f t="shared" si="893"/>
        <v>2.4006751358104976</v>
      </c>
      <c r="BK95" s="162">
        <f t="shared" si="893"/>
        <v>2.3909029574952041</v>
      </c>
      <c r="BL95" s="162">
        <f t="shared" si="893"/>
        <v>2.2088716022167345</v>
      </c>
      <c r="BM95" s="162">
        <f t="shared" si="893"/>
        <v>2.6001240591056818</v>
      </c>
      <c r="BN95" s="162">
        <f t="shared" si="893"/>
        <v>2.4016125211984667</v>
      </c>
      <c r="BO95" s="162">
        <f t="shared" si="893"/>
        <v>2.6398285030893232</v>
      </c>
      <c r="BP95" s="162">
        <f t="shared" si="893"/>
        <v>2.6127691540244729</v>
      </c>
      <c r="BQ95" s="162">
        <f t="shared" si="893"/>
        <v>2.4939867171676062</v>
      </c>
      <c r="BR95" s="162">
        <f t="shared" si="893"/>
        <v>2.1558911238952718</v>
      </c>
      <c r="BS95" s="162">
        <f t="shared" si="893"/>
        <v>2.16006386457902</v>
      </c>
      <c r="BT95" s="162">
        <f t="shared" si="893"/>
        <v>2.3395258611392706</v>
      </c>
      <c r="BU95" s="162">
        <f t="shared" si="893"/>
        <v>2.4470742033018698</v>
      </c>
      <c r="BV95" s="162">
        <f t="shared" si="893"/>
        <v>2.3332082079834766</v>
      </c>
      <c r="BW95" s="162">
        <f t="shared" si="893"/>
        <v>2.422367827046549</v>
      </c>
      <c r="BX95" s="162">
        <f t="shared" si="893"/>
        <v>2.2931035416790606</v>
      </c>
      <c r="BY95" s="162">
        <f t="shared" si="893"/>
        <v>2.3129004605126817</v>
      </c>
      <c r="BZ95" s="162">
        <f t="shared" si="893"/>
        <v>2.4620923852308794</v>
      </c>
      <c r="CA95" s="162">
        <f t="shared" si="893"/>
        <v>2.3888167917549663</v>
      </c>
      <c r="CB95" s="162">
        <f t="shared" si="893"/>
        <v>2.5714009973083858</v>
      </c>
      <c r="CC95" s="162">
        <f t="shared" si="893"/>
        <v>2.3021517345120999</v>
      </c>
      <c r="CD95" s="162">
        <f t="shared" si="893"/>
        <v>2.579242199876242</v>
      </c>
      <c r="CE95" s="162">
        <f t="shared" si="893"/>
        <v>2.6452965735408145</v>
      </c>
      <c r="CF95" s="162">
        <f t="shared" si="893"/>
        <v>2.6569322950797667</v>
      </c>
      <c r="CG95" s="162">
        <f t="shared" si="893"/>
        <v>2.4044530204906245</v>
      </c>
      <c r="CH95" s="162">
        <f t="shared" si="893"/>
        <v>2.1265717741935486</v>
      </c>
      <c r="CI95" s="162">
        <f t="shared" si="893"/>
        <v>2.3713819447157762</v>
      </c>
      <c r="CJ95" s="162">
        <f t="shared" ref="CJ95:CK96" si="897">+CJ78/CJ$92</f>
        <v>2.3924097209556812</v>
      </c>
      <c r="CK95" s="162">
        <f t="shared" si="897"/>
        <v>2.3877823255294808</v>
      </c>
      <c r="CL95" s="162">
        <f t="shared" ref="CL95" si="898">+CL78/CL$92</f>
        <v>2.4117295222503681</v>
      </c>
      <c r="CM95" s="94">
        <f t="shared" ref="CM95:DB95" si="899">+CL95</f>
        <v>2.4117295222503681</v>
      </c>
      <c r="CN95" s="94">
        <f t="shared" si="899"/>
        <v>2.4117295222503681</v>
      </c>
      <c r="CO95" s="94">
        <f t="shared" si="899"/>
        <v>2.4117295222503681</v>
      </c>
      <c r="CP95" s="94">
        <f t="shared" si="899"/>
        <v>2.4117295222503681</v>
      </c>
      <c r="CQ95" s="94">
        <f t="shared" si="899"/>
        <v>2.4117295222503681</v>
      </c>
      <c r="CR95" s="94">
        <f t="shared" si="899"/>
        <v>2.4117295222503681</v>
      </c>
      <c r="CS95" s="94">
        <f t="shared" si="899"/>
        <v>2.4117295222503681</v>
      </c>
      <c r="CT95" s="94">
        <f t="shared" si="899"/>
        <v>2.4117295222503681</v>
      </c>
      <c r="CU95" s="94">
        <f t="shared" si="899"/>
        <v>2.4117295222503681</v>
      </c>
      <c r="CV95" s="94">
        <f t="shared" si="899"/>
        <v>2.4117295222503681</v>
      </c>
      <c r="CW95" s="94">
        <f t="shared" si="899"/>
        <v>2.4117295222503681</v>
      </c>
      <c r="CX95" s="94">
        <f t="shared" si="899"/>
        <v>2.4117295222503681</v>
      </c>
      <c r="CY95" s="94">
        <f t="shared" si="899"/>
        <v>2.4117295222503681</v>
      </c>
      <c r="CZ95" s="94">
        <f t="shared" si="899"/>
        <v>2.4117295222503681</v>
      </c>
      <c r="DA95" s="94">
        <f t="shared" si="899"/>
        <v>2.4117295222503681</v>
      </c>
      <c r="DB95" s="94">
        <f t="shared" si="899"/>
        <v>2.4117295222503681</v>
      </c>
      <c r="DC95" s="94"/>
      <c r="DE95" s="22"/>
      <c r="DF95" s="162">
        <v>2.381820316111686</v>
      </c>
    </row>
    <row r="96" spans="1:110" s="162" customFormat="1" x14ac:dyDescent="0.2">
      <c r="A96" s="49" t="s">
        <v>504</v>
      </c>
      <c r="E96" s="162">
        <f t="shared" si="892"/>
        <v>1.0036535178743231</v>
      </c>
      <c r="F96" s="162">
        <f t="shared" si="892"/>
        <v>1.3379075088446033</v>
      </c>
      <c r="G96" s="162">
        <f t="shared" si="892"/>
        <v>1.3670860014867114</v>
      </c>
      <c r="H96" s="162">
        <f t="shared" si="892"/>
        <v>1.9550868330336211</v>
      </c>
      <c r="I96" s="162">
        <f t="shared" si="892"/>
        <v>2.5571135218541099</v>
      </c>
      <c r="J96" s="162">
        <f t="shared" si="892"/>
        <v>1.2850990964566167</v>
      </c>
      <c r="K96" s="162">
        <f t="shared" si="892"/>
        <v>1.7795569113450425</v>
      </c>
      <c r="L96" s="162">
        <f t="shared" si="892"/>
        <v>1.8278649885015263</v>
      </c>
      <c r="M96" s="162">
        <f t="shared" si="892"/>
        <v>1.3597665871724807</v>
      </c>
      <c r="N96" s="162">
        <f t="shared" si="892"/>
        <v>1.2351188396701402</v>
      </c>
      <c r="O96" s="162">
        <f t="shared" si="892"/>
        <v>1.2902706542104145</v>
      </c>
      <c r="P96" s="162">
        <f t="shared" si="892"/>
        <v>1.2219725649912996</v>
      </c>
      <c r="Q96" s="162">
        <f t="shared" si="892"/>
        <v>1.1780323129960526</v>
      </c>
      <c r="R96" s="162">
        <f t="shared" si="892"/>
        <v>1.1763434777666655</v>
      </c>
      <c r="S96" s="162">
        <f t="shared" si="892"/>
        <v>1.4785690859942131</v>
      </c>
      <c r="T96" s="162">
        <f t="shared" si="892"/>
        <v>1.5341397936259054</v>
      </c>
      <c r="U96" s="162">
        <f t="shared" si="892"/>
        <v>1.3066741750938182</v>
      </c>
      <c r="V96" s="162">
        <f t="shared" si="892"/>
        <v>1.000060958758352</v>
      </c>
      <c r="W96" s="162">
        <f t="shared" si="892"/>
        <v>1.6297737095646485</v>
      </c>
      <c r="X96" s="162">
        <f t="shared" si="892"/>
        <v>2.0604074471413885</v>
      </c>
      <c r="Y96" s="162">
        <f t="shared" si="892"/>
        <v>1.8938858397365537</v>
      </c>
      <c r="Z96" s="162">
        <f t="shared" si="892"/>
        <v>1.8551935483870969</v>
      </c>
      <c r="AA96" s="21">
        <f t="shared" si="892"/>
        <v>1.6698143424443879</v>
      </c>
      <c r="AB96" s="21">
        <f t="shared" si="892"/>
        <v>1.7173420020501173</v>
      </c>
      <c r="AC96" s="21">
        <f t="shared" si="892"/>
        <v>1.781385150562645</v>
      </c>
      <c r="AD96" s="21">
        <f t="shared" si="892"/>
        <v>1.805416226284982</v>
      </c>
      <c r="AE96" s="21">
        <f t="shared" si="892"/>
        <v>1.8670094037794154</v>
      </c>
      <c r="AL96" s="162">
        <f t="shared" si="893"/>
        <v>1.4081459200412219</v>
      </c>
      <c r="AM96" s="162">
        <f t="shared" si="893"/>
        <v>1.3687717866919284</v>
      </c>
      <c r="AN96" s="162">
        <f t="shared" si="893"/>
        <v>1.3488798208567285</v>
      </c>
      <c r="AO96" s="162">
        <f t="shared" si="893"/>
        <v>1.4026082058352012</v>
      </c>
      <c r="AP96" s="162">
        <f t="shared" si="893"/>
        <v>1.3391828750889756</v>
      </c>
      <c r="AQ96" s="162">
        <f t="shared" si="893"/>
        <v>1.5147171888527549</v>
      </c>
      <c r="AR96" s="162">
        <f t="shared" si="893"/>
        <v>1.4643068758248143</v>
      </c>
      <c r="AS96" s="162">
        <f t="shared" si="893"/>
        <v>1.3380886776576324</v>
      </c>
      <c r="AT96" s="162">
        <f t="shared" si="893"/>
        <v>1.2219725649912996</v>
      </c>
      <c r="AU96" s="162">
        <f t="shared" si="893"/>
        <v>1.2149332151633194</v>
      </c>
      <c r="AV96" s="162">
        <f t="shared" si="893"/>
        <v>1.1851967260847285</v>
      </c>
      <c r="AW96" s="162">
        <f t="shared" si="893"/>
        <v>1.2050894138408705</v>
      </c>
      <c r="AX96" s="162">
        <f t="shared" ref="AX96" si="900">+AX79/AX$92</f>
        <v>1.2858497667039186</v>
      </c>
      <c r="AY96" s="162">
        <f t="shared" si="893"/>
        <v>1.2997597600793132</v>
      </c>
      <c r="AZ96" s="162">
        <f t="shared" si="893"/>
        <v>1.2758898640666199</v>
      </c>
      <c r="BA96" s="162">
        <f t="shared" si="893"/>
        <v>1.1904616348971502</v>
      </c>
      <c r="BB96" s="162">
        <f t="shared" si="893"/>
        <v>1.2886152140318534</v>
      </c>
      <c r="BC96" s="162">
        <f t="shared" si="893"/>
        <v>1.5906959542617121</v>
      </c>
      <c r="BD96" s="162">
        <f t="shared" si="893"/>
        <v>1.6641005735321228</v>
      </c>
      <c r="BE96" s="162">
        <f t="shared" si="893"/>
        <v>1.8442728371026111</v>
      </c>
      <c r="BF96" s="162">
        <f t="shared" si="893"/>
        <v>1.9914441697228615</v>
      </c>
      <c r="BG96" s="162">
        <f t="shared" si="893"/>
        <v>1.9602393800937781</v>
      </c>
      <c r="BH96" s="162">
        <f t="shared" si="893"/>
        <v>2.1086482184781135</v>
      </c>
      <c r="BI96" s="162">
        <f t="shared" si="893"/>
        <v>2.1665909560684997</v>
      </c>
      <c r="BJ96" s="162">
        <f t="shared" si="893"/>
        <v>1.8720106668073688</v>
      </c>
      <c r="BK96" s="162">
        <f t="shared" si="893"/>
        <v>2.0703161106892152</v>
      </c>
      <c r="BL96" s="162">
        <f t="shared" si="893"/>
        <v>1.8114896489287173</v>
      </c>
      <c r="BM96" s="162">
        <f t="shared" si="893"/>
        <v>2.0591413923391033</v>
      </c>
      <c r="BN96" s="162">
        <f t="shared" si="893"/>
        <v>1.3066741750938182</v>
      </c>
      <c r="BO96" s="162">
        <f t="shared" si="893"/>
        <v>1.5143083821888732</v>
      </c>
      <c r="BP96" s="162">
        <f t="shared" si="893"/>
        <v>1.8847388094981921</v>
      </c>
      <c r="BQ96" s="162">
        <f t="shared" si="893"/>
        <v>1.9816686697854669</v>
      </c>
      <c r="BR96" s="162">
        <f t="shared" si="893"/>
        <v>1.7683911953062963</v>
      </c>
      <c r="BS96" s="162">
        <f t="shared" si="893"/>
        <v>1.7831329576318171</v>
      </c>
      <c r="BT96" s="162">
        <f t="shared" si="893"/>
        <v>1.8393324957401378</v>
      </c>
      <c r="BU96" s="162">
        <f t="shared" si="893"/>
        <v>2.000371930553674</v>
      </c>
      <c r="BV96" s="162">
        <f t="shared" si="893"/>
        <v>1.893127641968736</v>
      </c>
      <c r="BW96" s="162">
        <f t="shared" si="893"/>
        <v>2.0108622592295347</v>
      </c>
      <c r="BX96" s="162">
        <f t="shared" si="893"/>
        <v>1.9813301833177439</v>
      </c>
      <c r="BY96" s="162">
        <f t="shared" si="893"/>
        <v>1.9677327909600033</v>
      </c>
      <c r="BZ96" s="162">
        <f t="shared" si="893"/>
        <v>2.0604074471413885</v>
      </c>
      <c r="CA96" s="162">
        <f t="shared" si="893"/>
        <v>2.134126766163444</v>
      </c>
      <c r="CB96" s="162">
        <f t="shared" si="893"/>
        <v>2.0946335304344124</v>
      </c>
      <c r="CC96" s="162">
        <f t="shared" si="893"/>
        <v>1.9554819144630946</v>
      </c>
      <c r="CD96" s="162">
        <f t="shared" si="893"/>
        <v>2.1899853682696881</v>
      </c>
      <c r="CE96" s="162">
        <f t="shared" si="893"/>
        <v>2.2752085840179368</v>
      </c>
      <c r="CF96" s="162">
        <f t="shared" si="893"/>
        <v>2.3662129249633597</v>
      </c>
      <c r="CG96" s="162">
        <f t="shared" si="893"/>
        <v>1.9411638522040158</v>
      </c>
      <c r="CH96" s="162">
        <f t="shared" si="893"/>
        <v>1.8551935483870969</v>
      </c>
      <c r="CI96" s="162">
        <f t="shared" si="893"/>
        <v>1.7347422069101832</v>
      </c>
      <c r="CJ96" s="162">
        <f t="shared" si="897"/>
        <v>2.0695655207003467</v>
      </c>
      <c r="CK96" s="162">
        <f t="shared" si="897"/>
        <v>2.0499071239222033</v>
      </c>
      <c r="CL96" s="162">
        <f t="shared" ref="CL96" si="901">+CL79/CL$92</f>
        <v>1.9563868455692843</v>
      </c>
      <c r="CM96" s="94">
        <f t="shared" ref="CM96:DB96" si="902">+CL96</f>
        <v>1.9563868455692843</v>
      </c>
      <c r="CN96" s="94">
        <f t="shared" si="902"/>
        <v>1.9563868455692843</v>
      </c>
      <c r="CO96" s="94">
        <f t="shared" si="902"/>
        <v>1.9563868455692843</v>
      </c>
      <c r="CP96" s="94">
        <f t="shared" si="902"/>
        <v>1.9563868455692843</v>
      </c>
      <c r="CQ96" s="94">
        <f t="shared" si="902"/>
        <v>1.9563868455692843</v>
      </c>
      <c r="CR96" s="94">
        <f t="shared" si="902"/>
        <v>1.9563868455692843</v>
      </c>
      <c r="CS96" s="94">
        <f t="shared" si="902"/>
        <v>1.9563868455692843</v>
      </c>
      <c r="CT96" s="94">
        <f t="shared" si="902"/>
        <v>1.9563868455692843</v>
      </c>
      <c r="CU96" s="94">
        <f t="shared" si="902"/>
        <v>1.9563868455692843</v>
      </c>
      <c r="CV96" s="94">
        <f t="shared" si="902"/>
        <v>1.9563868455692843</v>
      </c>
      <c r="CW96" s="94">
        <f t="shared" si="902"/>
        <v>1.9563868455692843</v>
      </c>
      <c r="CX96" s="94">
        <f t="shared" si="902"/>
        <v>1.9563868455692843</v>
      </c>
      <c r="CY96" s="94">
        <f t="shared" si="902"/>
        <v>1.9563868455692843</v>
      </c>
      <c r="CZ96" s="94">
        <f t="shared" si="902"/>
        <v>1.9563868455692843</v>
      </c>
      <c r="DA96" s="94">
        <f t="shared" si="902"/>
        <v>1.9563868455692843</v>
      </c>
      <c r="DB96" s="94">
        <f t="shared" si="902"/>
        <v>1.9563868455692843</v>
      </c>
      <c r="DC96" s="94"/>
      <c r="DE96" s="22"/>
      <c r="DF96" s="162">
        <v>1.9321245985339957</v>
      </c>
    </row>
    <row r="97" spans="1:110" s="4" customFormat="1" x14ac:dyDescent="0.2">
      <c r="A97" s="3"/>
      <c r="AA97" s="17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03">+E10</f>
        <v>52025.340000000011</v>
      </c>
      <c r="F98" s="177">
        <f t="shared" si="903"/>
        <v>66597.66</v>
      </c>
      <c r="G98" s="177">
        <f t="shared" si="903"/>
        <v>83024.81</v>
      </c>
      <c r="H98" s="177">
        <f t="shared" si="903"/>
        <v>113770.11</v>
      </c>
      <c r="I98" s="177">
        <f t="shared" si="903"/>
        <v>137146.66</v>
      </c>
      <c r="J98" s="177">
        <f t="shared" si="903"/>
        <v>151224.01</v>
      </c>
      <c r="K98" s="177">
        <f t="shared" si="903"/>
        <v>203739.72</v>
      </c>
      <c r="L98" s="177">
        <f t="shared" si="903"/>
        <v>265811</v>
      </c>
      <c r="M98" s="177">
        <f t="shared" si="903"/>
        <v>358501</v>
      </c>
      <c r="N98" s="177">
        <f t="shared" si="903"/>
        <v>397062</v>
      </c>
      <c r="O98" s="177">
        <f t="shared" si="903"/>
        <v>434460</v>
      </c>
      <c r="P98" s="177">
        <f t="shared" si="903"/>
        <v>375435</v>
      </c>
      <c r="Q98" s="177">
        <f t="shared" si="903"/>
        <v>273999</v>
      </c>
      <c r="R98" s="177">
        <f t="shared" si="903"/>
        <v>305382</v>
      </c>
      <c r="S98" s="177">
        <f t="shared" si="903"/>
        <v>391677</v>
      </c>
      <c r="T98" s="177">
        <f t="shared" si="903"/>
        <v>569209</v>
      </c>
      <c r="U98" s="177">
        <f t="shared" si="903"/>
        <v>597535</v>
      </c>
      <c r="V98" s="177">
        <f t="shared" si="903"/>
        <v>466924</v>
      </c>
      <c r="W98" s="177">
        <f t="shared" si="903"/>
        <v>695963</v>
      </c>
      <c r="X98" s="177">
        <f t="shared" si="903"/>
        <v>877835</v>
      </c>
      <c r="Y98" s="177">
        <f t="shared" si="903"/>
        <v>901064</v>
      </c>
      <c r="Z98" s="177">
        <f>+Z10</f>
        <v>964693</v>
      </c>
      <c r="AA98" s="178">
        <f t="shared" ref="AA98:AE98" si="904">+AA10</f>
        <v>1057219</v>
      </c>
      <c r="AB98" s="178">
        <f t="shared" si="904"/>
        <v>1167594.3709952498</v>
      </c>
      <c r="AC98" s="178">
        <f t="shared" si="904"/>
        <v>1291252.1821896893</v>
      </c>
      <c r="AD98" s="178">
        <f t="shared" si="904"/>
        <v>1428331.59273047</v>
      </c>
      <c r="AE98" s="178">
        <f t="shared" si="904"/>
        <v>1580016.2066968512</v>
      </c>
      <c r="AL98" s="177">
        <f t="shared" ref="AL98:BQ98" si="905">+SUM(AI8:AL8)</f>
        <v>360296</v>
      </c>
      <c r="AM98" s="177">
        <f t="shared" si="905"/>
        <v>365923</v>
      </c>
      <c r="AN98" s="177">
        <f t="shared" si="905"/>
        <v>391078</v>
      </c>
      <c r="AO98" s="177">
        <f t="shared" si="905"/>
        <v>415230</v>
      </c>
      <c r="AP98" s="177">
        <f t="shared" si="905"/>
        <v>434460</v>
      </c>
      <c r="AQ98" s="177">
        <f t="shared" si="905"/>
        <v>441597</v>
      </c>
      <c r="AR98" s="177">
        <f t="shared" si="905"/>
        <v>435903</v>
      </c>
      <c r="AS98" s="177">
        <f t="shared" si="905"/>
        <v>411393</v>
      </c>
      <c r="AT98" s="177">
        <f t="shared" si="905"/>
        <v>375435</v>
      </c>
      <c r="AU98" s="177">
        <f t="shared" si="905"/>
        <v>347410</v>
      </c>
      <c r="AV98" s="177">
        <f t="shared" si="905"/>
        <v>312103</v>
      </c>
      <c r="AW98" s="177">
        <f t="shared" si="905"/>
        <v>291088</v>
      </c>
      <c r="AX98" s="177">
        <f t="shared" si="905"/>
        <v>287572</v>
      </c>
      <c r="AY98" s="177">
        <f t="shared" si="905"/>
        <v>282408</v>
      </c>
      <c r="AZ98" s="177">
        <f t="shared" si="905"/>
        <v>289569</v>
      </c>
      <c r="BA98" s="177">
        <f t="shared" si="905"/>
        <v>301245</v>
      </c>
      <c r="BB98" s="177">
        <f t="shared" si="905"/>
        <v>330180</v>
      </c>
      <c r="BC98" s="177">
        <f t="shared" si="905"/>
        <v>349266</v>
      </c>
      <c r="BD98" s="177">
        <f t="shared" si="905"/>
        <v>368784</v>
      </c>
      <c r="BE98" s="177">
        <f t="shared" si="905"/>
        <v>394500</v>
      </c>
      <c r="BF98" s="177">
        <f t="shared" si="905"/>
        <v>430731</v>
      </c>
      <c r="BG98" s="177">
        <f t="shared" si="905"/>
        <v>481893</v>
      </c>
      <c r="BH98" s="177">
        <f t="shared" si="905"/>
        <v>537015</v>
      </c>
      <c r="BI98" s="177">
        <f t="shared" si="905"/>
        <v>598410</v>
      </c>
      <c r="BJ98" s="177">
        <f t="shared" si="905"/>
        <v>624441</v>
      </c>
      <c r="BK98" s="177">
        <f t="shared" si="905"/>
        <v>656829</v>
      </c>
      <c r="BL98" s="177">
        <f t="shared" si="905"/>
        <v>665766</v>
      </c>
      <c r="BM98" s="177">
        <f t="shared" si="905"/>
        <v>663687</v>
      </c>
      <c r="BN98" s="177">
        <f t="shared" si="905"/>
        <v>659997</v>
      </c>
      <c r="BO98" s="177">
        <f t="shared" si="905"/>
        <v>586839</v>
      </c>
      <c r="BP98" s="177">
        <f t="shared" si="905"/>
        <v>549996</v>
      </c>
      <c r="BQ98" s="177">
        <f t="shared" si="905"/>
        <v>518604</v>
      </c>
      <c r="BR98" s="177">
        <f t="shared" ref="BR98:CW98" si="906">+SUM(BO8:BR8)</f>
        <v>539238</v>
      </c>
      <c r="BS98" s="177">
        <f t="shared" si="906"/>
        <v>597171</v>
      </c>
      <c r="BT98" s="177">
        <f t="shared" si="906"/>
        <v>660318</v>
      </c>
      <c r="BU98" s="177">
        <f t="shared" si="906"/>
        <v>732312</v>
      </c>
      <c r="BV98" s="177">
        <f t="shared" si="906"/>
        <v>792756</v>
      </c>
      <c r="BW98" s="177">
        <f t="shared" si="906"/>
        <v>876423</v>
      </c>
      <c r="BX98" s="177">
        <f t="shared" si="906"/>
        <v>937737</v>
      </c>
      <c r="BY98" s="177">
        <f t="shared" si="906"/>
        <v>968446</v>
      </c>
      <c r="BZ98" s="177">
        <f t="shared" si="906"/>
        <v>974864</v>
      </c>
      <c r="CA98" s="177">
        <f t="shared" si="906"/>
        <v>963467</v>
      </c>
      <c r="CB98" s="177">
        <f t="shared" si="906"/>
        <v>966617</v>
      </c>
      <c r="CC98" s="177">
        <f t="shared" si="906"/>
        <v>974245</v>
      </c>
      <c r="CD98" s="177">
        <f t="shared" si="906"/>
        <v>1000122</v>
      </c>
      <c r="CE98" s="177">
        <f t="shared" si="906"/>
        <v>1026813</v>
      </c>
      <c r="CF98" s="177">
        <f t="shared" si="906"/>
        <v>1028844</v>
      </c>
      <c r="CG98" s="177">
        <f t="shared" si="906"/>
        <v>1047870</v>
      </c>
      <c r="CH98" s="177">
        <f t="shared" si="906"/>
        <v>1071174</v>
      </c>
      <c r="CI98" s="177">
        <f t="shared" si="906"/>
        <v>1086603</v>
      </c>
      <c r="CJ98" s="177">
        <f t="shared" si="906"/>
        <v>1112124</v>
      </c>
      <c r="CK98" s="177">
        <f t="shared" si="906"/>
        <v>1138767</v>
      </c>
      <c r="CL98" s="177">
        <f t="shared" si="906"/>
        <v>1175919</v>
      </c>
      <c r="CM98" s="178">
        <f t="shared" si="906"/>
        <v>1169423.2899597108</v>
      </c>
      <c r="CN98" s="178">
        <f t="shared" si="906"/>
        <v>1167453.8007753342</v>
      </c>
      <c r="CO98" s="178">
        <f t="shared" si="906"/>
        <v>1166980.921528596</v>
      </c>
      <c r="CP98" s="178">
        <f t="shared" si="906"/>
        <v>1167594.3709952498</v>
      </c>
      <c r="CQ98" s="178">
        <f t="shared" si="906"/>
        <v>1195368.5806263951</v>
      </c>
      <c r="CR98" s="178">
        <f t="shared" si="906"/>
        <v>1225333.928938417</v>
      </c>
      <c r="CS98" s="178">
        <f t="shared" si="906"/>
        <v>1256593.3261696575</v>
      </c>
      <c r="CT98" s="178">
        <f t="shared" si="906"/>
        <v>1291252.1821896893</v>
      </c>
      <c r="CU98" s="178">
        <f t="shared" si="906"/>
        <v>1322431.3507528394</v>
      </c>
      <c r="CV98" s="178">
        <f t="shared" si="906"/>
        <v>1355547.2628002658</v>
      </c>
      <c r="CW98" s="178">
        <f t="shared" si="906"/>
        <v>1390042.6589791528</v>
      </c>
      <c r="CX98" s="178">
        <f t="shared" ref="CX98:DB98" si="907">+SUM(CU8:CX8)</f>
        <v>1428331.59273047</v>
      </c>
      <c r="CY98" s="178">
        <f t="shared" si="907"/>
        <v>1462906.846597912</v>
      </c>
      <c r="CZ98" s="178">
        <f t="shared" si="907"/>
        <v>1499518.9704635222</v>
      </c>
      <c r="DA98" s="178">
        <f t="shared" si="907"/>
        <v>1537659.972963141</v>
      </c>
      <c r="DB98" s="178">
        <f t="shared" si="907"/>
        <v>1580016.2066968512</v>
      </c>
      <c r="DE98" s="179"/>
      <c r="DF98" s="177">
        <v>1127700.28</v>
      </c>
    </row>
    <row r="99" spans="1:110" s="163" customFormat="1" x14ac:dyDescent="0.2">
      <c r="A99" s="163" t="s">
        <v>511</v>
      </c>
      <c r="E99" s="163">
        <f t="shared" ref="E99:AE99" si="908">+E98/E65</f>
        <v>38.446157256872603</v>
      </c>
      <c r="F99" s="163">
        <f t="shared" si="908"/>
        <v>49.214942358853087</v>
      </c>
      <c r="G99" s="163">
        <f t="shared" si="908"/>
        <v>61.35442654448714</v>
      </c>
      <c r="H99" s="163">
        <f t="shared" si="908"/>
        <v>84.074866981968668</v>
      </c>
      <c r="I99" s="163">
        <f t="shared" si="908"/>
        <v>101.34988176174993</v>
      </c>
      <c r="J99" s="163">
        <f t="shared" si="908"/>
        <v>111.75288944723619</v>
      </c>
      <c r="K99" s="163">
        <f t="shared" si="908"/>
        <v>150.56142477091339</v>
      </c>
      <c r="L99" s="163">
        <f t="shared" si="908"/>
        <v>196.43142181495713</v>
      </c>
      <c r="M99" s="163">
        <f t="shared" si="908"/>
        <v>264.92831806089271</v>
      </c>
      <c r="N99" s="163">
        <f t="shared" si="908"/>
        <v>293.42447531776531</v>
      </c>
      <c r="O99" s="163">
        <f t="shared" si="908"/>
        <v>321.06118829441323</v>
      </c>
      <c r="P99" s="163">
        <f t="shared" si="908"/>
        <v>277.44235885308899</v>
      </c>
      <c r="Q99" s="163">
        <f t="shared" si="908"/>
        <v>202.48226426248891</v>
      </c>
      <c r="R99" s="163">
        <f t="shared" si="908"/>
        <v>225.67395802542123</v>
      </c>
      <c r="S99" s="163">
        <f t="shared" si="908"/>
        <v>289.44501921371563</v>
      </c>
      <c r="T99" s="163">
        <f t="shared" si="908"/>
        <v>420.63922553946202</v>
      </c>
      <c r="U99" s="163">
        <f t="shared" si="908"/>
        <v>441.57182973691988</v>
      </c>
      <c r="V99" s="163">
        <f t="shared" si="908"/>
        <v>345.05172923440733</v>
      </c>
      <c r="W99" s="163">
        <f t="shared" si="908"/>
        <v>514.30904522613059</v>
      </c>
      <c r="X99" s="163">
        <f t="shared" si="908"/>
        <v>648.71046408513155</v>
      </c>
      <c r="Y99" s="163">
        <f t="shared" si="908"/>
        <v>665.87644102867273</v>
      </c>
      <c r="Z99" s="163">
        <f t="shared" ref="Z99" si="909">+Z98/Z65</f>
        <v>712.89757611587345</v>
      </c>
      <c r="AA99" s="94">
        <f t="shared" si="908"/>
        <v>781.27327815548324</v>
      </c>
      <c r="AB99" s="94">
        <f t="shared" si="908"/>
        <v>862.8394701413315</v>
      </c>
      <c r="AC99" s="94">
        <f t="shared" si="908"/>
        <v>954.22124016382588</v>
      </c>
      <c r="AD99" s="94">
        <f t="shared" si="908"/>
        <v>1055.5214253107226</v>
      </c>
      <c r="AE99" s="94">
        <f t="shared" si="908"/>
        <v>1167.6146960514714</v>
      </c>
      <c r="AL99" s="163">
        <f t="shared" ref="AL99:BQ99" si="910">+AL98/AL65</f>
        <v>266.25480342890927</v>
      </c>
      <c r="AM99" s="163">
        <f t="shared" si="910"/>
        <v>270.41309488619567</v>
      </c>
      <c r="AN99" s="163">
        <f t="shared" si="910"/>
        <v>289.00236476500146</v>
      </c>
      <c r="AO99" s="163">
        <f t="shared" si="910"/>
        <v>306.8504286136565</v>
      </c>
      <c r="AP99" s="163">
        <f t="shared" si="910"/>
        <v>321.06118829441323</v>
      </c>
      <c r="AQ99" s="163">
        <f t="shared" si="910"/>
        <v>326.33535323677211</v>
      </c>
      <c r="AR99" s="163">
        <f t="shared" si="910"/>
        <v>322.12754951226719</v>
      </c>
      <c r="AS99" s="163">
        <f t="shared" si="910"/>
        <v>304.01492757907181</v>
      </c>
      <c r="AT99" s="163">
        <f t="shared" si="910"/>
        <v>277.44235885308899</v>
      </c>
      <c r="AU99" s="163">
        <f t="shared" si="910"/>
        <v>256.73219036358262</v>
      </c>
      <c r="AV99" s="163">
        <f t="shared" si="910"/>
        <v>230.64070351758792</v>
      </c>
      <c r="AW99" s="163">
        <f t="shared" si="910"/>
        <v>215.11084835944428</v>
      </c>
      <c r="AX99" s="163">
        <f t="shared" ref="AX99" si="911">+AX98/AX65</f>
        <v>212.51256281407035</v>
      </c>
      <c r="AY99" s="163">
        <f t="shared" si="910"/>
        <v>208.69642329293526</v>
      </c>
      <c r="AZ99" s="163">
        <f t="shared" si="910"/>
        <v>213.9883239728052</v>
      </c>
      <c r="BA99" s="163">
        <f t="shared" si="910"/>
        <v>222.61676027194798</v>
      </c>
      <c r="BB99" s="163">
        <f t="shared" si="910"/>
        <v>243.99940880874962</v>
      </c>
      <c r="BC99" s="163">
        <f t="shared" si="910"/>
        <v>258.10375406443984</v>
      </c>
      <c r="BD99" s="163">
        <f t="shared" si="910"/>
        <v>272.52734259532957</v>
      </c>
      <c r="BE99" s="163">
        <f t="shared" si="910"/>
        <v>291.53118533845696</v>
      </c>
      <c r="BF99" s="163">
        <f t="shared" si="910"/>
        <v>318.30549807862843</v>
      </c>
      <c r="BG99" s="163">
        <f t="shared" si="910"/>
        <v>356.1136565178835</v>
      </c>
      <c r="BH99" s="163">
        <f t="shared" si="910"/>
        <v>396.84821164646763</v>
      </c>
      <c r="BI99" s="163">
        <f t="shared" si="910"/>
        <v>442.21844516701151</v>
      </c>
      <c r="BJ99" s="163">
        <f t="shared" si="910"/>
        <v>461.45506946497193</v>
      </c>
      <c r="BK99" s="163">
        <f t="shared" si="910"/>
        <v>485.3894472361809</v>
      </c>
      <c r="BL99" s="163">
        <f t="shared" si="910"/>
        <v>491.99379249187109</v>
      </c>
      <c r="BM99" s="163">
        <f t="shared" si="910"/>
        <v>490.45743422997339</v>
      </c>
      <c r="BN99" s="163">
        <f t="shared" si="910"/>
        <v>487.7305645876441</v>
      </c>
      <c r="BO99" s="163">
        <f t="shared" si="910"/>
        <v>433.66760271947976</v>
      </c>
      <c r="BP99" s="163">
        <f t="shared" si="910"/>
        <v>406.44102867277564</v>
      </c>
      <c r="BQ99" s="163">
        <f t="shared" si="910"/>
        <v>383.24268400827668</v>
      </c>
      <c r="BR99" s="163">
        <f t="shared" ref="BR99:CW99" si="912">+BR98/BR65</f>
        <v>398.49098433343187</v>
      </c>
      <c r="BS99" s="163">
        <f t="shared" si="912"/>
        <v>441.30283771800174</v>
      </c>
      <c r="BT99" s="163">
        <f t="shared" si="912"/>
        <v>487.96778007685487</v>
      </c>
      <c r="BU99" s="163">
        <f t="shared" si="912"/>
        <v>541.17055867573163</v>
      </c>
      <c r="BV99" s="163">
        <f t="shared" si="912"/>
        <v>585.83801359739869</v>
      </c>
      <c r="BW99" s="163">
        <f t="shared" si="912"/>
        <v>647.66701152822941</v>
      </c>
      <c r="BX99" s="163">
        <f t="shared" si="912"/>
        <v>692.97738693467329</v>
      </c>
      <c r="BY99" s="163">
        <f t="shared" si="912"/>
        <v>715.67100206916939</v>
      </c>
      <c r="BZ99" s="163">
        <f t="shared" si="912"/>
        <v>720.41383387525866</v>
      </c>
      <c r="CA99" s="163">
        <f t="shared" si="912"/>
        <v>711.99157552468216</v>
      </c>
      <c r="CB99" s="163">
        <f t="shared" si="912"/>
        <v>714.31939107301207</v>
      </c>
      <c r="CC99" s="163">
        <f t="shared" si="912"/>
        <v>719.95639964528527</v>
      </c>
      <c r="CD99" s="163">
        <f t="shared" si="912"/>
        <v>739.07921962754949</v>
      </c>
      <c r="CE99" s="163">
        <f t="shared" si="912"/>
        <v>758.80357670706474</v>
      </c>
      <c r="CF99" s="163">
        <f t="shared" si="912"/>
        <v>760.30446349394026</v>
      </c>
      <c r="CG99" s="163">
        <f t="shared" si="912"/>
        <v>774.36446940585279</v>
      </c>
      <c r="CH99" s="163">
        <f t="shared" si="912"/>
        <v>791.58587052911616</v>
      </c>
      <c r="CI99" s="163">
        <f t="shared" si="912"/>
        <v>802.98773278155477</v>
      </c>
      <c r="CJ99" s="163">
        <f t="shared" si="912"/>
        <v>821.84747265740464</v>
      </c>
      <c r="CK99" s="163">
        <f t="shared" ref="CK99:CL99" si="913">+CK98/CK65</f>
        <v>841.5363582618977</v>
      </c>
      <c r="CL99" s="163">
        <f t="shared" si="913"/>
        <v>868.99127992905699</v>
      </c>
      <c r="CM99" s="50">
        <f t="shared" si="912"/>
        <v>864.19102125311167</v>
      </c>
      <c r="CN99" s="50">
        <f t="shared" si="912"/>
        <v>862.73559028623572</v>
      </c>
      <c r="CO99" s="50">
        <f t="shared" si="912"/>
        <v>862.38613769479446</v>
      </c>
      <c r="CP99" s="50">
        <f t="shared" si="912"/>
        <v>862.8394701413315</v>
      </c>
      <c r="CQ99" s="50">
        <f t="shared" si="912"/>
        <v>883.36430729115807</v>
      </c>
      <c r="CR99" s="50">
        <f t="shared" si="912"/>
        <v>905.50837196158511</v>
      </c>
      <c r="CS99" s="50">
        <f t="shared" si="912"/>
        <v>928.60872463025237</v>
      </c>
      <c r="CT99" s="50">
        <f t="shared" si="912"/>
        <v>954.22124016382588</v>
      </c>
      <c r="CU99" s="50">
        <f t="shared" si="912"/>
        <v>977.26230472423833</v>
      </c>
      <c r="CV99" s="50">
        <f t="shared" si="912"/>
        <v>1001.7346015372937</v>
      </c>
      <c r="CW99" s="50">
        <f t="shared" si="912"/>
        <v>1027.2263220360278</v>
      </c>
      <c r="CX99" s="50">
        <f t="shared" ref="CX99:DB99" si="914">+CX98/CX65</f>
        <v>1055.5214253107226</v>
      </c>
      <c r="CY99" s="50">
        <f t="shared" si="914"/>
        <v>1081.0721597678923</v>
      </c>
      <c r="CZ99" s="50">
        <f t="shared" si="914"/>
        <v>1108.1281188763835</v>
      </c>
      <c r="DA99" s="50">
        <f t="shared" si="914"/>
        <v>1136.3139025740031</v>
      </c>
      <c r="DB99" s="50">
        <f t="shared" si="914"/>
        <v>1167.6146960514714</v>
      </c>
      <c r="DE99" s="164"/>
      <c r="DF99" s="163">
        <v>833.3581732190363</v>
      </c>
    </row>
    <row r="100" spans="1:110" s="163" customFormat="1" x14ac:dyDescent="0.2">
      <c r="AA100" s="94"/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A101" s="94"/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si="915">+E77/E$99</f>
        <v>1.4088266918341077</v>
      </c>
      <c r="F102" s="163">
        <f t="shared" si="915"/>
        <v>1.1167186341396149</v>
      </c>
      <c r="G102" s="163">
        <f t="shared" si="915"/>
        <v>1.6069427194046026</v>
      </c>
      <c r="H102" s="163">
        <f t="shared" si="915"/>
        <v>2.0152450352671334</v>
      </c>
      <c r="I102" s="163">
        <f t="shared" si="915"/>
        <v>2.766597186224637</v>
      </c>
      <c r="J102" s="163">
        <f t="shared" si="915"/>
        <v>1.6876991138576551</v>
      </c>
      <c r="K102" s="163">
        <f t="shared" si="915"/>
        <v>1.7675844614099523</v>
      </c>
      <c r="L102" s="163">
        <f t="shared" si="915"/>
        <v>1.320974036885554</v>
      </c>
      <c r="M102" s="163">
        <f t="shared" si="915"/>
        <v>0.69943150574798019</v>
      </c>
      <c r="N102" s="163">
        <f t="shared" si="915"/>
        <v>0.65298485425957076</v>
      </c>
      <c r="O102" s="163">
        <f t="shared" si="915"/>
        <v>0.71694928055005713</v>
      </c>
      <c r="P102" s="163">
        <f t="shared" si="915"/>
        <v>0.73612246922517877</v>
      </c>
      <c r="Q102" s="163">
        <f t="shared" si="915"/>
        <v>1.2783801998073341</v>
      </c>
      <c r="R102" s="163">
        <f t="shared" si="915"/>
        <v>1.4476249000132377</v>
      </c>
      <c r="S102" s="163">
        <f t="shared" si="915"/>
        <v>1.5106125465870066</v>
      </c>
      <c r="T102" s="163">
        <f t="shared" si="915"/>
        <v>1.6049402231931811</v>
      </c>
      <c r="U102" s="163">
        <f t="shared" si="915"/>
        <v>1.2477741505165412</v>
      </c>
      <c r="V102" s="163">
        <f t="shared" si="915"/>
        <v>2.9027531675390428</v>
      </c>
      <c r="W102" s="163">
        <f t="shared" si="915"/>
        <v>2.5606685556559761</v>
      </c>
      <c r="X102" s="163">
        <f t="shared" si="915"/>
        <v>1.7966798202395668</v>
      </c>
      <c r="Y102" s="163">
        <f t="shared" si="915"/>
        <v>2.2352495272255912</v>
      </c>
      <c r="Z102" s="163">
        <f>+Z77/Z$99</f>
        <v>1.7884757119622512</v>
      </c>
      <c r="AA102" s="50">
        <f t="shared" ref="AA102:AE102" si="916">+AA77/AA$99</f>
        <v>1.7205887332709686</v>
      </c>
      <c r="AB102" s="50">
        <f t="shared" si="916"/>
        <v>1.5391043710395818</v>
      </c>
      <c r="AC102" s="50">
        <f t="shared" si="916"/>
        <v>1.3917107942095293</v>
      </c>
      <c r="AD102" s="50">
        <f t="shared" si="916"/>
        <v>1.2581459439433602</v>
      </c>
      <c r="AE102" s="50">
        <f t="shared" si="916"/>
        <v>1.1373614981816385</v>
      </c>
      <c r="AL102" s="163">
        <f t="shared" ref="AL102:BQ102" si="917">+AL77/AL99</f>
        <v>0.71961795912808824</v>
      </c>
      <c r="AM102" s="163">
        <f t="shared" si="917"/>
        <v>0.78927948578558083</v>
      </c>
      <c r="AN102" s="163">
        <f t="shared" si="917"/>
        <v>0.70466410308335026</v>
      </c>
      <c r="AO102" s="163">
        <f t="shared" si="917"/>
        <v>0.72214779429223841</v>
      </c>
      <c r="AP102" s="163">
        <f t="shared" si="917"/>
        <v>0.71694928055005713</v>
      </c>
      <c r="AQ102" s="163">
        <f t="shared" si="917"/>
        <v>0.77001712354023877</v>
      </c>
      <c r="AR102" s="163">
        <f t="shared" si="917"/>
        <v>0.72676098960614255</v>
      </c>
      <c r="AS102" s="163">
        <f t="shared" si="917"/>
        <v>0.72590995238688072</v>
      </c>
      <c r="AT102" s="163">
        <f t="shared" si="917"/>
        <v>0.73612246922517877</v>
      </c>
      <c r="AU102" s="163">
        <f t="shared" si="917"/>
        <v>0.96503243507301129</v>
      </c>
      <c r="AV102" s="163">
        <f t="shared" si="917"/>
        <v>0.92393574322406147</v>
      </c>
      <c r="AW102" s="163">
        <f t="shared" si="917"/>
        <v>1.1657420379941494</v>
      </c>
      <c r="AX102" s="163">
        <f t="shared" ref="AX102" si="918">+AX77/AX99</f>
        <v>1.21804242543436</v>
      </c>
      <c r="AY102" s="163">
        <f t="shared" si="917"/>
        <v>1.1503692303422148</v>
      </c>
      <c r="AZ102" s="163">
        <f t="shared" si="917"/>
        <v>1.252287852204804</v>
      </c>
      <c r="BA102" s="163">
        <f t="shared" si="917"/>
        <v>1.2015253990557924</v>
      </c>
      <c r="BB102" s="163">
        <f t="shared" si="917"/>
        <v>1.3389017724145695</v>
      </c>
      <c r="BC102" s="163">
        <f t="shared" si="917"/>
        <v>1.3243119026356724</v>
      </c>
      <c r="BD102" s="163">
        <f t="shared" si="917"/>
        <v>1.4214670980918773</v>
      </c>
      <c r="BE102" s="163">
        <f t="shared" si="917"/>
        <v>1.5647862888640549</v>
      </c>
      <c r="BF102" s="163">
        <f t="shared" si="917"/>
        <v>1.3736466388756763</v>
      </c>
      <c r="BG102" s="163">
        <f t="shared" si="917"/>
        <v>1.3531898679433576</v>
      </c>
      <c r="BH102" s="163">
        <f t="shared" si="917"/>
        <v>1.5702980698924485</v>
      </c>
      <c r="BI102" s="163">
        <f t="shared" si="917"/>
        <v>1.2555816885798496</v>
      </c>
      <c r="BJ102" s="163">
        <f t="shared" si="917"/>
        <v>1.4629827629889252</v>
      </c>
      <c r="BK102" s="163">
        <f t="shared" si="917"/>
        <v>1.2775292201422315</v>
      </c>
      <c r="BL102" s="163">
        <f t="shared" si="917"/>
        <v>1.341519621610594</v>
      </c>
      <c r="BM102" s="163">
        <f t="shared" si="917"/>
        <v>1.5290091388434222</v>
      </c>
      <c r="BN102" s="163">
        <f t="shared" si="917"/>
        <v>1.1296850243696583</v>
      </c>
      <c r="BO102" s="163">
        <f t="shared" si="917"/>
        <v>1.9638889201297118</v>
      </c>
      <c r="BP102" s="163">
        <f t="shared" si="917"/>
        <v>2.7479386213717918</v>
      </c>
      <c r="BQ102" s="163">
        <f t="shared" si="917"/>
        <v>2.5892862183862833</v>
      </c>
      <c r="BR102" s="163">
        <f t="shared" ref="BR102:DB102" si="919">+BR77/BR99</f>
        <v>2.5134822100816336</v>
      </c>
      <c r="BS102" s="163">
        <f t="shared" si="919"/>
        <v>2.3916682826192166</v>
      </c>
      <c r="BT102" s="163">
        <f t="shared" si="919"/>
        <v>2.5790637238421485</v>
      </c>
      <c r="BU102" s="163">
        <f t="shared" si="919"/>
        <v>2.1879885759075366</v>
      </c>
      <c r="BV102" s="163">
        <f t="shared" si="919"/>
        <v>2.2480190247692859</v>
      </c>
      <c r="BW102" s="163">
        <f t="shared" si="919"/>
        <v>2.002610873972956</v>
      </c>
      <c r="BX102" s="163">
        <f t="shared" si="919"/>
        <v>1.7155682456808252</v>
      </c>
      <c r="BY102" s="163">
        <f t="shared" si="919"/>
        <v>1.780287305642235</v>
      </c>
      <c r="BZ102" s="163">
        <f t="shared" si="919"/>
        <v>1.6178548289812733</v>
      </c>
      <c r="CA102" s="163">
        <f t="shared" si="919"/>
        <v>1.7912431043305064</v>
      </c>
      <c r="CB102" s="163">
        <f t="shared" si="919"/>
        <v>1.6424725615212645</v>
      </c>
      <c r="CC102" s="163">
        <f t="shared" si="919"/>
        <v>1.7951434290142623</v>
      </c>
      <c r="CD102" s="163">
        <f t="shared" si="919"/>
        <v>2.0138571894228905</v>
      </c>
      <c r="CE102" s="163">
        <f t="shared" si="919"/>
        <v>2.0636763558700562</v>
      </c>
      <c r="CF102" s="163">
        <f t="shared" si="919"/>
        <v>1.9425112845096051</v>
      </c>
      <c r="CG102" s="163">
        <f t="shared" si="919"/>
        <v>1.5696097225800911</v>
      </c>
      <c r="CH102" s="163">
        <f t="shared" si="919"/>
        <v>1.6106907001103463</v>
      </c>
      <c r="CI102" s="163">
        <f t="shared" si="919"/>
        <v>1.8688330328556062</v>
      </c>
      <c r="CJ102" s="163">
        <f t="shared" si="919"/>
        <v>1.6594320057835277</v>
      </c>
      <c r="CK102" s="163">
        <f t="shared" ref="CK102:CL102" si="920">+CK77/CK99</f>
        <v>1.864922394133304</v>
      </c>
      <c r="CL102" s="163">
        <f t="shared" si="920"/>
        <v>1.5469085030516558</v>
      </c>
      <c r="CM102" s="50">
        <f t="shared" si="919"/>
        <v>1.5366972895348376</v>
      </c>
      <c r="CN102" s="50">
        <f t="shared" si="919"/>
        <v>1.5392896907839404</v>
      </c>
      <c r="CO102" s="50">
        <f t="shared" si="919"/>
        <v>1.539913435470817</v>
      </c>
      <c r="CP102" s="50">
        <f t="shared" si="919"/>
        <v>1.5391043710395818</v>
      </c>
      <c r="CQ102" s="50">
        <f t="shared" si="919"/>
        <v>1.5033435118884528</v>
      </c>
      <c r="CR102" s="50">
        <f t="shared" si="919"/>
        <v>1.4665794829960319</v>
      </c>
      <c r="CS102" s="50">
        <f t="shared" si="919"/>
        <v>1.4300964063510977</v>
      </c>
      <c r="CT102" s="50">
        <f t="shared" si="919"/>
        <v>1.3917107942095293</v>
      </c>
      <c r="CU102" s="50">
        <f t="shared" si="919"/>
        <v>1.3588982134890919</v>
      </c>
      <c r="CV102" s="50">
        <f t="shared" si="919"/>
        <v>1.325700437982285</v>
      </c>
      <c r="CW102" s="50">
        <f t="shared" si="919"/>
        <v>1.2928017628752149</v>
      </c>
      <c r="CX102" s="50">
        <f t="shared" si="919"/>
        <v>1.2581459439433602</v>
      </c>
      <c r="CY102" s="50">
        <f t="shared" si="919"/>
        <v>1.2284101371041904</v>
      </c>
      <c r="CZ102" s="50">
        <f t="shared" si="919"/>
        <v>1.1984173827720945</v>
      </c>
      <c r="DA102" s="50">
        <f t="shared" si="919"/>
        <v>1.1686911486269642</v>
      </c>
      <c r="DB102" s="50">
        <f t="shared" si="919"/>
        <v>1.1373614981816385</v>
      </c>
      <c r="DE102" s="106"/>
      <c r="DF102" s="163">
        <v>1.6130519183696577</v>
      </c>
    </row>
    <row r="103" spans="1:110" s="163" customFormat="1" x14ac:dyDescent="0.2">
      <c r="A103" s="163" t="s">
        <v>508</v>
      </c>
      <c r="E103" s="163">
        <f t="shared" si="915"/>
        <v>1.5983983905401584</v>
      </c>
      <c r="F103" s="163">
        <f t="shared" si="915"/>
        <v>1.2291166356891572</v>
      </c>
      <c r="G103" s="163">
        <f t="shared" si="915"/>
        <v>1.6316649150877467</v>
      </c>
      <c r="H103" s="163">
        <f t="shared" si="915"/>
        <v>2.128131746966059</v>
      </c>
      <c r="I103" s="163">
        <f t="shared" si="915"/>
        <v>3.9731731990819861</v>
      </c>
      <c r="J103" s="163">
        <f t="shared" si="915"/>
        <v>2.9989012746632961</v>
      </c>
      <c r="K103" s="163">
        <f t="shared" si="915"/>
        <v>2.047776163825795</v>
      </c>
      <c r="L103" s="163">
        <f t="shared" si="915"/>
        <v>1.496465147722039</v>
      </c>
      <c r="M103" s="163">
        <f t="shared" si="915"/>
        <v>0.99602972395557965</v>
      </c>
      <c r="N103" s="163">
        <f t="shared" si="915"/>
        <v>0.8058290536991588</v>
      </c>
      <c r="O103" s="163">
        <f t="shared" si="915"/>
        <v>0.72450829394370198</v>
      </c>
      <c r="P103" s="163">
        <f t="shared" si="915"/>
        <v>1.0197889185034115</v>
      </c>
      <c r="Q103" s="163">
        <f t="shared" si="915"/>
        <v>1.3324996198900643</v>
      </c>
      <c r="R103" s="163">
        <f t="shared" si="915"/>
        <v>1.4660603899466988</v>
      </c>
      <c r="S103" s="163">
        <f t="shared" si="915"/>
        <v>1.6940489591313272</v>
      </c>
      <c r="T103" s="163">
        <f t="shared" si="915"/>
        <v>1.6326694644214574</v>
      </c>
      <c r="U103" s="163">
        <f t="shared" si="915"/>
        <v>1.8145975286131149</v>
      </c>
      <c r="V103" s="163">
        <f t="shared" si="915"/>
        <v>3.4325288055443717</v>
      </c>
      <c r="W103" s="163">
        <f t="shared" si="915"/>
        <v>2.6734898263269744</v>
      </c>
      <c r="X103" s="163">
        <f t="shared" si="915"/>
        <v>2.2005194598073667</v>
      </c>
      <c r="Y103" s="163">
        <f t="shared" si="915"/>
        <v>2.2712922500510508</v>
      </c>
      <c r="Z103" s="163">
        <f t="shared" ref="Z103:Z104" si="921">+Z78/Z$99</f>
        <v>2.2569160758915014</v>
      </c>
      <c r="AA103" s="94">
        <f t="shared" si="915"/>
        <v>2.0622745523869703</v>
      </c>
      <c r="AB103" s="94">
        <f t="shared" si="915"/>
        <v>2.0999407551465521</v>
      </c>
      <c r="AC103" s="94">
        <f t="shared" si="915"/>
        <v>2.1127478691118844</v>
      </c>
      <c r="AD103" s="94">
        <f t="shared" si="915"/>
        <v>2.1823815296343105</v>
      </c>
      <c r="AE103" s="94">
        <f t="shared" si="915"/>
        <v>2.2543179617834062</v>
      </c>
      <c r="AL103" s="163">
        <f t="shared" ref="AL103:BQ103" si="922">+AL78/AL99</f>
        <v>0.88805897295527947</v>
      </c>
      <c r="AM103" s="163">
        <f t="shared" si="922"/>
        <v>0.7994906202828953</v>
      </c>
      <c r="AN103" s="163">
        <f t="shared" si="922"/>
        <v>0.79510892108109721</v>
      </c>
      <c r="AO103" s="163">
        <f t="shared" si="922"/>
        <v>0.74652068587429421</v>
      </c>
      <c r="AP103" s="163">
        <f t="shared" si="922"/>
        <v>0.72450829394370198</v>
      </c>
      <c r="AQ103" s="163">
        <f t="shared" si="922"/>
        <v>0.8669996685175132</v>
      </c>
      <c r="AR103" s="163">
        <f t="shared" si="922"/>
        <v>0.80713636535409006</v>
      </c>
      <c r="AS103" s="163">
        <f t="shared" si="922"/>
        <v>0.8277727583634048</v>
      </c>
      <c r="AT103" s="163">
        <f t="shared" si="922"/>
        <v>0.84180562716898799</v>
      </c>
      <c r="AU103" s="163">
        <f t="shared" si="922"/>
        <v>0.97790982325655385</v>
      </c>
      <c r="AV103" s="163">
        <f t="shared" si="922"/>
        <v>1.1456588472051996</v>
      </c>
      <c r="AW103" s="163">
        <f t="shared" si="922"/>
        <v>1.1725343330999802</v>
      </c>
      <c r="AX103" s="163">
        <f t="shared" ref="AX103" si="923">+AX78/AX99</f>
        <v>1.2696074838658065</v>
      </c>
      <c r="AY103" s="163">
        <f t="shared" si="922"/>
        <v>1.2696839202291732</v>
      </c>
      <c r="AZ103" s="163">
        <f t="shared" si="922"/>
        <v>1.3064483470603498</v>
      </c>
      <c r="BA103" s="163">
        <f t="shared" si="922"/>
        <v>1.2512505961095783</v>
      </c>
      <c r="BB103" s="163">
        <f t="shared" si="922"/>
        <v>1.3559526743070531</v>
      </c>
      <c r="BC103" s="163">
        <f t="shared" si="922"/>
        <v>1.4056271960595956</v>
      </c>
      <c r="BD103" s="163">
        <f t="shared" si="922"/>
        <v>1.5849408121791571</v>
      </c>
      <c r="BE103" s="163">
        <f t="shared" si="922"/>
        <v>1.6292601389942232</v>
      </c>
      <c r="BF103" s="163">
        <f t="shared" si="922"/>
        <v>1.5404510336281365</v>
      </c>
      <c r="BG103" s="163">
        <f t="shared" si="922"/>
        <v>1.4406023590274217</v>
      </c>
      <c r="BH103" s="163">
        <f t="shared" si="922"/>
        <v>1.6583480848589984</v>
      </c>
      <c r="BI103" s="163">
        <f t="shared" si="922"/>
        <v>1.4112063936582775</v>
      </c>
      <c r="BJ103" s="163">
        <f t="shared" si="922"/>
        <v>1.4882593442356817</v>
      </c>
      <c r="BK103" s="163">
        <f t="shared" si="922"/>
        <v>1.4458936940427642</v>
      </c>
      <c r="BL103" s="163">
        <f t="shared" si="922"/>
        <v>1.3449423791623547</v>
      </c>
      <c r="BM103" s="163">
        <f t="shared" si="922"/>
        <v>1.6337302587813798</v>
      </c>
      <c r="BN103" s="163">
        <f t="shared" si="922"/>
        <v>1.6344357469755628</v>
      </c>
      <c r="BO103" s="163">
        <f t="shared" si="922"/>
        <v>2.0800493150591559</v>
      </c>
      <c r="BP103" s="163">
        <f t="shared" si="922"/>
        <v>2.9140758841882488</v>
      </c>
      <c r="BQ103" s="163">
        <f t="shared" si="922"/>
        <v>3.0129733669620751</v>
      </c>
      <c r="BR103" s="163">
        <f t="shared" ref="BR103:CJ103" si="924">+BR78/BR99</f>
        <v>2.7993105085324106</v>
      </c>
      <c r="BS103" s="163">
        <f t="shared" si="924"/>
        <v>2.5770285228184222</v>
      </c>
      <c r="BT103" s="163">
        <f t="shared" si="924"/>
        <v>2.6282472990286498</v>
      </c>
      <c r="BU103" s="163">
        <f t="shared" si="924"/>
        <v>2.5407886256131267</v>
      </c>
      <c r="BV103" s="163">
        <f t="shared" si="924"/>
        <v>2.2941495239392702</v>
      </c>
      <c r="BW103" s="163">
        <f t="shared" si="924"/>
        <v>2.2040647039158032</v>
      </c>
      <c r="BX103" s="163">
        <f t="shared" si="924"/>
        <v>1.9319533728540093</v>
      </c>
      <c r="BY103" s="163">
        <f t="shared" si="924"/>
        <v>1.9245575075946411</v>
      </c>
      <c r="BZ103" s="163">
        <f t="shared" si="924"/>
        <v>1.8079886014869766</v>
      </c>
      <c r="CA103" s="163">
        <f t="shared" si="924"/>
        <v>1.8146282124867796</v>
      </c>
      <c r="CB103" s="163">
        <f t="shared" si="924"/>
        <v>1.9984057801590498</v>
      </c>
      <c r="CC103" s="163">
        <f t="shared" si="924"/>
        <v>1.8159432996833447</v>
      </c>
      <c r="CD103" s="163">
        <f t="shared" si="924"/>
        <v>2.0463300277366163</v>
      </c>
      <c r="CE103" s="163">
        <f t="shared" si="924"/>
        <v>2.0831807446925583</v>
      </c>
      <c r="CF103" s="163">
        <f t="shared" si="924"/>
        <v>2.1161917064200209</v>
      </c>
      <c r="CG103" s="163">
        <f t="shared" si="924"/>
        <v>1.9228671495509939</v>
      </c>
      <c r="CH103" s="163">
        <f t="shared" si="924"/>
        <v>1.6739813699735056</v>
      </c>
      <c r="CI103" s="163">
        <f t="shared" si="924"/>
        <v>1.8990950144625041</v>
      </c>
      <c r="CJ103" s="163">
        <f t="shared" si="924"/>
        <v>1.8872114979984247</v>
      </c>
      <c r="CK103" s="163">
        <f t="shared" ref="CK103:CL103" si="925">+CK78/CK99</f>
        <v>1.8785878761853831</v>
      </c>
      <c r="CL103" s="163">
        <f t="shared" si="925"/>
        <v>1.8541037605481332</v>
      </c>
      <c r="CM103" s="94">
        <f t="shared" ref="CM103:DB103" si="926">+CL103</f>
        <v>1.8541037605481332</v>
      </c>
      <c r="CN103" s="94">
        <f t="shared" si="926"/>
        <v>1.8541037605481332</v>
      </c>
      <c r="CO103" s="94">
        <f t="shared" si="926"/>
        <v>1.8541037605481332</v>
      </c>
      <c r="CP103" s="94">
        <f t="shared" si="926"/>
        <v>1.8541037605481332</v>
      </c>
      <c r="CQ103" s="94">
        <f t="shared" si="926"/>
        <v>1.8541037605481332</v>
      </c>
      <c r="CR103" s="94">
        <f t="shared" si="926"/>
        <v>1.8541037605481332</v>
      </c>
      <c r="CS103" s="94">
        <f t="shared" si="926"/>
        <v>1.8541037605481332</v>
      </c>
      <c r="CT103" s="94">
        <f t="shared" si="926"/>
        <v>1.8541037605481332</v>
      </c>
      <c r="CU103" s="94">
        <f t="shared" si="926"/>
        <v>1.8541037605481332</v>
      </c>
      <c r="CV103" s="94">
        <f t="shared" si="926"/>
        <v>1.8541037605481332</v>
      </c>
      <c r="CW103" s="94">
        <f t="shared" si="926"/>
        <v>1.8541037605481332</v>
      </c>
      <c r="CX103" s="94">
        <f t="shared" si="926"/>
        <v>1.8541037605481332</v>
      </c>
      <c r="CY103" s="94">
        <f t="shared" si="926"/>
        <v>1.8541037605481332</v>
      </c>
      <c r="CZ103" s="94">
        <f t="shared" si="926"/>
        <v>1.8541037605481332</v>
      </c>
      <c r="DA103" s="94">
        <f t="shared" si="926"/>
        <v>1.8541037605481332</v>
      </c>
      <c r="DB103" s="94">
        <f t="shared" si="926"/>
        <v>1.8541037605481332</v>
      </c>
      <c r="DE103" s="164"/>
      <c r="DF103" s="163">
        <v>1.9333823700034909</v>
      </c>
    </row>
    <row r="104" spans="1:110" s="163" customFormat="1" x14ac:dyDescent="0.2">
      <c r="A104" s="163" t="s">
        <v>509</v>
      </c>
      <c r="E104" s="163">
        <f t="shared" si="915"/>
        <v>0.67554555616243916</v>
      </c>
      <c r="F104" s="163">
        <f t="shared" si="915"/>
        <v>0.82554746906996745</v>
      </c>
      <c r="G104" s="163">
        <f t="shared" si="915"/>
        <v>0.84022722239826819</v>
      </c>
      <c r="H104" s="163">
        <f t="shared" si="915"/>
        <v>1.1723134052491224</v>
      </c>
      <c r="I104" s="163">
        <f t="shared" si="915"/>
        <v>1.5943516573297185</v>
      </c>
      <c r="J104" s="163">
        <f t="shared" si="915"/>
        <v>1.030436039842189</v>
      </c>
      <c r="K104" s="163">
        <f t="shared" si="915"/>
        <v>1.2315852185290466</v>
      </c>
      <c r="L104" s="163">
        <f t="shared" si="915"/>
        <v>1.0596914742356869</v>
      </c>
      <c r="M104" s="163">
        <f t="shared" si="915"/>
        <v>0.64269178987908249</v>
      </c>
      <c r="N104" s="163">
        <f t="shared" si="915"/>
        <v>0.56630843635539885</v>
      </c>
      <c r="O104" s="163">
        <f t="shared" si="915"/>
        <v>0.59006584144249097</v>
      </c>
      <c r="P104" s="163">
        <f t="shared" si="915"/>
        <v>0.71117446023421882</v>
      </c>
      <c r="Q104" s="163">
        <f t="shared" si="915"/>
        <v>0.99555272197385369</v>
      </c>
      <c r="R104" s="163">
        <f t="shared" si="915"/>
        <v>1.0158174423455526</v>
      </c>
      <c r="S104" s="163">
        <f t="shared" si="915"/>
        <v>1.1079764656944817</v>
      </c>
      <c r="T104" s="163">
        <f t="shared" si="915"/>
        <v>1.0433494969160912</v>
      </c>
      <c r="U104" s="163">
        <f t="shared" si="915"/>
        <v>0.98222466053066337</v>
      </c>
      <c r="V104" s="163">
        <f t="shared" si="915"/>
        <v>1.4996330915004428</v>
      </c>
      <c r="W104" s="163">
        <f t="shared" si="915"/>
        <v>1.8253616356041917</v>
      </c>
      <c r="X104" s="163">
        <f t="shared" si="915"/>
        <v>1.6802565402381997</v>
      </c>
      <c r="Y104" s="163">
        <f t="shared" si="915"/>
        <v>1.6677643652393173</v>
      </c>
      <c r="Z104" s="163">
        <f t="shared" si="921"/>
        <v>1.6215513121791079</v>
      </c>
      <c r="AA104" s="94">
        <f t="shared" si="915"/>
        <v>1.4278614553843623</v>
      </c>
      <c r="AB104" s="94">
        <f t="shared" si="915"/>
        <v>1.4533904925366528</v>
      </c>
      <c r="AC104" s="94">
        <f t="shared" si="915"/>
        <v>1.5022854616522923</v>
      </c>
      <c r="AD104" s="94">
        <f t="shared" si="915"/>
        <v>1.5262667325254373</v>
      </c>
      <c r="AE104" s="94">
        <f t="shared" si="915"/>
        <v>1.5928847687900605</v>
      </c>
      <c r="AL104" s="163">
        <f t="shared" ref="AL104:BQ104" si="927">+AL79/AL99</f>
        <v>0.71152609374820874</v>
      </c>
      <c r="AM104" s="163">
        <f t="shared" si="927"/>
        <v>0.70058456416542458</v>
      </c>
      <c r="AN104" s="163">
        <f t="shared" si="927"/>
        <v>0.65552141893204074</v>
      </c>
      <c r="AO104" s="163">
        <f t="shared" si="927"/>
        <v>0.66056992582498519</v>
      </c>
      <c r="AP104" s="163">
        <f t="shared" si="927"/>
        <v>0.61243435046449224</v>
      </c>
      <c r="AQ104" s="163">
        <f t="shared" si="927"/>
        <v>0.70194721521111592</v>
      </c>
      <c r="AR104" s="163">
        <f t="shared" si="927"/>
        <v>0.70581188401904038</v>
      </c>
      <c r="AS104" s="163">
        <f t="shared" si="927"/>
        <v>0.70049516193132522</v>
      </c>
      <c r="AT104" s="163">
        <f t="shared" si="927"/>
        <v>0.71117446023421882</v>
      </c>
      <c r="AU104" s="163">
        <f t="shared" si="927"/>
        <v>0.78518306976803753</v>
      </c>
      <c r="AV104" s="163">
        <f t="shared" si="927"/>
        <v>0.87937637850145822</v>
      </c>
      <c r="AW104" s="163">
        <f t="shared" si="927"/>
        <v>0.98868187065907043</v>
      </c>
      <c r="AX104" s="163">
        <f t="shared" ref="AX104" si="928">+AX79/AX99</f>
        <v>1.035379760821264</v>
      </c>
      <c r="AY104" s="163">
        <f t="shared" si="927"/>
        <v>1.098454584071165</v>
      </c>
      <c r="AZ104" s="163">
        <f t="shared" si="927"/>
        <v>1.1227887202745606</v>
      </c>
      <c r="BA104" s="163">
        <f t="shared" si="927"/>
        <v>1.0367759206740088</v>
      </c>
      <c r="BB104" s="163">
        <f t="shared" si="927"/>
        <v>1.0291944680996004</v>
      </c>
      <c r="BC104" s="163">
        <f t="shared" si="927"/>
        <v>1.2425168729673588</v>
      </c>
      <c r="BD104" s="163">
        <f t="shared" si="927"/>
        <v>1.2468164708124196</v>
      </c>
      <c r="BE104" s="163">
        <f t="shared" si="927"/>
        <v>1.3357724549366083</v>
      </c>
      <c r="BF104" s="163">
        <f t="shared" si="927"/>
        <v>1.3569973196233338</v>
      </c>
      <c r="BG104" s="163">
        <f t="shared" si="927"/>
        <v>1.2323979053236123</v>
      </c>
      <c r="BH104" s="163">
        <f t="shared" si="927"/>
        <v>1.1950714646522924</v>
      </c>
      <c r="BI104" s="163">
        <f t="shared" si="927"/>
        <v>1.1390451605956087</v>
      </c>
      <c r="BJ104" s="163">
        <f t="shared" si="927"/>
        <v>1.1605224404693704</v>
      </c>
      <c r="BK104" s="163">
        <f t="shared" si="927"/>
        <v>1.2520194513694236</v>
      </c>
      <c r="BL104" s="163">
        <f t="shared" si="927"/>
        <v>1.1029836210548165</v>
      </c>
      <c r="BM104" s="163">
        <f t="shared" si="927"/>
        <v>1.2938158039007943</v>
      </c>
      <c r="BN104" s="163">
        <f t="shared" si="927"/>
        <v>0.88926709141130933</v>
      </c>
      <c r="BO104" s="163">
        <f t="shared" si="927"/>
        <v>1.1931972510616247</v>
      </c>
      <c r="BP104" s="163">
        <f t="shared" si="927"/>
        <v>2.1020884697343254</v>
      </c>
      <c r="BQ104" s="163">
        <f t="shared" si="927"/>
        <v>2.3940443961095554</v>
      </c>
      <c r="BR104" s="163">
        <f t="shared" ref="BR104:CJ104" si="929">+BR79/BR99</f>
        <v>2.2961623624447833</v>
      </c>
      <c r="BS104" s="163">
        <f t="shared" si="929"/>
        <v>2.1273373288388084</v>
      </c>
      <c r="BT104" s="163">
        <f t="shared" si="929"/>
        <v>2.0663249525228751</v>
      </c>
      <c r="BU104" s="163">
        <f t="shared" si="929"/>
        <v>2.0769792110466576</v>
      </c>
      <c r="BV104" s="163">
        <f t="shared" si="929"/>
        <v>1.8614360534641179</v>
      </c>
      <c r="BW104" s="163">
        <f t="shared" si="929"/>
        <v>1.8296439048267787</v>
      </c>
      <c r="BX104" s="163">
        <f t="shared" si="929"/>
        <v>1.6692824640597528</v>
      </c>
      <c r="BY104" s="163">
        <f t="shared" si="929"/>
        <v>1.6373445292768001</v>
      </c>
      <c r="BZ104" s="163">
        <f t="shared" si="929"/>
        <v>1.5130192519161647</v>
      </c>
      <c r="CA104" s="163">
        <f t="shared" si="929"/>
        <v>1.6211568221848804</v>
      </c>
      <c r="CB104" s="163">
        <f t="shared" si="929"/>
        <v>1.627878249606618</v>
      </c>
      <c r="CC104" s="163">
        <f t="shared" si="929"/>
        <v>1.5424892403861452</v>
      </c>
      <c r="CD104" s="163">
        <f t="shared" si="929"/>
        <v>1.7374998050237873</v>
      </c>
      <c r="CE104" s="163">
        <f t="shared" si="929"/>
        <v>1.7917350968482091</v>
      </c>
      <c r="CF104" s="163">
        <f t="shared" si="929"/>
        <v>1.8846397315822421</v>
      </c>
      <c r="CG104" s="163">
        <f t="shared" si="929"/>
        <v>1.5523697786939219</v>
      </c>
      <c r="CH104" s="163">
        <f t="shared" si="929"/>
        <v>1.4603595681000472</v>
      </c>
      <c r="CI104" s="163">
        <f t="shared" si="929"/>
        <v>1.389249118583328</v>
      </c>
      <c r="CJ104" s="163">
        <f t="shared" si="929"/>
        <v>1.6325413712859358</v>
      </c>
      <c r="CK104" s="163">
        <f t="shared" ref="CK104:CL104" si="930">+CK79/CK99</f>
        <v>1.6127645427027655</v>
      </c>
      <c r="CL104" s="163">
        <f t="shared" si="930"/>
        <v>1.5040427104247827</v>
      </c>
      <c r="CM104" s="94">
        <f t="shared" ref="CM104:DB104" si="931">+CL104</f>
        <v>1.5040427104247827</v>
      </c>
      <c r="CN104" s="94">
        <f t="shared" si="931"/>
        <v>1.5040427104247827</v>
      </c>
      <c r="CO104" s="94">
        <f t="shared" si="931"/>
        <v>1.5040427104247827</v>
      </c>
      <c r="CP104" s="94">
        <f t="shared" si="931"/>
        <v>1.5040427104247827</v>
      </c>
      <c r="CQ104" s="94">
        <f t="shared" si="931"/>
        <v>1.5040427104247827</v>
      </c>
      <c r="CR104" s="94">
        <f t="shared" si="931"/>
        <v>1.5040427104247827</v>
      </c>
      <c r="CS104" s="94">
        <f t="shared" si="931"/>
        <v>1.5040427104247827</v>
      </c>
      <c r="CT104" s="94">
        <f t="shared" si="931"/>
        <v>1.5040427104247827</v>
      </c>
      <c r="CU104" s="94">
        <f t="shared" si="931"/>
        <v>1.5040427104247827</v>
      </c>
      <c r="CV104" s="94">
        <f t="shared" si="931"/>
        <v>1.5040427104247827</v>
      </c>
      <c r="CW104" s="94">
        <f t="shared" si="931"/>
        <v>1.5040427104247827</v>
      </c>
      <c r="CX104" s="94">
        <f t="shared" si="931"/>
        <v>1.5040427104247827</v>
      </c>
      <c r="CY104" s="94">
        <f t="shared" si="931"/>
        <v>1.5040427104247827</v>
      </c>
      <c r="CZ104" s="94">
        <f t="shared" si="931"/>
        <v>1.5040427104247827</v>
      </c>
      <c r="DA104" s="94">
        <f t="shared" si="931"/>
        <v>1.5040427104247827</v>
      </c>
      <c r="DB104" s="94">
        <f t="shared" si="931"/>
        <v>1.5040427104247827</v>
      </c>
      <c r="DE104" s="164"/>
      <c r="DF104" s="163">
        <v>1.5683532507414117</v>
      </c>
    </row>
    <row r="105" spans="1:110" s="4" customFormat="1" x14ac:dyDescent="0.2">
      <c r="A105" s="3"/>
      <c r="AA105" s="17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A106" s="17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32">+B78*B65</f>
        <v>4791.4230482521216</v>
      </c>
      <c r="C107" s="162">
        <f t="shared" si="932"/>
        <v>4311.294569544687</v>
      </c>
      <c r="D107" s="162">
        <f t="shared" si="932"/>
        <v>4397.6773124714937</v>
      </c>
      <c r="E107" s="162">
        <f t="shared" si="932"/>
        <v>83157.219723304544</v>
      </c>
      <c r="F107" s="162">
        <f t="shared" si="932"/>
        <v>81856.291803970365</v>
      </c>
      <c r="G107" s="162">
        <f t="shared" si="932"/>
        <v>135468.66955882631</v>
      </c>
      <c r="H107" s="162">
        <f t="shared" si="932"/>
        <v>242117.78294682069</v>
      </c>
      <c r="I107" s="162">
        <f t="shared" si="932"/>
        <v>544907.4338556095</v>
      </c>
      <c r="J107" s="162">
        <f t="shared" si="932"/>
        <v>453505.87634869508</v>
      </c>
      <c r="K107" s="162">
        <f t="shared" si="932"/>
        <v>417213.34224054159</v>
      </c>
      <c r="L107" s="162">
        <f t="shared" si="932"/>
        <v>397776.89738114289</v>
      </c>
      <c r="M107" s="162">
        <f t="shared" si="932"/>
        <v>357077.6520677993</v>
      </c>
      <c r="N107" s="162">
        <f t="shared" si="932"/>
        <v>319964.09571989538</v>
      </c>
      <c r="O107" s="162">
        <f t="shared" si="932"/>
        <v>314769.87338678073</v>
      </c>
      <c r="P107" s="162">
        <f t="shared" si="932"/>
        <v>382864.45261832833</v>
      </c>
      <c r="Q107" s="162">
        <f t="shared" si="932"/>
        <v>365103.5633502577</v>
      </c>
      <c r="R107" s="162">
        <f t="shared" si="932"/>
        <v>447708.45400270284</v>
      </c>
      <c r="S107" s="162">
        <f t="shared" si="932"/>
        <v>663520.01416568086</v>
      </c>
      <c r="T107" s="162">
        <f t="shared" si="932"/>
        <v>929330.15317387332</v>
      </c>
      <c r="U107" s="162">
        <f t="shared" si="932"/>
        <v>1084285.5342598376</v>
      </c>
      <c r="V107" s="162">
        <f t="shared" si="932"/>
        <v>1602730.08</v>
      </c>
      <c r="W107" s="162">
        <f t="shared" si="932"/>
        <v>1860650</v>
      </c>
      <c r="X107" s="162">
        <f t="shared" si="932"/>
        <v>1931693</v>
      </c>
      <c r="Y107" s="162">
        <f t="shared" si="932"/>
        <v>2046579.6800000002</v>
      </c>
      <c r="Z107" s="162">
        <f t="shared" si="932"/>
        <v>2177231.14</v>
      </c>
      <c r="AA107" s="21">
        <f t="shared" si="932"/>
        <v>2180275.8400000003</v>
      </c>
      <c r="AB107" s="21">
        <f t="shared" si="932"/>
        <v>2451879.0051326281</v>
      </c>
      <c r="AC107" s="21">
        <f t="shared" si="932"/>
        <v>2728090.2964073364</v>
      </c>
      <c r="AD107" s="21">
        <f t="shared" si="932"/>
        <v>3117164.486168134</v>
      </c>
      <c r="AE107" s="21">
        <f t="shared" si="932"/>
        <v>3561858.9146655942</v>
      </c>
      <c r="AL107" s="162">
        <f t="shared" ref="AL107:BQ107" si="933">+AL78*AL65</f>
        <v>319964.09571989538</v>
      </c>
      <c r="AM107" s="162">
        <f t="shared" si="933"/>
        <v>292552.00624577788</v>
      </c>
      <c r="AN107" s="162">
        <f t="shared" si="933"/>
        <v>310949.60663855332</v>
      </c>
      <c r="AO107" s="162">
        <f t="shared" si="933"/>
        <v>309977.78439558315</v>
      </c>
      <c r="AP107" s="162">
        <f t="shared" si="933"/>
        <v>314769.87338678073</v>
      </c>
      <c r="AQ107" s="162">
        <f t="shared" si="933"/>
        <v>382864.45261832833</v>
      </c>
      <c r="AR107" s="162">
        <f t="shared" si="933"/>
        <v>351833.16306694387</v>
      </c>
      <c r="AS107" s="162">
        <f t="shared" si="933"/>
        <v>340539.91838139616</v>
      </c>
      <c r="AT107" s="162">
        <f t="shared" si="933"/>
        <v>316043.29563618905</v>
      </c>
      <c r="AU107" s="162">
        <f t="shared" si="933"/>
        <v>339735.6516975594</v>
      </c>
      <c r="AV107" s="162">
        <f t="shared" si="933"/>
        <v>357563.56318928441</v>
      </c>
      <c r="AW107" s="162">
        <f t="shared" si="933"/>
        <v>341310.67395340709</v>
      </c>
      <c r="AX107" s="162">
        <f t="shared" ref="AX107" si="934">+AX78*AX65</f>
        <v>365103.5633502577</v>
      </c>
      <c r="AY107" s="162">
        <f t="shared" si="933"/>
        <v>358568.8965440804</v>
      </c>
      <c r="AZ107" s="162">
        <f t="shared" si="933"/>
        <v>378306.94140991848</v>
      </c>
      <c r="BA107" s="162">
        <f t="shared" si="933"/>
        <v>376932.98582502996</v>
      </c>
      <c r="BB107" s="162">
        <f t="shared" si="933"/>
        <v>447708.45400270284</v>
      </c>
      <c r="BC107" s="162">
        <f t="shared" si="933"/>
        <v>490937.78825895069</v>
      </c>
      <c r="BD107" s="162">
        <f t="shared" si="933"/>
        <v>584500.81247867818</v>
      </c>
      <c r="BE107" s="162">
        <f t="shared" si="933"/>
        <v>642743.12483322097</v>
      </c>
      <c r="BF107" s="162">
        <f t="shared" si="933"/>
        <v>663520.01416568086</v>
      </c>
      <c r="BG107" s="162">
        <f t="shared" si="933"/>
        <v>694216.19259880134</v>
      </c>
      <c r="BH107" s="162">
        <f t="shared" si="933"/>
        <v>890557.796790555</v>
      </c>
      <c r="BI107" s="162">
        <f t="shared" si="933"/>
        <v>844480.01802904985</v>
      </c>
      <c r="BJ107" s="162">
        <f t="shared" si="933"/>
        <v>929330.15317387332</v>
      </c>
      <c r="BK107" s="162">
        <f t="shared" si="933"/>
        <v>949704.90916441486</v>
      </c>
      <c r="BL107" s="162">
        <f t="shared" si="933"/>
        <v>895416.90800540429</v>
      </c>
      <c r="BM107" s="162">
        <f t="shared" si="933"/>
        <v>1084285.5342598376</v>
      </c>
      <c r="BN107" s="162">
        <f t="shared" si="933"/>
        <v>1078722.6896966305</v>
      </c>
      <c r="BO107" s="162">
        <f t="shared" si="933"/>
        <v>1220654.06</v>
      </c>
      <c r="BP107" s="162">
        <f t="shared" si="933"/>
        <v>1602730.08</v>
      </c>
      <c r="BQ107" s="162">
        <f t="shared" si="933"/>
        <v>1562540.04</v>
      </c>
      <c r="BR107" s="162">
        <f t="shared" ref="BR107:CJ107" si="935">+BR78*BR65</f>
        <v>1509494.6</v>
      </c>
      <c r="BS107" s="162">
        <f t="shared" si="935"/>
        <v>1538926.7</v>
      </c>
      <c r="BT107" s="162">
        <f t="shared" si="935"/>
        <v>1735479</v>
      </c>
      <c r="BU107" s="162">
        <f t="shared" si="935"/>
        <v>1860650</v>
      </c>
      <c r="BV107" s="162">
        <f t="shared" si="935"/>
        <v>1818700.8</v>
      </c>
      <c r="BW107" s="162">
        <f t="shared" si="935"/>
        <v>1931693</v>
      </c>
      <c r="BX107" s="162">
        <f t="shared" si="935"/>
        <v>1811664.16</v>
      </c>
      <c r="BY107" s="162">
        <f t="shared" si="935"/>
        <v>1863830.02</v>
      </c>
      <c r="BZ107" s="162">
        <f t="shared" si="935"/>
        <v>1762543</v>
      </c>
      <c r="CA107" s="162">
        <f t="shared" si="935"/>
        <v>1748334.4000000001</v>
      </c>
      <c r="CB107" s="162">
        <f t="shared" si="935"/>
        <v>1931693</v>
      </c>
      <c r="CC107" s="162">
        <f t="shared" si="935"/>
        <v>1769173.6800000002</v>
      </c>
      <c r="CD107" s="162">
        <f t="shared" si="935"/>
        <v>2046579.6800000002</v>
      </c>
      <c r="CE107" s="162">
        <f t="shared" si="935"/>
        <v>2139037.0699999998</v>
      </c>
      <c r="CF107" s="162">
        <f t="shared" si="935"/>
        <v>2177231.14</v>
      </c>
      <c r="CG107" s="162">
        <f t="shared" si="935"/>
        <v>2014914.8</v>
      </c>
      <c r="CH107" s="162">
        <f t="shared" si="935"/>
        <v>1793125.3199999998</v>
      </c>
      <c r="CI107" s="162">
        <f t="shared" si="935"/>
        <v>2063562.34</v>
      </c>
      <c r="CJ107" s="162">
        <f t="shared" si="935"/>
        <v>2098813.2000000002</v>
      </c>
      <c r="CK107" s="162">
        <f t="shared" ref="CK107:CL107" si="936">+CK78*CK65</f>
        <v>2139273.8800000004</v>
      </c>
      <c r="CL107" s="162">
        <f t="shared" si="936"/>
        <v>2180275.8400000003</v>
      </c>
      <c r="CM107" s="21">
        <f t="shared" ref="CM107:DB107" si="937">+CM110-CM109</f>
        <v>2225921.4187788428</v>
      </c>
      <c r="CN107" s="21">
        <f t="shared" si="937"/>
        <v>2262108.1160537587</v>
      </c>
      <c r="CO107" s="21">
        <f t="shared" si="937"/>
        <v>2312221.3684898713</v>
      </c>
      <c r="CP107" s="21">
        <f t="shared" si="937"/>
        <v>2451879.0051326281</v>
      </c>
      <c r="CQ107" s="21">
        <f t="shared" si="937"/>
        <v>2518636.2657594453</v>
      </c>
      <c r="CR107" s="21">
        <f t="shared" si="937"/>
        <v>2594408.8965465995</v>
      </c>
      <c r="CS107" s="21">
        <f t="shared" si="937"/>
        <v>2682912.1119537018</v>
      </c>
      <c r="CT107" s="21">
        <f t="shared" si="937"/>
        <v>2728090.2964073364</v>
      </c>
      <c r="CU107" s="21">
        <f t="shared" si="937"/>
        <v>2819415.488715007</v>
      </c>
      <c r="CV107" s="21">
        <f t="shared" si="937"/>
        <v>2910291.8574387468</v>
      </c>
      <c r="CW107" s="21">
        <f t="shared" si="937"/>
        <v>3008965.8297805479</v>
      </c>
      <c r="CX107" s="21">
        <f t="shared" si="937"/>
        <v>3117164.486168134</v>
      </c>
      <c r="CY107" s="21">
        <f t="shared" si="937"/>
        <v>3224052.4344524937</v>
      </c>
      <c r="CZ107" s="21">
        <f t="shared" si="937"/>
        <v>3328811.8015338932</v>
      </c>
      <c r="DA107" s="21">
        <f t="shared" si="937"/>
        <v>3440314.5378939826</v>
      </c>
      <c r="DB107" s="21">
        <f t="shared" si="937"/>
        <v>3561858.9146655942</v>
      </c>
      <c r="DE107" s="22"/>
      <c r="DF107" s="162">
        <v>2180275.8400000003</v>
      </c>
    </row>
    <row r="108" spans="1:110" s="162" customFormat="1" x14ac:dyDescent="0.2">
      <c r="A108" s="49" t="s">
        <v>341</v>
      </c>
      <c r="B108" s="162">
        <f t="shared" ref="B108:AE108" si="938">+B79*B65</f>
        <v>2959.9074209100659</v>
      </c>
      <c r="C108" s="162">
        <f t="shared" si="938"/>
        <v>2164.6622918673329</v>
      </c>
      <c r="D108" s="162">
        <f t="shared" si="938"/>
        <v>3064.1110017076512</v>
      </c>
      <c r="E108" s="162">
        <f t="shared" si="938"/>
        <v>35145.487244839998</v>
      </c>
      <c r="F108" s="162">
        <f t="shared" si="938"/>
        <v>54979.529658982203</v>
      </c>
      <c r="G108" s="162">
        <f t="shared" si="938"/>
        <v>69759.705496443959</v>
      </c>
      <c r="H108" s="162">
        <f t="shared" si="938"/>
        <v>133374.22506966724</v>
      </c>
      <c r="I108" s="162">
        <f t="shared" si="938"/>
        <v>218660.00466823543</v>
      </c>
      <c r="J108" s="162">
        <f t="shared" si="938"/>
        <v>155826.66999345558</v>
      </c>
      <c r="K108" s="162">
        <f t="shared" si="938"/>
        <v>250922.82757924678</v>
      </c>
      <c r="L108" s="162">
        <f t="shared" si="938"/>
        <v>281677.65045806218</v>
      </c>
      <c r="M108" s="162">
        <f t="shared" si="938"/>
        <v>230405.64936344096</v>
      </c>
      <c r="N108" s="162">
        <f t="shared" si="938"/>
        <v>224859.56035614738</v>
      </c>
      <c r="O108" s="162">
        <f t="shared" si="938"/>
        <v>256360.00547310465</v>
      </c>
      <c r="P108" s="162">
        <f t="shared" si="938"/>
        <v>266999.78347803396</v>
      </c>
      <c r="Q108" s="162">
        <f t="shared" si="938"/>
        <v>272780.45026811393</v>
      </c>
      <c r="R108" s="162">
        <f t="shared" si="938"/>
        <v>310212.3621783696</v>
      </c>
      <c r="S108" s="162">
        <f t="shared" si="938"/>
        <v>433968.89815381751</v>
      </c>
      <c r="T108" s="162">
        <f t="shared" si="938"/>
        <v>593883.92379011144</v>
      </c>
      <c r="U108" s="162">
        <f t="shared" si="938"/>
        <v>586913.61253018992</v>
      </c>
      <c r="V108" s="162">
        <f t="shared" si="938"/>
        <v>700214.68161575275</v>
      </c>
      <c r="W108" s="162">
        <f t="shared" si="938"/>
        <v>1270384.1599999999</v>
      </c>
      <c r="X108" s="162">
        <f t="shared" si="938"/>
        <v>1474988</v>
      </c>
      <c r="Y108" s="162">
        <f t="shared" si="938"/>
        <v>1502762.4300000002</v>
      </c>
      <c r="Z108" s="162">
        <f t="shared" si="938"/>
        <v>1564299.2</v>
      </c>
      <c r="AA108" s="21">
        <f t="shared" si="938"/>
        <v>1509562.26</v>
      </c>
      <c r="AB108" s="21">
        <f t="shared" si="938"/>
        <v>1696970.5579438093</v>
      </c>
      <c r="AC108" s="21">
        <f t="shared" si="938"/>
        <v>1939829.380630367</v>
      </c>
      <c r="AD108" s="21">
        <f t="shared" si="938"/>
        <v>2180014.9929995881</v>
      </c>
      <c r="AE108" s="21">
        <f t="shared" si="938"/>
        <v>2516783.7500888621</v>
      </c>
      <c r="AL108" s="162">
        <f t="shared" ref="AL108:BQ108" si="939">+AL79*AL65</f>
        <v>256360.00547310465</v>
      </c>
      <c r="AM108" s="162">
        <f t="shared" si="939"/>
        <v>256360.00547310465</v>
      </c>
      <c r="AN108" s="162">
        <f t="shared" si="939"/>
        <v>256360.00547310465</v>
      </c>
      <c r="AO108" s="162">
        <f t="shared" si="939"/>
        <v>274288.45030030858</v>
      </c>
      <c r="AP108" s="162">
        <f t="shared" si="939"/>
        <v>266078.22790280328</v>
      </c>
      <c r="AQ108" s="162">
        <f t="shared" si="939"/>
        <v>309977.78439558315</v>
      </c>
      <c r="AR108" s="162">
        <f t="shared" si="939"/>
        <v>307665.51767955173</v>
      </c>
      <c r="AS108" s="162">
        <f t="shared" si="939"/>
        <v>288178.80615241366</v>
      </c>
      <c r="AT108" s="162">
        <f t="shared" si="939"/>
        <v>266999.78347803396</v>
      </c>
      <c r="AU108" s="162">
        <f t="shared" si="939"/>
        <v>272780.45026811393</v>
      </c>
      <c r="AV108" s="162">
        <f t="shared" si="939"/>
        <v>274456.0058594406</v>
      </c>
      <c r="AW108" s="162">
        <f t="shared" si="939"/>
        <v>287793.42836640752</v>
      </c>
      <c r="AX108" s="162">
        <f t="shared" ref="AX108" si="940">+AX79*AX65</f>
        <v>297746.22857889254</v>
      </c>
      <c r="AY108" s="162">
        <f t="shared" si="939"/>
        <v>310212.3621783696</v>
      </c>
      <c r="AZ108" s="162">
        <f t="shared" si="939"/>
        <v>325124.80694118422</v>
      </c>
      <c r="BA108" s="162">
        <f t="shared" si="939"/>
        <v>312323.56222344184</v>
      </c>
      <c r="BB108" s="162">
        <f t="shared" si="939"/>
        <v>339819.42947712605</v>
      </c>
      <c r="BC108" s="162">
        <f t="shared" si="939"/>
        <v>433968.89815381751</v>
      </c>
      <c r="BD108" s="162">
        <f t="shared" si="939"/>
        <v>459805.96537208738</v>
      </c>
      <c r="BE108" s="162">
        <f t="shared" si="939"/>
        <v>526962.23347249196</v>
      </c>
      <c r="BF108" s="162">
        <f t="shared" si="939"/>
        <v>584500.81247867818</v>
      </c>
      <c r="BG108" s="162">
        <f t="shared" si="939"/>
        <v>593883.92379011144</v>
      </c>
      <c r="BH108" s="162">
        <f t="shared" si="939"/>
        <v>641771.30259025085</v>
      </c>
      <c r="BI108" s="162">
        <f t="shared" si="939"/>
        <v>681616.01455201814</v>
      </c>
      <c r="BJ108" s="162">
        <f t="shared" si="939"/>
        <v>724677.79324913409</v>
      </c>
      <c r="BK108" s="162">
        <f t="shared" si="939"/>
        <v>822362.68422352721</v>
      </c>
      <c r="BL108" s="162">
        <f t="shared" si="939"/>
        <v>734328.99345518101</v>
      </c>
      <c r="BM108" s="162">
        <f t="shared" si="939"/>
        <v>858688.72944350645</v>
      </c>
      <c r="BN108" s="162">
        <f t="shared" si="939"/>
        <v>586913.61253018992</v>
      </c>
      <c r="BO108" s="162">
        <f t="shared" si="939"/>
        <v>700214.68161575275</v>
      </c>
      <c r="BP108" s="162">
        <f t="shared" si="939"/>
        <v>1156140.25</v>
      </c>
      <c r="BQ108" s="162">
        <f t="shared" si="939"/>
        <v>1241561</v>
      </c>
      <c r="BR108" s="162">
        <f t="shared" ref="BR108:CJ108" si="941">+BR79*BR65</f>
        <v>1238178</v>
      </c>
      <c r="BS108" s="162">
        <f t="shared" si="941"/>
        <v>1270384.1599999999</v>
      </c>
      <c r="BT108" s="162">
        <f t="shared" si="941"/>
        <v>1364431.56</v>
      </c>
      <c r="BU108" s="162">
        <f t="shared" si="941"/>
        <v>1520996.8</v>
      </c>
      <c r="BV108" s="162">
        <f t="shared" si="941"/>
        <v>1475664.6</v>
      </c>
      <c r="BW108" s="162">
        <f t="shared" si="941"/>
        <v>1603542</v>
      </c>
      <c r="BX108" s="162">
        <f t="shared" si="941"/>
        <v>1565347.9300000002</v>
      </c>
      <c r="BY108" s="162">
        <f t="shared" si="941"/>
        <v>1585679.76</v>
      </c>
      <c r="BZ108" s="162">
        <f t="shared" si="941"/>
        <v>1474988</v>
      </c>
      <c r="CA108" s="162">
        <f t="shared" si="941"/>
        <v>1561931.1</v>
      </c>
      <c r="CB108" s="162">
        <f t="shared" si="941"/>
        <v>1573534.79</v>
      </c>
      <c r="CC108" s="162">
        <f t="shared" si="941"/>
        <v>1502762.4300000002</v>
      </c>
      <c r="CD108" s="162">
        <f t="shared" si="941"/>
        <v>1737711.7800000003</v>
      </c>
      <c r="CE108" s="162">
        <f t="shared" si="941"/>
        <v>1839776.8900000001</v>
      </c>
      <c r="CF108" s="162">
        <f t="shared" si="941"/>
        <v>1939000.2800000003</v>
      </c>
      <c r="CG108" s="162">
        <f t="shared" si="941"/>
        <v>1626681.72</v>
      </c>
      <c r="CH108" s="162">
        <f t="shared" si="941"/>
        <v>1564299.2</v>
      </c>
      <c r="CI108" s="162">
        <f t="shared" si="941"/>
        <v>1509562.26</v>
      </c>
      <c r="CJ108" s="162">
        <f t="shared" si="941"/>
        <v>1815588.4400000002</v>
      </c>
      <c r="CK108" s="162">
        <f t="shared" ref="CK108:CL108" si="942">+CK79*CK65</f>
        <v>1836563.04</v>
      </c>
      <c r="CL108" s="162">
        <f t="shared" si="942"/>
        <v>1768632.4000000001</v>
      </c>
      <c r="CM108" s="21">
        <f t="shared" ref="CM108:DB108" si="943">+CM111-CM109</f>
        <v>1696970.5579438093</v>
      </c>
      <c r="CN108" s="21">
        <f t="shared" si="943"/>
        <v>1728591.9357995773</v>
      </c>
      <c r="CO108" s="21">
        <f t="shared" si="943"/>
        <v>1771240.5288822332</v>
      </c>
      <c r="CP108" s="21">
        <f t="shared" si="943"/>
        <v>1884174.0662763915</v>
      </c>
      <c r="CQ108" s="21">
        <f t="shared" si="943"/>
        <v>1939829.380630367</v>
      </c>
      <c r="CR108" s="21">
        <f t="shared" si="943"/>
        <v>2003027.3146279226</v>
      </c>
      <c r="CS108" s="21">
        <f t="shared" si="943"/>
        <v>2076470.0045991088</v>
      </c>
      <c r="CT108" s="21">
        <f t="shared" si="943"/>
        <v>2103029.7290147254</v>
      </c>
      <c r="CU108" s="21">
        <f t="shared" si="943"/>
        <v>2180014.9929995881</v>
      </c>
      <c r="CV108" s="21">
        <f t="shared" si="943"/>
        <v>2255172.9485970191</v>
      </c>
      <c r="CW108" s="21">
        <f t="shared" si="943"/>
        <v>2336998.6669516657</v>
      </c>
      <c r="CX108" s="21">
        <f t="shared" si="943"/>
        <v>2426432.5789685557</v>
      </c>
      <c r="CY108" s="21">
        <f t="shared" si="943"/>
        <v>2516783.7500888621</v>
      </c>
      <c r="CZ108" s="21">
        <f t="shared" si="943"/>
        <v>2603864.6547108521</v>
      </c>
      <c r="DA108" s="21">
        <f t="shared" si="943"/>
        <v>2696872.350271387</v>
      </c>
      <c r="DB108" s="21">
        <f t="shared" si="943"/>
        <v>2797914.8415522752</v>
      </c>
      <c r="DE108" s="22"/>
      <c r="DF108" s="162">
        <v>1768632.4000000001</v>
      </c>
    </row>
    <row r="109" spans="1:110" s="162" customFormat="1" x14ac:dyDescent="0.2">
      <c r="A109" s="49" t="s">
        <v>80</v>
      </c>
      <c r="B109" s="162">
        <f>+B168</f>
        <v>9994.7800000000007</v>
      </c>
      <c r="C109" s="162">
        <f t="shared" ref="C109:W109" si="944">+C168</f>
        <v>17185.78</v>
      </c>
      <c r="D109" s="162">
        <f t="shared" si="944"/>
        <v>19632.370000000003</v>
      </c>
      <c r="E109" s="162">
        <f t="shared" si="944"/>
        <v>20477.78</v>
      </c>
      <c r="F109" s="162">
        <f t="shared" si="944"/>
        <v>11695.1</v>
      </c>
      <c r="G109" s="162">
        <f t="shared" si="944"/>
        <v>17923.29</v>
      </c>
      <c r="H109" s="162">
        <f t="shared" si="944"/>
        <v>28472.360000000004</v>
      </c>
      <c r="I109" s="162">
        <f t="shared" si="944"/>
        <v>40173.899999999994</v>
      </c>
      <c r="J109" s="162">
        <f t="shared" si="944"/>
        <v>50640.930000000008</v>
      </c>
      <c r="K109" s="162">
        <f t="shared" si="944"/>
        <v>42241.700000000004</v>
      </c>
      <c r="L109" s="162">
        <f t="shared" si="944"/>
        <v>39328</v>
      </c>
      <c r="M109" s="162">
        <f t="shared" si="944"/>
        <v>24543</v>
      </c>
      <c r="N109" s="162">
        <f t="shared" si="944"/>
        <v>27894</v>
      </c>
      <c r="O109" s="162">
        <f t="shared" si="944"/>
        <v>67039</v>
      </c>
      <c r="P109" s="162">
        <f t="shared" si="944"/>
        <v>97304</v>
      </c>
      <c r="Q109" s="162">
        <f t="shared" si="944"/>
        <v>127873</v>
      </c>
      <c r="R109" s="162">
        <f t="shared" si="944"/>
        <v>137055</v>
      </c>
      <c r="S109" s="162">
        <f t="shared" si="944"/>
        <v>157775</v>
      </c>
      <c r="T109" s="162">
        <f t="shared" si="944"/>
        <v>206771</v>
      </c>
      <c r="U109" s="162">
        <f t="shared" si="944"/>
        <v>232459</v>
      </c>
      <c r="V109" s="162">
        <f t="shared" si="944"/>
        <v>81968</v>
      </c>
      <c r="W109" s="162">
        <f t="shared" si="944"/>
        <v>122009</v>
      </c>
      <c r="X109" s="162">
        <f t="shared" ref="X109:Y109" si="945">+X168</f>
        <v>126829</v>
      </c>
      <c r="Y109" s="162">
        <f t="shared" si="945"/>
        <v>121227</v>
      </c>
      <c r="Z109" s="162">
        <f t="shared" ref="Z109" si="946">+Z168</f>
        <v>122319</v>
      </c>
      <c r="AA109" s="21">
        <f t="shared" ref="AA109:AD109" si="947">+AA168</f>
        <v>131013</v>
      </c>
      <c r="AB109" s="21">
        <f t="shared" si="947"/>
        <v>62749.217481476546</v>
      </c>
      <c r="AC109" s="21">
        <f t="shared" si="947"/>
        <v>40592.580960899417</v>
      </c>
      <c r="AD109" s="21">
        <f t="shared" si="947"/>
        <v>-57592.815709265124</v>
      </c>
      <c r="AE109" s="21">
        <f t="shared" ref="AE109" si="948">+AE168</f>
        <v>-177996.63821638434</v>
      </c>
      <c r="AL109" s="162">
        <f t="shared" ref="AL109:AM109" si="949">+AL168</f>
        <v>9997</v>
      </c>
      <c r="AM109" s="162">
        <f t="shared" si="949"/>
        <v>7075.1565951685479</v>
      </c>
      <c r="AN109" s="162">
        <f t="shared" ref="AN109:AO109" si="950">+AN168</f>
        <v>-10955</v>
      </c>
      <c r="AO109" s="162">
        <f t="shared" si="950"/>
        <v>-16480.465101176713</v>
      </c>
      <c r="AP109" s="162">
        <f t="shared" ref="AP109:CD109" si="951">+AP168</f>
        <v>62092</v>
      </c>
      <c r="AQ109" s="162">
        <f t="shared" si="951"/>
        <v>56196.767142359895</v>
      </c>
      <c r="AR109" s="162">
        <f t="shared" si="951"/>
        <v>74047</v>
      </c>
      <c r="AS109" s="162">
        <f t="shared" si="951"/>
        <v>68742.69545616</v>
      </c>
      <c r="AT109" s="162">
        <f t="shared" si="951"/>
        <v>92571</v>
      </c>
      <c r="AU109" s="162">
        <f t="shared" si="951"/>
        <v>86432.602786423624</v>
      </c>
      <c r="AV109" s="162">
        <f t="shared" si="951"/>
        <v>110108</v>
      </c>
      <c r="AW109" s="162">
        <f t="shared" si="951"/>
        <v>102701.22080816216</v>
      </c>
      <c r="AX109" s="162">
        <f t="shared" ref="AX109" si="952">+AX168</f>
        <v>111661</v>
      </c>
      <c r="AY109" s="162">
        <f t="shared" si="951"/>
        <v>104396.61900741156</v>
      </c>
      <c r="AZ109" s="162">
        <f t="shared" si="951"/>
        <v>132168</v>
      </c>
      <c r="BA109" s="162">
        <f t="shared" si="951"/>
        <v>124901.21735190015</v>
      </c>
      <c r="BB109" s="162">
        <f t="shared" si="951"/>
        <v>123393</v>
      </c>
      <c r="BC109" s="162">
        <f t="shared" si="951"/>
        <v>116258.75583761264</v>
      </c>
      <c r="BD109" s="162">
        <f t="shared" si="951"/>
        <v>121265</v>
      </c>
      <c r="BE109" s="162">
        <f t="shared" si="951"/>
        <v>112116.09073925808</v>
      </c>
      <c r="BF109" s="162">
        <f t="shared" si="951"/>
        <v>119746</v>
      </c>
      <c r="BG109" s="162">
        <f t="shared" si="951"/>
        <v>110367.25647459726</v>
      </c>
      <c r="BH109" s="162">
        <f t="shared" si="951"/>
        <v>173456</v>
      </c>
      <c r="BI109" s="162">
        <f t="shared" si="951"/>
        <v>163085.76792649608</v>
      </c>
      <c r="BJ109" s="162">
        <f t="shared" si="951"/>
        <v>189838</v>
      </c>
      <c r="BK109" s="162">
        <f t="shared" si="951"/>
        <v>179539.6453970648</v>
      </c>
      <c r="BL109" s="162">
        <f t="shared" si="951"/>
        <v>170778</v>
      </c>
      <c r="BM109" s="162">
        <f t="shared" si="951"/>
        <v>159825.64980511775</v>
      </c>
      <c r="BN109" s="162">
        <f t="shared" si="951"/>
        <v>187582</v>
      </c>
      <c r="BO109" s="162">
        <f t="shared" si="951"/>
        <v>175701.12312080339</v>
      </c>
      <c r="BP109" s="162">
        <f t="shared" si="951"/>
        <v>121450</v>
      </c>
      <c r="BQ109" s="162">
        <f t="shared" si="951"/>
        <v>106786.46154145733</v>
      </c>
      <c r="BR109" s="162">
        <f t="shared" si="951"/>
        <v>81968</v>
      </c>
      <c r="BS109" s="162">
        <f t="shared" si="951"/>
        <v>71228.75057962173</v>
      </c>
      <c r="BT109" s="162">
        <f t="shared" si="951"/>
        <v>84010</v>
      </c>
      <c r="BU109" s="162">
        <f t="shared" si="951"/>
        <v>66209.442479585647</v>
      </c>
      <c r="BV109" s="162">
        <f t="shared" si="951"/>
        <v>122009</v>
      </c>
      <c r="BW109" s="162">
        <f t="shared" si="951"/>
        <v>105696.51075303496</v>
      </c>
      <c r="BX109" s="162">
        <f t="shared" si="951"/>
        <v>176596</v>
      </c>
      <c r="BY109" s="162">
        <f t="shared" si="951"/>
        <v>159669.80100931006</v>
      </c>
      <c r="BZ109" s="162">
        <f t="shared" si="951"/>
        <v>126829</v>
      </c>
      <c r="CA109" s="162">
        <f t="shared" si="951"/>
        <v>108021.36699908349</v>
      </c>
      <c r="CB109" s="162">
        <f t="shared" si="951"/>
        <v>122753</v>
      </c>
      <c r="CC109" s="162">
        <f t="shared" si="951"/>
        <v>102458.16894795233</v>
      </c>
      <c r="CD109" s="162">
        <f t="shared" si="951"/>
        <v>121227</v>
      </c>
      <c r="CE109" s="162">
        <f t="shared" ref="CE109:CF109" si="953">+CE168</f>
        <v>105337.60837354721</v>
      </c>
      <c r="CF109" s="162">
        <f t="shared" si="953"/>
        <v>121547</v>
      </c>
      <c r="CG109" s="162">
        <f t="shared" ref="CG109:CH109" si="954">+CG168</f>
        <v>101923.60448325175</v>
      </c>
      <c r="CH109" s="162">
        <f t="shared" si="954"/>
        <v>122319</v>
      </c>
      <c r="CI109" s="162">
        <f t="shared" ref="CI109:CJ109" si="955">+CI168</f>
        <v>107808.20215313492</v>
      </c>
      <c r="CJ109" s="162">
        <f t="shared" si="955"/>
        <v>124359</v>
      </c>
      <c r="CK109" s="162">
        <f t="shared" ref="CK109:CL109" si="956">+CK168</f>
        <v>228432.07526650396</v>
      </c>
      <c r="CL109" s="162">
        <f t="shared" si="956"/>
        <v>131013</v>
      </c>
      <c r="CM109" s="21">
        <f t="shared" ref="CM109:DB109" si="957">+CM168</f>
        <v>117047.03541780857</v>
      </c>
      <c r="CN109" s="21">
        <f t="shared" si="957"/>
        <v>101082.25320983987</v>
      </c>
      <c r="CO109" s="21">
        <f t="shared" si="957"/>
        <v>84033.435830819421</v>
      </c>
      <c r="CP109" s="21">
        <f t="shared" si="957"/>
        <v>62749.217481476546</v>
      </c>
      <c r="CQ109" s="21">
        <f t="shared" si="957"/>
        <v>45167.621029570349</v>
      </c>
      <c r="CR109" s="21">
        <f t="shared" si="957"/>
        <v>25094.148861056834</v>
      </c>
      <c r="CS109" s="21">
        <f t="shared" si="957"/>
        <v>3300.9789660709212</v>
      </c>
      <c r="CT109" s="21">
        <f t="shared" si="957"/>
        <v>40592.580960899417</v>
      </c>
      <c r="CU109" s="21">
        <f t="shared" si="957"/>
        <v>12785.575659753522</v>
      </c>
      <c r="CV109" s="21">
        <f t="shared" si="957"/>
        <v>-8466.6581361546414</v>
      </c>
      <c r="CW109" s="21">
        <f t="shared" si="957"/>
        <v>-32511.906861024501</v>
      </c>
      <c r="CX109" s="21">
        <f t="shared" si="957"/>
        <v>-57592.815709265124</v>
      </c>
      <c r="CY109" s="21">
        <f t="shared" si="957"/>
        <v>-91231.715550277615</v>
      </c>
      <c r="CZ109" s="21">
        <f t="shared" si="957"/>
        <v>-117684.98101061437</v>
      </c>
      <c r="DA109" s="21">
        <f t="shared" si="957"/>
        <v>-147264.61191620416</v>
      </c>
      <c r="DB109" s="21">
        <f t="shared" si="957"/>
        <v>-177996.63821638434</v>
      </c>
      <c r="DE109" s="22"/>
      <c r="DF109" s="162">
        <v>219928.12656801112</v>
      </c>
    </row>
    <row r="110" spans="1:110" s="162" customFormat="1" x14ac:dyDescent="0.2">
      <c r="A110" s="49" t="s">
        <v>342</v>
      </c>
      <c r="B110" s="162">
        <f>+B107+B109</f>
        <v>14786.203048252122</v>
      </c>
      <c r="C110" s="162">
        <f t="shared" ref="C110:W110" si="958">+C107+C109</f>
        <v>21497.074569544686</v>
      </c>
      <c r="D110" s="162">
        <f t="shared" si="958"/>
        <v>24030.047312471495</v>
      </c>
      <c r="E110" s="162">
        <f t="shared" si="958"/>
        <v>103634.99972330454</v>
      </c>
      <c r="F110" s="162">
        <f t="shared" si="958"/>
        <v>93551.391803970371</v>
      </c>
      <c r="G110" s="162">
        <f t="shared" si="958"/>
        <v>153391.95955882632</v>
      </c>
      <c r="H110" s="162">
        <f t="shared" si="958"/>
        <v>270590.14294682071</v>
      </c>
      <c r="I110" s="162">
        <f t="shared" si="958"/>
        <v>585081.33385560953</v>
      </c>
      <c r="J110" s="162">
        <f t="shared" si="958"/>
        <v>504146.80634869507</v>
      </c>
      <c r="K110" s="162">
        <f t="shared" si="958"/>
        <v>459455.0422405416</v>
      </c>
      <c r="L110" s="162">
        <f t="shared" si="958"/>
        <v>437104.89738114289</v>
      </c>
      <c r="M110" s="162">
        <f t="shared" si="958"/>
        <v>381620.6520677993</v>
      </c>
      <c r="N110" s="162">
        <f t="shared" si="958"/>
        <v>347858.09571989538</v>
      </c>
      <c r="O110" s="162">
        <f t="shared" si="958"/>
        <v>381808.87338678073</v>
      </c>
      <c r="P110" s="162">
        <f t="shared" si="958"/>
        <v>480168.45261832833</v>
      </c>
      <c r="Q110" s="162">
        <f t="shared" si="958"/>
        <v>492976.5633502577</v>
      </c>
      <c r="R110" s="162">
        <f t="shared" si="958"/>
        <v>584763.45400270284</v>
      </c>
      <c r="S110" s="162">
        <f t="shared" si="958"/>
        <v>821295.01416568086</v>
      </c>
      <c r="T110" s="162">
        <f t="shared" si="958"/>
        <v>1136101.1531738732</v>
      </c>
      <c r="U110" s="162">
        <f t="shared" si="958"/>
        <v>1316744.5342598376</v>
      </c>
      <c r="V110" s="162">
        <f t="shared" si="958"/>
        <v>1684698.08</v>
      </c>
      <c r="W110" s="162">
        <f t="shared" si="958"/>
        <v>1982659</v>
      </c>
      <c r="X110" s="162">
        <f t="shared" ref="X110:Y110" si="959">+X107+X109</f>
        <v>2058522</v>
      </c>
      <c r="Y110" s="162">
        <f t="shared" si="959"/>
        <v>2167806.6800000002</v>
      </c>
      <c r="Z110" s="162">
        <f t="shared" ref="Z110" si="960">+Z107+Z109</f>
        <v>2299550.14</v>
      </c>
      <c r="AA110" s="21">
        <f t="shared" ref="AA110:AD110" si="961">+AA107+AA109</f>
        <v>2311288.8400000003</v>
      </c>
      <c r="AB110" s="21">
        <f t="shared" si="961"/>
        <v>2514628.2226141049</v>
      </c>
      <c r="AC110" s="21">
        <f t="shared" si="961"/>
        <v>2768682.877368236</v>
      </c>
      <c r="AD110" s="21">
        <f t="shared" si="961"/>
        <v>3059571.6704588691</v>
      </c>
      <c r="AE110" s="21">
        <f t="shared" ref="AE110" si="962">+AE107+AE109</f>
        <v>3383862.27644921</v>
      </c>
      <c r="AL110" s="162">
        <f t="shared" ref="AL110" si="963">+AL107+AL109</f>
        <v>329961.09571989538</v>
      </c>
      <c r="AM110" s="162">
        <f t="shared" ref="AM110:AO110" si="964">+AM107+AM109</f>
        <v>299627.16284094646</v>
      </c>
      <c r="AN110" s="162">
        <f t="shared" si="964"/>
        <v>299994.60663855332</v>
      </c>
      <c r="AO110" s="162">
        <f t="shared" si="964"/>
        <v>293497.31929440645</v>
      </c>
      <c r="AP110" s="162">
        <f t="shared" ref="AP110:CD110" si="965">+AP107+AP109</f>
        <v>376861.87338678073</v>
      </c>
      <c r="AQ110" s="162">
        <f t="shared" si="965"/>
        <v>439061.21976068825</v>
      </c>
      <c r="AR110" s="162">
        <f t="shared" si="965"/>
        <v>425880.16306694387</v>
      </c>
      <c r="AS110" s="162">
        <f t="shared" si="965"/>
        <v>409282.61383755616</v>
      </c>
      <c r="AT110" s="162">
        <f t="shared" si="965"/>
        <v>408614.29563618905</v>
      </c>
      <c r="AU110" s="162">
        <f t="shared" si="965"/>
        <v>426168.25448398304</v>
      </c>
      <c r="AV110" s="162">
        <f t="shared" si="965"/>
        <v>467671.56318928441</v>
      </c>
      <c r="AW110" s="162">
        <f t="shared" si="965"/>
        <v>444011.89476156927</v>
      </c>
      <c r="AX110" s="162">
        <f t="shared" ref="AX110" si="966">+AX107+AX109</f>
        <v>476764.5633502577</v>
      </c>
      <c r="AY110" s="162">
        <f t="shared" si="965"/>
        <v>462965.51555149199</v>
      </c>
      <c r="AZ110" s="162">
        <f t="shared" si="965"/>
        <v>510474.94140991848</v>
      </c>
      <c r="BA110" s="162">
        <f t="shared" si="965"/>
        <v>501834.20317693008</v>
      </c>
      <c r="BB110" s="162">
        <f t="shared" si="965"/>
        <v>571101.45400270284</v>
      </c>
      <c r="BC110" s="162">
        <f t="shared" si="965"/>
        <v>607196.54409656336</v>
      </c>
      <c r="BD110" s="162">
        <f t="shared" si="965"/>
        <v>705765.81247867818</v>
      </c>
      <c r="BE110" s="162">
        <f t="shared" si="965"/>
        <v>754859.21557247906</v>
      </c>
      <c r="BF110" s="162">
        <f t="shared" si="965"/>
        <v>783266.01416568086</v>
      </c>
      <c r="BG110" s="162">
        <f t="shared" si="965"/>
        <v>804583.4490733986</v>
      </c>
      <c r="BH110" s="162">
        <f t="shared" si="965"/>
        <v>1064013.7967905551</v>
      </c>
      <c r="BI110" s="162">
        <f t="shared" si="965"/>
        <v>1007565.785955546</v>
      </c>
      <c r="BJ110" s="162">
        <f t="shared" si="965"/>
        <v>1119168.1531738732</v>
      </c>
      <c r="BK110" s="162">
        <f t="shared" si="965"/>
        <v>1129244.5545614797</v>
      </c>
      <c r="BL110" s="162">
        <f t="shared" si="965"/>
        <v>1066194.9080054043</v>
      </c>
      <c r="BM110" s="162">
        <f t="shared" si="965"/>
        <v>1244111.1840649555</v>
      </c>
      <c r="BN110" s="162">
        <f t="shared" si="965"/>
        <v>1266304.6896966305</v>
      </c>
      <c r="BO110" s="162">
        <f t="shared" si="965"/>
        <v>1396355.1831208034</v>
      </c>
      <c r="BP110" s="162">
        <f t="shared" si="965"/>
        <v>1724180.08</v>
      </c>
      <c r="BQ110" s="162">
        <f t="shared" si="965"/>
        <v>1669326.5015414574</v>
      </c>
      <c r="BR110" s="162">
        <f t="shared" si="965"/>
        <v>1591462.6</v>
      </c>
      <c r="BS110" s="162">
        <f t="shared" si="965"/>
        <v>1610155.4505796216</v>
      </c>
      <c r="BT110" s="162">
        <f t="shared" si="965"/>
        <v>1819489</v>
      </c>
      <c r="BU110" s="162">
        <f t="shared" si="965"/>
        <v>1926859.4424795858</v>
      </c>
      <c r="BV110" s="162">
        <f t="shared" si="965"/>
        <v>1940709.8</v>
      </c>
      <c r="BW110" s="162">
        <f t="shared" si="965"/>
        <v>2037389.5107530351</v>
      </c>
      <c r="BX110" s="162">
        <f t="shared" si="965"/>
        <v>1988260.16</v>
      </c>
      <c r="BY110" s="162">
        <f t="shared" si="965"/>
        <v>2023499.82100931</v>
      </c>
      <c r="BZ110" s="162">
        <f t="shared" si="965"/>
        <v>1889372</v>
      </c>
      <c r="CA110" s="162">
        <f t="shared" si="965"/>
        <v>1856355.7669990836</v>
      </c>
      <c r="CB110" s="162">
        <f t="shared" si="965"/>
        <v>2054446</v>
      </c>
      <c r="CC110" s="162">
        <f t="shared" si="965"/>
        <v>1871631.8489479525</v>
      </c>
      <c r="CD110" s="162">
        <f t="shared" si="965"/>
        <v>2167806.6800000002</v>
      </c>
      <c r="CE110" s="162">
        <f t="shared" ref="CE110:CF110" si="967">+CE107+CE109</f>
        <v>2244374.6783735473</v>
      </c>
      <c r="CF110" s="162">
        <f t="shared" si="967"/>
        <v>2298778.14</v>
      </c>
      <c r="CG110" s="162">
        <f t="shared" ref="CG110:CH110" si="968">+CG107+CG109</f>
        <v>2116838.4044832517</v>
      </c>
      <c r="CH110" s="162">
        <f t="shared" si="968"/>
        <v>1915444.3199999998</v>
      </c>
      <c r="CI110" s="162">
        <f t="shared" ref="CI110:CJ110" si="969">+CI107+CI109</f>
        <v>2171370.5421531349</v>
      </c>
      <c r="CJ110" s="162">
        <f t="shared" si="969"/>
        <v>2223172.2000000002</v>
      </c>
      <c r="CK110" s="162">
        <f t="shared" ref="CK110:CL110" si="970">+CK107+CK109</f>
        <v>2367705.9552665045</v>
      </c>
      <c r="CL110" s="162">
        <f t="shared" si="970"/>
        <v>2311288.8400000003</v>
      </c>
      <c r="CM110" s="21">
        <f t="shared" ref="CM110:DB110" si="971">+CM112*CM113</f>
        <v>2342968.4541966515</v>
      </c>
      <c r="CN110" s="21">
        <f t="shared" si="971"/>
        <v>2363190.3692635987</v>
      </c>
      <c r="CO110" s="21">
        <f t="shared" si="971"/>
        <v>2396254.8043206907</v>
      </c>
      <c r="CP110" s="21">
        <f t="shared" si="971"/>
        <v>2514628.2226141049</v>
      </c>
      <c r="CQ110" s="21">
        <f t="shared" si="971"/>
        <v>2563803.8867890155</v>
      </c>
      <c r="CR110" s="21">
        <f t="shared" si="971"/>
        <v>2619503.0454076561</v>
      </c>
      <c r="CS110" s="21">
        <f t="shared" si="971"/>
        <v>2686213.0909197726</v>
      </c>
      <c r="CT110" s="21">
        <f t="shared" si="971"/>
        <v>2768682.877368236</v>
      </c>
      <c r="CU110" s="21">
        <f t="shared" si="971"/>
        <v>2832201.0643747607</v>
      </c>
      <c r="CV110" s="21">
        <f t="shared" si="971"/>
        <v>2901825.1993025923</v>
      </c>
      <c r="CW110" s="21">
        <f t="shared" si="971"/>
        <v>2976453.9229195234</v>
      </c>
      <c r="CX110" s="21">
        <f t="shared" si="971"/>
        <v>3059571.6704588691</v>
      </c>
      <c r="CY110" s="21">
        <f t="shared" si="971"/>
        <v>3132820.7189022163</v>
      </c>
      <c r="CZ110" s="21">
        <f t="shared" si="971"/>
        <v>3211126.8205232788</v>
      </c>
      <c r="DA110" s="21">
        <f t="shared" si="971"/>
        <v>3293049.9259777786</v>
      </c>
      <c r="DB110" s="21">
        <f t="shared" si="971"/>
        <v>3383862.27644921</v>
      </c>
      <c r="DE110" s="22"/>
      <c r="DF110" s="162">
        <v>2400203.9665680113</v>
      </c>
    </row>
    <row r="111" spans="1:110" s="162" customFormat="1" x14ac:dyDescent="0.2">
      <c r="A111" s="49" t="s">
        <v>345</v>
      </c>
      <c r="B111" s="162">
        <f>+B108+B109</f>
        <v>12954.687420910066</v>
      </c>
      <c r="C111" s="162">
        <f t="shared" ref="C111:W111" si="972">+C108+C109</f>
        <v>19350.44229186733</v>
      </c>
      <c r="D111" s="162">
        <f t="shared" si="972"/>
        <v>22696.481001707652</v>
      </c>
      <c r="E111" s="162">
        <f t="shared" si="972"/>
        <v>55623.267244839997</v>
      </c>
      <c r="F111" s="162">
        <f t="shared" si="972"/>
        <v>66674.629658982201</v>
      </c>
      <c r="G111" s="162">
        <f t="shared" si="972"/>
        <v>87682.995496443968</v>
      </c>
      <c r="H111" s="162">
        <f t="shared" si="972"/>
        <v>161846.58506966726</v>
      </c>
      <c r="I111" s="162">
        <f t="shared" si="972"/>
        <v>258833.90466823542</v>
      </c>
      <c r="J111" s="162">
        <f t="shared" si="972"/>
        <v>206467.59999345557</v>
      </c>
      <c r="K111" s="162">
        <f t="shared" si="972"/>
        <v>293164.52757924679</v>
      </c>
      <c r="L111" s="162">
        <f t="shared" si="972"/>
        <v>321005.65045806218</v>
      </c>
      <c r="M111" s="162">
        <f t="shared" si="972"/>
        <v>254948.64936344096</v>
      </c>
      <c r="N111" s="162">
        <f t="shared" si="972"/>
        <v>252753.56035614738</v>
      </c>
      <c r="O111" s="162">
        <f t="shared" si="972"/>
        <v>323399.00547310465</v>
      </c>
      <c r="P111" s="162">
        <f t="shared" si="972"/>
        <v>364303.78347803396</v>
      </c>
      <c r="Q111" s="162">
        <f t="shared" si="972"/>
        <v>400653.45026811393</v>
      </c>
      <c r="R111" s="162">
        <f t="shared" si="972"/>
        <v>447267.3621783696</v>
      </c>
      <c r="S111" s="162">
        <f t="shared" si="972"/>
        <v>591743.89815381751</v>
      </c>
      <c r="T111" s="162">
        <f t="shared" si="972"/>
        <v>800654.92379011144</v>
      </c>
      <c r="U111" s="162">
        <f t="shared" si="972"/>
        <v>819372.61253018992</v>
      </c>
      <c r="V111" s="162">
        <f t="shared" si="972"/>
        <v>782182.68161575275</v>
      </c>
      <c r="W111" s="162">
        <f t="shared" si="972"/>
        <v>1392393.16</v>
      </c>
      <c r="X111" s="162">
        <f t="shared" ref="X111:Y111" si="973">+X108+X109</f>
        <v>1601817</v>
      </c>
      <c r="Y111" s="162">
        <f t="shared" si="973"/>
        <v>1623989.4300000002</v>
      </c>
      <c r="Z111" s="162">
        <f t="shared" ref="Z111" si="974">+Z108+Z109</f>
        <v>1686618.2</v>
      </c>
      <c r="AA111" s="21">
        <f t="shared" ref="AA111:AD111" si="975">+AA108+AA109</f>
        <v>1640575.26</v>
      </c>
      <c r="AB111" s="21">
        <f t="shared" si="975"/>
        <v>1759719.7754252858</v>
      </c>
      <c r="AC111" s="21">
        <f t="shared" si="975"/>
        <v>1980421.9615912663</v>
      </c>
      <c r="AD111" s="21">
        <f t="shared" si="975"/>
        <v>2122422.1772903232</v>
      </c>
      <c r="AE111" s="21">
        <f t="shared" ref="AE111" si="976">+AE108+AE109</f>
        <v>2338787.1118724779</v>
      </c>
      <c r="AL111" s="162">
        <f t="shared" ref="AL111:AM111" si="977">+AL108+AL109</f>
        <v>266357.00547310465</v>
      </c>
      <c r="AM111" s="162">
        <f t="shared" si="977"/>
        <v>263435.16206827317</v>
      </c>
      <c r="AN111" s="162">
        <f t="shared" ref="AN111:AO111" si="978">+AN108+AN109</f>
        <v>245405.00547310465</v>
      </c>
      <c r="AO111" s="162">
        <f t="shared" si="978"/>
        <v>257807.98519913189</v>
      </c>
      <c r="AP111" s="162">
        <f t="shared" ref="AP111:CD111" si="979">+AP108+AP109</f>
        <v>328170.22790280328</v>
      </c>
      <c r="AQ111" s="162">
        <f t="shared" si="979"/>
        <v>366174.55153794307</v>
      </c>
      <c r="AR111" s="162">
        <f t="shared" si="979"/>
        <v>381712.51767955173</v>
      </c>
      <c r="AS111" s="162">
        <f t="shared" si="979"/>
        <v>356921.50160857366</v>
      </c>
      <c r="AT111" s="162">
        <f t="shared" si="979"/>
        <v>359570.78347803396</v>
      </c>
      <c r="AU111" s="162">
        <f t="shared" si="979"/>
        <v>359213.05305453757</v>
      </c>
      <c r="AV111" s="162">
        <f t="shared" si="979"/>
        <v>384564.0058594406</v>
      </c>
      <c r="AW111" s="162">
        <f t="shared" si="979"/>
        <v>390494.6491745697</v>
      </c>
      <c r="AX111" s="162">
        <f t="shared" ref="AX111" si="980">+AX108+AX109</f>
        <v>409407.22857889254</v>
      </c>
      <c r="AY111" s="162">
        <f t="shared" si="979"/>
        <v>414608.98118578119</v>
      </c>
      <c r="AZ111" s="162">
        <f t="shared" si="979"/>
        <v>457292.80694118422</v>
      </c>
      <c r="BA111" s="162">
        <f t="shared" si="979"/>
        <v>437224.77957534196</v>
      </c>
      <c r="BB111" s="162">
        <f t="shared" si="979"/>
        <v>463212.42947712605</v>
      </c>
      <c r="BC111" s="162">
        <f t="shared" si="979"/>
        <v>550227.65399143018</v>
      </c>
      <c r="BD111" s="162">
        <f t="shared" si="979"/>
        <v>581070.96537208743</v>
      </c>
      <c r="BE111" s="162">
        <f t="shared" si="979"/>
        <v>639078.32421175006</v>
      </c>
      <c r="BF111" s="162">
        <f t="shared" si="979"/>
        <v>704246.81247867818</v>
      </c>
      <c r="BG111" s="162">
        <f t="shared" si="979"/>
        <v>704251.1802647087</v>
      </c>
      <c r="BH111" s="162">
        <f t="shared" si="979"/>
        <v>815227.30259025085</v>
      </c>
      <c r="BI111" s="162">
        <f t="shared" si="979"/>
        <v>844701.78247851424</v>
      </c>
      <c r="BJ111" s="162">
        <f t="shared" si="979"/>
        <v>914515.79324913409</v>
      </c>
      <c r="BK111" s="162">
        <f t="shared" si="979"/>
        <v>1001902.3296205921</v>
      </c>
      <c r="BL111" s="162">
        <f t="shared" si="979"/>
        <v>905106.99345518101</v>
      </c>
      <c r="BM111" s="162">
        <f t="shared" si="979"/>
        <v>1018514.3792486242</v>
      </c>
      <c r="BN111" s="162">
        <f t="shared" si="979"/>
        <v>774495.61253018992</v>
      </c>
      <c r="BO111" s="162">
        <f t="shared" si="979"/>
        <v>875915.80473655614</v>
      </c>
      <c r="BP111" s="162">
        <f t="shared" si="979"/>
        <v>1277590.25</v>
      </c>
      <c r="BQ111" s="162">
        <f t="shared" si="979"/>
        <v>1348347.4615414573</v>
      </c>
      <c r="BR111" s="162">
        <f t="shared" si="979"/>
        <v>1320146</v>
      </c>
      <c r="BS111" s="162">
        <f t="shared" si="979"/>
        <v>1341612.9105796216</v>
      </c>
      <c r="BT111" s="162">
        <f t="shared" si="979"/>
        <v>1448441.56</v>
      </c>
      <c r="BU111" s="162">
        <f t="shared" si="979"/>
        <v>1587206.2424795856</v>
      </c>
      <c r="BV111" s="162">
        <f t="shared" si="979"/>
        <v>1597673.6</v>
      </c>
      <c r="BW111" s="162">
        <f t="shared" si="979"/>
        <v>1709238.5107530351</v>
      </c>
      <c r="BX111" s="162">
        <f t="shared" si="979"/>
        <v>1741943.9300000002</v>
      </c>
      <c r="BY111" s="162">
        <f t="shared" si="979"/>
        <v>1745349.5610093102</v>
      </c>
      <c r="BZ111" s="162">
        <f t="shared" si="979"/>
        <v>1601817</v>
      </c>
      <c r="CA111" s="162">
        <f t="shared" si="979"/>
        <v>1669952.4669990835</v>
      </c>
      <c r="CB111" s="162">
        <f t="shared" si="979"/>
        <v>1696287.79</v>
      </c>
      <c r="CC111" s="162">
        <f t="shared" si="979"/>
        <v>1605220.5989479525</v>
      </c>
      <c r="CD111" s="162">
        <f t="shared" si="979"/>
        <v>1858938.7800000003</v>
      </c>
      <c r="CE111" s="162">
        <f t="shared" ref="CE111:CF111" si="981">+CE108+CE109</f>
        <v>1945114.4983735473</v>
      </c>
      <c r="CF111" s="162">
        <f t="shared" si="981"/>
        <v>2060547.2800000003</v>
      </c>
      <c r="CG111" s="162">
        <f t="shared" ref="CG111:CH111" si="982">+CG108+CG109</f>
        <v>1728605.3244832517</v>
      </c>
      <c r="CH111" s="162">
        <f t="shared" si="982"/>
        <v>1686618.2</v>
      </c>
      <c r="CI111" s="162">
        <f t="shared" ref="CI111:CJ111" si="983">+CI108+CI109</f>
        <v>1617370.4621531349</v>
      </c>
      <c r="CJ111" s="162">
        <f t="shared" si="983"/>
        <v>1939947.4400000002</v>
      </c>
      <c r="CK111" s="162">
        <f t="shared" ref="CK111:CL111" si="984">+CK108+CK109</f>
        <v>2064995.115266504</v>
      </c>
      <c r="CL111" s="162">
        <f t="shared" si="984"/>
        <v>1899645.4000000001</v>
      </c>
      <c r="CM111" s="21">
        <f t="shared" ref="CM111:DB111" si="985">+CM112*CM114</f>
        <v>1814017.5933616178</v>
      </c>
      <c r="CN111" s="21">
        <f t="shared" si="985"/>
        <v>1829674.1890094171</v>
      </c>
      <c r="CO111" s="21">
        <f t="shared" si="985"/>
        <v>1855273.9647130526</v>
      </c>
      <c r="CP111" s="21">
        <f t="shared" si="985"/>
        <v>1946923.283757868</v>
      </c>
      <c r="CQ111" s="21">
        <f t="shared" si="985"/>
        <v>1984997.0016599372</v>
      </c>
      <c r="CR111" s="21">
        <f t="shared" si="985"/>
        <v>2028121.4634889795</v>
      </c>
      <c r="CS111" s="21">
        <f t="shared" si="985"/>
        <v>2079770.9835651796</v>
      </c>
      <c r="CT111" s="21">
        <f t="shared" si="985"/>
        <v>2143622.309975625</v>
      </c>
      <c r="CU111" s="21">
        <f t="shared" si="985"/>
        <v>2192800.5686593414</v>
      </c>
      <c r="CV111" s="21">
        <f t="shared" si="985"/>
        <v>2246706.2904608645</v>
      </c>
      <c r="CW111" s="21">
        <f t="shared" si="985"/>
        <v>2304486.7600906412</v>
      </c>
      <c r="CX111" s="21">
        <f t="shared" si="985"/>
        <v>2368839.7632592907</v>
      </c>
      <c r="CY111" s="21">
        <f t="shared" si="985"/>
        <v>2425552.0345385848</v>
      </c>
      <c r="CZ111" s="21">
        <f t="shared" si="985"/>
        <v>2486179.6737002376</v>
      </c>
      <c r="DA111" s="21">
        <f t="shared" si="985"/>
        <v>2549607.738355183</v>
      </c>
      <c r="DB111" s="21">
        <f t="shared" si="985"/>
        <v>2619918.203335891</v>
      </c>
      <c r="DE111" s="22"/>
      <c r="DF111" s="162">
        <v>1988560.5265680114</v>
      </c>
    </row>
    <row r="112" spans="1:110" s="162" customFormat="1" x14ac:dyDescent="0.2">
      <c r="A112" s="49" t="s">
        <v>13</v>
      </c>
      <c r="B112" s="162">
        <f t="shared" ref="B112:AE112" si="986">+B28</f>
        <v>4579.1299999999992</v>
      </c>
      <c r="C112" s="162">
        <f t="shared" si="986"/>
        <v>7861.310000000004</v>
      </c>
      <c r="D112" s="162">
        <f t="shared" si="986"/>
        <v>8206.48</v>
      </c>
      <c r="E112" s="162">
        <f t="shared" si="986"/>
        <v>9464.5600000000159</v>
      </c>
      <c r="F112" s="162">
        <f t="shared" si="986"/>
        <v>12645.259999999995</v>
      </c>
      <c r="G112" s="162">
        <f t="shared" si="986"/>
        <v>14348.649999999991</v>
      </c>
      <c r="H112" s="162">
        <f t="shared" si="986"/>
        <v>20125.050000000003</v>
      </c>
      <c r="I112" s="162">
        <f t="shared" si="986"/>
        <v>22118.78999999999</v>
      </c>
      <c r="J112" s="162">
        <f t="shared" si="986"/>
        <v>23206.490000000016</v>
      </c>
      <c r="K112" s="162">
        <f t="shared" si="986"/>
        <v>30151.810000000005</v>
      </c>
      <c r="L112" s="162">
        <f t="shared" si="986"/>
        <v>37736</v>
      </c>
      <c r="M112" s="162">
        <f t="shared" si="986"/>
        <v>34508</v>
      </c>
      <c r="N112" s="162">
        <f t="shared" si="986"/>
        <v>32988</v>
      </c>
      <c r="O112" s="162">
        <f t="shared" si="986"/>
        <v>34799</v>
      </c>
      <c r="P112" s="162">
        <f t="shared" si="986"/>
        <v>37364</v>
      </c>
      <c r="Q112" s="162">
        <f t="shared" si="986"/>
        <v>41239</v>
      </c>
      <c r="R112" s="162">
        <f t="shared" si="986"/>
        <v>46194</v>
      </c>
      <c r="S112" s="162">
        <f t="shared" si="986"/>
        <v>64176</v>
      </c>
      <c r="T112" s="162">
        <f t="shared" si="986"/>
        <v>84167</v>
      </c>
      <c r="U112" s="162">
        <f t="shared" si="986"/>
        <v>88894</v>
      </c>
      <c r="V112" s="162">
        <f t="shared" si="986"/>
        <v>79922</v>
      </c>
      <c r="W112" s="162">
        <f t="shared" si="986"/>
        <v>108446</v>
      </c>
      <c r="X112" s="162">
        <f t="shared" si="986"/>
        <v>140860</v>
      </c>
      <c r="Y112" s="162">
        <f t="shared" si="986"/>
        <v>162233</v>
      </c>
      <c r="Z112" s="162">
        <f t="shared" si="986"/>
        <v>165255</v>
      </c>
      <c r="AA112" s="21">
        <f t="shared" si="986"/>
        <v>178949</v>
      </c>
      <c r="AB112" s="21">
        <f t="shared" si="986"/>
        <v>194692.32837578678</v>
      </c>
      <c r="AC112" s="21">
        <f t="shared" si="986"/>
        <v>214362.23099756258</v>
      </c>
      <c r="AD112" s="21">
        <f t="shared" si="986"/>
        <v>236883.97632592887</v>
      </c>
      <c r="AE112" s="21">
        <f t="shared" si="986"/>
        <v>261991.82033358904</v>
      </c>
      <c r="AL112" s="162">
        <f t="shared" ref="AL112:BQ112" si="987">+SUM(AI28:AL28)</f>
        <v>30786</v>
      </c>
      <c r="AM112" s="162">
        <f t="shared" si="987"/>
        <v>31832</v>
      </c>
      <c r="AN112" s="162">
        <f t="shared" si="987"/>
        <v>32920</v>
      </c>
      <c r="AO112" s="162">
        <f t="shared" si="987"/>
        <v>33198</v>
      </c>
      <c r="AP112" s="162">
        <f t="shared" si="987"/>
        <v>34799</v>
      </c>
      <c r="AQ112" s="162">
        <f t="shared" si="987"/>
        <v>35931</v>
      </c>
      <c r="AR112" s="162">
        <f t="shared" si="987"/>
        <v>36884</v>
      </c>
      <c r="AS112" s="162">
        <f t="shared" si="987"/>
        <v>36922</v>
      </c>
      <c r="AT112" s="162">
        <f t="shared" si="987"/>
        <v>37364</v>
      </c>
      <c r="AU112" s="162">
        <f t="shared" si="987"/>
        <v>38334</v>
      </c>
      <c r="AV112" s="162">
        <f t="shared" si="987"/>
        <v>37817</v>
      </c>
      <c r="AW112" s="162">
        <f t="shared" si="987"/>
        <v>40376</v>
      </c>
      <c r="AX112" s="162">
        <f t="shared" si="987"/>
        <v>41756</v>
      </c>
      <c r="AY112" s="162">
        <f t="shared" si="987"/>
        <v>43020</v>
      </c>
      <c r="AZ112" s="162">
        <f t="shared" si="987"/>
        <v>44883</v>
      </c>
      <c r="BA112" s="162">
        <f t="shared" si="987"/>
        <v>45209</v>
      </c>
      <c r="BB112" s="162">
        <f t="shared" si="987"/>
        <v>46194</v>
      </c>
      <c r="BC112" s="162">
        <f t="shared" si="987"/>
        <v>47525</v>
      </c>
      <c r="BD112" s="162">
        <f t="shared" si="987"/>
        <v>51926</v>
      </c>
      <c r="BE112" s="162">
        <f t="shared" si="987"/>
        <v>57932</v>
      </c>
      <c r="BF112" s="162">
        <f t="shared" si="987"/>
        <v>64176</v>
      </c>
      <c r="BG112" s="162">
        <f t="shared" si="987"/>
        <v>72283</v>
      </c>
      <c r="BH112" s="162">
        <f t="shared" si="987"/>
        <v>77826</v>
      </c>
      <c r="BI112" s="162">
        <f t="shared" si="987"/>
        <v>81563</v>
      </c>
      <c r="BJ112" s="162">
        <f t="shared" si="987"/>
        <v>84239</v>
      </c>
      <c r="BK112" s="162">
        <f t="shared" si="987"/>
        <v>85193</v>
      </c>
      <c r="BL112" s="162">
        <f t="shared" si="987"/>
        <v>86696</v>
      </c>
      <c r="BM112" s="162">
        <f t="shared" si="987"/>
        <v>88128</v>
      </c>
      <c r="BN112" s="162">
        <f t="shared" si="987"/>
        <v>89009</v>
      </c>
      <c r="BO112" s="162">
        <f t="shared" si="987"/>
        <v>84269</v>
      </c>
      <c r="BP112" s="162">
        <f t="shared" si="987"/>
        <v>80603</v>
      </c>
      <c r="BQ112" s="162">
        <f t="shared" si="987"/>
        <v>79420</v>
      </c>
      <c r="BR112" s="162">
        <f t="shared" ref="BR112:CL112" si="988">+SUM(BO28:BR28)</f>
        <v>80737</v>
      </c>
      <c r="BS112" s="162">
        <f t="shared" si="988"/>
        <v>87230</v>
      </c>
      <c r="BT112" s="162">
        <f t="shared" si="988"/>
        <v>94305</v>
      </c>
      <c r="BU112" s="162">
        <f t="shared" si="988"/>
        <v>102445</v>
      </c>
      <c r="BV112" s="162">
        <f t="shared" si="988"/>
        <v>110460</v>
      </c>
      <c r="BW112" s="162">
        <f t="shared" si="988"/>
        <v>124849</v>
      </c>
      <c r="BX112" s="162">
        <f t="shared" si="988"/>
        <v>129869</v>
      </c>
      <c r="BY112" s="162">
        <f t="shared" si="988"/>
        <v>135172</v>
      </c>
      <c r="BZ112" s="162">
        <f t="shared" si="988"/>
        <v>142162</v>
      </c>
      <c r="CA112" s="162">
        <f t="shared" si="988"/>
        <v>142498</v>
      </c>
      <c r="CB112" s="162">
        <f t="shared" si="988"/>
        <v>152426</v>
      </c>
      <c r="CC112" s="162">
        <f t="shared" si="988"/>
        <v>158073</v>
      </c>
      <c r="CD112" s="162">
        <f t="shared" si="988"/>
        <v>162233</v>
      </c>
      <c r="CE112" s="162">
        <f t="shared" si="988"/>
        <v>162905</v>
      </c>
      <c r="CF112" s="162">
        <f t="shared" si="988"/>
        <v>160995</v>
      </c>
      <c r="CG112" s="162">
        <f t="shared" si="988"/>
        <v>164128</v>
      </c>
      <c r="CH112" s="162">
        <f t="shared" si="988"/>
        <v>165444</v>
      </c>
      <c r="CI112" s="162">
        <f t="shared" si="988"/>
        <v>169584</v>
      </c>
      <c r="CJ112" s="162">
        <f t="shared" si="988"/>
        <v>176411</v>
      </c>
      <c r="CK112" s="162">
        <f t="shared" si="988"/>
        <v>178640</v>
      </c>
      <c r="CL112" s="162">
        <f t="shared" si="988"/>
        <v>178949</v>
      </c>
      <c r="CM112" s="21">
        <f t="shared" ref="CM112" si="989">+SUM(CJ28:CM28)</f>
        <v>181401.75933616178</v>
      </c>
      <c r="CN112" s="21">
        <f t="shared" ref="CN112" si="990">+SUM(CK28:CN28)</f>
        <v>182967.4189009417</v>
      </c>
      <c r="CO112" s="21">
        <f t="shared" ref="CO112" si="991">+SUM(CL28:CO28)</f>
        <v>185527.39647130526</v>
      </c>
      <c r="CP112" s="21">
        <f t="shared" ref="CP112" si="992">+SUM(CM28:CP28)</f>
        <v>194692.3283757868</v>
      </c>
      <c r="CQ112" s="21">
        <f t="shared" ref="CQ112" si="993">+SUM(CN28:CQ28)</f>
        <v>198499.70016599371</v>
      </c>
      <c r="CR112" s="21">
        <f t="shared" ref="CR112" si="994">+SUM(CO28:CR28)</f>
        <v>202812.14634889795</v>
      </c>
      <c r="CS112" s="21">
        <f t="shared" ref="CS112" si="995">+SUM(CP28:CS28)</f>
        <v>207977.09835651796</v>
      </c>
      <c r="CT112" s="21">
        <f t="shared" ref="CT112" si="996">+SUM(CQ28:CT28)</f>
        <v>214362.23099756252</v>
      </c>
      <c r="CU112" s="21">
        <f t="shared" ref="CU112" si="997">+SUM(CR28:CU28)</f>
        <v>219280.05686593414</v>
      </c>
      <c r="CV112" s="21">
        <f t="shared" ref="CV112" si="998">+SUM(CS28:CV28)</f>
        <v>224670.62904608645</v>
      </c>
      <c r="CW112" s="21">
        <f t="shared" ref="CW112" si="999">+SUM(CT28:CW28)</f>
        <v>230448.67600906413</v>
      </c>
      <c r="CX112" s="21">
        <f t="shared" ref="CX112" si="1000">+SUM(CU28:CX28)</f>
        <v>236883.97632592908</v>
      </c>
      <c r="CY112" s="21">
        <f t="shared" ref="CY112" si="1001">+SUM(CV28:CY28)</f>
        <v>242555.2034538585</v>
      </c>
      <c r="CZ112" s="21">
        <f t="shared" ref="CZ112" si="1002">+SUM(CW28:CZ28)</f>
        <v>248617.96737002378</v>
      </c>
      <c r="DA112" s="21">
        <f t="shared" ref="DA112" si="1003">+SUM(CX28:DA28)</f>
        <v>254960.77383551828</v>
      </c>
      <c r="DB112" s="21">
        <f t="shared" ref="DB112" si="1004">+SUM(CY28:DB28)</f>
        <v>261991.8203335891</v>
      </c>
      <c r="DE112" s="22"/>
      <c r="DF112" s="162">
        <v>183137.39683009067</v>
      </c>
    </row>
    <row r="113" spans="1:110" s="162" customFormat="1" x14ac:dyDescent="0.2">
      <c r="A113" s="49" t="s">
        <v>343</v>
      </c>
      <c r="B113" s="162">
        <f>+B110/B112</f>
        <v>3.2290419901274094</v>
      </c>
      <c r="C113" s="162">
        <f t="shared" ref="C113:W113" si="1005">+C110/C112</f>
        <v>2.7345410077384908</v>
      </c>
      <c r="D113" s="162">
        <f t="shared" si="1005"/>
        <v>2.9281795986185912</v>
      </c>
      <c r="E113" s="162">
        <f t="shared" si="1005"/>
        <v>10.949795840831943</v>
      </c>
      <c r="F113" s="162">
        <f t="shared" si="1005"/>
        <v>7.3981390500448709</v>
      </c>
      <c r="G113" s="162">
        <f t="shared" si="1005"/>
        <v>10.690340872404471</v>
      </c>
      <c r="H113" s="162">
        <f t="shared" si="1005"/>
        <v>13.445439536638203</v>
      </c>
      <c r="I113" s="162">
        <f t="shared" si="1005"/>
        <v>26.451778503960199</v>
      </c>
      <c r="J113" s="162">
        <f t="shared" si="1005"/>
        <v>21.724388580465842</v>
      </c>
      <c r="K113" s="162">
        <f t="shared" si="1005"/>
        <v>15.238058419728088</v>
      </c>
      <c r="L113" s="162">
        <f t="shared" si="1005"/>
        <v>11.583233447666496</v>
      </c>
      <c r="M113" s="162">
        <f t="shared" si="1005"/>
        <v>11.058903792390151</v>
      </c>
      <c r="N113" s="162">
        <f t="shared" si="1005"/>
        <v>10.544988957193384</v>
      </c>
      <c r="O113" s="162">
        <f t="shared" si="1005"/>
        <v>10.97183463279924</v>
      </c>
      <c r="P113" s="162">
        <f t="shared" si="1005"/>
        <v>12.85109872118425</v>
      </c>
      <c r="Q113" s="162">
        <f t="shared" si="1005"/>
        <v>11.954134759578498</v>
      </c>
      <c r="R113" s="162">
        <f t="shared" si="1005"/>
        <v>12.658861627109642</v>
      </c>
      <c r="S113" s="162">
        <f t="shared" si="1005"/>
        <v>12.797541357605349</v>
      </c>
      <c r="T113" s="162">
        <f t="shared" si="1005"/>
        <v>13.49817806472695</v>
      </c>
      <c r="U113" s="162">
        <f t="shared" si="1005"/>
        <v>14.812524290276482</v>
      </c>
      <c r="V113" s="162">
        <f t="shared" si="1005"/>
        <v>21.079278296338931</v>
      </c>
      <c r="W113" s="162">
        <f t="shared" si="1005"/>
        <v>18.282453940209873</v>
      </c>
      <c r="X113" s="162">
        <f t="shared" ref="X113:Y113" si="1006">+X110/X112</f>
        <v>14.613957120545223</v>
      </c>
      <c r="Y113" s="162">
        <f t="shared" si="1006"/>
        <v>13.36230409349516</v>
      </c>
      <c r="Z113" s="162">
        <f t="shared" ref="Z113" si="1007">+Z110/Z112</f>
        <v>13.915162264379294</v>
      </c>
      <c r="AA113" s="21">
        <f t="shared" ref="AA113:AD113" si="1008">+AA110/AA112</f>
        <v>12.915908107896666</v>
      </c>
      <c r="AB113" s="21">
        <f t="shared" si="1008"/>
        <v>12.915908107896668</v>
      </c>
      <c r="AC113" s="21">
        <f t="shared" si="1008"/>
        <v>12.915908107896662</v>
      </c>
      <c r="AD113" s="21">
        <f t="shared" si="1008"/>
        <v>12.915908107896676</v>
      </c>
      <c r="AE113" s="21">
        <f t="shared" ref="AE113" si="1009">+AE110/AE112</f>
        <v>12.915908107896669</v>
      </c>
      <c r="AL113" s="162">
        <f t="shared" ref="AL113" si="1010">+AL110/AL112</f>
        <v>10.717894358471233</v>
      </c>
      <c r="AM113" s="162">
        <f t="shared" ref="AM113:AO113" si="1011">+AM110/AM112</f>
        <v>9.4127658595421728</v>
      </c>
      <c r="AN113" s="162">
        <f t="shared" si="1011"/>
        <v>9.1128373827021054</v>
      </c>
      <c r="AO113" s="162">
        <f t="shared" si="1011"/>
        <v>8.8408132807520463</v>
      </c>
      <c r="AP113" s="162">
        <f t="shared" ref="AP113:CD113" si="1012">+AP110/AP112</f>
        <v>10.829675375349312</v>
      </c>
      <c r="AQ113" s="162">
        <f t="shared" si="1012"/>
        <v>12.219565827855842</v>
      </c>
      <c r="AR113" s="162">
        <f t="shared" si="1012"/>
        <v>11.546474435173621</v>
      </c>
      <c r="AS113" s="162">
        <f t="shared" si="1012"/>
        <v>11.085060772373007</v>
      </c>
      <c r="AT113" s="162">
        <f t="shared" si="1012"/>
        <v>10.936042598120894</v>
      </c>
      <c r="AU113" s="162">
        <f t="shared" si="1012"/>
        <v>11.117239382375516</v>
      </c>
      <c r="AV113" s="162">
        <f t="shared" si="1012"/>
        <v>12.366701832225836</v>
      </c>
      <c r="AW113" s="162">
        <f t="shared" si="1012"/>
        <v>10.996926262174789</v>
      </c>
      <c r="AX113" s="162">
        <f t="shared" ref="AX113" si="1013">+AX110/AX112</f>
        <v>11.417869607966704</v>
      </c>
      <c r="AY113" s="162">
        <f t="shared" si="1012"/>
        <v>10.761634485157879</v>
      </c>
      <c r="AZ113" s="162">
        <f t="shared" si="1012"/>
        <v>11.373458579192979</v>
      </c>
      <c r="BA113" s="162">
        <f t="shared" si="1012"/>
        <v>11.100316378971666</v>
      </c>
      <c r="BB113" s="162">
        <f t="shared" si="1012"/>
        <v>12.363108931954429</v>
      </c>
      <c r="BC113" s="162">
        <f t="shared" si="1012"/>
        <v>12.776360738486341</v>
      </c>
      <c r="BD113" s="162">
        <f t="shared" si="1012"/>
        <v>13.591761593010789</v>
      </c>
      <c r="BE113" s="162">
        <f t="shared" si="1012"/>
        <v>13.030090719679608</v>
      </c>
      <c r="BF113" s="162">
        <f t="shared" si="1012"/>
        <v>12.204967809861644</v>
      </c>
      <c r="BG113" s="162">
        <f t="shared" si="1012"/>
        <v>11.131019037303357</v>
      </c>
      <c r="BH113" s="162">
        <f t="shared" si="1012"/>
        <v>13.671700932728845</v>
      </c>
      <c r="BI113" s="162">
        <f t="shared" si="1012"/>
        <v>12.353221263998945</v>
      </c>
      <c r="BJ113" s="162">
        <f t="shared" si="1012"/>
        <v>13.285629615426028</v>
      </c>
      <c r="BK113" s="162">
        <f t="shared" si="1012"/>
        <v>13.255133104380404</v>
      </c>
      <c r="BL113" s="162">
        <f t="shared" si="1012"/>
        <v>12.298086509243843</v>
      </c>
      <c r="BM113" s="162">
        <f t="shared" si="1012"/>
        <v>14.11709313799196</v>
      </c>
      <c r="BN113" s="162">
        <f t="shared" si="1012"/>
        <v>14.226703925407886</v>
      </c>
      <c r="BO113" s="162">
        <f t="shared" si="1012"/>
        <v>16.570211858700155</v>
      </c>
      <c r="BP113" s="162">
        <f t="shared" si="1012"/>
        <v>21.391016215277347</v>
      </c>
      <c r="BQ113" s="162">
        <f t="shared" si="1012"/>
        <v>21.018968793017596</v>
      </c>
      <c r="BR113" s="162">
        <f t="shared" si="1012"/>
        <v>19.711688569057557</v>
      </c>
      <c r="BS113" s="162">
        <f t="shared" si="1012"/>
        <v>18.458734960215772</v>
      </c>
      <c r="BT113" s="162">
        <f t="shared" si="1012"/>
        <v>19.293664174752134</v>
      </c>
      <c r="BU113" s="162">
        <f t="shared" si="1012"/>
        <v>18.808721191659775</v>
      </c>
      <c r="BV113" s="162">
        <f t="shared" si="1012"/>
        <v>17.569344559116423</v>
      </c>
      <c r="BW113" s="162">
        <f t="shared" si="1012"/>
        <v>16.318829231736217</v>
      </c>
      <c r="BX113" s="162">
        <f t="shared" si="1012"/>
        <v>15.309736426706912</v>
      </c>
      <c r="BY113" s="162">
        <f t="shared" si="1012"/>
        <v>14.969814909961457</v>
      </c>
      <c r="BZ113" s="162">
        <f t="shared" si="1012"/>
        <v>13.290274475598261</v>
      </c>
      <c r="CA113" s="162">
        <f t="shared" si="1012"/>
        <v>13.027240852496762</v>
      </c>
      <c r="CB113" s="162">
        <f t="shared" si="1012"/>
        <v>13.478317347434166</v>
      </c>
      <c r="CC113" s="162">
        <f t="shared" si="1012"/>
        <v>11.8403006772058</v>
      </c>
      <c r="CD113" s="162">
        <f t="shared" si="1012"/>
        <v>13.36230409349516</v>
      </c>
      <c r="CE113" s="162">
        <f t="shared" ref="CE113:CF113" si="1014">+CE110/CE112</f>
        <v>13.777199462100901</v>
      </c>
      <c r="CF113" s="162">
        <f t="shared" si="1014"/>
        <v>14.278568526972888</v>
      </c>
      <c r="CG113" s="162">
        <f t="shared" ref="CG113:CH113" si="1015">+CG110/CG112</f>
        <v>12.897484917157655</v>
      </c>
      <c r="CH113" s="162">
        <f t="shared" si="1015"/>
        <v>11.57759918764053</v>
      </c>
      <c r="CI113" s="162">
        <f t="shared" ref="CI113:CJ113" si="1016">+CI110/CI112</f>
        <v>12.804100281589861</v>
      </c>
      <c r="CJ113" s="162">
        <f t="shared" si="1016"/>
        <v>12.602231153386128</v>
      </c>
      <c r="CK113" s="162">
        <f>+CK110/CK112</f>
        <v>13.254063788997451</v>
      </c>
      <c r="CL113" s="162">
        <f t="shared" ref="CL113" si="1017">+CL110/CL112</f>
        <v>12.915908107896666</v>
      </c>
      <c r="CM113" s="21">
        <f t="shared" ref="CM113" si="1018">+CL113</f>
        <v>12.915908107896666</v>
      </c>
      <c r="CN113" s="21">
        <f t="shared" ref="CN113:CN114" si="1019">+CM113</f>
        <v>12.915908107896666</v>
      </c>
      <c r="CO113" s="21">
        <f t="shared" ref="CO113:CO114" si="1020">+CN113</f>
        <v>12.915908107896666</v>
      </c>
      <c r="CP113" s="21">
        <f t="shared" ref="CP113:CP114" si="1021">+CO113</f>
        <v>12.915908107896666</v>
      </c>
      <c r="CQ113" s="21">
        <f t="shared" ref="CQ113:CQ114" si="1022">+CP113</f>
        <v>12.915908107896666</v>
      </c>
      <c r="CR113" s="21">
        <f t="shared" ref="CR113:CR114" si="1023">+CQ113</f>
        <v>12.915908107896666</v>
      </c>
      <c r="CS113" s="21">
        <f t="shared" ref="CS113:CS114" si="1024">+CR113</f>
        <v>12.915908107896666</v>
      </c>
      <c r="CT113" s="21">
        <f t="shared" ref="CT113:CT114" si="1025">+CS113</f>
        <v>12.915908107896666</v>
      </c>
      <c r="CU113" s="21">
        <f t="shared" ref="CU113:CU114" si="1026">+CT113</f>
        <v>12.915908107896666</v>
      </c>
      <c r="CV113" s="21">
        <f t="shared" ref="CV113:CV114" si="1027">+CU113</f>
        <v>12.915908107896666</v>
      </c>
      <c r="CW113" s="21">
        <f t="shared" ref="CW113:CW114" si="1028">+CV113</f>
        <v>12.915908107896666</v>
      </c>
      <c r="CX113" s="21">
        <f t="shared" ref="CX113:CX114" si="1029">+CW113</f>
        <v>12.915908107896666</v>
      </c>
      <c r="CY113" s="21">
        <f t="shared" ref="CY113:CY114" si="1030">+CX113</f>
        <v>12.915908107896666</v>
      </c>
      <c r="CZ113" s="21">
        <f t="shared" ref="CZ113:CZ114" si="1031">+CY113</f>
        <v>12.915908107896666</v>
      </c>
      <c r="DA113" s="21">
        <f t="shared" ref="DA113:DA114" si="1032">+CZ113</f>
        <v>12.915908107896666</v>
      </c>
      <c r="DB113" s="21">
        <f t="shared" ref="DB113:DB114" si="1033">+DA113</f>
        <v>12.915908107896666</v>
      </c>
      <c r="DE113" s="22"/>
      <c r="DF113" s="162">
        <v>13.106028632671064</v>
      </c>
    </row>
    <row r="114" spans="1:110" s="162" customFormat="1" x14ac:dyDescent="0.2">
      <c r="A114" s="49" t="s">
        <v>344</v>
      </c>
      <c r="B114" s="162">
        <f>+B111/B112</f>
        <v>2.8290717714740721</v>
      </c>
      <c r="C114" s="162">
        <f t="shared" ref="C114:W114" si="1034">+C111/C112</f>
        <v>2.4614780859509828</v>
      </c>
      <c r="D114" s="162">
        <f t="shared" si="1034"/>
        <v>2.7656779766364696</v>
      </c>
      <c r="E114" s="162">
        <f t="shared" si="1034"/>
        <v>5.8770050847413833</v>
      </c>
      <c r="F114" s="162">
        <f t="shared" si="1034"/>
        <v>5.2726974106489095</v>
      </c>
      <c r="G114" s="162">
        <f t="shared" si="1034"/>
        <v>6.1108881669316641</v>
      </c>
      <c r="H114" s="162">
        <f t="shared" si="1034"/>
        <v>8.0420463586260524</v>
      </c>
      <c r="I114" s="162">
        <f t="shared" si="1034"/>
        <v>11.701992046953542</v>
      </c>
      <c r="J114" s="162">
        <f t="shared" si="1034"/>
        <v>8.8969766644354848</v>
      </c>
      <c r="K114" s="162">
        <f t="shared" si="1034"/>
        <v>9.7229495535839057</v>
      </c>
      <c r="L114" s="162">
        <f t="shared" si="1034"/>
        <v>8.5066157106758045</v>
      </c>
      <c r="M114" s="162">
        <f t="shared" si="1034"/>
        <v>7.3881027403338635</v>
      </c>
      <c r="N114" s="162">
        <f t="shared" si="1034"/>
        <v>7.6619849750256872</v>
      </c>
      <c r="O114" s="162">
        <f t="shared" si="1034"/>
        <v>9.2933419199719722</v>
      </c>
      <c r="P114" s="162">
        <f t="shared" si="1034"/>
        <v>9.7501280237135735</v>
      </c>
      <c r="Q114" s="162">
        <f t="shared" si="1034"/>
        <v>9.7154016893744739</v>
      </c>
      <c r="R114" s="162">
        <f t="shared" si="1034"/>
        <v>9.6823691860061825</v>
      </c>
      <c r="S114" s="162">
        <f t="shared" si="1034"/>
        <v>9.2206416441320354</v>
      </c>
      <c r="T114" s="162">
        <f t="shared" si="1034"/>
        <v>9.5126940937672888</v>
      </c>
      <c r="U114" s="162">
        <f t="shared" si="1034"/>
        <v>9.2174118897809745</v>
      </c>
      <c r="V114" s="162">
        <f t="shared" si="1034"/>
        <v>9.7868256752302596</v>
      </c>
      <c r="W114" s="162">
        <f t="shared" si="1034"/>
        <v>12.839506851336148</v>
      </c>
      <c r="X114" s="162">
        <f t="shared" ref="X114:Y114" si="1035">+X111/X112</f>
        <v>11.371695300298168</v>
      </c>
      <c r="Y114" s="162">
        <f t="shared" si="1035"/>
        <v>10.010228683436786</v>
      </c>
      <c r="Z114" s="162">
        <f t="shared" ref="Z114" si="1036">+Z111/Z112</f>
        <v>10.206155335693323</v>
      </c>
      <c r="AA114" s="21">
        <f t="shared" ref="AA114:AD114" si="1037">+AA111/AA112</f>
        <v>9.1678369814863458</v>
      </c>
      <c r="AB114" s="21">
        <f t="shared" si="1037"/>
        <v>9.0384648953848359</v>
      </c>
      <c r="AC114" s="21">
        <f t="shared" si="1037"/>
        <v>9.2386702283098785</v>
      </c>
      <c r="AD114" s="21">
        <f t="shared" si="1037"/>
        <v>8.9597540965374574</v>
      </c>
      <c r="AE114" s="21">
        <f t="shared" ref="AE114" si="1038">+AE111/AE112</f>
        <v>8.9269470661127741</v>
      </c>
      <c r="AL114" s="162">
        <f t="shared" ref="AL114:AM114" si="1039">+AL111/AL112</f>
        <v>8.6518873992433143</v>
      </c>
      <c r="AM114" s="162">
        <f t="shared" si="1039"/>
        <v>8.2757967475582177</v>
      </c>
      <c r="AN114" s="162">
        <f t="shared" ref="AN114:AO114" si="1040">+AN111/AN112</f>
        <v>7.454587043532948</v>
      </c>
      <c r="AO114" s="162">
        <f t="shared" si="1040"/>
        <v>7.7657685763941169</v>
      </c>
      <c r="AP114" s="162">
        <f t="shared" ref="AP114:CD114" si="1041">+AP111/AP112</f>
        <v>9.4304499526654002</v>
      </c>
      <c r="AQ114" s="162">
        <f t="shared" si="1041"/>
        <v>10.191048162810471</v>
      </c>
      <c r="AR114" s="162">
        <f t="shared" si="1041"/>
        <v>10.349000045536052</v>
      </c>
      <c r="AS114" s="162">
        <f t="shared" si="1041"/>
        <v>9.6669059533225088</v>
      </c>
      <c r="AT114" s="162">
        <f t="shared" si="1041"/>
        <v>9.6234552906014876</v>
      </c>
      <c r="AU114" s="162">
        <f t="shared" si="1041"/>
        <v>9.3706123299039383</v>
      </c>
      <c r="AV114" s="162">
        <f t="shared" si="1041"/>
        <v>10.16907755399531</v>
      </c>
      <c r="AW114" s="162">
        <f t="shared" si="1041"/>
        <v>9.6714545565328347</v>
      </c>
      <c r="AX114" s="162">
        <f t="shared" ref="AX114" si="1042">+AX111/AX112</f>
        <v>9.8047520973966034</v>
      </c>
      <c r="AY114" s="162">
        <f t="shared" si="1041"/>
        <v>9.6375867314221573</v>
      </c>
      <c r="AZ114" s="162">
        <f t="shared" si="1041"/>
        <v>10.18855261326525</v>
      </c>
      <c r="BA114" s="162">
        <f t="shared" si="1041"/>
        <v>9.6711889131664481</v>
      </c>
      <c r="BB114" s="162">
        <f t="shared" si="1041"/>
        <v>10.027545340891155</v>
      </c>
      <c r="BC114" s="162">
        <f t="shared" si="1041"/>
        <v>11.577646585827042</v>
      </c>
      <c r="BD114" s="162">
        <f t="shared" si="1041"/>
        <v>11.190366393946913</v>
      </c>
      <c r="BE114" s="162">
        <f t="shared" si="1041"/>
        <v>11.031525309185771</v>
      </c>
      <c r="BF114" s="162">
        <f t="shared" si="1041"/>
        <v>10.973678828201791</v>
      </c>
      <c r="BG114" s="162">
        <f t="shared" si="1041"/>
        <v>9.7429711033674398</v>
      </c>
      <c r="BH114" s="162">
        <f t="shared" si="1041"/>
        <v>10.474999390823772</v>
      </c>
      <c r="BI114" s="162">
        <f t="shared" si="1041"/>
        <v>10.356433462213433</v>
      </c>
      <c r="BJ114" s="162">
        <f t="shared" si="1041"/>
        <v>10.856204290757654</v>
      </c>
      <c r="BK114" s="162">
        <f t="shared" si="1041"/>
        <v>11.760383242996397</v>
      </c>
      <c r="BL114" s="162">
        <f t="shared" si="1041"/>
        <v>10.440008690772135</v>
      </c>
      <c r="BM114" s="162">
        <f t="shared" si="1041"/>
        <v>11.55721654013054</v>
      </c>
      <c r="BN114" s="162">
        <f t="shared" si="1041"/>
        <v>8.7013179850373543</v>
      </c>
      <c r="BO114" s="162">
        <f t="shared" si="1041"/>
        <v>10.394282651230656</v>
      </c>
      <c r="BP114" s="162">
        <f t="shared" si="1041"/>
        <v>15.850405692095828</v>
      </c>
      <c r="BQ114" s="162">
        <f t="shared" si="1041"/>
        <v>16.977429634115556</v>
      </c>
      <c r="BR114" s="162">
        <f t="shared" si="1041"/>
        <v>16.351189665209258</v>
      </c>
      <c r="BS114" s="162">
        <f t="shared" si="1041"/>
        <v>15.380177812445506</v>
      </c>
      <c r="BT114" s="162">
        <f t="shared" si="1041"/>
        <v>15.359117332060867</v>
      </c>
      <c r="BU114" s="162">
        <f t="shared" si="1041"/>
        <v>15.493252403529558</v>
      </c>
      <c r="BV114" s="162">
        <f t="shared" si="1041"/>
        <v>14.463820387470578</v>
      </c>
      <c r="BW114" s="162">
        <f t="shared" si="1041"/>
        <v>13.690446144967401</v>
      </c>
      <c r="BX114" s="162">
        <f t="shared" si="1041"/>
        <v>13.413084954839109</v>
      </c>
      <c r="BY114" s="162">
        <f t="shared" si="1041"/>
        <v>12.912064340316856</v>
      </c>
      <c r="BZ114" s="162">
        <f t="shared" si="1041"/>
        <v>11.267546883133328</v>
      </c>
      <c r="CA114" s="162">
        <f t="shared" si="1041"/>
        <v>11.719129159701072</v>
      </c>
      <c r="CB114" s="162">
        <f t="shared" si="1041"/>
        <v>11.128598729875481</v>
      </c>
      <c r="CC114" s="162">
        <f t="shared" si="1041"/>
        <v>10.154932208207299</v>
      </c>
      <c r="CD114" s="162">
        <f t="shared" si="1041"/>
        <v>11.458450376927013</v>
      </c>
      <c r="CE114" s="162">
        <f t="shared" ref="CE114:CF114" si="1043">+CE111/CE112</f>
        <v>11.940176780169715</v>
      </c>
      <c r="CF114" s="162">
        <f t="shared" si="1043"/>
        <v>12.79882778968291</v>
      </c>
      <c r="CG114" s="162">
        <f t="shared" ref="CG114:CH114" si="1044">+CG111/CG112</f>
        <v>10.532056227354575</v>
      </c>
      <c r="CH114" s="162">
        <f t="shared" si="1044"/>
        <v>10.194496022823433</v>
      </c>
      <c r="CI114" s="162">
        <f t="shared" ref="CI114:CJ114" si="1045">+CI111/CI112</f>
        <v>9.537282185543063</v>
      </c>
      <c r="CJ114" s="162">
        <f t="shared" si="1045"/>
        <v>10.996748728820766</v>
      </c>
      <c r="CK114" s="162">
        <f t="shared" ref="CK114:CL114" si="1046">+CK111/CK112</f>
        <v>11.559533784519168</v>
      </c>
      <c r="CL114" s="162">
        <f t="shared" si="1046"/>
        <v>10.615568681579669</v>
      </c>
      <c r="CM114" s="21">
        <v>10</v>
      </c>
      <c r="CN114" s="21">
        <f t="shared" si="1019"/>
        <v>10</v>
      </c>
      <c r="CO114" s="21">
        <f t="shared" si="1020"/>
        <v>10</v>
      </c>
      <c r="CP114" s="21">
        <f t="shared" si="1021"/>
        <v>10</v>
      </c>
      <c r="CQ114" s="21">
        <f t="shared" si="1022"/>
        <v>10</v>
      </c>
      <c r="CR114" s="21">
        <f t="shared" si="1023"/>
        <v>10</v>
      </c>
      <c r="CS114" s="21">
        <f t="shared" si="1024"/>
        <v>10</v>
      </c>
      <c r="CT114" s="21">
        <f t="shared" si="1025"/>
        <v>10</v>
      </c>
      <c r="CU114" s="21">
        <f t="shared" si="1026"/>
        <v>10</v>
      </c>
      <c r="CV114" s="21">
        <f t="shared" si="1027"/>
        <v>10</v>
      </c>
      <c r="CW114" s="21">
        <f t="shared" si="1028"/>
        <v>10</v>
      </c>
      <c r="CX114" s="21">
        <f t="shared" si="1029"/>
        <v>10</v>
      </c>
      <c r="CY114" s="21">
        <f t="shared" si="1030"/>
        <v>10</v>
      </c>
      <c r="CZ114" s="21">
        <f t="shared" si="1031"/>
        <v>10</v>
      </c>
      <c r="DA114" s="21">
        <f t="shared" si="1032"/>
        <v>10</v>
      </c>
      <c r="DB114" s="21">
        <f t="shared" si="1033"/>
        <v>10</v>
      </c>
      <c r="DE114" s="22"/>
      <c r="DF114" s="162">
        <v>10.858298528797684</v>
      </c>
    </row>
    <row r="115" spans="1:110" s="10" customFormat="1" x14ac:dyDescent="0.2">
      <c r="A115" s="149" t="s">
        <v>490</v>
      </c>
      <c r="AA115" s="20"/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CL116" s="2"/>
    </row>
    <row r="117" spans="1:110" s="23" customFormat="1" outlineLevel="1" x14ac:dyDescent="0.2">
      <c r="A117" s="23" t="s">
        <v>41</v>
      </c>
      <c r="B117" s="23">
        <f>'Annual Raw'!C41</f>
        <v>1053.49</v>
      </c>
      <c r="C117" s="23">
        <f>'Annual Raw'!D41</f>
        <v>1053.56</v>
      </c>
      <c r="D117" s="23">
        <f>'Annual Raw'!E41</f>
        <v>1395.92</v>
      </c>
      <c r="E117" s="23">
        <f>'Annual Raw'!F41</f>
        <v>1395.95</v>
      </c>
      <c r="F117" s="23">
        <f>'Annual Raw'!G41</f>
        <v>1393.09</v>
      </c>
      <c r="G117" s="23">
        <f>'Annual Raw'!H41</f>
        <v>1393.17</v>
      </c>
      <c r="H117" s="23">
        <f>'Annual Raw'!I41</f>
        <v>1393.21</v>
      </c>
      <c r="I117" s="23">
        <f>'Annual Raw'!J41</f>
        <v>1453.39</v>
      </c>
      <c r="J117" s="23">
        <f>'Annual Raw'!K41</f>
        <v>1374.68</v>
      </c>
      <c r="K117" s="23">
        <f>'Annual Raw'!L41</f>
        <v>2978.02</v>
      </c>
      <c r="L117" s="23">
        <f>'Annual Raw'!M41</f>
        <v>2981</v>
      </c>
      <c r="M117" s="23">
        <f>'Annual Raw'!N41</f>
        <v>2979</v>
      </c>
      <c r="N117" s="23">
        <f>'Annual Raw'!O41</f>
        <v>2936</v>
      </c>
      <c r="O117" s="23">
        <f>'Annual Raw'!P41</f>
        <v>2940</v>
      </c>
      <c r="P117" s="23">
        <f>'Annual Raw'!Q41</f>
        <v>2943</v>
      </c>
      <c r="Q117" s="23">
        <f>'Annual Raw'!R41</f>
        <v>2948</v>
      </c>
      <c r="R117" s="23">
        <f>'Annual Raw'!S41</f>
        <v>2959</v>
      </c>
      <c r="S117" s="23">
        <f>'Annual Raw'!T41</f>
        <v>5922</v>
      </c>
      <c r="T117" s="23">
        <f>'Annual Raw'!U41</f>
        <v>5926</v>
      </c>
      <c r="U117" s="23">
        <f>'Annual Raw'!V41</f>
        <v>6339</v>
      </c>
      <c r="V117" s="23">
        <f>'Annual Raw'!W41</f>
        <v>6445</v>
      </c>
      <c r="W117" s="23">
        <f>'Annual Raw'!X41</f>
        <v>6765</v>
      </c>
      <c r="X117" s="23">
        <f>'Annual Raw'!Y41</f>
        <v>6766</v>
      </c>
      <c r="Y117" s="23">
        <f>'Annual Raw'!Z41</f>
        <v>6766</v>
      </c>
      <c r="Z117" s="23">
        <f>'Annual Raw'!AA41</f>
        <v>13532</v>
      </c>
      <c r="AA117" s="24">
        <f>+CL117</f>
        <v>13532</v>
      </c>
      <c r="AB117" s="24">
        <f>+CP117</f>
        <v>13532</v>
      </c>
      <c r="AC117" s="24">
        <f>+CT117</f>
        <v>13532</v>
      </c>
      <c r="AD117" s="24">
        <f>+CX117</f>
        <v>13532</v>
      </c>
      <c r="AE117" s="24">
        <f>+DB117</f>
        <v>13532</v>
      </c>
      <c r="AJ117" s="23">
        <f>+'QTR Raw'!D56</f>
        <v>3236</v>
      </c>
      <c r="AK117" s="23">
        <f t="shared" ref="AK117:CE117" si="1047">+AJ117</f>
        <v>3236</v>
      </c>
      <c r="AL117" s="23">
        <f>+'QTR Raw'!F56</f>
        <v>2936</v>
      </c>
      <c r="AM117" s="23">
        <f t="shared" si="1047"/>
        <v>2936</v>
      </c>
      <c r="AN117" s="23">
        <f>+'QTR Raw'!H56</f>
        <v>3231</v>
      </c>
      <c r="AO117" s="23">
        <f t="shared" si="1047"/>
        <v>3231</v>
      </c>
      <c r="AP117" s="23">
        <f>+'QTR Raw'!J56</f>
        <v>2940</v>
      </c>
      <c r="AQ117" s="23">
        <f t="shared" si="1047"/>
        <v>2940</v>
      </c>
      <c r="AR117" s="23">
        <f>+'QTR Raw'!L56</f>
        <v>2942</v>
      </c>
      <c r="AS117" s="23">
        <f t="shared" si="1047"/>
        <v>2942</v>
      </c>
      <c r="AT117" s="23">
        <f>+'QTR Raw'!N56</f>
        <v>2943</v>
      </c>
      <c r="AU117" s="23">
        <f t="shared" si="1047"/>
        <v>2943</v>
      </c>
      <c r="AV117" s="23">
        <f>+'QTR Raw'!P56</f>
        <v>2946</v>
      </c>
      <c r="AW117" s="23">
        <f t="shared" si="1047"/>
        <v>2946</v>
      </c>
      <c r="AX117" s="23">
        <f>+'QTR Raw'!R56</f>
        <v>2948</v>
      </c>
      <c r="AY117" s="23">
        <f t="shared" si="1047"/>
        <v>2948</v>
      </c>
      <c r="AZ117" s="23">
        <f>+'QTR Raw'!T56</f>
        <v>2951</v>
      </c>
      <c r="BA117" s="23">
        <f t="shared" si="1047"/>
        <v>2951</v>
      </c>
      <c r="BB117" s="23">
        <f>+'QTR Raw'!V56</f>
        <v>2959</v>
      </c>
      <c r="BC117" s="23">
        <f t="shared" si="1047"/>
        <v>2959</v>
      </c>
      <c r="BD117" s="23">
        <f>+'QTR Raw'!X56</f>
        <v>5920</v>
      </c>
      <c r="BE117" s="23">
        <f t="shared" si="1047"/>
        <v>5920</v>
      </c>
      <c r="BF117" s="23">
        <f>+'QTR Raw'!Z56</f>
        <v>5922</v>
      </c>
      <c r="BG117" s="23">
        <f t="shared" si="1047"/>
        <v>5922</v>
      </c>
      <c r="BH117" s="23">
        <f>+'QTR Raw'!AB56</f>
        <v>5926</v>
      </c>
      <c r="BI117" s="23">
        <f t="shared" si="1047"/>
        <v>5926</v>
      </c>
      <c r="BJ117" s="23">
        <f>+'QTR Raw'!AD56</f>
        <v>5926</v>
      </c>
      <c r="BK117" s="23">
        <f t="shared" si="1047"/>
        <v>5926</v>
      </c>
      <c r="BL117" s="23">
        <f>+'QTR Raw'!AF56</f>
        <v>6339</v>
      </c>
      <c r="BM117" s="23">
        <f t="shared" si="1047"/>
        <v>6339</v>
      </c>
      <c r="BN117" s="23">
        <f>+'QTR Raw'!AH56</f>
        <v>6339</v>
      </c>
      <c r="BO117" s="23">
        <f t="shared" si="1047"/>
        <v>6339</v>
      </c>
      <c r="BP117" s="23">
        <f>+'QTR Raw'!AJ56</f>
        <v>6445</v>
      </c>
      <c r="BQ117" s="23">
        <f t="shared" si="1047"/>
        <v>6445</v>
      </c>
      <c r="BR117" s="23">
        <f>+'QTR Raw'!AL56</f>
        <v>6445</v>
      </c>
      <c r="BS117" s="23">
        <f t="shared" si="1047"/>
        <v>6445</v>
      </c>
      <c r="BT117" s="23">
        <f>+'QTR Raw'!AN56</f>
        <v>6551</v>
      </c>
      <c r="BU117" s="23">
        <f t="shared" si="1047"/>
        <v>6551</v>
      </c>
      <c r="BV117" s="23">
        <f>+'QTR Raw'!AP56</f>
        <v>6765</v>
      </c>
      <c r="BW117" s="23">
        <f t="shared" si="1047"/>
        <v>6765</v>
      </c>
      <c r="BX117" s="23">
        <f>+'QTR Raw'!AR56</f>
        <v>6766</v>
      </c>
      <c r="BY117" s="23">
        <f t="shared" si="1047"/>
        <v>6766</v>
      </c>
      <c r="BZ117" s="23">
        <f>+'QTR Raw'!AT56</f>
        <v>6766</v>
      </c>
      <c r="CA117" s="23">
        <f t="shared" si="1047"/>
        <v>6766</v>
      </c>
      <c r="CB117" s="23">
        <f>+'QTR Raw'!AV56</f>
        <v>6766</v>
      </c>
      <c r="CC117" s="23">
        <f t="shared" si="1047"/>
        <v>6766</v>
      </c>
      <c r="CD117" s="23">
        <f>+'QTR Raw'!AX56</f>
        <v>6766</v>
      </c>
      <c r="CE117" s="23">
        <f t="shared" si="1047"/>
        <v>6766</v>
      </c>
      <c r="CF117" s="23">
        <f>+'QTR Raw'!AZ56</f>
        <v>6766</v>
      </c>
      <c r="CG117" s="23">
        <f t="shared" ref="CG117:CG118" si="1048">+CF117</f>
        <v>6766</v>
      </c>
      <c r="CH117" s="23">
        <f>Z117</f>
        <v>13532</v>
      </c>
      <c r="CI117" s="23">
        <f>CH117</f>
        <v>13532</v>
      </c>
      <c r="CJ117" s="23">
        <f>+'QTR Raw'!BD56</f>
        <v>13532</v>
      </c>
      <c r="CK117" s="23">
        <f t="shared" ref="CK117:DB117" si="1049">CJ117</f>
        <v>13532</v>
      </c>
      <c r="CL117" s="23">
        <f>+'QTR Raw'!BF56</f>
        <v>13532</v>
      </c>
      <c r="CM117" s="24">
        <f t="shared" si="1049"/>
        <v>13532</v>
      </c>
      <c r="CN117" s="24">
        <f t="shared" si="1049"/>
        <v>13532</v>
      </c>
      <c r="CO117" s="24">
        <f t="shared" si="1049"/>
        <v>13532</v>
      </c>
      <c r="CP117" s="24">
        <f t="shared" si="1049"/>
        <v>13532</v>
      </c>
      <c r="CQ117" s="24">
        <f t="shared" si="1049"/>
        <v>13532</v>
      </c>
      <c r="CR117" s="24">
        <f t="shared" si="1049"/>
        <v>13532</v>
      </c>
      <c r="CS117" s="24">
        <f t="shared" si="1049"/>
        <v>13532</v>
      </c>
      <c r="CT117" s="24">
        <f t="shared" si="1049"/>
        <v>13532</v>
      </c>
      <c r="CU117" s="24">
        <f t="shared" si="1049"/>
        <v>13532</v>
      </c>
      <c r="CV117" s="24">
        <f t="shared" si="1049"/>
        <v>13532</v>
      </c>
      <c r="CW117" s="24">
        <f t="shared" si="1049"/>
        <v>13532</v>
      </c>
      <c r="CX117" s="24">
        <f t="shared" si="1049"/>
        <v>13532</v>
      </c>
      <c r="CY117" s="24">
        <f t="shared" si="1049"/>
        <v>13532</v>
      </c>
      <c r="CZ117" s="24">
        <f t="shared" si="1049"/>
        <v>13532</v>
      </c>
      <c r="DA117" s="24">
        <f t="shared" si="1049"/>
        <v>13532</v>
      </c>
      <c r="DB117" s="24">
        <f t="shared" si="1049"/>
        <v>13532</v>
      </c>
      <c r="DE117" s="123"/>
      <c r="DF117" s="23">
        <v>13532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342.29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60.14</v>
      </c>
      <c r="I118" s="23">
        <f>'Annual Raw'!J42</f>
        <v>1682.4</v>
      </c>
      <c r="J118" s="23">
        <f>'Annual Raw'!K42</f>
        <v>69.25</v>
      </c>
      <c r="K118" s="23">
        <f>'Annual Raw'!L42</f>
        <v>0</v>
      </c>
      <c r="L118" s="23">
        <f>'Annual Raw'!M42</f>
        <v>9</v>
      </c>
      <c r="M118" s="23">
        <f>'Annual Raw'!N42</f>
        <v>0</v>
      </c>
      <c r="N118" s="23">
        <f>'Annual Raw'!O42</f>
        <v>25</v>
      </c>
      <c r="O118" s="23">
        <f>'Annual Raw'!P42</f>
        <v>17</v>
      </c>
      <c r="P118" s="23">
        <f>'Annual Raw'!Q42</f>
        <v>17</v>
      </c>
      <c r="Q118" s="23">
        <f>'Annual Raw'!R42</f>
        <v>26</v>
      </c>
      <c r="R118" s="23">
        <f>'Annual Raw'!S42</f>
        <v>20</v>
      </c>
      <c r="S118" s="23">
        <f>'Annual Raw'!T42</f>
        <v>27</v>
      </c>
      <c r="T118" s="23">
        <f>'Annual Raw'!U42</f>
        <v>9</v>
      </c>
      <c r="U118" s="23">
        <f>'Annual Raw'!V42</f>
        <v>19</v>
      </c>
      <c r="V118" s="23">
        <f>'Annual Raw'!W42</f>
        <v>40580</v>
      </c>
      <c r="W118" s="23">
        <f>'Annual Raw'!X42</f>
        <v>434</v>
      </c>
      <c r="X118" s="23">
        <f>'Annual Raw'!Y42</f>
        <v>646</v>
      </c>
      <c r="Y118" s="23">
        <f>'Annual Raw'!Z42</f>
        <v>780</v>
      </c>
      <c r="Z118" s="23">
        <f>'Annual Raw'!AA42</f>
        <v>790</v>
      </c>
      <c r="AA118" s="24">
        <f t="shared" ref="AA118:AA119" si="1050">+CL118</f>
        <v>0</v>
      </c>
      <c r="AB118" s="24">
        <f t="shared" ref="AB118:AB119" si="1051">+CP118</f>
        <v>0</v>
      </c>
      <c r="AC118" s="24">
        <f t="shared" ref="AC118:AC119" si="1052">+CT118</f>
        <v>0</v>
      </c>
      <c r="AD118" s="24">
        <f t="shared" ref="AD118:AD119" si="1053">+CX118</f>
        <v>0</v>
      </c>
      <c r="AE118" s="24">
        <f t="shared" ref="AE118:AE119" si="1054">+DB118</f>
        <v>0</v>
      </c>
      <c r="AJ118" s="23">
        <f>+'QTR Raw'!D57</f>
        <v>0</v>
      </c>
      <c r="AK118" s="23">
        <f t="shared" ref="AK118:CE118" si="1055">+AJ118</f>
        <v>0</v>
      </c>
      <c r="AL118" s="23">
        <f>+'QTR Raw'!F57</f>
        <v>25</v>
      </c>
      <c r="AM118" s="23">
        <f t="shared" si="1055"/>
        <v>25</v>
      </c>
      <c r="AN118" s="23">
        <f>+'QTR Raw'!H57</f>
        <v>15</v>
      </c>
      <c r="AO118" s="23">
        <f t="shared" si="1055"/>
        <v>15</v>
      </c>
      <c r="AP118" s="23">
        <f>+'QTR Raw'!J57</f>
        <v>17</v>
      </c>
      <c r="AQ118" s="23">
        <f t="shared" si="1055"/>
        <v>17</v>
      </c>
      <c r="AR118" s="23">
        <f>+'QTR Raw'!L57</f>
        <v>24</v>
      </c>
      <c r="AS118" s="23">
        <f t="shared" si="1055"/>
        <v>24</v>
      </c>
      <c r="AT118" s="23">
        <f>+'QTR Raw'!N57</f>
        <v>17</v>
      </c>
      <c r="AU118" s="23">
        <f t="shared" si="1055"/>
        <v>17</v>
      </c>
      <c r="AV118" s="23">
        <f>+'QTR Raw'!P57</f>
        <v>26</v>
      </c>
      <c r="AW118" s="23">
        <f t="shared" si="1055"/>
        <v>26</v>
      </c>
      <c r="AX118" s="23">
        <f>+'QTR Raw'!R57</f>
        <v>0</v>
      </c>
      <c r="AY118" s="23">
        <f t="shared" si="1055"/>
        <v>0</v>
      </c>
      <c r="AZ118" s="23">
        <f>+'QTR Raw'!T57</f>
        <v>0</v>
      </c>
      <c r="BA118" s="23">
        <f t="shared" si="1055"/>
        <v>0</v>
      </c>
      <c r="BB118" s="23">
        <f>+'QTR Raw'!V57</f>
        <v>0</v>
      </c>
      <c r="BC118" s="23">
        <f t="shared" si="1055"/>
        <v>0</v>
      </c>
      <c r="BD118" s="23">
        <f>+'QTR Raw'!X57</f>
        <v>0</v>
      </c>
      <c r="BE118" s="23">
        <f t="shared" si="1055"/>
        <v>0</v>
      </c>
      <c r="BF118" s="23">
        <f>+'QTR Raw'!Z57</f>
        <v>0</v>
      </c>
      <c r="BG118" s="23">
        <f t="shared" si="1055"/>
        <v>0</v>
      </c>
      <c r="BH118" s="23">
        <f>+'QTR Raw'!AB57</f>
        <v>0</v>
      </c>
      <c r="BI118" s="23">
        <f t="shared" si="1055"/>
        <v>0</v>
      </c>
      <c r="BJ118" s="23">
        <f>+'QTR Raw'!AD57</f>
        <v>0</v>
      </c>
      <c r="BK118" s="23">
        <f t="shared" si="1055"/>
        <v>0</v>
      </c>
      <c r="BL118" s="23">
        <f>+'QTR Raw'!AF57</f>
        <v>0</v>
      </c>
      <c r="BM118" s="23">
        <f t="shared" si="1055"/>
        <v>0</v>
      </c>
      <c r="BN118" s="23">
        <f>+'QTR Raw'!AH57</f>
        <v>0</v>
      </c>
      <c r="BO118" s="23">
        <f t="shared" si="1055"/>
        <v>0</v>
      </c>
      <c r="BP118" s="23">
        <f>+'QTR Raw'!AJ57</f>
        <v>0</v>
      </c>
      <c r="BQ118" s="23">
        <f t="shared" si="1055"/>
        <v>0</v>
      </c>
      <c r="BR118" s="23">
        <f>+'QTR Raw'!AL57</f>
        <v>0</v>
      </c>
      <c r="BS118" s="23">
        <f t="shared" si="1055"/>
        <v>0</v>
      </c>
      <c r="BT118" s="23">
        <f>+'QTR Raw'!AN57</f>
        <v>0</v>
      </c>
      <c r="BU118" s="23">
        <f t="shared" si="1055"/>
        <v>0</v>
      </c>
      <c r="BV118" s="23">
        <f>+'QTR Raw'!AP57</f>
        <v>0</v>
      </c>
      <c r="BW118" s="23">
        <f t="shared" si="1055"/>
        <v>0</v>
      </c>
      <c r="BX118" s="23">
        <f>+'QTR Raw'!AR57</f>
        <v>0</v>
      </c>
      <c r="BY118" s="23">
        <f t="shared" si="1055"/>
        <v>0</v>
      </c>
      <c r="BZ118" s="23">
        <f>+'QTR Raw'!AT57</f>
        <v>0</v>
      </c>
      <c r="CA118" s="23">
        <f t="shared" si="1055"/>
        <v>0</v>
      </c>
      <c r="CB118" s="23">
        <f>+'QTR Raw'!AV57</f>
        <v>0</v>
      </c>
      <c r="CC118" s="23">
        <f t="shared" si="1055"/>
        <v>0</v>
      </c>
      <c r="CD118" s="23">
        <f>+'QTR Raw'!AX57</f>
        <v>0</v>
      </c>
      <c r="CE118" s="23">
        <f t="shared" si="1055"/>
        <v>0</v>
      </c>
      <c r="CF118" s="23">
        <f>+'QTR Raw'!AZ57</f>
        <v>0</v>
      </c>
      <c r="CG118" s="23">
        <f t="shared" si="1048"/>
        <v>0</v>
      </c>
      <c r="CH118" s="23">
        <f t="shared" ref="CH118:CH119" si="1056">Z118</f>
        <v>790</v>
      </c>
      <c r="CI118" s="23">
        <f>CH118</f>
        <v>790</v>
      </c>
      <c r="CJ118" s="23">
        <f>+'QTR Raw'!BD57</f>
        <v>0</v>
      </c>
      <c r="CK118" s="23">
        <f t="shared" ref="CK118:DB118" si="1057">CJ118</f>
        <v>0</v>
      </c>
      <c r="CL118" s="23">
        <f>+'QTR Raw'!BF57</f>
        <v>0</v>
      </c>
      <c r="CM118" s="24">
        <f t="shared" si="1057"/>
        <v>0</v>
      </c>
      <c r="CN118" s="24">
        <f t="shared" si="1057"/>
        <v>0</v>
      </c>
      <c r="CO118" s="24">
        <f t="shared" si="1057"/>
        <v>0</v>
      </c>
      <c r="CP118" s="24">
        <f t="shared" si="1057"/>
        <v>0</v>
      </c>
      <c r="CQ118" s="24">
        <f t="shared" si="1057"/>
        <v>0</v>
      </c>
      <c r="CR118" s="24">
        <f t="shared" si="1057"/>
        <v>0</v>
      </c>
      <c r="CS118" s="24">
        <f t="shared" si="1057"/>
        <v>0</v>
      </c>
      <c r="CT118" s="24">
        <f t="shared" si="1057"/>
        <v>0</v>
      </c>
      <c r="CU118" s="24">
        <f t="shared" si="1057"/>
        <v>0</v>
      </c>
      <c r="CV118" s="24">
        <f t="shared" si="1057"/>
        <v>0</v>
      </c>
      <c r="CW118" s="24">
        <f t="shared" si="1057"/>
        <v>0</v>
      </c>
      <c r="CX118" s="24">
        <f t="shared" si="1057"/>
        <v>0</v>
      </c>
      <c r="CY118" s="24">
        <f t="shared" si="1057"/>
        <v>0</v>
      </c>
      <c r="CZ118" s="24">
        <f t="shared" si="1057"/>
        <v>0</v>
      </c>
      <c r="DA118" s="24">
        <f t="shared" si="1057"/>
        <v>0</v>
      </c>
      <c r="DB118" s="24">
        <f t="shared" si="1057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13711.88</v>
      </c>
      <c r="C119" s="23">
        <f>'Annual Raw'!D43</f>
        <v>26580.91</v>
      </c>
      <c r="D119" s="23">
        <f>'Annual Raw'!E43</f>
        <v>29139.79</v>
      </c>
      <c r="E119" s="23">
        <f>'Annual Raw'!F43</f>
        <v>33621.599999999999</v>
      </c>
      <c r="F119" s="23">
        <f>'Annual Raw'!G43</f>
        <v>39700.58</v>
      </c>
      <c r="G119" s="23">
        <f>'Annual Raw'!H43</f>
        <v>49634.86</v>
      </c>
      <c r="H119" s="23">
        <f>'Annual Raw'!I43</f>
        <v>66765.73</v>
      </c>
      <c r="I119" s="23">
        <f>'Annual Raw'!J43</f>
        <v>82374.69</v>
      </c>
      <c r="J119" s="23">
        <f>'Annual Raw'!K43</f>
        <v>119812.61</v>
      </c>
      <c r="K119" s="23">
        <f>'Annual Raw'!L43</f>
        <v>138024.95999999999</v>
      </c>
      <c r="L119" s="23">
        <f>'Annual Raw'!M43</f>
        <v>151112</v>
      </c>
      <c r="M119" s="23">
        <f>'Annual Raw'!N43</f>
        <v>166466</v>
      </c>
      <c r="N119" s="23">
        <f>'Annual Raw'!O43</f>
        <v>179094</v>
      </c>
      <c r="O119" s="23">
        <f>'Annual Raw'!P43</f>
        <v>195730</v>
      </c>
      <c r="P119" s="23">
        <f>'Annual Raw'!Q43</f>
        <v>215539</v>
      </c>
      <c r="Q119" s="23">
        <f>'Annual Raw'!R43</f>
        <v>228582</v>
      </c>
      <c r="R119" s="23">
        <f>'Annual Raw'!S43</f>
        <v>260730</v>
      </c>
      <c r="S119" s="23">
        <f>'Annual Raw'!T43</f>
        <v>287557</v>
      </c>
      <c r="T119" s="23">
        <f>'Annual Raw'!U43</f>
        <v>381177</v>
      </c>
      <c r="U119" s="23">
        <f>'Annual Raw'!V43</f>
        <v>442808</v>
      </c>
      <c r="V119" s="23">
        <f>'Annual Raw'!W43</f>
        <v>653147</v>
      </c>
      <c r="W119" s="23">
        <f>'Annual Raw'!X43</f>
        <v>772286</v>
      </c>
      <c r="X119" s="23">
        <f>'Annual Raw'!Y43</f>
        <v>708460</v>
      </c>
      <c r="Y119" s="23">
        <f>'Annual Raw'!Z43</f>
        <v>785935</v>
      </c>
      <c r="Z119" s="23">
        <f>'Annual Raw'!AA43</f>
        <v>828878</v>
      </c>
      <c r="AA119" s="24">
        <f t="shared" si="1050"/>
        <v>890498</v>
      </c>
      <c r="AB119" s="24">
        <f t="shared" si="1051"/>
        <v>974605.80593382742</v>
      </c>
      <c r="AC119" s="24">
        <f t="shared" si="1052"/>
        <v>1075412.3981374146</v>
      </c>
      <c r="AD119" s="24">
        <f t="shared" si="1053"/>
        <v>1193954.0972560442</v>
      </c>
      <c r="AE119" s="24">
        <f t="shared" si="1054"/>
        <v>1334497.4984021496</v>
      </c>
      <c r="AJ119" s="23">
        <f>+'QTR Raw'!D58</f>
        <v>169167</v>
      </c>
      <c r="AK119" s="23">
        <f>+AJ119+AK48</f>
        <v>174669</v>
      </c>
      <c r="AL119" s="23">
        <f>+'QTR Raw'!F58</f>
        <v>179094</v>
      </c>
      <c r="AM119" s="23">
        <f>+AL119+AM48</f>
        <v>184331</v>
      </c>
      <c r="AN119" s="23">
        <f>+'QTR Raw'!H58</f>
        <v>186808</v>
      </c>
      <c r="AO119" s="23">
        <f>+AN119+AO48</f>
        <v>192310</v>
      </c>
      <c r="AP119" s="23">
        <f>+'QTR Raw'!J58</f>
        <v>195730</v>
      </c>
      <c r="AQ119" s="23">
        <f>+AP119+AQ48</f>
        <v>201687</v>
      </c>
      <c r="AR119" s="23">
        <f>+'QTR Raw'!L58</f>
        <v>207144</v>
      </c>
      <c r="AS119" s="23">
        <f>+AR119+AS48</f>
        <v>212400</v>
      </c>
      <c r="AT119" s="23">
        <f>+'QTR Raw'!N58</f>
        <v>215539</v>
      </c>
      <c r="AU119" s="23">
        <f>+AT119+AU48</f>
        <v>221563</v>
      </c>
      <c r="AV119" s="23">
        <f>+'QTR Raw'!P58</f>
        <v>228598</v>
      </c>
      <c r="AW119" s="23">
        <f>+AV119+AW48</f>
        <v>235843</v>
      </c>
      <c r="AX119" s="23">
        <f>+'QTR Raw'!R58</f>
        <v>228608</v>
      </c>
      <c r="AY119" s="23">
        <f>+AX119+AY48</f>
        <v>235721</v>
      </c>
      <c r="AZ119" s="23">
        <f>+'QTR Raw'!T58</f>
        <v>251871</v>
      </c>
      <c r="BA119" s="23">
        <f>+AZ119+BA48</f>
        <v>259404</v>
      </c>
      <c r="BB119" s="23">
        <f>+'QTR Raw'!V58</f>
        <v>260750</v>
      </c>
      <c r="BC119" s="23">
        <f>+BB119+BC48</f>
        <v>269858</v>
      </c>
      <c r="BD119" s="23">
        <f>+'QTR Raw'!X58</f>
        <v>270389</v>
      </c>
      <c r="BE119" s="23">
        <f>+BD119+BE48</f>
        <v>279809</v>
      </c>
      <c r="BF119" s="23">
        <f>+'QTR Raw'!Z58</f>
        <v>287584</v>
      </c>
      <c r="BG119" s="23">
        <f>+BF119+BG48</f>
        <v>297043</v>
      </c>
      <c r="BH119" s="23">
        <f>+'QTR Raw'!AB58</f>
        <v>298426</v>
      </c>
      <c r="BI119" s="23">
        <f>+BH119+BI48</f>
        <v>308677</v>
      </c>
      <c r="BJ119" s="23">
        <f>+'QTR Raw'!AD58</f>
        <v>381186</v>
      </c>
      <c r="BK119" s="23">
        <f>+BJ119+BK48</f>
        <v>391290</v>
      </c>
      <c r="BL119" s="23">
        <f>+'QTR Raw'!AF58</f>
        <v>399034</v>
      </c>
      <c r="BM119" s="23">
        <f>+BL119+BM48</f>
        <v>410674</v>
      </c>
      <c r="BN119" s="23">
        <f>+'QTR Raw'!AH58</f>
        <v>442827</v>
      </c>
      <c r="BO119" s="23">
        <f>+BN119+BO48</f>
        <v>456060</v>
      </c>
      <c r="BP119" s="23">
        <f>+'QTR Raw'!AJ58</f>
        <v>606977</v>
      </c>
      <c r="BQ119" s="23">
        <f>+BP119+BQ48</f>
        <v>620078</v>
      </c>
      <c r="BR119" s="23">
        <f>+'QTR Raw'!AL58</f>
        <v>693727</v>
      </c>
      <c r="BS119" s="23">
        <f>+BR119+BS48</f>
        <v>706000</v>
      </c>
      <c r="BT119" s="23">
        <f>+'QTR Raw'!AN58</f>
        <v>735257</v>
      </c>
      <c r="BU119" s="23">
        <f>+BT119+BU48</f>
        <v>753806</v>
      </c>
      <c r="BV119" s="23">
        <f>+'QTR Raw'!AP58</f>
        <v>772720</v>
      </c>
      <c r="BW119" s="23">
        <f>+BV119+BW48</f>
        <v>790675</v>
      </c>
      <c r="BX119" s="23">
        <f>+'QTR Raw'!AR58</f>
        <v>783283</v>
      </c>
      <c r="BY119" s="23">
        <f>+BX119+BY48</f>
        <v>799075</v>
      </c>
      <c r="BZ119" s="23">
        <f>+'QTR Raw'!AT58</f>
        <v>709106</v>
      </c>
      <c r="CA119" s="23">
        <f>+BZ119+CA48</f>
        <v>725117</v>
      </c>
      <c r="CB119" s="23">
        <f>+'QTR Raw'!AV58</f>
        <v>744456</v>
      </c>
      <c r="CC119" s="23">
        <f>+CB119+CC48</f>
        <v>761721</v>
      </c>
      <c r="CD119" s="23">
        <f>+'QTR Raw'!AX58</f>
        <v>786715</v>
      </c>
      <c r="CE119" s="23">
        <f>+CD119+CE48</f>
        <v>801853</v>
      </c>
      <c r="CF119" s="23">
        <f>+'QTR Raw'!AZ58</f>
        <v>812687</v>
      </c>
      <c r="CG119" s="23">
        <f>+CF119+CG48</f>
        <v>831227</v>
      </c>
      <c r="CH119" s="23">
        <f t="shared" si="1056"/>
        <v>828878</v>
      </c>
      <c r="CI119" s="23">
        <f>CH119+CI48</f>
        <v>855872</v>
      </c>
      <c r="CJ119" s="23">
        <f>+'QTR Raw'!BD58</f>
        <v>863748</v>
      </c>
      <c r="CK119" s="23">
        <f t="shared" ref="CK119:DB119" si="1058">CJ119+CK48</f>
        <v>882393</v>
      </c>
      <c r="CL119" s="23">
        <f>+'QTR Raw'!BF58</f>
        <v>890498</v>
      </c>
      <c r="CM119" s="24">
        <f t="shared" si="1058"/>
        <v>908960.51247679105</v>
      </c>
      <c r="CN119" s="24">
        <f t="shared" si="1058"/>
        <v>928810.96218066104</v>
      </c>
      <c r="CO119" s="24">
        <f t="shared" si="1058"/>
        <v>949700.582314556</v>
      </c>
      <c r="CP119" s="24">
        <f t="shared" si="1058"/>
        <v>974605.80593382742</v>
      </c>
      <c r="CQ119" s="24">
        <f t="shared" si="1058"/>
        <v>996215.87446301198</v>
      </c>
      <c r="CR119" s="24">
        <f t="shared" si="1058"/>
        <v>1019896.0558634535</v>
      </c>
      <c r="CS119" s="24">
        <f t="shared" si="1058"/>
        <v>1045262.1338728989</v>
      </c>
      <c r="CT119" s="24">
        <f t="shared" si="1058"/>
        <v>1075412.3981374146</v>
      </c>
      <c r="CU119" s="24">
        <f t="shared" si="1058"/>
        <v>1100827.8898588601</v>
      </c>
      <c r="CV119" s="24">
        <f t="shared" si="1058"/>
        <v>1128795.9436560357</v>
      </c>
      <c r="CW119" s="24">
        <f t="shared" si="1058"/>
        <v>1158731.6558468733</v>
      </c>
      <c r="CX119" s="24">
        <f t="shared" si="1058"/>
        <v>1193954.0972560442</v>
      </c>
      <c r="CY119" s="24">
        <f t="shared" si="1058"/>
        <v>1224335.4638979996</v>
      </c>
      <c r="CZ119" s="24">
        <f t="shared" si="1058"/>
        <v>1257622.2673259764</v>
      </c>
      <c r="DA119" s="24">
        <f t="shared" si="1058"/>
        <v>1293127.3932737994</v>
      </c>
      <c r="DB119" s="24">
        <f t="shared" si="1058"/>
        <v>1334497.4984021496</v>
      </c>
      <c r="DE119" s="123"/>
      <c r="DF119" s="23">
        <v>901850.1660062474</v>
      </c>
    </row>
    <row r="120" spans="1:110" s="22" customFormat="1" x14ac:dyDescent="0.2">
      <c r="A120" s="22" t="s">
        <v>44</v>
      </c>
      <c r="B120" s="22">
        <f>B117+B118+B119</f>
        <v>14765.369999999999</v>
      </c>
      <c r="C120" s="22">
        <f t="shared" ref="C120:V120" si="1059">C117+C118+C119</f>
        <v>27976.76</v>
      </c>
      <c r="D120" s="22">
        <f t="shared" si="1059"/>
        <v>30535.71</v>
      </c>
      <c r="E120" s="22">
        <f t="shared" si="1059"/>
        <v>35017.549999999996</v>
      </c>
      <c r="F120" s="22">
        <f t="shared" si="1059"/>
        <v>41093.67</v>
      </c>
      <c r="G120" s="22">
        <f t="shared" si="1059"/>
        <v>51028.03</v>
      </c>
      <c r="H120" s="22">
        <f t="shared" si="1059"/>
        <v>68219.08</v>
      </c>
      <c r="I120" s="22">
        <f t="shared" si="1059"/>
        <v>85510.48</v>
      </c>
      <c r="J120" s="22">
        <f t="shared" si="1059"/>
        <v>121256.54</v>
      </c>
      <c r="K120" s="22">
        <f t="shared" si="1059"/>
        <v>141002.97999999998</v>
      </c>
      <c r="L120" s="22">
        <f t="shared" si="1059"/>
        <v>154102</v>
      </c>
      <c r="M120" s="22">
        <f>M117+M118+M119</f>
        <v>169445</v>
      </c>
      <c r="N120" s="22">
        <f t="shared" si="1059"/>
        <v>182055</v>
      </c>
      <c r="O120" s="22">
        <f t="shared" si="1059"/>
        <v>198687</v>
      </c>
      <c r="P120" s="22">
        <f t="shared" si="1059"/>
        <v>218499</v>
      </c>
      <c r="Q120" s="22">
        <f t="shared" si="1059"/>
        <v>231556</v>
      </c>
      <c r="R120" s="22">
        <f t="shared" si="1059"/>
        <v>263709</v>
      </c>
      <c r="S120" s="22">
        <f t="shared" si="1059"/>
        <v>293506</v>
      </c>
      <c r="T120" s="22">
        <f t="shared" si="1059"/>
        <v>387112</v>
      </c>
      <c r="U120" s="22">
        <f t="shared" si="1059"/>
        <v>449166</v>
      </c>
      <c r="V120" s="22">
        <f t="shared" si="1059"/>
        <v>700172</v>
      </c>
      <c r="W120" s="22">
        <f t="shared" ref="W120" si="1060">W117+W118+W119</f>
        <v>779485</v>
      </c>
      <c r="X120" s="22">
        <f t="shared" ref="X120:Y120" si="1061">X117+X118+X119</f>
        <v>715872</v>
      </c>
      <c r="Y120" s="22">
        <f t="shared" si="1061"/>
        <v>793481</v>
      </c>
      <c r="Z120" s="22">
        <f t="shared" ref="Z120" si="1062">Z117+Z118+Z119</f>
        <v>843200</v>
      </c>
      <c r="AA120" s="21">
        <f t="shared" ref="AA120:AD120" si="1063">AA117+AA118+AA119</f>
        <v>904030</v>
      </c>
      <c r="AB120" s="21">
        <f t="shared" si="1063"/>
        <v>988137.80593382742</v>
      </c>
      <c r="AC120" s="21">
        <f t="shared" si="1063"/>
        <v>1088944.3981374146</v>
      </c>
      <c r="AD120" s="21">
        <f t="shared" si="1063"/>
        <v>1207486.0972560442</v>
      </c>
      <c r="AE120" s="21">
        <f t="shared" ref="AE120" si="1064">AE117+AE118+AE119</f>
        <v>1348029.4984021496</v>
      </c>
      <c r="AJ120" s="22">
        <f t="shared" ref="AJ120" si="1065">AJ117+AJ118+AJ119</f>
        <v>172403</v>
      </c>
      <c r="AK120" s="22">
        <f t="shared" ref="AK120" si="1066">AK117+AK118+AK119</f>
        <v>177905</v>
      </c>
      <c r="AL120" s="22">
        <f t="shared" ref="AL120:AM120" si="1067">AL117+AL118+AL119</f>
        <v>182055</v>
      </c>
      <c r="AM120" s="22">
        <f t="shared" si="1067"/>
        <v>187292</v>
      </c>
      <c r="AN120" s="22">
        <f t="shared" ref="AN120:AO120" si="1068">AN117+AN118+AN119</f>
        <v>190054</v>
      </c>
      <c r="AO120" s="22">
        <f t="shared" si="1068"/>
        <v>195556</v>
      </c>
      <c r="AP120" s="22">
        <f t="shared" ref="AP120:CE120" si="1069">AP117+AP118+AP119</f>
        <v>198687</v>
      </c>
      <c r="AQ120" s="22">
        <f t="shared" si="1069"/>
        <v>204644</v>
      </c>
      <c r="AR120" s="22">
        <f t="shared" si="1069"/>
        <v>210110</v>
      </c>
      <c r="AS120" s="22">
        <f t="shared" si="1069"/>
        <v>215366</v>
      </c>
      <c r="AT120" s="22">
        <f t="shared" si="1069"/>
        <v>218499</v>
      </c>
      <c r="AU120" s="22">
        <f t="shared" si="1069"/>
        <v>224523</v>
      </c>
      <c r="AV120" s="22">
        <f t="shared" si="1069"/>
        <v>231570</v>
      </c>
      <c r="AW120" s="22">
        <f t="shared" si="1069"/>
        <v>238815</v>
      </c>
      <c r="AX120" s="22">
        <f t="shared" si="1069"/>
        <v>231556</v>
      </c>
      <c r="AY120" s="22">
        <f t="shared" si="1069"/>
        <v>238669</v>
      </c>
      <c r="AZ120" s="22">
        <f t="shared" si="1069"/>
        <v>254822</v>
      </c>
      <c r="BA120" s="22">
        <f t="shared" si="1069"/>
        <v>262355</v>
      </c>
      <c r="BB120" s="22">
        <f t="shared" si="1069"/>
        <v>263709</v>
      </c>
      <c r="BC120" s="22">
        <f t="shared" si="1069"/>
        <v>272817</v>
      </c>
      <c r="BD120" s="22">
        <f t="shared" si="1069"/>
        <v>276309</v>
      </c>
      <c r="BE120" s="22">
        <f t="shared" si="1069"/>
        <v>285729</v>
      </c>
      <c r="BF120" s="22">
        <f t="shared" si="1069"/>
        <v>293506</v>
      </c>
      <c r="BG120" s="22">
        <f t="shared" si="1069"/>
        <v>302965</v>
      </c>
      <c r="BH120" s="22">
        <f t="shared" si="1069"/>
        <v>304352</v>
      </c>
      <c r="BI120" s="22">
        <f t="shared" si="1069"/>
        <v>314603</v>
      </c>
      <c r="BJ120" s="22">
        <f t="shared" si="1069"/>
        <v>387112</v>
      </c>
      <c r="BK120" s="22">
        <f t="shared" si="1069"/>
        <v>397216</v>
      </c>
      <c r="BL120" s="22">
        <f t="shared" si="1069"/>
        <v>405373</v>
      </c>
      <c r="BM120" s="22">
        <f t="shared" si="1069"/>
        <v>417013</v>
      </c>
      <c r="BN120" s="22">
        <f t="shared" si="1069"/>
        <v>449166</v>
      </c>
      <c r="BO120" s="22">
        <f t="shared" si="1069"/>
        <v>462399</v>
      </c>
      <c r="BP120" s="22">
        <f t="shared" si="1069"/>
        <v>613422</v>
      </c>
      <c r="BQ120" s="22">
        <f t="shared" si="1069"/>
        <v>626523</v>
      </c>
      <c r="BR120" s="22">
        <f t="shared" si="1069"/>
        <v>700172</v>
      </c>
      <c r="BS120" s="22">
        <f t="shared" si="1069"/>
        <v>712445</v>
      </c>
      <c r="BT120" s="22">
        <f t="shared" si="1069"/>
        <v>741808</v>
      </c>
      <c r="BU120" s="22">
        <f t="shared" si="1069"/>
        <v>760357</v>
      </c>
      <c r="BV120" s="22">
        <f t="shared" si="1069"/>
        <v>779485</v>
      </c>
      <c r="BW120" s="22">
        <f t="shared" si="1069"/>
        <v>797440</v>
      </c>
      <c r="BX120" s="22">
        <f t="shared" si="1069"/>
        <v>790049</v>
      </c>
      <c r="BY120" s="22">
        <f t="shared" si="1069"/>
        <v>805841</v>
      </c>
      <c r="BZ120" s="22">
        <f t="shared" si="1069"/>
        <v>715872</v>
      </c>
      <c r="CA120" s="22">
        <f t="shared" si="1069"/>
        <v>731883</v>
      </c>
      <c r="CB120" s="22">
        <f t="shared" si="1069"/>
        <v>751222</v>
      </c>
      <c r="CC120" s="22">
        <f t="shared" si="1069"/>
        <v>768487</v>
      </c>
      <c r="CD120" s="22">
        <f t="shared" si="1069"/>
        <v>793481</v>
      </c>
      <c r="CE120" s="22">
        <f t="shared" si="1069"/>
        <v>808619</v>
      </c>
      <c r="CF120" s="22">
        <f t="shared" ref="CF120:CG120" si="1070">CF117+CF118+CF119</f>
        <v>819453</v>
      </c>
      <c r="CG120" s="22">
        <f t="shared" si="1070"/>
        <v>837993</v>
      </c>
      <c r="CH120" s="22">
        <f t="shared" ref="CH120:CI120" si="1071">CH117+CH118+CH119</f>
        <v>843200</v>
      </c>
      <c r="CI120" s="22">
        <f t="shared" si="1071"/>
        <v>870194</v>
      </c>
      <c r="CJ120" s="22">
        <f t="shared" ref="CJ120:DB120" si="1072">CJ117+CJ118+CJ119</f>
        <v>877280</v>
      </c>
      <c r="CK120" s="22">
        <f t="shared" si="1072"/>
        <v>895925</v>
      </c>
      <c r="CL120" s="22">
        <f t="shared" ref="CL120" si="1073">CL117+CL118+CL119</f>
        <v>904030</v>
      </c>
      <c r="CM120" s="21">
        <f t="shared" si="1072"/>
        <v>922492.51247679105</v>
      </c>
      <c r="CN120" s="21">
        <f t="shared" si="1072"/>
        <v>942342.96218066104</v>
      </c>
      <c r="CO120" s="21">
        <f t="shared" si="1072"/>
        <v>963232.582314556</v>
      </c>
      <c r="CP120" s="21">
        <f t="shared" si="1072"/>
        <v>988137.80593382742</v>
      </c>
      <c r="CQ120" s="21">
        <f t="shared" si="1072"/>
        <v>1009747.874463012</v>
      </c>
      <c r="CR120" s="21">
        <f t="shared" si="1072"/>
        <v>1033428.0558634535</v>
      </c>
      <c r="CS120" s="21">
        <f t="shared" si="1072"/>
        <v>1058794.1338728988</v>
      </c>
      <c r="CT120" s="21">
        <f t="shared" si="1072"/>
        <v>1088944.3981374146</v>
      </c>
      <c r="CU120" s="21">
        <f t="shared" si="1072"/>
        <v>1114359.8898588601</v>
      </c>
      <c r="CV120" s="21">
        <f t="shared" si="1072"/>
        <v>1142327.9436560357</v>
      </c>
      <c r="CW120" s="21">
        <f t="shared" si="1072"/>
        <v>1172263.6558468733</v>
      </c>
      <c r="CX120" s="21">
        <f t="shared" si="1072"/>
        <v>1207486.0972560442</v>
      </c>
      <c r="CY120" s="21">
        <f t="shared" si="1072"/>
        <v>1237867.4638979996</v>
      </c>
      <c r="CZ120" s="21">
        <f t="shared" si="1072"/>
        <v>1271154.2673259764</v>
      </c>
      <c r="DA120" s="21">
        <f t="shared" si="1072"/>
        <v>1306659.3932737994</v>
      </c>
      <c r="DB120" s="21">
        <f t="shared" si="1072"/>
        <v>1348029.4984021496</v>
      </c>
      <c r="DE120" s="126"/>
      <c r="DF120" s="22">
        <v>915382.1660062474</v>
      </c>
    </row>
    <row r="121" spans="1:110" s="22" customFormat="1" x14ac:dyDescent="0.2">
      <c r="AA121" s="21"/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7.0000000000000007E-2</v>
      </c>
      <c r="D122" s="23">
        <f>'Annual Raw'!E45</f>
        <v>0.06</v>
      </c>
      <c r="E122" s="23">
        <f>'Annual Raw'!F45</f>
        <v>0.16</v>
      </c>
      <c r="F122" s="23">
        <f>'Annual Raw'!G45</f>
        <v>0.05</v>
      </c>
      <c r="G122" s="23">
        <f>'Annual Raw'!H45</f>
        <v>457.25</v>
      </c>
      <c r="H122" s="23">
        <f>'Annual Raw'!I45</f>
        <v>3422.01</v>
      </c>
      <c r="I122" s="23">
        <f>'Annual Raw'!J45</f>
        <v>4088.58</v>
      </c>
      <c r="J122" s="23">
        <f>'Annual Raw'!K45</f>
        <v>138.9</v>
      </c>
      <c r="K122" s="23">
        <f>'Annual Raw'!L45</f>
        <v>573.53</v>
      </c>
      <c r="L122" s="23">
        <f>'Annual Raw'!M45</f>
        <v>802</v>
      </c>
      <c r="M122" s="23">
        <f>'Annual Raw'!N45</f>
        <v>799</v>
      </c>
      <c r="N122" s="23">
        <f>'Annual Raw'!O45</f>
        <v>949</v>
      </c>
      <c r="O122" s="23">
        <f>'Annual Raw'!P45</f>
        <v>959</v>
      </c>
      <c r="P122" s="23">
        <f>'Annual Raw'!Q45</f>
        <v>3038</v>
      </c>
      <c r="Q122" s="23">
        <f>'Annual Raw'!R45</f>
        <v>3356</v>
      </c>
      <c r="R122" s="23">
        <f>'Annual Raw'!S45</f>
        <v>2917</v>
      </c>
      <c r="S122" s="23">
        <f>'Annual Raw'!T45</f>
        <v>3539</v>
      </c>
      <c r="T122" s="23">
        <f>'Annual Raw'!U45</f>
        <v>8280</v>
      </c>
      <c r="U122" s="23">
        <f>'Annual Raw'!V45</f>
        <v>12181</v>
      </c>
      <c r="V122" s="23">
        <f>'Annual Raw'!W45</f>
        <v>99260</v>
      </c>
      <c r="W122" s="23">
        <f>'Annual Raw'!X45</f>
        <v>109499</v>
      </c>
      <c r="X122" s="23">
        <f>'Annual Raw'!Y45</f>
        <v>113009</v>
      </c>
      <c r="Y122" s="23">
        <f>'Annual Raw'!Z45</f>
        <v>132307</v>
      </c>
      <c r="Z122" s="23">
        <f>'Annual Raw'!AA45</f>
        <v>166426</v>
      </c>
      <c r="AA122" s="24">
        <f>+CL122</f>
        <v>181836</v>
      </c>
      <c r="AB122" s="24">
        <f>+CP122</f>
        <v>181836</v>
      </c>
      <c r="AC122" s="24">
        <f>+CT122</f>
        <v>181836</v>
      </c>
      <c r="AD122" s="24">
        <f>+CX122</f>
        <v>181836</v>
      </c>
      <c r="AE122" s="24">
        <f>+DB122</f>
        <v>181836</v>
      </c>
      <c r="AJ122" s="23">
        <f>+'QTR Raw'!D60</f>
        <v>0</v>
      </c>
      <c r="AK122" s="23">
        <f t="shared" ref="AK122:CE122" si="1074">+AJ122</f>
        <v>0</v>
      </c>
      <c r="AL122" s="23">
        <f>+'QTR Raw'!F60</f>
        <v>949</v>
      </c>
      <c r="AM122" s="23">
        <f t="shared" si="1074"/>
        <v>949</v>
      </c>
      <c r="AN122" s="23">
        <f>+'QTR Raw'!H60</f>
        <v>0</v>
      </c>
      <c r="AO122" s="23">
        <f t="shared" si="1074"/>
        <v>0</v>
      </c>
      <c r="AP122" s="23">
        <f>+'QTR Raw'!J60</f>
        <v>959</v>
      </c>
      <c r="AQ122" s="23">
        <f t="shared" si="1074"/>
        <v>959</v>
      </c>
      <c r="AR122" s="23">
        <f>+'QTR Raw'!L60</f>
        <v>2990</v>
      </c>
      <c r="AS122" s="23">
        <f t="shared" si="1074"/>
        <v>2990</v>
      </c>
      <c r="AT122" s="23">
        <f>+'QTR Raw'!N60</f>
        <v>3038</v>
      </c>
      <c r="AU122" s="23">
        <f t="shared" si="1074"/>
        <v>3038</v>
      </c>
      <c r="AV122" s="23">
        <f>+'QTR Raw'!P60</f>
        <v>3059</v>
      </c>
      <c r="AW122" s="23">
        <f t="shared" si="1074"/>
        <v>3059</v>
      </c>
      <c r="AX122" s="23">
        <f>+'QTR Raw'!R60</f>
        <v>3356</v>
      </c>
      <c r="AY122" s="23">
        <f t="shared" si="1074"/>
        <v>3356</v>
      </c>
      <c r="AZ122" s="23">
        <f>+'QTR Raw'!T60</f>
        <v>3004</v>
      </c>
      <c r="BA122" s="23">
        <f t="shared" si="1074"/>
        <v>3004</v>
      </c>
      <c r="BB122" s="23">
        <f>+'QTR Raw'!V60</f>
        <v>2917</v>
      </c>
      <c r="BC122" s="23">
        <f t="shared" si="1074"/>
        <v>2917</v>
      </c>
      <c r="BD122" s="23">
        <f>+'QTR Raw'!X60</f>
        <v>2723</v>
      </c>
      <c r="BE122" s="23">
        <f t="shared" si="1074"/>
        <v>2723</v>
      </c>
      <c r="BF122" s="23">
        <f>+'QTR Raw'!Z60</f>
        <v>3539</v>
      </c>
      <c r="BG122" s="23">
        <f t="shared" si="1074"/>
        <v>3539</v>
      </c>
      <c r="BH122" s="22">
        <f>+'QTR Raw'!AB60</f>
        <v>5886</v>
      </c>
      <c r="BI122" s="23">
        <f t="shared" si="1074"/>
        <v>5886</v>
      </c>
      <c r="BJ122" s="23">
        <f>+'QTR Raw'!AD60</f>
        <v>8280</v>
      </c>
      <c r="BK122" s="23">
        <f t="shared" si="1074"/>
        <v>8280</v>
      </c>
      <c r="BL122" s="23">
        <f>+'QTR Raw'!AF60</f>
        <v>8459</v>
      </c>
      <c r="BM122" s="23">
        <f t="shared" si="1074"/>
        <v>8459</v>
      </c>
      <c r="BN122" s="23">
        <f>+'QTR Raw'!AH60</f>
        <v>12181</v>
      </c>
      <c r="BO122" s="23">
        <f t="shared" si="1074"/>
        <v>12181</v>
      </c>
      <c r="BP122" s="23">
        <f>+'QTR Raw'!AJ60</f>
        <v>50005</v>
      </c>
      <c r="BQ122" s="23">
        <f t="shared" si="1074"/>
        <v>50005</v>
      </c>
      <c r="BR122" s="23">
        <f>+'QTR Raw'!AL60</f>
        <v>99260</v>
      </c>
      <c r="BS122" s="23">
        <f t="shared" si="1074"/>
        <v>99260</v>
      </c>
      <c r="BT122" s="23">
        <f>+'QTR Raw'!AN60</f>
        <v>103803</v>
      </c>
      <c r="BU122" s="23">
        <f t="shared" si="1074"/>
        <v>103803</v>
      </c>
      <c r="BV122" s="23">
        <f>+'QTR Raw'!AP60</f>
        <v>109499</v>
      </c>
      <c r="BW122" s="23">
        <f t="shared" si="1074"/>
        <v>109499</v>
      </c>
      <c r="BX122" s="23">
        <f>+'QTR Raw'!AR60</f>
        <v>112716</v>
      </c>
      <c r="BY122" s="23">
        <f t="shared" si="1074"/>
        <v>112716</v>
      </c>
      <c r="BZ122" s="23">
        <f>+'QTR Raw'!AT60</f>
        <v>113009</v>
      </c>
      <c r="CA122" s="23">
        <f t="shared" si="1074"/>
        <v>113009</v>
      </c>
      <c r="CB122" s="23">
        <f>+'QTR Raw'!AV60</f>
        <v>126053</v>
      </c>
      <c r="CC122" s="23">
        <f t="shared" si="1074"/>
        <v>126053</v>
      </c>
      <c r="CD122" s="23">
        <f>+'QTR Raw'!AX60</f>
        <v>132307</v>
      </c>
      <c r="CE122" s="23">
        <f t="shared" si="1074"/>
        <v>132307</v>
      </c>
      <c r="CF122" s="23">
        <f>+'QTR Raw'!AZ60</f>
        <v>134871</v>
      </c>
      <c r="CG122" s="23">
        <f t="shared" ref="CG122:CI122" si="1075">+CF122</f>
        <v>134871</v>
      </c>
      <c r="CH122" s="23">
        <f t="shared" ref="CH122:CH127" si="1076">Z122</f>
        <v>166426</v>
      </c>
      <c r="CI122" s="23">
        <f t="shared" si="1075"/>
        <v>166426</v>
      </c>
      <c r="CJ122" s="23">
        <f>+'QTR Raw'!BD60</f>
        <v>173447</v>
      </c>
      <c r="CK122" s="23">
        <f t="shared" ref="CK122" si="1077">+CJ122</f>
        <v>173447</v>
      </c>
      <c r="CL122" s="23">
        <f>+'QTR Raw'!BF60</f>
        <v>181836</v>
      </c>
      <c r="CM122" s="24">
        <f t="shared" ref="CM122" si="1078">+CL122</f>
        <v>181836</v>
      </c>
      <c r="CN122" s="24">
        <f t="shared" ref="CN122" si="1079">+CM122</f>
        <v>181836</v>
      </c>
      <c r="CO122" s="24">
        <f t="shared" ref="CO122" si="1080">+CN122</f>
        <v>181836</v>
      </c>
      <c r="CP122" s="24">
        <f t="shared" ref="CP122" si="1081">+CO122</f>
        <v>181836</v>
      </c>
      <c r="CQ122" s="24">
        <f t="shared" ref="CQ122" si="1082">+CP122</f>
        <v>181836</v>
      </c>
      <c r="CR122" s="24">
        <f t="shared" ref="CR122" si="1083">+CQ122</f>
        <v>181836</v>
      </c>
      <c r="CS122" s="24">
        <f t="shared" ref="CS122" si="1084">+CR122</f>
        <v>181836</v>
      </c>
      <c r="CT122" s="24">
        <f t="shared" ref="CT122" si="1085">+CS122</f>
        <v>181836</v>
      </c>
      <c r="CU122" s="24">
        <f t="shared" ref="CU122" si="1086">+CT122</f>
        <v>181836</v>
      </c>
      <c r="CV122" s="24">
        <f t="shared" ref="CV122" si="1087">+CU122</f>
        <v>181836</v>
      </c>
      <c r="CW122" s="24">
        <f t="shared" ref="CW122" si="1088">+CV122</f>
        <v>181836</v>
      </c>
      <c r="CX122" s="24">
        <f t="shared" ref="CX122" si="1089">+CW122</f>
        <v>181836</v>
      </c>
      <c r="CY122" s="24">
        <f t="shared" ref="CY122" si="1090">+CX122</f>
        <v>181836</v>
      </c>
      <c r="CZ122" s="24">
        <f t="shared" ref="CZ122" si="1091">+CY122</f>
        <v>181836</v>
      </c>
      <c r="DA122" s="24">
        <f t="shared" ref="DA122" si="1092">+CZ122</f>
        <v>181836</v>
      </c>
      <c r="DB122" s="24">
        <f t="shared" ref="DB122" si="1093">+DA122</f>
        <v>181836</v>
      </c>
      <c r="DE122" s="123"/>
      <c r="DF122" s="23">
        <v>173447</v>
      </c>
    </row>
    <row r="123" spans="1:110" s="23" customFormat="1" x14ac:dyDescent="0.2">
      <c r="AA123" s="24"/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4068.4</v>
      </c>
      <c r="C124" s="23">
        <f>'Annual Raw'!D47</f>
        <v>14209.75</v>
      </c>
      <c r="D124" s="23">
        <f>'Annual Raw'!E47</f>
        <v>11801.04</v>
      </c>
      <c r="E124" s="23">
        <f>'Annual Raw'!F47</f>
        <v>11479.18</v>
      </c>
      <c r="F124" s="23">
        <f>'Annual Raw'!G47</f>
        <v>8005.4</v>
      </c>
      <c r="G124" s="23">
        <f>'Annual Raw'!H47</f>
        <v>7664.9</v>
      </c>
      <c r="H124" s="23">
        <f>'Annual Raw'!I47</f>
        <v>15046.76</v>
      </c>
      <c r="I124" s="23">
        <f>'Annual Raw'!J47</f>
        <v>19576.52</v>
      </c>
      <c r="J124" s="23">
        <f>'Annual Raw'!K47</f>
        <v>10747.73</v>
      </c>
      <c r="K124" s="23">
        <f>'Annual Raw'!L47</f>
        <v>11694.4</v>
      </c>
      <c r="L124" s="23">
        <f>'Annual Raw'!M47</f>
        <v>9398</v>
      </c>
      <c r="M124" s="23">
        <f>'Annual Raw'!N47</f>
        <v>6067</v>
      </c>
      <c r="N124" s="23">
        <f>'Annual Raw'!O47</f>
        <v>1881</v>
      </c>
      <c r="O124" s="23">
        <f>'Annual Raw'!P47</f>
        <v>4593</v>
      </c>
      <c r="P124" s="23">
        <f>'Annual Raw'!Q47</f>
        <v>7475</v>
      </c>
      <c r="Q124" s="23">
        <f>'Annual Raw'!R47</f>
        <v>10845</v>
      </c>
      <c r="R124" s="23">
        <f>'Annual Raw'!S47</f>
        <v>18897</v>
      </c>
      <c r="S124" s="23">
        <f>'Annual Raw'!T47</f>
        <v>14565</v>
      </c>
      <c r="T124" s="23">
        <f>'Annual Raw'!U47</f>
        <v>20082</v>
      </c>
      <c r="U124" s="23">
        <f>'Annual Raw'!V47</f>
        <v>16224</v>
      </c>
      <c r="V124" s="23">
        <f>'Annual Raw'!W47</f>
        <v>10270</v>
      </c>
      <c r="W124" s="23">
        <f>'Annual Raw'!X47</f>
        <v>8788</v>
      </c>
      <c r="X124" s="23">
        <f>'Annual Raw'!Y47</f>
        <v>3705</v>
      </c>
      <c r="Y124" s="23">
        <f>'Annual Raw'!Z47</f>
        <v>22372</v>
      </c>
      <c r="Z124" s="23">
        <f>'Annual Raw'!AA47</f>
        <v>21504</v>
      </c>
      <c r="AA124" s="24">
        <f t="shared" ref="AA124:AA127" si="1094">+CL124</f>
        <v>0</v>
      </c>
      <c r="AB124" s="24">
        <f t="shared" ref="AB124:AB127" si="1095">+CP124</f>
        <v>0</v>
      </c>
      <c r="AC124" s="24">
        <f t="shared" ref="AC124:AC127" si="1096">+CT124</f>
        <v>0</v>
      </c>
      <c r="AD124" s="24">
        <f t="shared" ref="AD124:AD127" si="1097">+CX124</f>
        <v>0</v>
      </c>
      <c r="AE124" s="24">
        <f t="shared" ref="AE124:AE127" si="1098">+DB124</f>
        <v>0</v>
      </c>
      <c r="AJ124" s="23">
        <f>+'QTR Raw'!D62</f>
        <v>0</v>
      </c>
      <c r="AK124" s="23">
        <f t="shared" ref="AK124:CC127" si="1099">+AJ124</f>
        <v>0</v>
      </c>
      <c r="AL124" s="23">
        <f>+'QTR Raw'!F62</f>
        <v>0</v>
      </c>
      <c r="AM124" s="23">
        <f t="shared" si="1099"/>
        <v>0</v>
      </c>
      <c r="AN124" s="23">
        <f>+'QTR Raw'!H62</f>
        <v>0</v>
      </c>
      <c r="AO124" s="23">
        <f t="shared" si="1099"/>
        <v>0</v>
      </c>
      <c r="AP124" s="23">
        <f>+'QTR Raw'!J62</f>
        <v>0</v>
      </c>
      <c r="AQ124" s="23">
        <f t="shared" si="1099"/>
        <v>0</v>
      </c>
      <c r="AR124" s="23">
        <f>+'QTR Raw'!L62</f>
        <v>0</v>
      </c>
      <c r="AS124" s="23">
        <f t="shared" si="1099"/>
        <v>0</v>
      </c>
      <c r="AT124" s="23">
        <f>+'QTR Raw'!N62</f>
        <v>0</v>
      </c>
      <c r="AU124" s="23">
        <f t="shared" si="1099"/>
        <v>0</v>
      </c>
      <c r="AV124" s="23">
        <f>+'QTR Raw'!P62</f>
        <v>0</v>
      </c>
      <c r="AW124" s="23">
        <f t="shared" si="1099"/>
        <v>0</v>
      </c>
      <c r="AX124" s="23">
        <f>+'QTR Raw'!R62</f>
        <v>0</v>
      </c>
      <c r="AY124" s="23">
        <f t="shared" si="1099"/>
        <v>0</v>
      </c>
      <c r="AZ124" s="23">
        <f>+'QTR Raw'!T62</f>
        <v>0</v>
      </c>
      <c r="BA124" s="23">
        <f t="shared" si="1099"/>
        <v>0</v>
      </c>
      <c r="BB124" s="23">
        <f>+'QTR Raw'!V62</f>
        <v>0</v>
      </c>
      <c r="BC124" s="23">
        <f t="shared" si="1099"/>
        <v>0</v>
      </c>
      <c r="BD124" s="23">
        <f>+'QTR Raw'!X62</f>
        <v>0</v>
      </c>
      <c r="BE124" s="23">
        <f t="shared" si="1099"/>
        <v>0</v>
      </c>
      <c r="BF124" s="23">
        <f>+'QTR Raw'!Z62</f>
        <v>0</v>
      </c>
      <c r="BG124" s="23">
        <f t="shared" si="1099"/>
        <v>0</v>
      </c>
      <c r="BH124" s="22">
        <f>+'QTR Raw'!AB62</f>
        <v>0</v>
      </c>
      <c r="BI124" s="23">
        <f t="shared" si="1099"/>
        <v>0</v>
      </c>
      <c r="BJ124" s="23">
        <f>+'QTR Raw'!AD62</f>
        <v>0</v>
      </c>
      <c r="BK124" s="23">
        <f t="shared" si="1099"/>
        <v>0</v>
      </c>
      <c r="BL124" s="23">
        <f>+'QTR Raw'!AF62</f>
        <v>0</v>
      </c>
      <c r="BM124" s="23">
        <f t="shared" si="1099"/>
        <v>0</v>
      </c>
      <c r="BN124" s="23">
        <f>+'QTR Raw'!AH62</f>
        <v>0</v>
      </c>
      <c r="BO124" s="23">
        <f t="shared" si="1099"/>
        <v>0</v>
      </c>
      <c r="BP124" s="23">
        <f>+'QTR Raw'!AJ62</f>
        <v>0</v>
      </c>
      <c r="BQ124" s="23">
        <f t="shared" si="1099"/>
        <v>0</v>
      </c>
      <c r="BR124" s="23">
        <f>+'QTR Raw'!AL62</f>
        <v>0</v>
      </c>
      <c r="BS124" s="23">
        <f t="shared" si="1099"/>
        <v>0</v>
      </c>
      <c r="BT124" s="23">
        <f>+'QTR Raw'!AN62</f>
        <v>0</v>
      </c>
      <c r="BU124" s="23">
        <f t="shared" si="1099"/>
        <v>0</v>
      </c>
      <c r="BV124" s="23">
        <f>+'QTR Raw'!AP62</f>
        <v>0</v>
      </c>
      <c r="BW124" s="23">
        <f t="shared" si="1099"/>
        <v>0</v>
      </c>
      <c r="BX124" s="23">
        <f>+'QTR Raw'!AR62</f>
        <v>0</v>
      </c>
      <c r="BY124" s="23">
        <f t="shared" si="1099"/>
        <v>0</v>
      </c>
      <c r="BZ124" s="23">
        <f>+'QTR Raw'!AT62</f>
        <v>0</v>
      </c>
      <c r="CA124" s="23">
        <f t="shared" si="1099"/>
        <v>0</v>
      </c>
      <c r="CB124" s="23">
        <f>+'QTR Raw'!AV62</f>
        <v>0</v>
      </c>
      <c r="CC124" s="23">
        <f t="shared" si="1099"/>
        <v>0</v>
      </c>
      <c r="CD124" s="23">
        <f>+'QTR Raw'!AX62</f>
        <v>0</v>
      </c>
      <c r="CE124" s="23">
        <f t="shared" ref="CE124:CE127" si="1100">+CD124</f>
        <v>0</v>
      </c>
      <c r="CF124" s="23">
        <f>+'QTR Raw'!AZ62</f>
        <v>0</v>
      </c>
      <c r="CG124" s="23">
        <f t="shared" ref="CG124:CI127" si="1101">+CF124</f>
        <v>0</v>
      </c>
      <c r="CH124" s="23">
        <f t="shared" si="1076"/>
        <v>21504</v>
      </c>
      <c r="CI124" s="23">
        <f t="shared" si="1101"/>
        <v>21504</v>
      </c>
      <c r="CJ124" s="23">
        <f>+'QTR Raw'!BD62</f>
        <v>0</v>
      </c>
      <c r="CK124" s="23">
        <f t="shared" ref="CK124:CK127" si="1102">+CJ124</f>
        <v>0</v>
      </c>
      <c r="CL124" s="23">
        <f>+'QTR Raw'!BF62</f>
        <v>0</v>
      </c>
      <c r="CM124" s="24">
        <f t="shared" ref="CM124:CM127" si="1103">+CL124</f>
        <v>0</v>
      </c>
      <c r="CN124" s="24">
        <f t="shared" ref="CN124:CN127" si="1104">+CM124</f>
        <v>0</v>
      </c>
      <c r="CO124" s="24">
        <f t="shared" ref="CO124:CO127" si="1105">+CN124</f>
        <v>0</v>
      </c>
      <c r="CP124" s="24">
        <f t="shared" ref="CP124:CP127" si="1106">+CO124</f>
        <v>0</v>
      </c>
      <c r="CQ124" s="24">
        <f t="shared" ref="CQ124:CQ127" si="1107">+CP124</f>
        <v>0</v>
      </c>
      <c r="CR124" s="24">
        <f t="shared" ref="CR124:CR127" si="1108">+CQ124</f>
        <v>0</v>
      </c>
      <c r="CS124" s="24">
        <f t="shared" ref="CS124:CS127" si="1109">+CR124</f>
        <v>0</v>
      </c>
      <c r="CT124" s="24">
        <f t="shared" ref="CT124:CT127" si="1110">+CS124</f>
        <v>0</v>
      </c>
      <c r="CU124" s="24">
        <f t="shared" ref="CU124:CU127" si="1111">+CT124</f>
        <v>0</v>
      </c>
      <c r="CV124" s="24">
        <f t="shared" ref="CV124:CV127" si="1112">+CU124</f>
        <v>0</v>
      </c>
      <c r="CW124" s="24">
        <f t="shared" ref="CW124:CW127" si="1113">+CV124</f>
        <v>0</v>
      </c>
      <c r="CX124" s="24">
        <f t="shared" ref="CX124:CX127" si="1114">+CW124</f>
        <v>0</v>
      </c>
      <c r="CY124" s="24">
        <f t="shared" ref="CY124:CY127" si="1115">+CX124</f>
        <v>0</v>
      </c>
      <c r="CZ124" s="24">
        <f t="shared" ref="CZ124:CZ127" si="1116">+CY124</f>
        <v>0</v>
      </c>
      <c r="DA124" s="24">
        <f t="shared" ref="DA124:DA127" si="1117">+CZ124</f>
        <v>0</v>
      </c>
      <c r="DB124" s="24">
        <f t="shared" ref="DB124:DB127" si="1118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6067.39</v>
      </c>
      <c r="C125" s="23">
        <f>'Annual Raw'!D48</f>
        <v>4739.59</v>
      </c>
      <c r="D125" s="23">
        <f>'Annual Raw'!E48</f>
        <v>7981.45</v>
      </c>
      <c r="E125" s="23">
        <f>'Annual Raw'!F48</f>
        <v>9537.59</v>
      </c>
      <c r="F125" s="23">
        <f>'Annual Raw'!G48</f>
        <v>10811.69</v>
      </c>
      <c r="G125" s="23">
        <f>'Annual Raw'!H48</f>
        <v>15677.9</v>
      </c>
      <c r="H125" s="23">
        <f>'Annual Raw'!I48</f>
        <v>18604.72</v>
      </c>
      <c r="I125" s="23">
        <f>'Annual Raw'!J48</f>
        <v>31119.57</v>
      </c>
      <c r="J125" s="23">
        <f>'Annual Raw'!K48</f>
        <v>65508.87</v>
      </c>
      <c r="K125" s="23">
        <f>'Annual Raw'!L48</f>
        <v>52911.12</v>
      </c>
      <c r="L125" s="23">
        <f>'Annual Raw'!M48</f>
        <v>56838</v>
      </c>
      <c r="M125" s="23">
        <f>'Annual Raw'!N48</f>
        <v>59285</v>
      </c>
      <c r="N125" s="23">
        <f>'Annual Raw'!O48</f>
        <v>69079</v>
      </c>
      <c r="O125" s="23">
        <f>'Annual Raw'!P48</f>
        <v>96423</v>
      </c>
      <c r="P125" s="23">
        <f>'Annual Raw'!Q48</f>
        <v>113302</v>
      </c>
      <c r="Q125" s="23">
        <f>'Annual Raw'!R48</f>
        <v>130802</v>
      </c>
      <c r="R125" s="23">
        <f>'Annual Raw'!S48</f>
        <v>133251</v>
      </c>
      <c r="S125" s="23">
        <f>'Annual Raw'!T48</f>
        <v>129610</v>
      </c>
      <c r="T125" s="23">
        <f>'Annual Raw'!U48</f>
        <v>187424</v>
      </c>
      <c r="U125" s="23">
        <f>'Annual Raw'!V48</f>
        <v>181407</v>
      </c>
      <c r="V125" s="23">
        <f>'Annual Raw'!W48</f>
        <v>153413</v>
      </c>
      <c r="W125" s="23">
        <f>'Annual Raw'!X48</f>
        <v>178911</v>
      </c>
      <c r="X125" s="23">
        <f>'Annual Raw'!Y48</f>
        <v>179471</v>
      </c>
      <c r="Y125" s="23">
        <f>'Annual Raw'!Z48</f>
        <v>200340</v>
      </c>
      <c r="Z125" s="23">
        <f>'Annual Raw'!AA48</f>
        <v>215395</v>
      </c>
      <c r="AA125" s="24">
        <f t="shared" si="1094"/>
        <v>270751</v>
      </c>
      <c r="AB125" s="24">
        <f t="shared" si="1095"/>
        <v>270751</v>
      </c>
      <c r="AC125" s="24">
        <f t="shared" si="1096"/>
        <v>270751</v>
      </c>
      <c r="AD125" s="24">
        <f t="shared" si="1097"/>
        <v>270751</v>
      </c>
      <c r="AE125" s="24">
        <f t="shared" si="1098"/>
        <v>270751</v>
      </c>
      <c r="AJ125" s="23">
        <f>+'QTR Raw'!D63</f>
        <v>44682</v>
      </c>
      <c r="AK125" s="23">
        <f t="shared" si="1099"/>
        <v>44682</v>
      </c>
      <c r="AL125" s="23">
        <f>+'QTR Raw'!F63</f>
        <v>70960</v>
      </c>
      <c r="AM125" s="23">
        <f t="shared" si="1099"/>
        <v>70960</v>
      </c>
      <c r="AN125" s="23">
        <f>+'QTR Raw'!H63</f>
        <v>52690</v>
      </c>
      <c r="AO125" s="23">
        <f t="shared" si="1099"/>
        <v>52690</v>
      </c>
      <c r="AP125" s="23">
        <f>+'QTR Raw'!J63</f>
        <v>101019</v>
      </c>
      <c r="AQ125" s="23">
        <f t="shared" si="1099"/>
        <v>101019</v>
      </c>
      <c r="AR125" s="23">
        <f>+'QTR Raw'!L63</f>
        <v>113398</v>
      </c>
      <c r="AS125" s="23">
        <f t="shared" si="1099"/>
        <v>113398</v>
      </c>
      <c r="AT125" s="23">
        <f>+'QTR Raw'!N63</f>
        <v>128165</v>
      </c>
      <c r="AU125" s="23">
        <f t="shared" si="1099"/>
        <v>128165</v>
      </c>
      <c r="AV125" s="23">
        <f>+'QTR Raw'!P63</f>
        <v>140899</v>
      </c>
      <c r="AW125" s="23">
        <f t="shared" si="1099"/>
        <v>140899</v>
      </c>
      <c r="AX125" s="23">
        <f>+'QTR Raw'!R63</f>
        <v>141647</v>
      </c>
      <c r="AY125" s="23">
        <f t="shared" si="1099"/>
        <v>141647</v>
      </c>
      <c r="AZ125" s="23">
        <f>+'QTR Raw'!T63</f>
        <v>154548</v>
      </c>
      <c r="BA125" s="23">
        <f t="shared" si="1099"/>
        <v>154548</v>
      </c>
      <c r="BB125" s="23">
        <f>+'QTR Raw'!V63</f>
        <v>152148</v>
      </c>
      <c r="BC125" s="23">
        <f t="shared" si="1099"/>
        <v>152148</v>
      </c>
      <c r="BD125" s="23">
        <f>+'QTR Raw'!X63</f>
        <v>141348</v>
      </c>
      <c r="BE125" s="23">
        <f t="shared" si="1099"/>
        <v>141348</v>
      </c>
      <c r="BF125" s="23">
        <f>+'QTR Raw'!Z63</f>
        <v>144175</v>
      </c>
      <c r="BG125" s="23">
        <f t="shared" si="1099"/>
        <v>144175</v>
      </c>
      <c r="BH125" s="23">
        <f>+'QTR Raw'!AB63</f>
        <v>182715</v>
      </c>
      <c r="BI125" s="23">
        <f t="shared" si="1099"/>
        <v>182715</v>
      </c>
      <c r="BJ125" s="23">
        <f>+'QTR Raw'!AD63</f>
        <v>207506</v>
      </c>
      <c r="BK125" s="23">
        <f t="shared" si="1099"/>
        <v>207506</v>
      </c>
      <c r="BL125" s="23">
        <f>+'QTR Raw'!AF63</f>
        <v>186948</v>
      </c>
      <c r="BM125" s="23">
        <f t="shared" si="1099"/>
        <v>186948</v>
      </c>
      <c r="BN125" s="23">
        <f>+'QTR Raw'!AH63</f>
        <v>197631</v>
      </c>
      <c r="BO125" s="23">
        <f t="shared" si="1099"/>
        <v>197631</v>
      </c>
      <c r="BP125" s="23">
        <f>+'QTR Raw'!AJ63</f>
        <v>170913</v>
      </c>
      <c r="BQ125" s="23">
        <f t="shared" si="1099"/>
        <v>170913</v>
      </c>
      <c r="BR125" s="23">
        <f>+'QTR Raw'!AL63</f>
        <v>163683</v>
      </c>
      <c r="BS125" s="23">
        <f t="shared" si="1099"/>
        <v>163683</v>
      </c>
      <c r="BT125" s="23">
        <f>+'QTR Raw'!AN63</f>
        <v>155654</v>
      </c>
      <c r="BU125" s="23">
        <f t="shared" si="1099"/>
        <v>155654</v>
      </c>
      <c r="BV125" s="23">
        <f>+'QTR Raw'!AP63</f>
        <v>187699</v>
      </c>
      <c r="BW125" s="23">
        <f t="shared" si="1099"/>
        <v>187699</v>
      </c>
      <c r="BX125" s="23">
        <f>+'QTR Raw'!AR63</f>
        <v>178394</v>
      </c>
      <c r="BY125" s="23">
        <f t="shared" si="1099"/>
        <v>178394</v>
      </c>
      <c r="BZ125" s="23">
        <f>+'QTR Raw'!AT63</f>
        <v>183176</v>
      </c>
      <c r="CA125" s="23">
        <f t="shared" si="1099"/>
        <v>183176</v>
      </c>
      <c r="CB125" s="23">
        <f>+'QTR Raw'!AV63</f>
        <v>224018</v>
      </c>
      <c r="CC125" s="23">
        <f t="shared" si="1099"/>
        <v>224018</v>
      </c>
      <c r="CD125" s="23">
        <f>+'QTR Raw'!AX63</f>
        <v>222712</v>
      </c>
      <c r="CE125" s="23">
        <f t="shared" si="1100"/>
        <v>222712</v>
      </c>
      <c r="CF125" s="23">
        <f>+'QTR Raw'!AZ63</f>
        <v>203928</v>
      </c>
      <c r="CG125" s="23">
        <f t="shared" si="1101"/>
        <v>203928</v>
      </c>
      <c r="CH125" s="23">
        <f t="shared" si="1076"/>
        <v>215395</v>
      </c>
      <c r="CI125" s="23">
        <f t="shared" si="1101"/>
        <v>215395</v>
      </c>
      <c r="CJ125" s="23">
        <f>+'QTR Raw'!BD63</f>
        <v>259457</v>
      </c>
      <c r="CK125" s="23">
        <f t="shared" si="1102"/>
        <v>259457</v>
      </c>
      <c r="CL125" s="23">
        <f>+'QTR Raw'!BF63</f>
        <v>270751</v>
      </c>
      <c r="CM125" s="24">
        <f t="shared" si="1103"/>
        <v>270751</v>
      </c>
      <c r="CN125" s="24">
        <f t="shared" si="1104"/>
        <v>270751</v>
      </c>
      <c r="CO125" s="24">
        <f t="shared" si="1105"/>
        <v>270751</v>
      </c>
      <c r="CP125" s="24">
        <f t="shared" si="1106"/>
        <v>270751</v>
      </c>
      <c r="CQ125" s="24">
        <f t="shared" si="1107"/>
        <v>270751</v>
      </c>
      <c r="CR125" s="24">
        <f t="shared" si="1108"/>
        <v>270751</v>
      </c>
      <c r="CS125" s="24">
        <f t="shared" si="1109"/>
        <v>270751</v>
      </c>
      <c r="CT125" s="24">
        <f t="shared" si="1110"/>
        <v>270751</v>
      </c>
      <c r="CU125" s="24">
        <f t="shared" si="1111"/>
        <v>270751</v>
      </c>
      <c r="CV125" s="24">
        <f t="shared" si="1112"/>
        <v>270751</v>
      </c>
      <c r="CW125" s="24">
        <f t="shared" si="1113"/>
        <v>270751</v>
      </c>
      <c r="CX125" s="24">
        <f t="shared" si="1114"/>
        <v>270751</v>
      </c>
      <c r="CY125" s="24">
        <f t="shared" si="1115"/>
        <v>270751</v>
      </c>
      <c r="CZ125" s="24">
        <f t="shared" si="1116"/>
        <v>270751</v>
      </c>
      <c r="DA125" s="24">
        <f t="shared" si="1117"/>
        <v>270751</v>
      </c>
      <c r="DB125" s="24">
        <f t="shared" si="1118"/>
        <v>270751</v>
      </c>
      <c r="DE125" s="123"/>
      <c r="DF125" s="23">
        <v>259457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4164</v>
      </c>
      <c r="M126" s="23">
        <f>'Annual Raw'!N87+'Annual Raw'!N88+'Annual Raw'!N89+'Annual Raw'!N90</f>
        <v>9812</v>
      </c>
      <c r="N126" s="23">
        <f>'Annual Raw'!O87+'Annual Raw'!O88+'Annual Raw'!O89+'Annual Raw'!O90</f>
        <v>17897</v>
      </c>
      <c r="O126" s="23">
        <f>'Annual Raw'!P87+'Annual Raw'!P88+'Annual Raw'!P89+'Annual Raw'!P90</f>
        <v>4950</v>
      </c>
      <c r="P126" s="23">
        <f>'Annual Raw'!Q87+'Annual Raw'!Q88+'Annual Raw'!Q89+'Annual Raw'!Q90</f>
        <v>12121</v>
      </c>
      <c r="Q126" s="23">
        <f>'Annual Raw'!R87+'Annual Raw'!R88+'Annual Raw'!R89+'Annual Raw'!R90</f>
        <v>16212</v>
      </c>
      <c r="R126" s="23">
        <f>'Annual Raw'!S87+'Annual Raw'!S88+'Annual Raw'!S89+'Annual Raw'!S90</f>
        <v>13662</v>
      </c>
      <c r="S126" s="23">
        <f>'Annual Raw'!T87+'Annual Raw'!T88+'Annual Raw'!T89+'Annual Raw'!T90</f>
        <v>38029</v>
      </c>
      <c r="T126" s="23">
        <f>'Annual Raw'!U87+'Annual Raw'!U88+'Annual Raw'!U89+'Annual Raw'!U90</f>
        <v>16933</v>
      </c>
      <c r="U126" s="23">
        <f>'Annual Raw'!V87+'Annual Raw'!V88+'Annual Raw'!V89+'Annual Raw'!V90</f>
        <v>44877</v>
      </c>
      <c r="V126" s="23">
        <f>'Annual Raw'!W87+'Annual Raw'!W88+'Annual Raw'!W89+'Annual Raw'!W90</f>
        <v>28047</v>
      </c>
      <c r="W126" s="23">
        <f>'Annual Raw'!X87+'Annual Raw'!X88+'Annual Raw'!X89+'Annual Raw'!X90</f>
        <v>27020</v>
      </c>
      <c r="X126" s="23">
        <f>'Annual Raw'!Y87+'Annual Raw'!Y88+'Annual Raw'!Y89+'Annual Raw'!Y90</f>
        <v>48532</v>
      </c>
      <c r="Y126" s="23">
        <f>'Annual Raw'!Z87+'Annual Raw'!Z88+'Annual Raw'!Z89+'Annual Raw'!Z90</f>
        <v>45268</v>
      </c>
      <c r="Z126" s="23">
        <f>'Annual Raw'!AA87+'Annual Raw'!AA88+'Annual Raw'!AA89+'Annual Raw'!AA90</f>
        <v>29323</v>
      </c>
      <c r="AA126" s="24">
        <f t="shared" si="1094"/>
        <v>0</v>
      </c>
      <c r="AB126" s="24">
        <f t="shared" si="1095"/>
        <v>0</v>
      </c>
      <c r="AC126" s="24">
        <f t="shared" si="1096"/>
        <v>0</v>
      </c>
      <c r="AD126" s="24">
        <f t="shared" si="1097"/>
        <v>0</v>
      </c>
      <c r="AE126" s="24">
        <f t="shared" si="1098"/>
        <v>0</v>
      </c>
      <c r="AJ126" s="23">
        <f>+'QTR Raw'!D90</f>
        <v>0</v>
      </c>
      <c r="AK126" s="23">
        <f t="shared" si="1099"/>
        <v>0</v>
      </c>
      <c r="AL126" s="23">
        <f>+'QTR Raw'!F90</f>
        <v>0</v>
      </c>
      <c r="AM126" s="23">
        <f t="shared" si="1099"/>
        <v>0</v>
      </c>
      <c r="AN126" s="23">
        <f>+'QTR Raw'!H90</f>
        <v>0</v>
      </c>
      <c r="AO126" s="23">
        <f t="shared" si="1099"/>
        <v>0</v>
      </c>
      <c r="AP126" s="23">
        <f>+'QTR Raw'!J90</f>
        <v>0</v>
      </c>
      <c r="AQ126" s="23">
        <f t="shared" si="1099"/>
        <v>0</v>
      </c>
      <c r="AR126" s="23">
        <f>+'QTR Raw'!L90</f>
        <v>0</v>
      </c>
      <c r="AS126" s="23">
        <f t="shared" si="1099"/>
        <v>0</v>
      </c>
      <c r="AT126" s="23">
        <f>+'QTR Raw'!N90</f>
        <v>0</v>
      </c>
      <c r="AU126" s="23">
        <f t="shared" si="1099"/>
        <v>0</v>
      </c>
      <c r="AV126" s="23">
        <f>+'QTR Raw'!P90</f>
        <v>0</v>
      </c>
      <c r="AW126" s="23">
        <f t="shared" si="1099"/>
        <v>0</v>
      </c>
      <c r="AX126" s="23">
        <f>+'QTR Raw'!R90</f>
        <v>0</v>
      </c>
      <c r="AY126" s="23">
        <f t="shared" si="1099"/>
        <v>0</v>
      </c>
      <c r="AZ126" s="23">
        <f>+'QTR Raw'!T90</f>
        <v>0</v>
      </c>
      <c r="BA126" s="23">
        <f t="shared" si="1099"/>
        <v>0</v>
      </c>
      <c r="BB126" s="23">
        <f>+'QTR Raw'!V90</f>
        <v>0</v>
      </c>
      <c r="BC126" s="23">
        <f t="shared" si="1099"/>
        <v>0</v>
      </c>
      <c r="BD126" s="23">
        <f>+'QTR Raw'!X90</f>
        <v>0</v>
      </c>
      <c r="BE126" s="23">
        <f t="shared" si="1099"/>
        <v>0</v>
      </c>
      <c r="BF126" s="23">
        <f>+'QTR Raw'!Z90</f>
        <v>0</v>
      </c>
      <c r="BG126" s="23">
        <f t="shared" si="1099"/>
        <v>0</v>
      </c>
      <c r="BH126" s="22">
        <f>+'QTR Raw'!AB90</f>
        <v>0</v>
      </c>
      <c r="BI126" s="23">
        <f t="shared" si="1099"/>
        <v>0</v>
      </c>
      <c r="BJ126" s="23">
        <f>+'QTR Raw'!AD90</f>
        <v>0</v>
      </c>
      <c r="BK126" s="23">
        <f t="shared" si="1099"/>
        <v>0</v>
      </c>
      <c r="BL126" s="23">
        <f>+'QTR Raw'!AF90</f>
        <v>0</v>
      </c>
      <c r="BM126" s="23">
        <f t="shared" si="1099"/>
        <v>0</v>
      </c>
      <c r="BN126" s="23">
        <f>+'QTR Raw'!AH90</f>
        <v>0</v>
      </c>
      <c r="BO126" s="23">
        <f t="shared" si="1099"/>
        <v>0</v>
      </c>
      <c r="BP126" s="23">
        <f>+'QTR Raw'!AJ90</f>
        <v>0</v>
      </c>
      <c r="BQ126" s="23">
        <f t="shared" si="1099"/>
        <v>0</v>
      </c>
      <c r="BR126" s="23">
        <f>+'QTR Raw'!AL90</f>
        <v>0</v>
      </c>
      <c r="BS126" s="23">
        <f t="shared" si="1099"/>
        <v>0</v>
      </c>
      <c r="BT126" s="23">
        <f>+'QTR Raw'!AN90</f>
        <v>0</v>
      </c>
      <c r="BU126" s="23">
        <f t="shared" si="1099"/>
        <v>0</v>
      </c>
      <c r="BV126" s="23">
        <f>+'QTR Raw'!AP90</f>
        <v>0</v>
      </c>
      <c r="BW126" s="23">
        <f t="shared" si="1099"/>
        <v>0</v>
      </c>
      <c r="BX126" s="23">
        <f>+'QTR Raw'!AR90</f>
        <v>0</v>
      </c>
      <c r="BY126" s="23">
        <f t="shared" si="1099"/>
        <v>0</v>
      </c>
      <c r="BZ126" s="23">
        <f>+'QTR Raw'!AT90</f>
        <v>0</v>
      </c>
      <c r="CA126" s="23">
        <f t="shared" si="1099"/>
        <v>0</v>
      </c>
      <c r="CB126" s="23">
        <f>+'QTR Raw'!AV90</f>
        <v>0</v>
      </c>
      <c r="CC126" s="23">
        <f t="shared" si="1099"/>
        <v>0</v>
      </c>
      <c r="CD126" s="23">
        <f>+'QTR Raw'!AX90</f>
        <v>0</v>
      </c>
      <c r="CE126" s="23">
        <f t="shared" si="1100"/>
        <v>0</v>
      </c>
      <c r="CF126" s="23">
        <f>+'QTR Raw'!AZ90</f>
        <v>0</v>
      </c>
      <c r="CG126" s="23">
        <f t="shared" si="1101"/>
        <v>0</v>
      </c>
      <c r="CH126" s="23">
        <f>+Z126</f>
        <v>29323</v>
      </c>
      <c r="CI126" s="23">
        <f t="shared" si="1101"/>
        <v>29323</v>
      </c>
      <c r="CJ126" s="23">
        <f>+'QTR Raw'!BD90</f>
        <v>0</v>
      </c>
      <c r="CK126" s="23">
        <f t="shared" si="1102"/>
        <v>0</v>
      </c>
      <c r="CL126" s="23">
        <f>+'QTR Raw'!BF90</f>
        <v>0</v>
      </c>
      <c r="CM126" s="24">
        <f t="shared" si="1103"/>
        <v>0</v>
      </c>
      <c r="CN126" s="24">
        <f t="shared" si="1104"/>
        <v>0</v>
      </c>
      <c r="CO126" s="24">
        <f t="shared" si="1105"/>
        <v>0</v>
      </c>
      <c r="CP126" s="24">
        <f t="shared" si="1106"/>
        <v>0</v>
      </c>
      <c r="CQ126" s="24">
        <f t="shared" si="1107"/>
        <v>0</v>
      </c>
      <c r="CR126" s="24">
        <f t="shared" si="1108"/>
        <v>0</v>
      </c>
      <c r="CS126" s="24">
        <f t="shared" si="1109"/>
        <v>0</v>
      </c>
      <c r="CT126" s="24">
        <f t="shared" si="1110"/>
        <v>0</v>
      </c>
      <c r="CU126" s="24">
        <f t="shared" si="1111"/>
        <v>0</v>
      </c>
      <c r="CV126" s="24">
        <f t="shared" si="1112"/>
        <v>0</v>
      </c>
      <c r="CW126" s="24">
        <f t="shared" si="1113"/>
        <v>0</v>
      </c>
      <c r="CX126" s="24">
        <f t="shared" si="1114"/>
        <v>0</v>
      </c>
      <c r="CY126" s="24">
        <f t="shared" si="1115"/>
        <v>0</v>
      </c>
      <c r="CZ126" s="24">
        <f t="shared" si="1116"/>
        <v>0</v>
      </c>
      <c r="DA126" s="24">
        <f t="shared" si="1117"/>
        <v>0</v>
      </c>
      <c r="DB126" s="24">
        <f t="shared" si="1118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13752</v>
      </c>
      <c r="M127" s="23">
        <f>'Annual Raw'!N56</f>
        <v>17283</v>
      </c>
      <c r="N127" s="23">
        <f>'Annual Raw'!O56</f>
        <v>18362</v>
      </c>
      <c r="O127" s="23">
        <f>'Annual Raw'!P56</f>
        <v>32792</v>
      </c>
      <c r="P127" s="23">
        <f>'Annual Raw'!Q56</f>
        <v>27965</v>
      </c>
      <c r="Q127" s="23">
        <f>'Annual Raw'!R56</f>
        <v>23545</v>
      </c>
      <c r="R127" s="23">
        <f>'Annual Raw'!S56</f>
        <v>31528</v>
      </c>
      <c r="S127" s="23">
        <f>'Annual Raw'!T56</f>
        <v>37429</v>
      </c>
      <c r="T127" s="23">
        <f>'Annual Raw'!U56</f>
        <v>64436</v>
      </c>
      <c r="U127" s="23">
        <f>'Annual Raw'!V56</f>
        <v>93786</v>
      </c>
      <c r="V127" s="23">
        <f>'Annual Raw'!W56</f>
        <v>60081</v>
      </c>
      <c r="W127" s="23">
        <f>'Annual Raw'!X56</f>
        <v>51586</v>
      </c>
      <c r="X127" s="23">
        <f>'Annual Raw'!Y56</f>
        <v>82258</v>
      </c>
      <c r="Y127" s="23">
        <f>'Annual Raw'!Z56</f>
        <v>56642</v>
      </c>
      <c r="Z127" s="23">
        <f>'Annual Raw'!AA56</f>
        <v>81308</v>
      </c>
      <c r="AA127" s="24">
        <f t="shared" si="1094"/>
        <v>103670</v>
      </c>
      <c r="AB127" s="24">
        <f t="shared" si="1095"/>
        <v>103670</v>
      </c>
      <c r="AC127" s="24">
        <f t="shared" si="1096"/>
        <v>103670</v>
      </c>
      <c r="AD127" s="24">
        <f t="shared" si="1097"/>
        <v>103670</v>
      </c>
      <c r="AE127" s="24">
        <f t="shared" si="1098"/>
        <v>103670</v>
      </c>
      <c r="AJ127" s="23">
        <f>+'QTR Raw'!D88</f>
        <v>11849</v>
      </c>
      <c r="AK127" s="23">
        <f t="shared" si="1099"/>
        <v>11849</v>
      </c>
      <c r="AL127" s="23">
        <f>+'QTR Raw'!F88</f>
        <v>18362</v>
      </c>
      <c r="AM127" s="23">
        <f t="shared" si="1099"/>
        <v>18362</v>
      </c>
      <c r="AN127" s="23">
        <f>+'QTR Raw'!H88</f>
        <v>14735</v>
      </c>
      <c r="AO127" s="23">
        <f t="shared" si="1099"/>
        <v>14735</v>
      </c>
      <c r="AP127" s="23">
        <f>+'QTR Raw'!J88</f>
        <v>32792</v>
      </c>
      <c r="AQ127" s="23">
        <f t="shared" si="1099"/>
        <v>32792</v>
      </c>
      <c r="AR127" s="23">
        <f>+'QTR Raw'!L88</f>
        <v>27016</v>
      </c>
      <c r="AS127" s="23">
        <f t="shared" si="1099"/>
        <v>27016</v>
      </c>
      <c r="AT127" s="23">
        <f>+'QTR Raw'!N88</f>
        <v>27965</v>
      </c>
      <c r="AU127" s="23">
        <f t="shared" si="1099"/>
        <v>27965</v>
      </c>
      <c r="AV127" s="23">
        <f>+'QTR Raw'!P88</f>
        <v>29681</v>
      </c>
      <c r="AW127" s="23">
        <f t="shared" si="1099"/>
        <v>29681</v>
      </c>
      <c r="AX127" s="23">
        <f>+'QTR Raw'!R88</f>
        <v>23545</v>
      </c>
      <c r="AY127" s="23">
        <f t="shared" si="1099"/>
        <v>23545</v>
      </c>
      <c r="AZ127" s="23">
        <f>+'QTR Raw'!T88</f>
        <v>26634</v>
      </c>
      <c r="BA127" s="23">
        <f t="shared" si="1099"/>
        <v>26634</v>
      </c>
      <c r="BB127" s="23">
        <f>+'QTR Raw'!V88</f>
        <v>31528</v>
      </c>
      <c r="BC127" s="23">
        <f t="shared" si="1099"/>
        <v>31528</v>
      </c>
      <c r="BD127" s="23">
        <f>+'QTR Raw'!X88</f>
        <v>39904</v>
      </c>
      <c r="BE127" s="23">
        <f t="shared" si="1099"/>
        <v>39904</v>
      </c>
      <c r="BF127" s="23">
        <f>+'QTR Raw'!Z88</f>
        <v>37429</v>
      </c>
      <c r="BG127" s="23">
        <f t="shared" si="1099"/>
        <v>37429</v>
      </c>
      <c r="BH127" s="23">
        <f>+'QTR Raw'!AB88</f>
        <v>51401</v>
      </c>
      <c r="BI127" s="23">
        <f t="shared" si="1099"/>
        <v>51401</v>
      </c>
      <c r="BJ127" s="23">
        <f>+'QTR Raw'!AD88</f>
        <v>64436</v>
      </c>
      <c r="BK127" s="23">
        <f t="shared" si="1099"/>
        <v>64436</v>
      </c>
      <c r="BL127" s="23">
        <f>+'QTR Raw'!AF88</f>
        <v>65242</v>
      </c>
      <c r="BM127" s="23">
        <f t="shared" si="1099"/>
        <v>65242</v>
      </c>
      <c r="BN127" s="23">
        <f>+'QTR Raw'!AH88</f>
        <v>93786</v>
      </c>
      <c r="BO127" s="23">
        <f t="shared" si="1099"/>
        <v>93786</v>
      </c>
      <c r="BP127" s="23">
        <f>+'QTR Raw'!AJ88</f>
        <v>84328</v>
      </c>
      <c r="BQ127" s="23">
        <f t="shared" si="1099"/>
        <v>84328</v>
      </c>
      <c r="BR127" s="23">
        <f>+'QTR Raw'!AL88</f>
        <v>88128</v>
      </c>
      <c r="BS127" s="23">
        <f t="shared" si="1099"/>
        <v>88128</v>
      </c>
      <c r="BT127" s="23">
        <f>+'QTR Raw'!AN88</f>
        <v>100237</v>
      </c>
      <c r="BU127" s="23">
        <f t="shared" si="1099"/>
        <v>100237</v>
      </c>
      <c r="BV127" s="23">
        <f>+'QTR Raw'!AP88</f>
        <v>78606</v>
      </c>
      <c r="BW127" s="23">
        <f t="shared" si="1099"/>
        <v>78606</v>
      </c>
      <c r="BX127" s="23">
        <f>+'QTR Raw'!AR88</f>
        <v>116465</v>
      </c>
      <c r="BY127" s="23">
        <f t="shared" si="1099"/>
        <v>116465</v>
      </c>
      <c r="BZ127" s="23">
        <f>+'QTR Raw'!AT88</f>
        <v>130790</v>
      </c>
      <c r="CA127" s="23">
        <f t="shared" si="1099"/>
        <v>130790</v>
      </c>
      <c r="CB127" s="23">
        <f>+'QTR Raw'!AV88</f>
        <v>71669</v>
      </c>
      <c r="CC127" s="23">
        <f t="shared" si="1099"/>
        <v>71669</v>
      </c>
      <c r="CD127" s="23">
        <f>+'QTR Raw'!AX88</f>
        <v>101910</v>
      </c>
      <c r="CE127" s="23">
        <f t="shared" si="1100"/>
        <v>101910</v>
      </c>
      <c r="CF127" s="23">
        <f>+'QTR Raw'!AZ88</f>
        <v>132409</v>
      </c>
      <c r="CG127" s="23">
        <f t="shared" si="1101"/>
        <v>132409</v>
      </c>
      <c r="CH127" s="23">
        <f t="shared" si="1076"/>
        <v>81308</v>
      </c>
      <c r="CI127" s="23">
        <f t="shared" si="1101"/>
        <v>81308</v>
      </c>
      <c r="CJ127" s="23">
        <f>+'QTR Raw'!BD88</f>
        <v>88773</v>
      </c>
      <c r="CK127" s="23">
        <f t="shared" si="1102"/>
        <v>88773</v>
      </c>
      <c r="CL127" s="23">
        <f>+'QTR Raw'!BF88</f>
        <v>103670</v>
      </c>
      <c r="CM127" s="24">
        <f t="shared" si="1103"/>
        <v>103670</v>
      </c>
      <c r="CN127" s="24">
        <f t="shared" si="1104"/>
        <v>103670</v>
      </c>
      <c r="CO127" s="24">
        <f t="shared" si="1105"/>
        <v>103670</v>
      </c>
      <c r="CP127" s="24">
        <f t="shared" si="1106"/>
        <v>103670</v>
      </c>
      <c r="CQ127" s="24">
        <f t="shared" si="1107"/>
        <v>103670</v>
      </c>
      <c r="CR127" s="24">
        <f t="shared" si="1108"/>
        <v>103670</v>
      </c>
      <c r="CS127" s="24">
        <f t="shared" si="1109"/>
        <v>103670</v>
      </c>
      <c r="CT127" s="24">
        <f t="shared" si="1110"/>
        <v>103670</v>
      </c>
      <c r="CU127" s="24">
        <f t="shared" si="1111"/>
        <v>103670</v>
      </c>
      <c r="CV127" s="24">
        <f t="shared" si="1112"/>
        <v>103670</v>
      </c>
      <c r="CW127" s="24">
        <f t="shared" si="1113"/>
        <v>103670</v>
      </c>
      <c r="CX127" s="24">
        <f t="shared" si="1114"/>
        <v>103670</v>
      </c>
      <c r="CY127" s="24">
        <f t="shared" si="1115"/>
        <v>103670</v>
      </c>
      <c r="CZ127" s="24">
        <f t="shared" si="1116"/>
        <v>103670</v>
      </c>
      <c r="DA127" s="24">
        <f t="shared" si="1117"/>
        <v>103670</v>
      </c>
      <c r="DB127" s="24">
        <f t="shared" si="1118"/>
        <v>103670</v>
      </c>
      <c r="DE127" s="123"/>
      <c r="DF127" s="23">
        <v>88773</v>
      </c>
    </row>
    <row r="128" spans="1:110" s="22" customFormat="1" x14ac:dyDescent="0.2">
      <c r="A128" s="22" t="s">
        <v>49</v>
      </c>
      <c r="B128" s="22">
        <f>SUM(B124:B127)</f>
        <v>10135.790000000001</v>
      </c>
      <c r="C128" s="22">
        <f t="shared" ref="C128:V128" si="1119">SUM(C124:C127)</f>
        <v>18949.34</v>
      </c>
      <c r="D128" s="22">
        <f t="shared" si="1119"/>
        <v>19782.490000000002</v>
      </c>
      <c r="E128" s="22">
        <f t="shared" si="1119"/>
        <v>21016.77</v>
      </c>
      <c r="F128" s="22">
        <f t="shared" si="1119"/>
        <v>18817.09</v>
      </c>
      <c r="G128" s="22">
        <f t="shared" si="1119"/>
        <v>23342.799999999999</v>
      </c>
      <c r="H128" s="22">
        <f t="shared" si="1119"/>
        <v>33651.480000000003</v>
      </c>
      <c r="I128" s="22">
        <f t="shared" si="1119"/>
        <v>50696.09</v>
      </c>
      <c r="J128" s="22">
        <f t="shared" si="1119"/>
        <v>76256.600000000006</v>
      </c>
      <c r="K128" s="22">
        <f t="shared" si="1119"/>
        <v>64605.520000000004</v>
      </c>
      <c r="L128" s="22">
        <f t="shared" si="1119"/>
        <v>84152</v>
      </c>
      <c r="M128" s="22">
        <f t="shared" si="1119"/>
        <v>92447</v>
      </c>
      <c r="N128" s="22">
        <f t="shared" si="1119"/>
        <v>107219</v>
      </c>
      <c r="O128" s="22">
        <f t="shared" si="1119"/>
        <v>138758</v>
      </c>
      <c r="P128" s="22">
        <f t="shared" si="1119"/>
        <v>160863</v>
      </c>
      <c r="Q128" s="22">
        <f t="shared" si="1119"/>
        <v>181404</v>
      </c>
      <c r="R128" s="22">
        <f t="shared" si="1119"/>
        <v>197338</v>
      </c>
      <c r="S128" s="22">
        <f t="shared" si="1119"/>
        <v>219633</v>
      </c>
      <c r="T128" s="22">
        <f t="shared" si="1119"/>
        <v>288875</v>
      </c>
      <c r="U128" s="22">
        <f t="shared" si="1119"/>
        <v>336294</v>
      </c>
      <c r="V128" s="22">
        <f t="shared" si="1119"/>
        <v>251811</v>
      </c>
      <c r="W128" s="22">
        <f t="shared" ref="W128" si="1120">SUM(W124:W127)</f>
        <v>266305</v>
      </c>
      <c r="X128" s="22">
        <f t="shared" ref="X128:Y128" si="1121">SUM(X124:X127)</f>
        <v>313966</v>
      </c>
      <c r="Y128" s="22">
        <f t="shared" si="1121"/>
        <v>324622</v>
      </c>
      <c r="Z128" s="22">
        <f t="shared" ref="Z128" si="1122">SUM(Z124:Z127)</f>
        <v>347530</v>
      </c>
      <c r="AA128" s="21">
        <f t="shared" ref="AA128:AD128" si="1123">SUM(AA124:AA127)</f>
        <v>374421</v>
      </c>
      <c r="AB128" s="21">
        <f t="shared" si="1123"/>
        <v>374421</v>
      </c>
      <c r="AC128" s="21">
        <f t="shared" si="1123"/>
        <v>374421</v>
      </c>
      <c r="AD128" s="21">
        <f t="shared" si="1123"/>
        <v>374421</v>
      </c>
      <c r="AE128" s="21">
        <f t="shared" ref="AE128" si="1124">SUM(AE124:AE127)</f>
        <v>374421</v>
      </c>
      <c r="AJ128" s="22">
        <f t="shared" ref="AJ128" si="1125">SUM(AJ124:AJ127)</f>
        <v>56531</v>
      </c>
      <c r="AK128" s="22">
        <f t="shared" ref="AK128" si="1126">SUM(AK124:AK127)</f>
        <v>56531</v>
      </c>
      <c r="AL128" s="22">
        <f t="shared" ref="AL128:AM128" si="1127">SUM(AL124:AL127)</f>
        <v>89322</v>
      </c>
      <c r="AM128" s="22">
        <f t="shared" si="1127"/>
        <v>89322</v>
      </c>
      <c r="AN128" s="22">
        <f t="shared" ref="AN128:AO128" si="1128">SUM(AN124:AN127)</f>
        <v>67425</v>
      </c>
      <c r="AO128" s="22">
        <f t="shared" si="1128"/>
        <v>67425</v>
      </c>
      <c r="AP128" s="22">
        <f t="shared" ref="AP128:CE128" si="1129">SUM(AP124:AP127)</f>
        <v>133811</v>
      </c>
      <c r="AQ128" s="22">
        <f t="shared" si="1129"/>
        <v>133811</v>
      </c>
      <c r="AR128" s="22">
        <f t="shared" si="1129"/>
        <v>140414</v>
      </c>
      <c r="AS128" s="22">
        <f t="shared" si="1129"/>
        <v>140414</v>
      </c>
      <c r="AT128" s="22">
        <f t="shared" si="1129"/>
        <v>156130</v>
      </c>
      <c r="AU128" s="22">
        <f t="shared" si="1129"/>
        <v>156130</v>
      </c>
      <c r="AV128" s="22">
        <f t="shared" si="1129"/>
        <v>170580</v>
      </c>
      <c r="AW128" s="22">
        <f t="shared" si="1129"/>
        <v>170580</v>
      </c>
      <c r="AX128" s="22">
        <f t="shared" si="1129"/>
        <v>165192</v>
      </c>
      <c r="AY128" s="22">
        <f t="shared" si="1129"/>
        <v>165192</v>
      </c>
      <c r="AZ128" s="22">
        <f t="shared" si="1129"/>
        <v>181182</v>
      </c>
      <c r="BA128" s="22">
        <f t="shared" si="1129"/>
        <v>181182</v>
      </c>
      <c r="BB128" s="22">
        <f t="shared" si="1129"/>
        <v>183676</v>
      </c>
      <c r="BC128" s="22">
        <f t="shared" si="1129"/>
        <v>183676</v>
      </c>
      <c r="BD128" s="22">
        <f t="shared" si="1129"/>
        <v>181252</v>
      </c>
      <c r="BE128" s="22">
        <f t="shared" si="1129"/>
        <v>181252</v>
      </c>
      <c r="BF128" s="22">
        <f t="shared" si="1129"/>
        <v>181604</v>
      </c>
      <c r="BG128" s="22">
        <f t="shared" si="1129"/>
        <v>181604</v>
      </c>
      <c r="BH128" s="22">
        <f t="shared" ref="BH128" si="1130">SUM(BH124:BH127)</f>
        <v>234116</v>
      </c>
      <c r="BI128" s="22">
        <f t="shared" si="1129"/>
        <v>234116</v>
      </c>
      <c r="BJ128" s="22">
        <f t="shared" si="1129"/>
        <v>271942</v>
      </c>
      <c r="BK128" s="22">
        <f t="shared" si="1129"/>
        <v>271942</v>
      </c>
      <c r="BL128" s="22">
        <f t="shared" si="1129"/>
        <v>252190</v>
      </c>
      <c r="BM128" s="22">
        <f t="shared" si="1129"/>
        <v>252190</v>
      </c>
      <c r="BN128" s="22">
        <f t="shared" si="1129"/>
        <v>291417</v>
      </c>
      <c r="BO128" s="22">
        <f t="shared" si="1129"/>
        <v>291417</v>
      </c>
      <c r="BP128" s="22">
        <f t="shared" si="1129"/>
        <v>255241</v>
      </c>
      <c r="BQ128" s="22">
        <f t="shared" si="1129"/>
        <v>255241</v>
      </c>
      <c r="BR128" s="22">
        <f t="shared" si="1129"/>
        <v>251811</v>
      </c>
      <c r="BS128" s="22">
        <f t="shared" si="1129"/>
        <v>251811</v>
      </c>
      <c r="BT128" s="22">
        <f t="shared" si="1129"/>
        <v>255891</v>
      </c>
      <c r="BU128" s="22">
        <f t="shared" si="1129"/>
        <v>255891</v>
      </c>
      <c r="BV128" s="22">
        <f t="shared" si="1129"/>
        <v>266305</v>
      </c>
      <c r="BW128" s="22">
        <f t="shared" si="1129"/>
        <v>266305</v>
      </c>
      <c r="BX128" s="22">
        <f t="shared" si="1129"/>
        <v>294859</v>
      </c>
      <c r="BY128" s="22">
        <f t="shared" si="1129"/>
        <v>294859</v>
      </c>
      <c r="BZ128" s="22">
        <f t="shared" si="1129"/>
        <v>313966</v>
      </c>
      <c r="CA128" s="22">
        <f t="shared" si="1129"/>
        <v>313966</v>
      </c>
      <c r="CB128" s="22">
        <f t="shared" si="1129"/>
        <v>295687</v>
      </c>
      <c r="CC128" s="22">
        <f t="shared" si="1129"/>
        <v>295687</v>
      </c>
      <c r="CD128" s="22">
        <f t="shared" si="1129"/>
        <v>324622</v>
      </c>
      <c r="CE128" s="22">
        <f t="shared" si="1129"/>
        <v>324622</v>
      </c>
      <c r="CF128" s="22">
        <f t="shared" ref="CF128:CG128" si="1131">SUM(CF124:CF127)</f>
        <v>336337</v>
      </c>
      <c r="CG128" s="22">
        <f t="shared" si="1131"/>
        <v>336337</v>
      </c>
      <c r="CH128" s="22">
        <f t="shared" ref="CH128:CI128" si="1132">SUM(CH124:CH127)</f>
        <v>347530</v>
      </c>
      <c r="CI128" s="22">
        <f t="shared" si="1132"/>
        <v>347530</v>
      </c>
      <c r="CJ128" s="22">
        <f t="shared" ref="CJ128:DB128" si="1133">SUM(CJ124:CJ127)</f>
        <v>348230</v>
      </c>
      <c r="CK128" s="22">
        <f t="shared" si="1133"/>
        <v>348230</v>
      </c>
      <c r="CL128" s="22">
        <f t="shared" ref="CL128" si="1134">SUM(CL124:CL127)</f>
        <v>374421</v>
      </c>
      <c r="CM128" s="21">
        <f t="shared" si="1133"/>
        <v>374421</v>
      </c>
      <c r="CN128" s="21">
        <f t="shared" si="1133"/>
        <v>374421</v>
      </c>
      <c r="CO128" s="21">
        <f t="shared" si="1133"/>
        <v>374421</v>
      </c>
      <c r="CP128" s="21">
        <f t="shared" si="1133"/>
        <v>374421</v>
      </c>
      <c r="CQ128" s="21">
        <f t="shared" si="1133"/>
        <v>374421</v>
      </c>
      <c r="CR128" s="21">
        <f t="shared" si="1133"/>
        <v>374421</v>
      </c>
      <c r="CS128" s="21">
        <f t="shared" si="1133"/>
        <v>374421</v>
      </c>
      <c r="CT128" s="21">
        <f t="shared" si="1133"/>
        <v>374421</v>
      </c>
      <c r="CU128" s="21">
        <f t="shared" si="1133"/>
        <v>374421</v>
      </c>
      <c r="CV128" s="21">
        <f t="shared" si="1133"/>
        <v>374421</v>
      </c>
      <c r="CW128" s="21">
        <f t="shared" si="1133"/>
        <v>374421</v>
      </c>
      <c r="CX128" s="21">
        <f t="shared" si="1133"/>
        <v>374421</v>
      </c>
      <c r="CY128" s="21">
        <f t="shared" si="1133"/>
        <v>374421</v>
      </c>
      <c r="CZ128" s="21">
        <f t="shared" si="1133"/>
        <v>374421</v>
      </c>
      <c r="DA128" s="21">
        <f t="shared" si="1133"/>
        <v>374421</v>
      </c>
      <c r="DB128" s="21">
        <f t="shared" si="1133"/>
        <v>374421</v>
      </c>
      <c r="DE128" s="126"/>
      <c r="DF128" s="22">
        <v>348230</v>
      </c>
    </row>
    <row r="129" spans="1:110" s="26" customFormat="1" x14ac:dyDescent="0.2">
      <c r="A129" s="26" t="s">
        <v>437</v>
      </c>
      <c r="B129" s="26">
        <f>B128+B120+B122</f>
        <v>24901.16</v>
      </c>
      <c r="C129" s="26">
        <f t="shared" ref="C129:V129" si="1135">C128+C120+C122</f>
        <v>46926.17</v>
      </c>
      <c r="D129" s="26">
        <f>D128+D120+D122</f>
        <v>50318.259999999995</v>
      </c>
      <c r="E129" s="26">
        <f t="shared" si="1135"/>
        <v>56034.479999999996</v>
      </c>
      <c r="F129" s="26">
        <f t="shared" si="1135"/>
        <v>59910.81</v>
      </c>
      <c r="G129" s="26">
        <f t="shared" si="1135"/>
        <v>74828.08</v>
      </c>
      <c r="H129" s="26">
        <f t="shared" si="1135"/>
        <v>105292.56999999999</v>
      </c>
      <c r="I129" s="26">
        <f t="shared" si="1135"/>
        <v>140295.15</v>
      </c>
      <c r="J129" s="26">
        <f t="shared" si="1135"/>
        <v>197652.04</v>
      </c>
      <c r="K129" s="26">
        <f t="shared" si="1135"/>
        <v>206182.03</v>
      </c>
      <c r="L129" s="26">
        <f t="shared" si="1135"/>
        <v>239056</v>
      </c>
      <c r="M129" s="26">
        <f t="shared" si="1135"/>
        <v>262691</v>
      </c>
      <c r="N129" s="26">
        <f t="shared" si="1135"/>
        <v>290223</v>
      </c>
      <c r="O129" s="26">
        <f t="shared" si="1135"/>
        <v>338404</v>
      </c>
      <c r="P129" s="26">
        <f t="shared" si="1135"/>
        <v>382400</v>
      </c>
      <c r="Q129" s="26">
        <f t="shared" si="1135"/>
        <v>416316</v>
      </c>
      <c r="R129" s="26">
        <f t="shared" si="1135"/>
        <v>463964</v>
      </c>
      <c r="S129" s="26">
        <f t="shared" si="1135"/>
        <v>516678</v>
      </c>
      <c r="T129" s="26">
        <f t="shared" si="1135"/>
        <v>684267</v>
      </c>
      <c r="U129" s="26">
        <f t="shared" si="1135"/>
        <v>797641</v>
      </c>
      <c r="V129" s="26">
        <f t="shared" si="1135"/>
        <v>1051243</v>
      </c>
      <c r="W129" s="26">
        <f t="shared" ref="W129" si="1136">W128+W120+W122</f>
        <v>1155289</v>
      </c>
      <c r="X129" s="26">
        <f t="shared" ref="X129:Y129" si="1137">X128+X120+X122</f>
        <v>1142847</v>
      </c>
      <c r="Y129" s="26">
        <f t="shared" si="1137"/>
        <v>1250410</v>
      </c>
      <c r="Z129" s="26">
        <f t="shared" ref="Z129" si="1138">Z128+Z120+Z122</f>
        <v>1357156</v>
      </c>
      <c r="AA129" s="27">
        <f t="shared" ref="AA129:AD129" si="1139">AA128+AA120+AA122</f>
        <v>1460287</v>
      </c>
      <c r="AB129" s="27">
        <f t="shared" si="1139"/>
        <v>1544394.8059338275</v>
      </c>
      <c r="AC129" s="27">
        <f t="shared" si="1139"/>
        <v>1645201.3981374146</v>
      </c>
      <c r="AD129" s="27">
        <f t="shared" si="1139"/>
        <v>1763743.0972560442</v>
      </c>
      <c r="AE129" s="27">
        <f t="shared" ref="AE129" si="1140">AE128+AE120+AE122</f>
        <v>1904286.4984021496</v>
      </c>
      <c r="AJ129" s="26">
        <f t="shared" ref="AJ129" si="1141">AJ128+AJ120+AJ122</f>
        <v>228934</v>
      </c>
      <c r="AK129" s="26">
        <f t="shared" ref="AK129" si="1142">AK128+AK120+AK122</f>
        <v>234436</v>
      </c>
      <c r="AL129" s="26">
        <f t="shared" ref="AL129" si="1143">AL128+AL120+AL122</f>
        <v>272326</v>
      </c>
      <c r="AM129" s="26">
        <f t="shared" ref="AM129:AO129" si="1144">AM128+AM120+AM122</f>
        <v>277563</v>
      </c>
      <c r="AN129" s="26">
        <f t="shared" si="1144"/>
        <v>257479</v>
      </c>
      <c r="AO129" s="26">
        <f t="shared" si="1144"/>
        <v>262981</v>
      </c>
      <c r="AP129" s="26">
        <f t="shared" ref="AP129:CE129" si="1145">AP128+AP120+AP122</f>
        <v>333457</v>
      </c>
      <c r="AQ129" s="26">
        <f t="shared" si="1145"/>
        <v>339414</v>
      </c>
      <c r="AR129" s="26">
        <f t="shared" si="1145"/>
        <v>353514</v>
      </c>
      <c r="AS129" s="26">
        <f t="shared" si="1145"/>
        <v>358770</v>
      </c>
      <c r="AT129" s="26">
        <f t="shared" si="1145"/>
        <v>377667</v>
      </c>
      <c r="AU129" s="26">
        <f t="shared" si="1145"/>
        <v>383691</v>
      </c>
      <c r="AV129" s="26">
        <f t="shared" si="1145"/>
        <v>405209</v>
      </c>
      <c r="AW129" s="26">
        <f t="shared" si="1145"/>
        <v>412454</v>
      </c>
      <c r="AX129" s="26">
        <f t="shared" si="1145"/>
        <v>400104</v>
      </c>
      <c r="AY129" s="26">
        <f t="shared" si="1145"/>
        <v>407217</v>
      </c>
      <c r="AZ129" s="26">
        <f t="shared" si="1145"/>
        <v>439008</v>
      </c>
      <c r="BA129" s="26">
        <f t="shared" si="1145"/>
        <v>446541</v>
      </c>
      <c r="BB129" s="26">
        <f t="shared" si="1145"/>
        <v>450302</v>
      </c>
      <c r="BC129" s="26">
        <f t="shared" si="1145"/>
        <v>459410</v>
      </c>
      <c r="BD129" s="26">
        <f t="shared" si="1145"/>
        <v>460284</v>
      </c>
      <c r="BE129" s="26">
        <f t="shared" si="1145"/>
        <v>469704</v>
      </c>
      <c r="BF129" s="26">
        <f t="shared" si="1145"/>
        <v>478649</v>
      </c>
      <c r="BG129" s="26">
        <f t="shared" si="1145"/>
        <v>488108</v>
      </c>
      <c r="BH129" s="26">
        <f t="shared" ref="BH129" si="1146">BH128+BH120+BH122</f>
        <v>544354</v>
      </c>
      <c r="BI129" s="26">
        <f t="shared" si="1145"/>
        <v>554605</v>
      </c>
      <c r="BJ129" s="26">
        <f t="shared" si="1145"/>
        <v>667334</v>
      </c>
      <c r="BK129" s="26">
        <f t="shared" si="1145"/>
        <v>677438</v>
      </c>
      <c r="BL129" s="26">
        <f t="shared" si="1145"/>
        <v>666022</v>
      </c>
      <c r="BM129" s="26">
        <f t="shared" si="1145"/>
        <v>677662</v>
      </c>
      <c r="BN129" s="26">
        <f t="shared" si="1145"/>
        <v>752764</v>
      </c>
      <c r="BO129" s="26">
        <f t="shared" si="1145"/>
        <v>765997</v>
      </c>
      <c r="BP129" s="26">
        <f t="shared" si="1145"/>
        <v>918668</v>
      </c>
      <c r="BQ129" s="26">
        <f t="shared" si="1145"/>
        <v>931769</v>
      </c>
      <c r="BR129" s="26">
        <f t="shared" si="1145"/>
        <v>1051243</v>
      </c>
      <c r="BS129" s="26">
        <f t="shared" si="1145"/>
        <v>1063516</v>
      </c>
      <c r="BT129" s="26">
        <f t="shared" si="1145"/>
        <v>1101502</v>
      </c>
      <c r="BU129" s="26">
        <f t="shared" si="1145"/>
        <v>1120051</v>
      </c>
      <c r="BV129" s="26">
        <f t="shared" si="1145"/>
        <v>1155289</v>
      </c>
      <c r="BW129" s="26">
        <f t="shared" si="1145"/>
        <v>1173244</v>
      </c>
      <c r="BX129" s="26">
        <f t="shared" si="1145"/>
        <v>1197624</v>
      </c>
      <c r="BY129" s="26">
        <f t="shared" si="1145"/>
        <v>1213416</v>
      </c>
      <c r="BZ129" s="26">
        <f t="shared" si="1145"/>
        <v>1142847</v>
      </c>
      <c r="CA129" s="26">
        <f t="shared" si="1145"/>
        <v>1158858</v>
      </c>
      <c r="CB129" s="26">
        <f t="shared" si="1145"/>
        <v>1172962</v>
      </c>
      <c r="CC129" s="26">
        <f t="shared" si="1145"/>
        <v>1190227</v>
      </c>
      <c r="CD129" s="26">
        <f t="shared" si="1145"/>
        <v>1250410</v>
      </c>
      <c r="CE129" s="26">
        <f t="shared" si="1145"/>
        <v>1265548</v>
      </c>
      <c r="CF129" s="26">
        <f t="shared" ref="CF129:CG129" si="1147">CF128+CF120+CF122</f>
        <v>1290661</v>
      </c>
      <c r="CG129" s="26">
        <f t="shared" si="1147"/>
        <v>1309201</v>
      </c>
      <c r="CH129" s="26">
        <f t="shared" ref="CH129:CI129" si="1148">CH128+CH120+CH122</f>
        <v>1357156</v>
      </c>
      <c r="CI129" s="26">
        <f t="shared" si="1148"/>
        <v>1384150</v>
      </c>
      <c r="CJ129" s="26">
        <f t="shared" ref="CJ129:DB129" si="1149">CJ128+CJ120+CJ122</f>
        <v>1398957</v>
      </c>
      <c r="CK129" s="26">
        <f t="shared" si="1149"/>
        <v>1417602</v>
      </c>
      <c r="CL129" s="26">
        <f t="shared" ref="CL129" si="1150">CL128+CL120+CL122</f>
        <v>1460287</v>
      </c>
      <c r="CM129" s="27">
        <f t="shared" si="1149"/>
        <v>1478749.5124767912</v>
      </c>
      <c r="CN129" s="27">
        <f t="shared" si="1149"/>
        <v>1498599.962180661</v>
      </c>
      <c r="CO129" s="27">
        <f t="shared" si="1149"/>
        <v>1519489.582314556</v>
      </c>
      <c r="CP129" s="27">
        <f t="shared" si="1149"/>
        <v>1544394.8059338275</v>
      </c>
      <c r="CQ129" s="27">
        <f t="shared" si="1149"/>
        <v>1566004.874463012</v>
      </c>
      <c r="CR129" s="27">
        <f t="shared" si="1149"/>
        <v>1589685.0558634535</v>
      </c>
      <c r="CS129" s="27">
        <f t="shared" si="1149"/>
        <v>1615051.1338728988</v>
      </c>
      <c r="CT129" s="27">
        <f t="shared" si="1149"/>
        <v>1645201.3981374146</v>
      </c>
      <c r="CU129" s="27">
        <f t="shared" si="1149"/>
        <v>1670616.8898588601</v>
      </c>
      <c r="CV129" s="27">
        <f t="shared" si="1149"/>
        <v>1698584.9436560357</v>
      </c>
      <c r="CW129" s="27">
        <f t="shared" si="1149"/>
        <v>1728520.6558468733</v>
      </c>
      <c r="CX129" s="27">
        <f t="shared" si="1149"/>
        <v>1763743.0972560442</v>
      </c>
      <c r="CY129" s="27">
        <f t="shared" si="1149"/>
        <v>1794124.4638979996</v>
      </c>
      <c r="CZ129" s="27">
        <f t="shared" si="1149"/>
        <v>1827411.2673259764</v>
      </c>
      <c r="DA129" s="27">
        <f t="shared" si="1149"/>
        <v>1862916.3932737994</v>
      </c>
      <c r="DB129" s="27">
        <f t="shared" si="1149"/>
        <v>1904286.4984021496</v>
      </c>
      <c r="DE129" s="121"/>
      <c r="DF129" s="26">
        <v>1437059.1660062475</v>
      </c>
    </row>
    <row r="130" spans="1:110" s="23" customFormat="1" x14ac:dyDescent="0.2">
      <c r="AA130" s="24"/>
      <c r="AB130" s="24"/>
      <c r="AC130" s="24"/>
      <c r="AD130" s="24"/>
      <c r="AE130" s="24"/>
      <c r="CH130" s="23">
        <f>683102+147122+144639</f>
        <v>974863</v>
      </c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25355.99</v>
      </c>
      <c r="C131" s="23">
        <f>'Annual Raw'!D62</f>
        <v>46727.47</v>
      </c>
      <c r="D131" s="23">
        <f>'Annual Raw'!E62</f>
        <v>50597.87</v>
      </c>
      <c r="E131" s="23">
        <f>'Annual Raw'!F62-E135</f>
        <v>53573.85</v>
      </c>
      <c r="F131" s="23">
        <f>'Annual Raw'!G62-F135</f>
        <v>55127.49</v>
      </c>
      <c r="G131" s="23">
        <f>'Annual Raw'!H62-G135</f>
        <v>87840.75</v>
      </c>
      <c r="H131" s="23">
        <f>'Annual Raw'!I62-H135</f>
        <v>103302.76</v>
      </c>
      <c r="I131" s="23">
        <f>'Annual Raw'!J62-I135</f>
        <v>109180.19</v>
      </c>
      <c r="J131" s="23">
        <f>'Annual Raw'!K62-J135</f>
        <v>157182.43</v>
      </c>
      <c r="K131" s="23">
        <f>'Annual Raw'!L62-K135</f>
        <v>224125.28</v>
      </c>
      <c r="L131" s="23">
        <f>'Annual Raw'!M62-L135</f>
        <v>238293</v>
      </c>
      <c r="M131" s="23">
        <f>'Annual Raw'!N62-M135</f>
        <v>233475</v>
      </c>
      <c r="N131" s="23">
        <f>'Annual Raw'!O62-N135</f>
        <v>240971</v>
      </c>
      <c r="O131" s="23">
        <f>'Annual Raw'!P62-O135</f>
        <v>261019</v>
      </c>
      <c r="P131" s="23">
        <f>'Annual Raw'!Q62-P135</f>
        <v>284469</v>
      </c>
      <c r="Q131" s="23">
        <f>'Annual Raw'!R62-Q135</f>
        <v>331245</v>
      </c>
      <c r="R131" s="23">
        <f>'Annual Raw'!S62-R135</f>
        <v>356401</v>
      </c>
      <c r="S131" s="23">
        <f>'Annual Raw'!T62-S135</f>
        <v>575471</v>
      </c>
      <c r="T131" s="23">
        <f>'Annual Raw'!U62-T135</f>
        <v>584525</v>
      </c>
      <c r="U131" s="23">
        <f>'Annual Raw'!V62-U135</f>
        <v>733529</v>
      </c>
      <c r="V131" s="23">
        <f>'Annual Raw'!W62-V135</f>
        <v>765600</v>
      </c>
      <c r="W131" s="23">
        <f>'Annual Raw'!X62-W135</f>
        <v>870615</v>
      </c>
      <c r="X131" s="23">
        <f>'Annual Raw'!Y62-X135</f>
        <v>1002732</v>
      </c>
      <c r="Y131" s="23">
        <f>'Annual Raw'!Z62-Y135</f>
        <v>1099593</v>
      </c>
      <c r="Z131" s="23">
        <f>'Annual Raw'!AA62-Z135</f>
        <v>1351288</v>
      </c>
      <c r="AA131" s="24">
        <f t="shared" ref="AA131:AA137" si="1151">+CL131</f>
        <v>1379114</v>
      </c>
      <c r="AB131" s="24">
        <f t="shared" ref="AB131:AB137" si="1152">+CP131</f>
        <v>1459114</v>
      </c>
      <c r="AC131" s="24">
        <f t="shared" ref="AC131:AC137" si="1153">+CT131</f>
        <v>1539114</v>
      </c>
      <c r="AD131" s="24">
        <f t="shared" ref="AD131:AD137" si="1154">+CX131</f>
        <v>1619114</v>
      </c>
      <c r="AE131" s="24">
        <f t="shared" ref="AE131:AE137" si="1155">+DB131</f>
        <v>1699114</v>
      </c>
      <c r="AJ131" s="23">
        <f>+'QTR Raw'!D68</f>
        <v>124061</v>
      </c>
      <c r="AL131" s="23">
        <f>+'QTR Raw'!F68</f>
        <v>183439</v>
      </c>
      <c r="AN131" s="23">
        <f>+'QTR Raw'!H68</f>
        <v>143039</v>
      </c>
      <c r="AP131" s="23">
        <f>+'QTR Raw'!J68</f>
        <v>232911</v>
      </c>
      <c r="AR131" s="23">
        <f>+'QTR Raw'!L68</f>
        <v>271680</v>
      </c>
      <c r="AT131" s="23">
        <f>+'QTR Raw'!N68</f>
        <v>318523</v>
      </c>
      <c r="AV131" s="23">
        <f>+'QTR Raw'!P68</f>
        <v>367702</v>
      </c>
      <c r="AX131" s="23">
        <f>+'QTR Raw'!R68</f>
        <v>238956</v>
      </c>
      <c r="AZ131" s="23">
        <f>+'QTR Raw'!T68</f>
        <v>259310</v>
      </c>
      <c r="BB131" s="23">
        <f>+'QTR Raw'!V68</f>
        <v>268094</v>
      </c>
      <c r="BD131" s="23">
        <f>+'QTR Raw'!X68</f>
        <v>363404</v>
      </c>
      <c r="BF131" s="23">
        <f>+'QTR Raw'!Z68</f>
        <v>418874</v>
      </c>
      <c r="BH131" s="23">
        <f>+'QTR Raw'!AB68</f>
        <v>447679</v>
      </c>
      <c r="BJ131" s="23">
        <f>+'QTR Raw'!AD68</f>
        <v>415662</v>
      </c>
      <c r="BL131" s="23">
        <f>+'QTR Raw'!AF68</f>
        <v>468196</v>
      </c>
      <c r="BN131" s="23">
        <f>+'QTR Raw'!AH68</f>
        <v>572409</v>
      </c>
      <c r="BP131" s="23">
        <f>+'QTR Raw'!AJ68</f>
        <v>580329</v>
      </c>
      <c r="BR131" s="23">
        <f>+'QTR Raw'!AL68</f>
        <v>585828</v>
      </c>
      <c r="BT131" s="23">
        <f>+'QTR Raw'!AN68</f>
        <v>664565</v>
      </c>
      <c r="BV131" s="23">
        <f>+'QTR Raw'!AP68</f>
        <v>610913</v>
      </c>
      <c r="BX131" s="23">
        <f>+'QTR Raw'!AR68</f>
        <v>843213</v>
      </c>
      <c r="BZ131" s="23">
        <f>+'QTR Raw'!AT68</f>
        <v>688320</v>
      </c>
      <c r="CB131" s="23">
        <f>+'QTR Raw'!AV68</f>
        <v>710502</v>
      </c>
      <c r="CD131" s="23">
        <f>+'QTR Raw'!AX68</f>
        <v>752015</v>
      </c>
      <c r="CF131" s="23">
        <f>+'QTR Raw'!AZ68</f>
        <v>753093</v>
      </c>
      <c r="CH131" s="23">
        <f t="shared" ref="CH131:CH137" si="1156">Z131</f>
        <v>1351288</v>
      </c>
      <c r="CI131" s="23">
        <f>CH131</f>
        <v>1351288</v>
      </c>
      <c r="CJ131" s="23">
        <f>+CJ132+CJ134</f>
        <v>1277404</v>
      </c>
      <c r="CK131" s="23">
        <f>+CJ131+20000</f>
        <v>1297404</v>
      </c>
      <c r="CL131" s="23">
        <f>+CL132+CL134</f>
        <v>1379114</v>
      </c>
      <c r="CM131" s="24">
        <f t="shared" ref="CM131:DB131" si="1157">+CL131+20000</f>
        <v>1399114</v>
      </c>
      <c r="CN131" s="24">
        <f t="shared" si="1157"/>
        <v>1419114</v>
      </c>
      <c r="CO131" s="24">
        <f t="shared" si="1157"/>
        <v>1439114</v>
      </c>
      <c r="CP131" s="24">
        <f t="shared" si="1157"/>
        <v>1459114</v>
      </c>
      <c r="CQ131" s="24">
        <f t="shared" si="1157"/>
        <v>1479114</v>
      </c>
      <c r="CR131" s="24">
        <f t="shared" si="1157"/>
        <v>1499114</v>
      </c>
      <c r="CS131" s="24">
        <f t="shared" si="1157"/>
        <v>1519114</v>
      </c>
      <c r="CT131" s="24">
        <f t="shared" si="1157"/>
        <v>1539114</v>
      </c>
      <c r="CU131" s="24">
        <f t="shared" si="1157"/>
        <v>1559114</v>
      </c>
      <c r="CV131" s="24">
        <f t="shared" si="1157"/>
        <v>1579114</v>
      </c>
      <c r="CW131" s="24">
        <f t="shared" si="1157"/>
        <v>1599114</v>
      </c>
      <c r="CX131" s="24">
        <f t="shared" si="1157"/>
        <v>1619114</v>
      </c>
      <c r="CY131" s="24">
        <f t="shared" si="1157"/>
        <v>1639114</v>
      </c>
      <c r="CZ131" s="24">
        <f t="shared" si="1157"/>
        <v>1659114</v>
      </c>
      <c r="DA131" s="24">
        <f t="shared" si="1157"/>
        <v>1679114</v>
      </c>
      <c r="DB131" s="24">
        <f t="shared" si="1157"/>
        <v>1699114</v>
      </c>
      <c r="DE131" s="123"/>
      <c r="DF131" s="23">
        <v>1317404</v>
      </c>
    </row>
    <row r="132" spans="1:110" s="23" customFormat="1" outlineLevel="1" x14ac:dyDescent="0.2">
      <c r="A132" s="23" t="s">
        <v>51</v>
      </c>
      <c r="B132" s="23">
        <f>'Annual Raw'!C63</f>
        <v>11841.53</v>
      </c>
      <c r="C132" s="23">
        <f>'Annual Raw'!D63</f>
        <v>15076.94</v>
      </c>
      <c r="D132" s="23">
        <f>'Annual Raw'!E63</f>
        <v>18461.57</v>
      </c>
      <c r="E132" s="23">
        <f>'Annual Raw'!F63</f>
        <v>21717.95</v>
      </c>
      <c r="F132" s="23">
        <f>'Annual Raw'!G63</f>
        <v>24873.37</v>
      </c>
      <c r="G132" s="23">
        <f>'Annual Raw'!H63</f>
        <v>31550.080000000002</v>
      </c>
      <c r="H132" s="23">
        <f>'Annual Raw'!I63</f>
        <v>38480.199999999997</v>
      </c>
      <c r="I132" s="23">
        <f>'Annual Raw'!J63</f>
        <v>45119.08</v>
      </c>
      <c r="J132" s="23">
        <f>'Annual Raw'!K63</f>
        <v>50138.23</v>
      </c>
      <c r="K132" s="23">
        <f>'Annual Raw'!L63</f>
        <v>63934.03</v>
      </c>
      <c r="L132" s="23">
        <f>'Annual Raw'!M63</f>
        <v>80193</v>
      </c>
      <c r="M132" s="23">
        <f>'Annual Raw'!N63</f>
        <v>94661</v>
      </c>
      <c r="N132" s="23">
        <f>'Annual Raw'!O63</f>
        <v>107484</v>
      </c>
      <c r="O132" s="23">
        <f>'Annual Raw'!P63</f>
        <v>119602</v>
      </c>
      <c r="P132" s="23">
        <f>'Annual Raw'!Q63</f>
        <v>132408</v>
      </c>
      <c r="Q132" s="23">
        <f>'Annual Raw'!R63</f>
        <v>150589</v>
      </c>
      <c r="R132" s="23">
        <f>'Annual Raw'!S63</f>
        <v>162767</v>
      </c>
      <c r="S132" s="23">
        <f>'Annual Raw'!T63</f>
        <v>177399</v>
      </c>
      <c r="T132" s="23">
        <f>'Annual Raw'!U63</f>
        <v>198148</v>
      </c>
      <c r="U132" s="23">
        <f>'Annual Raw'!V63</f>
        <v>211130</v>
      </c>
      <c r="V132" s="23">
        <f>'Annual Raw'!W63</f>
        <v>234554</v>
      </c>
      <c r="W132" s="23">
        <f>'Annual Raw'!X63</f>
        <v>255826</v>
      </c>
      <c r="X132" s="23">
        <f>'Annual Raw'!Y63</f>
        <v>293197</v>
      </c>
      <c r="Y132" s="23">
        <f>'Annual Raw'!Z63</f>
        <v>334597</v>
      </c>
      <c r="Z132" s="23">
        <f>'Annual Raw'!AA63</f>
        <v>376425</v>
      </c>
      <c r="AA132" s="24">
        <f t="shared" si="1151"/>
        <v>434113</v>
      </c>
      <c r="AB132" s="24">
        <f t="shared" si="1152"/>
        <v>498264.4411056852</v>
      </c>
      <c r="AC132" s="24">
        <f t="shared" si="1153"/>
        <v>563458.20395904745</v>
      </c>
      <c r="AD132" s="24">
        <f t="shared" si="1154"/>
        <v>629625.73755599069</v>
      </c>
      <c r="AE132" s="24">
        <f t="shared" si="1155"/>
        <v>696702.99932772026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56"/>
        <v>376425</v>
      </c>
      <c r="CI132" s="23">
        <f t="shared" ref="CI132:DB132" si="1158">CH132+CI32</f>
        <v>390267</v>
      </c>
      <c r="CJ132" s="23">
        <f t="shared" si="1158"/>
        <v>404683</v>
      </c>
      <c r="CK132" s="23">
        <f t="shared" si="1158"/>
        <v>419305</v>
      </c>
      <c r="CL132" s="23">
        <f t="shared" si="1158"/>
        <v>434113</v>
      </c>
      <c r="CM132" s="24">
        <f t="shared" si="1158"/>
        <v>450049.21540168021</v>
      </c>
      <c r="CN132" s="24">
        <f t="shared" si="1158"/>
        <v>466053.96125645505</v>
      </c>
      <c r="CO132" s="24">
        <f t="shared" si="1158"/>
        <v>482126.08188717486</v>
      </c>
      <c r="CP132" s="24">
        <f t="shared" si="1158"/>
        <v>498264.4411056852</v>
      </c>
      <c r="CQ132" s="24">
        <f t="shared" si="1158"/>
        <v>514467.92188417033</v>
      </c>
      <c r="CR132" s="24">
        <f t="shared" si="1158"/>
        <v>530735.42603203887</v>
      </c>
      <c r="CS132" s="24">
        <f t="shared" si="1158"/>
        <v>547065.8738782584</v>
      </c>
      <c r="CT132" s="24">
        <f t="shared" si="1158"/>
        <v>563458.20395904745</v>
      </c>
      <c r="CU132" s="24">
        <f t="shared" si="1158"/>
        <v>579911.37271083333</v>
      </c>
      <c r="CV132" s="24">
        <f t="shared" si="1158"/>
        <v>596424.35416838876</v>
      </c>
      <c r="CW132" s="24">
        <f t="shared" si="1158"/>
        <v>612996.13966805849</v>
      </c>
      <c r="CX132" s="24">
        <f t="shared" si="1158"/>
        <v>629625.73755599069</v>
      </c>
      <c r="CY132" s="24">
        <f t="shared" si="1158"/>
        <v>646312.17290128872</v>
      </c>
      <c r="CZ132" s="24">
        <f t="shared" si="1158"/>
        <v>663054.48721400031</v>
      </c>
      <c r="DA132" s="24">
        <f t="shared" si="1158"/>
        <v>679851.73816786206</v>
      </c>
      <c r="DB132" s="24">
        <f t="shared" si="1158"/>
        <v>696702.99932772026</v>
      </c>
      <c r="DE132" s="123"/>
      <c r="DF132" s="23">
        <v>434017.10567638453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4">
        <f t="shared" si="1151"/>
        <v>0</v>
      </c>
      <c r="AB133" s="24">
        <f t="shared" si="1152"/>
        <v>0</v>
      </c>
      <c r="AC133" s="24">
        <f t="shared" si="1153"/>
        <v>0</v>
      </c>
      <c r="AD133" s="24">
        <f t="shared" si="1154"/>
        <v>0</v>
      </c>
      <c r="AE133" s="24">
        <f t="shared" si="115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56"/>
        <v>0</v>
      </c>
      <c r="CI133" s="23">
        <f>CH133</f>
        <v>0</v>
      </c>
      <c r="CJ133" s="23">
        <f>+'QTR Raw'!BD70</f>
        <v>0</v>
      </c>
      <c r="CK133" s="23">
        <f t="shared" ref="CK133:DB133" si="1159">CJ133</f>
        <v>0</v>
      </c>
      <c r="CL133" s="23">
        <f>+'QTR Raw'!BF70</f>
        <v>0</v>
      </c>
      <c r="CM133" s="24">
        <f t="shared" si="1159"/>
        <v>0</v>
      </c>
      <c r="CN133" s="24">
        <f t="shared" si="1159"/>
        <v>0</v>
      </c>
      <c r="CO133" s="24">
        <f t="shared" si="1159"/>
        <v>0</v>
      </c>
      <c r="CP133" s="24">
        <f t="shared" si="1159"/>
        <v>0</v>
      </c>
      <c r="CQ133" s="24">
        <f t="shared" si="1159"/>
        <v>0</v>
      </c>
      <c r="CR133" s="24">
        <f t="shared" si="1159"/>
        <v>0</v>
      </c>
      <c r="CS133" s="24">
        <f t="shared" si="1159"/>
        <v>0</v>
      </c>
      <c r="CT133" s="24">
        <f t="shared" si="1159"/>
        <v>0</v>
      </c>
      <c r="CU133" s="24">
        <f t="shared" si="1159"/>
        <v>0</v>
      </c>
      <c r="CV133" s="24">
        <f t="shared" si="1159"/>
        <v>0</v>
      </c>
      <c r="CW133" s="24">
        <f t="shared" si="1159"/>
        <v>0</v>
      </c>
      <c r="CX133" s="24">
        <f t="shared" si="1159"/>
        <v>0</v>
      </c>
      <c r="CY133" s="24">
        <f t="shared" si="1159"/>
        <v>0</v>
      </c>
      <c r="CZ133" s="24">
        <f t="shared" si="1159"/>
        <v>0</v>
      </c>
      <c r="DA133" s="24">
        <f t="shared" si="1159"/>
        <v>0</v>
      </c>
      <c r="DB133" s="24">
        <f t="shared" si="115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13514.460000000001</v>
      </c>
      <c r="C134" s="22">
        <f t="shared" ref="C134:W134" si="1160">+C131-C132-C133</f>
        <v>31650.53</v>
      </c>
      <c r="D134" s="22">
        <f t="shared" si="1160"/>
        <v>32136.300000000003</v>
      </c>
      <c r="E134" s="22">
        <f t="shared" si="1160"/>
        <v>31855.899999999998</v>
      </c>
      <c r="F134" s="22">
        <f t="shared" si="1160"/>
        <v>30254.12</v>
      </c>
      <c r="G134" s="22">
        <f t="shared" si="1160"/>
        <v>56290.67</v>
      </c>
      <c r="H134" s="22">
        <f t="shared" si="1160"/>
        <v>64822.559999999998</v>
      </c>
      <c r="I134" s="22">
        <f t="shared" si="1160"/>
        <v>64061.11</v>
      </c>
      <c r="J134" s="22">
        <f t="shared" si="1160"/>
        <v>107044.19999999998</v>
      </c>
      <c r="K134" s="22">
        <f t="shared" si="1160"/>
        <v>160191.25</v>
      </c>
      <c r="L134" s="22">
        <f t="shared" si="1160"/>
        <v>158100</v>
      </c>
      <c r="M134" s="22">
        <f t="shared" si="1160"/>
        <v>138814</v>
      </c>
      <c r="N134" s="22">
        <f t="shared" si="1160"/>
        <v>133487</v>
      </c>
      <c r="O134" s="22">
        <f t="shared" si="1160"/>
        <v>141417</v>
      </c>
      <c r="P134" s="22">
        <f t="shared" si="1160"/>
        <v>152061</v>
      </c>
      <c r="Q134" s="22">
        <f t="shared" si="1160"/>
        <v>180656</v>
      </c>
      <c r="R134" s="22">
        <f t="shared" si="1160"/>
        <v>193634</v>
      </c>
      <c r="S134" s="22">
        <f t="shared" si="1160"/>
        <v>398072</v>
      </c>
      <c r="T134" s="22">
        <f t="shared" si="1160"/>
        <v>386377</v>
      </c>
      <c r="U134" s="22">
        <f t="shared" si="1160"/>
        <v>522399</v>
      </c>
      <c r="V134" s="22">
        <f t="shared" si="1160"/>
        <v>531046</v>
      </c>
      <c r="W134" s="22">
        <f t="shared" si="1160"/>
        <v>614789</v>
      </c>
      <c r="X134" s="22">
        <f t="shared" ref="X134:Y134" si="1161">+X131-X132-X133</f>
        <v>709535</v>
      </c>
      <c r="Y134" s="22">
        <f t="shared" si="1161"/>
        <v>764996</v>
      </c>
      <c r="Z134" s="22">
        <f t="shared" ref="Z134:AE134" si="1162">+Z131-Z132-Z133</f>
        <v>974863</v>
      </c>
      <c r="AA134" s="21">
        <f t="shared" si="1162"/>
        <v>945001</v>
      </c>
      <c r="AB134" s="21">
        <f t="shared" si="1162"/>
        <v>960849.5588943148</v>
      </c>
      <c r="AC134" s="21">
        <f t="shared" si="1162"/>
        <v>975655.79604095255</v>
      </c>
      <c r="AD134" s="21">
        <f t="shared" si="1162"/>
        <v>989488.26244400931</v>
      </c>
      <c r="AE134" s="21">
        <f t="shared" si="1162"/>
        <v>1002411.0006722797</v>
      </c>
      <c r="AJ134" s="22">
        <f t="shared" ref="AJ134:AL134" si="1163">+AJ131-AJ132-AJ133</f>
        <v>124061</v>
      </c>
      <c r="AK134" s="22">
        <f t="shared" ref="AK134:CE134" si="1164">+AJ134</f>
        <v>124061</v>
      </c>
      <c r="AL134" s="22">
        <f t="shared" si="1163"/>
        <v>183439</v>
      </c>
      <c r="AM134" s="22">
        <f t="shared" si="1164"/>
        <v>183439</v>
      </c>
      <c r="AN134" s="22">
        <f t="shared" ref="AN134" si="1165">+AN131-AN132-AN133</f>
        <v>143039</v>
      </c>
      <c r="AO134" s="22">
        <f t="shared" si="1164"/>
        <v>143039</v>
      </c>
      <c r="AP134" s="22">
        <f t="shared" ref="AP134:CD134" si="1166">+AP131-AP132-AP133</f>
        <v>232911</v>
      </c>
      <c r="AQ134" s="22">
        <f t="shared" si="1164"/>
        <v>232911</v>
      </c>
      <c r="AR134" s="22">
        <f t="shared" si="1166"/>
        <v>271680</v>
      </c>
      <c r="AS134" s="22">
        <f t="shared" si="1164"/>
        <v>271680</v>
      </c>
      <c r="AT134" s="22">
        <f t="shared" si="1166"/>
        <v>318523</v>
      </c>
      <c r="AU134" s="22">
        <f t="shared" si="1164"/>
        <v>318523</v>
      </c>
      <c r="AV134" s="22">
        <f t="shared" si="1166"/>
        <v>367702</v>
      </c>
      <c r="AW134" s="22">
        <f t="shared" si="1164"/>
        <v>367702</v>
      </c>
      <c r="AX134" s="22">
        <f t="shared" si="1166"/>
        <v>238956</v>
      </c>
      <c r="AY134" s="22">
        <f t="shared" si="1164"/>
        <v>238956</v>
      </c>
      <c r="AZ134" s="22">
        <f t="shared" si="1166"/>
        <v>259310</v>
      </c>
      <c r="BA134" s="22">
        <f t="shared" si="1164"/>
        <v>259310</v>
      </c>
      <c r="BB134" s="22">
        <f t="shared" si="1166"/>
        <v>268094</v>
      </c>
      <c r="BC134" s="22">
        <f t="shared" si="1164"/>
        <v>268094</v>
      </c>
      <c r="BD134" s="22">
        <f t="shared" si="1166"/>
        <v>363404</v>
      </c>
      <c r="BE134" s="22">
        <f t="shared" si="1164"/>
        <v>363404</v>
      </c>
      <c r="BF134" s="22">
        <f t="shared" si="1166"/>
        <v>418874</v>
      </c>
      <c r="BG134" s="22">
        <f t="shared" si="1164"/>
        <v>418874</v>
      </c>
      <c r="BH134" s="22">
        <f t="shared" si="1166"/>
        <v>447679</v>
      </c>
      <c r="BI134" s="22">
        <f t="shared" si="1164"/>
        <v>447679</v>
      </c>
      <c r="BJ134" s="22">
        <f t="shared" si="1166"/>
        <v>415662</v>
      </c>
      <c r="BK134" s="22">
        <f t="shared" si="1164"/>
        <v>415662</v>
      </c>
      <c r="BL134" s="22">
        <f t="shared" si="1166"/>
        <v>468196</v>
      </c>
      <c r="BM134" s="22">
        <f t="shared" si="1164"/>
        <v>468196</v>
      </c>
      <c r="BN134" s="22">
        <f t="shared" si="1166"/>
        <v>572409</v>
      </c>
      <c r="BO134" s="22">
        <f t="shared" si="1164"/>
        <v>572409</v>
      </c>
      <c r="BP134" s="22">
        <f t="shared" si="1166"/>
        <v>580329</v>
      </c>
      <c r="BQ134" s="22">
        <f t="shared" si="1164"/>
        <v>580329</v>
      </c>
      <c r="BR134" s="22">
        <f t="shared" si="1166"/>
        <v>585828</v>
      </c>
      <c r="BS134" s="22">
        <f t="shared" si="1164"/>
        <v>585828</v>
      </c>
      <c r="BT134" s="22">
        <f t="shared" si="1166"/>
        <v>664565</v>
      </c>
      <c r="BU134" s="22">
        <f t="shared" si="1164"/>
        <v>664565</v>
      </c>
      <c r="BV134" s="22">
        <f t="shared" si="1166"/>
        <v>610913</v>
      </c>
      <c r="BW134" s="22">
        <f t="shared" si="1164"/>
        <v>610913</v>
      </c>
      <c r="BX134" s="22">
        <f t="shared" si="1166"/>
        <v>843213</v>
      </c>
      <c r="BY134" s="22">
        <f t="shared" si="1164"/>
        <v>843213</v>
      </c>
      <c r="BZ134" s="22">
        <f t="shared" si="1166"/>
        <v>688320</v>
      </c>
      <c r="CA134" s="22">
        <f t="shared" si="1164"/>
        <v>688320</v>
      </c>
      <c r="CB134" s="22">
        <f t="shared" si="1166"/>
        <v>710502</v>
      </c>
      <c r="CC134" s="22">
        <f t="shared" si="1164"/>
        <v>710502</v>
      </c>
      <c r="CD134" s="22">
        <f t="shared" si="1166"/>
        <v>752015</v>
      </c>
      <c r="CE134" s="22">
        <f t="shared" si="1164"/>
        <v>752015</v>
      </c>
      <c r="CF134" s="22">
        <f t="shared" ref="CF134:CI134" si="1167">+CF131-CF132-CF133</f>
        <v>753093</v>
      </c>
      <c r="CG134" s="22">
        <f t="shared" ref="CG134:CI137" si="1168">+CF134</f>
        <v>753093</v>
      </c>
      <c r="CH134" s="22">
        <f t="shared" si="1167"/>
        <v>974863</v>
      </c>
      <c r="CI134" s="22">
        <f t="shared" si="1167"/>
        <v>961021</v>
      </c>
      <c r="CJ134" s="22">
        <f>+'QTR Raw'!BD68</f>
        <v>872721</v>
      </c>
      <c r="CK134" s="22">
        <f t="shared" ref="CK134:DB134" si="1169">+CK131-CK132-CK133</f>
        <v>878099</v>
      </c>
      <c r="CL134" s="22">
        <f>+'QTR Raw'!BF68</f>
        <v>945001</v>
      </c>
      <c r="CM134" s="21">
        <f t="shared" si="1169"/>
        <v>949064.78459831979</v>
      </c>
      <c r="CN134" s="21">
        <f t="shared" si="1169"/>
        <v>953060.03874354495</v>
      </c>
      <c r="CO134" s="21">
        <f t="shared" si="1169"/>
        <v>956987.91811282514</v>
      </c>
      <c r="CP134" s="21">
        <f t="shared" si="1169"/>
        <v>960849.5588943148</v>
      </c>
      <c r="CQ134" s="21">
        <f t="shared" si="1169"/>
        <v>964646.07811582973</v>
      </c>
      <c r="CR134" s="21">
        <f t="shared" si="1169"/>
        <v>968378.57396796113</v>
      </c>
      <c r="CS134" s="21">
        <f t="shared" si="1169"/>
        <v>972048.1261217416</v>
      </c>
      <c r="CT134" s="21">
        <f t="shared" si="1169"/>
        <v>975655.79604095255</v>
      </c>
      <c r="CU134" s="21">
        <f t="shared" si="1169"/>
        <v>979202.62728916667</v>
      </c>
      <c r="CV134" s="21">
        <f t="shared" si="1169"/>
        <v>982689.64583161124</v>
      </c>
      <c r="CW134" s="21">
        <f t="shared" si="1169"/>
        <v>986117.86033194151</v>
      </c>
      <c r="CX134" s="21">
        <f t="shared" si="1169"/>
        <v>989488.26244400931</v>
      </c>
      <c r="CY134" s="21">
        <f t="shared" si="1169"/>
        <v>992801.82709871128</v>
      </c>
      <c r="CZ134" s="21">
        <f t="shared" si="1169"/>
        <v>996059.51278599969</v>
      </c>
      <c r="DA134" s="21">
        <f t="shared" si="1169"/>
        <v>999262.26183213794</v>
      </c>
      <c r="DB134" s="21">
        <f t="shared" si="1169"/>
        <v>1002411.0006722797</v>
      </c>
      <c r="DE134" s="126"/>
      <c r="DF134" s="22">
        <v>883386.89432361547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4397</v>
      </c>
      <c r="Q135" s="23">
        <f>'Annual Raw'!R86</f>
        <v>4254</v>
      </c>
      <c r="R135" s="23">
        <f>'Annual Raw'!S86</f>
        <v>4892</v>
      </c>
      <c r="S135" s="23">
        <f>'Annual Raw'!T86</f>
        <v>5813</v>
      </c>
      <c r="T135" s="23">
        <f>'Annual Raw'!U86</f>
        <v>11997</v>
      </c>
      <c r="U135" s="23">
        <f>'Annual Raw'!V86</f>
        <v>10259</v>
      </c>
      <c r="V135" s="23">
        <f>'Annual Raw'!W86</f>
        <v>10212</v>
      </c>
      <c r="W135" s="23">
        <f>'Annual Raw'!X86</f>
        <v>13009</v>
      </c>
      <c r="X135" s="23">
        <f>'Annual Raw'!Y86</f>
        <v>15270</v>
      </c>
      <c r="Y135" s="23">
        <f>'Annual Raw'!Z86</f>
        <v>14989</v>
      </c>
      <c r="Z135" s="23">
        <f>'Annual Raw'!AA86</f>
        <v>24530</v>
      </c>
      <c r="AA135" s="24">
        <f t="shared" si="1151"/>
        <v>28462</v>
      </c>
      <c r="AB135" s="24">
        <f t="shared" si="1152"/>
        <v>28462</v>
      </c>
      <c r="AC135" s="24">
        <f t="shared" si="1153"/>
        <v>28462</v>
      </c>
      <c r="AD135" s="24">
        <f t="shared" si="1154"/>
        <v>28462</v>
      </c>
      <c r="AE135" s="24">
        <f t="shared" si="1155"/>
        <v>28462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70">+AL135</f>
        <v>0</v>
      </c>
      <c r="AN135" s="23">
        <f>+'QTR Raw'!H72</f>
        <v>0</v>
      </c>
      <c r="AO135" s="23">
        <f t="shared" si="1170"/>
        <v>0</v>
      </c>
      <c r="AP135" s="23">
        <f>+'QTR Raw'!J72</f>
        <v>0</v>
      </c>
      <c r="AQ135" s="23">
        <f t="shared" si="1170"/>
        <v>0</v>
      </c>
      <c r="AR135" s="23">
        <f>+'QTR Raw'!L72</f>
        <v>4397</v>
      </c>
      <c r="AS135" s="23">
        <f t="shared" si="1170"/>
        <v>4397</v>
      </c>
      <c r="AT135" s="23">
        <f>+'QTR Raw'!N72</f>
        <v>4397</v>
      </c>
      <c r="AU135" s="23">
        <f t="shared" si="1170"/>
        <v>4397</v>
      </c>
      <c r="AV135" s="23">
        <f>+'QTR Raw'!P72</f>
        <v>4419</v>
      </c>
      <c r="AW135" s="23">
        <f t="shared" si="1170"/>
        <v>4419</v>
      </c>
      <c r="AX135" s="23">
        <f>+'QTR Raw'!R72</f>
        <v>4254</v>
      </c>
      <c r="AY135" s="23">
        <f t="shared" si="1170"/>
        <v>4254</v>
      </c>
      <c r="AZ135" s="23">
        <f>+'QTR Raw'!T72</f>
        <v>4919</v>
      </c>
      <c r="BA135" s="23">
        <f t="shared" si="1170"/>
        <v>4919</v>
      </c>
      <c r="BB135" s="23">
        <f>+'QTR Raw'!V72</f>
        <v>4892</v>
      </c>
      <c r="BC135" s="23">
        <f t="shared" si="1170"/>
        <v>4892</v>
      </c>
      <c r="BD135" s="23">
        <f>+'QTR Raw'!X72</f>
        <v>4639</v>
      </c>
      <c r="BE135" s="23">
        <f t="shared" si="1170"/>
        <v>4639</v>
      </c>
      <c r="BF135" s="23">
        <f>+'QTR Raw'!Z72</f>
        <v>5813</v>
      </c>
      <c r="BG135" s="23">
        <f t="shared" si="1170"/>
        <v>5813</v>
      </c>
      <c r="BH135" s="23">
        <f>+'QTR Raw'!AB72</f>
        <v>10040</v>
      </c>
      <c r="BI135" s="23">
        <f t="shared" si="1170"/>
        <v>10040</v>
      </c>
      <c r="BJ135" s="23">
        <f>+'QTR Raw'!AD72</f>
        <v>11997</v>
      </c>
      <c r="BK135" s="23">
        <f t="shared" si="1170"/>
        <v>11997</v>
      </c>
      <c r="BL135" s="23">
        <f>+'QTR Raw'!AF72</f>
        <v>9603</v>
      </c>
      <c r="BM135" s="23">
        <f t="shared" si="1170"/>
        <v>9603</v>
      </c>
      <c r="BN135" s="23">
        <f>+'QTR Raw'!AH72</f>
        <v>10259</v>
      </c>
      <c r="BO135" s="23">
        <f t="shared" si="1170"/>
        <v>10259</v>
      </c>
      <c r="BP135" s="23">
        <f>+'QTR Raw'!AJ72</f>
        <v>10259</v>
      </c>
      <c r="BQ135" s="23">
        <f t="shared" si="1170"/>
        <v>10259</v>
      </c>
      <c r="BR135" s="23">
        <f>+'QTR Raw'!AL72</f>
        <v>10212</v>
      </c>
      <c r="BS135" s="23">
        <f t="shared" si="1170"/>
        <v>10212</v>
      </c>
      <c r="BT135" s="23">
        <f>+'QTR Raw'!AN72</f>
        <v>11165</v>
      </c>
      <c r="BU135" s="23">
        <f t="shared" si="1170"/>
        <v>11165</v>
      </c>
      <c r="BV135" s="23">
        <f>+'QTR Raw'!AP72</f>
        <v>13009</v>
      </c>
      <c r="BW135" s="23">
        <f t="shared" si="1170"/>
        <v>13009</v>
      </c>
      <c r="BX135" s="23">
        <f>+'QTR Raw'!AR72</f>
        <v>13001</v>
      </c>
      <c r="BY135" s="23">
        <f t="shared" si="1170"/>
        <v>13001</v>
      </c>
      <c r="BZ135" s="23">
        <f>+'QTR Raw'!AT72</f>
        <v>15270</v>
      </c>
      <c r="CA135" s="23">
        <f t="shared" si="1170"/>
        <v>15270</v>
      </c>
      <c r="CB135" s="23">
        <f>+'QTR Raw'!AV72</f>
        <v>14904</v>
      </c>
      <c r="CC135" s="23">
        <f t="shared" si="1170"/>
        <v>14904</v>
      </c>
      <c r="CD135" s="23">
        <f>+'QTR Raw'!AX72</f>
        <v>14989</v>
      </c>
      <c r="CE135" s="23">
        <f t="shared" si="1170"/>
        <v>14989</v>
      </c>
      <c r="CF135" s="23">
        <f>+'QTR Raw'!AZ72</f>
        <v>14763</v>
      </c>
      <c r="CG135" s="23">
        <f t="shared" si="1168"/>
        <v>14763</v>
      </c>
      <c r="CH135" s="23">
        <f t="shared" si="1156"/>
        <v>24530</v>
      </c>
      <c r="CI135" s="23">
        <f t="shared" si="1168"/>
        <v>24530</v>
      </c>
      <c r="CJ135" s="23">
        <f>+'QTR Raw'!BD72</f>
        <v>24572</v>
      </c>
      <c r="CK135" s="23">
        <f t="shared" ref="CK135:CK137" si="1171">+CJ135</f>
        <v>24572</v>
      </c>
      <c r="CL135" s="23">
        <f>+'QTR Raw'!BF72</f>
        <v>28462</v>
      </c>
      <c r="CM135" s="24">
        <f t="shared" ref="CM135:CM137" si="1172">+CL135</f>
        <v>28462</v>
      </c>
      <c r="CN135" s="24">
        <f t="shared" ref="CN135:CN137" si="1173">+CM135</f>
        <v>28462</v>
      </c>
      <c r="CO135" s="24">
        <f t="shared" ref="CO135:CO137" si="1174">+CN135</f>
        <v>28462</v>
      </c>
      <c r="CP135" s="24">
        <f t="shared" ref="CP135:CP137" si="1175">+CO135</f>
        <v>28462</v>
      </c>
      <c r="CQ135" s="24">
        <f t="shared" ref="CQ135:CQ137" si="1176">+CP135</f>
        <v>28462</v>
      </c>
      <c r="CR135" s="24">
        <f t="shared" ref="CR135:CR137" si="1177">+CQ135</f>
        <v>28462</v>
      </c>
      <c r="CS135" s="24">
        <f t="shared" ref="CS135:CS137" si="1178">+CR135</f>
        <v>28462</v>
      </c>
      <c r="CT135" s="24">
        <f t="shared" ref="CT135:CT137" si="1179">+CS135</f>
        <v>28462</v>
      </c>
      <c r="CU135" s="24">
        <f t="shared" ref="CU135:CU137" si="1180">+CT135</f>
        <v>28462</v>
      </c>
      <c r="CV135" s="24">
        <f t="shared" ref="CV135:CV137" si="1181">+CU135</f>
        <v>28462</v>
      </c>
      <c r="CW135" s="24">
        <f t="shared" ref="CW135:CW137" si="1182">+CV135</f>
        <v>28462</v>
      </c>
      <c r="CX135" s="24">
        <f t="shared" ref="CX135:CX137" si="1183">+CW135</f>
        <v>28462</v>
      </c>
      <c r="CY135" s="24">
        <f t="shared" ref="CY135:CY137" si="1184">+CX135</f>
        <v>28462</v>
      </c>
      <c r="CZ135" s="24">
        <f t="shared" ref="CZ135:CZ137" si="1185">+CY135</f>
        <v>28462</v>
      </c>
      <c r="DA135" s="24">
        <f t="shared" ref="DA135:DA137" si="1186">+CZ135</f>
        <v>28462</v>
      </c>
      <c r="DB135" s="24">
        <f t="shared" ref="DB135:DB137" si="1187">+DA135</f>
        <v>28462</v>
      </c>
      <c r="DE135" s="123"/>
      <c r="DF135" s="23">
        <v>24572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22835</v>
      </c>
      <c r="M136" s="23">
        <f>'Annual Raw'!N68</f>
        <v>18868</v>
      </c>
      <c r="N136" s="23">
        <f>'Annual Raw'!O68</f>
        <v>32761</v>
      </c>
      <c r="O136" s="23">
        <f>'Annual Raw'!P68</f>
        <v>42848</v>
      </c>
      <c r="P136" s="23">
        <f>'Annual Raw'!Q68</f>
        <v>60206</v>
      </c>
      <c r="Q136" s="23">
        <f>'Annual Raw'!R68</f>
        <v>58300</v>
      </c>
      <c r="R136" s="23">
        <f>'Annual Raw'!S68</f>
        <v>74460</v>
      </c>
      <c r="S136" s="23">
        <f>'Annual Raw'!T68</f>
        <v>20802</v>
      </c>
      <c r="T136" s="23">
        <f>'Annual Raw'!U68</f>
        <v>29285</v>
      </c>
      <c r="U136" s="23">
        <f>'Annual Raw'!V68</f>
        <v>50010</v>
      </c>
      <c r="V136" s="23">
        <f>'Annual Raw'!W68</f>
        <v>54782</v>
      </c>
      <c r="W136" s="23">
        <f>'Annual Raw'!X68</f>
        <v>104454</v>
      </c>
      <c r="X136" s="23">
        <f>'Annual Raw'!Y68</f>
        <v>176493</v>
      </c>
      <c r="Y136" s="23">
        <f>'Annual Raw'!Z68</f>
        <v>186473</v>
      </c>
      <c r="Z136" s="23">
        <f>'Annual Raw'!AA68</f>
        <v>92648</v>
      </c>
      <c r="AA136" s="24">
        <f t="shared" si="1151"/>
        <v>0</v>
      </c>
      <c r="AB136" s="24">
        <f t="shared" si="1152"/>
        <v>0</v>
      </c>
      <c r="AC136" s="24">
        <f t="shared" si="1153"/>
        <v>0</v>
      </c>
      <c r="AD136" s="24">
        <f t="shared" si="1154"/>
        <v>0</v>
      </c>
      <c r="AE136" s="24">
        <f t="shared" si="1155"/>
        <v>0</v>
      </c>
      <c r="AK136" s="23">
        <f t="shared" si="1170"/>
        <v>0</v>
      </c>
      <c r="AM136" s="23">
        <f t="shared" si="1170"/>
        <v>0</v>
      </c>
      <c r="AO136" s="23">
        <f t="shared" si="1170"/>
        <v>0</v>
      </c>
      <c r="AQ136" s="23">
        <f t="shared" si="1170"/>
        <v>0</v>
      </c>
      <c r="AS136" s="23">
        <f t="shared" si="1170"/>
        <v>0</v>
      </c>
      <c r="AU136" s="23">
        <f t="shared" si="1170"/>
        <v>0</v>
      </c>
      <c r="AW136" s="23">
        <f t="shared" si="1170"/>
        <v>0</v>
      </c>
      <c r="AY136" s="23">
        <f t="shared" si="1170"/>
        <v>0</v>
      </c>
      <c r="BA136" s="23">
        <f t="shared" si="1170"/>
        <v>0</v>
      </c>
      <c r="BC136" s="23">
        <f t="shared" si="1170"/>
        <v>0</v>
      </c>
      <c r="BE136" s="23">
        <f t="shared" si="1170"/>
        <v>0</v>
      </c>
      <c r="BG136" s="23">
        <f t="shared" si="1170"/>
        <v>0</v>
      </c>
      <c r="BI136" s="23">
        <f t="shared" si="1170"/>
        <v>0</v>
      </c>
      <c r="BK136" s="23">
        <f t="shared" si="1170"/>
        <v>0</v>
      </c>
      <c r="BM136" s="23">
        <f t="shared" si="1170"/>
        <v>0</v>
      </c>
      <c r="BO136" s="23">
        <f t="shared" si="1170"/>
        <v>0</v>
      </c>
      <c r="BQ136" s="23">
        <f t="shared" si="1170"/>
        <v>0</v>
      </c>
      <c r="BS136" s="23">
        <f t="shared" si="1170"/>
        <v>0</v>
      </c>
      <c r="BU136" s="23">
        <f t="shared" si="1170"/>
        <v>0</v>
      </c>
      <c r="BW136" s="23">
        <f t="shared" si="1170"/>
        <v>0</v>
      </c>
      <c r="BY136" s="23">
        <f t="shared" si="1170"/>
        <v>0</v>
      </c>
      <c r="CA136" s="23">
        <f t="shared" si="1170"/>
        <v>0</v>
      </c>
      <c r="CC136" s="23">
        <f t="shared" si="1170"/>
        <v>0</v>
      </c>
      <c r="CE136" s="23">
        <f t="shared" si="1170"/>
        <v>0</v>
      </c>
      <c r="CG136" s="23">
        <f t="shared" si="1168"/>
        <v>0</v>
      </c>
      <c r="CH136" s="23">
        <f t="shared" si="1156"/>
        <v>92648</v>
      </c>
      <c r="CI136" s="23">
        <f t="shared" si="1168"/>
        <v>92648</v>
      </c>
      <c r="CK136" s="23">
        <f t="shared" si="1171"/>
        <v>0</v>
      </c>
      <c r="CM136" s="24">
        <f t="shared" si="1172"/>
        <v>0</v>
      </c>
      <c r="CN136" s="24">
        <f t="shared" si="1173"/>
        <v>0</v>
      </c>
      <c r="CO136" s="24">
        <f t="shared" si="1174"/>
        <v>0</v>
      </c>
      <c r="CP136" s="24">
        <f t="shared" si="1175"/>
        <v>0</v>
      </c>
      <c r="CQ136" s="24">
        <f t="shared" si="1176"/>
        <v>0</v>
      </c>
      <c r="CR136" s="24">
        <f t="shared" si="1177"/>
        <v>0</v>
      </c>
      <c r="CS136" s="24">
        <f t="shared" si="1178"/>
        <v>0</v>
      </c>
      <c r="CT136" s="24">
        <f t="shared" si="1179"/>
        <v>0</v>
      </c>
      <c r="CU136" s="24">
        <f t="shared" si="1180"/>
        <v>0</v>
      </c>
      <c r="CV136" s="24">
        <f t="shared" si="1181"/>
        <v>0</v>
      </c>
      <c r="CW136" s="24">
        <f t="shared" si="1182"/>
        <v>0</v>
      </c>
      <c r="CX136" s="24">
        <f t="shared" si="1183"/>
        <v>0</v>
      </c>
      <c r="CY136" s="24">
        <f t="shared" si="1184"/>
        <v>0</v>
      </c>
      <c r="CZ136" s="24">
        <f t="shared" si="1185"/>
        <v>0</v>
      </c>
      <c r="DA136" s="24">
        <f t="shared" si="1186"/>
        <v>0</v>
      </c>
      <c r="DB136" s="24">
        <f t="shared" si="1187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512.38</v>
      </c>
      <c r="C137" s="23">
        <f>'Annual Raw'!D67+'Annual Raw'!D66+'Annual Raw'!D69+'Annual Raw'!D70</f>
        <v>1533.31</v>
      </c>
      <c r="D137" s="23">
        <f>'Annual Raw'!E67+'Annual Raw'!E66+'Annual Raw'!E69+'Annual Raw'!E70</f>
        <v>2010.63</v>
      </c>
      <c r="E137" s="23">
        <f>'Annual Raw'!F67+'Annual Raw'!F66+'Annual Raw'!F69+'Annual Raw'!F70</f>
        <v>3388.19</v>
      </c>
      <c r="F137" s="23">
        <f>'Annual Raw'!G67+'Annual Raw'!G66+'Annual Raw'!G69+'Annual Raw'!G70</f>
        <v>4870.57</v>
      </c>
      <c r="G137" s="23">
        <f>'Annual Raw'!H67+'Annual Raw'!H66+'Annual Raw'!H69+'Annual Raw'!H70</f>
        <v>8896.1999999999989</v>
      </c>
      <c r="H137" s="23">
        <f>'Annual Raw'!I67+'Annual Raw'!I66+'Annual Raw'!I69+'Annual Raw'!I70</f>
        <v>29323.71</v>
      </c>
      <c r="I137" s="23">
        <f>'Annual Raw'!J67+'Annual Raw'!J66+'Annual Raw'!J69+'Annual Raw'!J70</f>
        <v>49884.1</v>
      </c>
      <c r="J137" s="23">
        <f>'Annual Raw'!K67+'Annual Raw'!K66+'Annual Raw'!K69+'Annual Raw'!K70</f>
        <v>73845.97</v>
      </c>
      <c r="K137" s="23">
        <f>'Annual Raw'!L67+'Annual Raw'!L66+'Annual Raw'!L69+'Annual Raw'!L70</f>
        <v>17033.68</v>
      </c>
      <c r="L137" s="23">
        <f>'Annual Raw'!M67+'Annual Raw'!M66+'Annual Raw'!M69+'Annual Raw'!M70</f>
        <v>5339</v>
      </c>
      <c r="M137" s="23">
        <f>'Annual Raw'!N67+'Annual Raw'!N66+'Annual Raw'!N69+'Annual Raw'!N70</f>
        <v>6495</v>
      </c>
      <c r="N137" s="23">
        <f>'Annual Raw'!O67+'Annual Raw'!O66+'Annual Raw'!O69+'Annual Raw'!O70</f>
        <v>17191</v>
      </c>
      <c r="O137" s="23">
        <f>'Annual Raw'!P67+'Annual Raw'!P66+'Annual Raw'!P69+'Annual Raw'!P70</f>
        <v>48646</v>
      </c>
      <c r="P137" s="23">
        <f>'Annual Raw'!Q67+'Annual Raw'!Q66+'Annual Raw'!Q69+'Annual Raw'!Q70</f>
        <v>106256</v>
      </c>
      <c r="Q137" s="23">
        <f>'Annual Raw'!R67+'Annual Raw'!R66+'Annual Raw'!R69+'Annual Raw'!R70</f>
        <v>170397</v>
      </c>
      <c r="R137" s="23">
        <f>'Annual Raw'!S67+'Annual Raw'!S66+'Annual Raw'!S69+'Annual Raw'!S70</f>
        <v>250377</v>
      </c>
      <c r="S137" s="23">
        <f>'Annual Raw'!T67+'Annual Raw'!T66+'Annual Raw'!T69+'Annual Raw'!T70</f>
        <v>166220</v>
      </c>
      <c r="T137" s="23">
        <f>'Annual Raw'!U67+'Annual Raw'!U66+'Annual Raw'!U69+'Annual Raw'!U70</f>
        <v>150178</v>
      </c>
      <c r="U137" s="23">
        <f>'Annual Raw'!V67+'Annual Raw'!V66+'Annual Raw'!V69+'Annual Raw'!V70</f>
        <v>59096</v>
      </c>
      <c r="V137" s="23">
        <f>'Annual Raw'!W67+'Annual Raw'!W66+'Annual Raw'!W69+'Annual Raw'!W70</f>
        <v>71171</v>
      </c>
      <c r="W137" s="23">
        <f>'Annual Raw'!X67+'Annual Raw'!X66+'Annual Raw'!X69+'Annual Raw'!X70</f>
        <v>68052</v>
      </c>
      <c r="X137" s="23">
        <f>'Annual Raw'!Y67+'Annual Raw'!Y66+'Annual Raw'!Y69+'Annual Raw'!Y70</f>
        <v>117259</v>
      </c>
      <c r="Y137" s="23">
        <f>'Annual Raw'!Z67+'Annual Raw'!Z66+'Annual Raw'!Z69+'Annual Raw'!Z70</f>
        <v>152382</v>
      </c>
      <c r="Z137" s="23">
        <f>'Annual Raw'!AA67+'Annual Raw'!AA66+'Annual Raw'!AA69+'Annual Raw'!AA70</f>
        <v>169710</v>
      </c>
      <c r="AA137" s="24">
        <f t="shared" si="1151"/>
        <v>192287</v>
      </c>
      <c r="AB137" s="24">
        <f t="shared" si="1152"/>
        <v>192287</v>
      </c>
      <c r="AC137" s="24">
        <f t="shared" si="1153"/>
        <v>192287</v>
      </c>
      <c r="AD137" s="24">
        <f t="shared" si="1154"/>
        <v>192287</v>
      </c>
      <c r="AE137" s="24">
        <f t="shared" si="1155"/>
        <v>192287</v>
      </c>
      <c r="AJ137" s="23">
        <f>+'QTR Raw'!D74+'QTR Raw'!D75</f>
        <v>0</v>
      </c>
      <c r="AK137" s="23">
        <f t="shared" si="1170"/>
        <v>0</v>
      </c>
      <c r="AL137" s="23">
        <f>+'QTR Raw'!F74+'QTR Raw'!F75</f>
        <v>0</v>
      </c>
      <c r="AM137" s="23">
        <f t="shared" si="1170"/>
        <v>0</v>
      </c>
      <c r="AN137" s="23">
        <f>+'QTR Raw'!H74+'QTR Raw'!H75</f>
        <v>0</v>
      </c>
      <c r="AO137" s="23">
        <f t="shared" si="1170"/>
        <v>0</v>
      </c>
      <c r="AP137" s="23">
        <f>+'QTR Raw'!J74+'QTR Raw'!J75</f>
        <v>0</v>
      </c>
      <c r="AQ137" s="23">
        <f t="shared" si="1170"/>
        <v>0</v>
      </c>
      <c r="AR137" s="23">
        <f>+'QTR Raw'!L74+'QTR Raw'!L75</f>
        <v>0</v>
      </c>
      <c r="AS137" s="23">
        <f t="shared" si="1170"/>
        <v>0</v>
      </c>
      <c r="AT137" s="23">
        <f>+'QTR Raw'!N74+'QTR Raw'!N75</f>
        <v>0</v>
      </c>
      <c r="AU137" s="23">
        <f t="shared" si="1170"/>
        <v>0</v>
      </c>
      <c r="AV137" s="23">
        <f>+'QTR Raw'!P74+'QTR Raw'!P75</f>
        <v>0</v>
      </c>
      <c r="AW137" s="23">
        <f t="shared" si="1170"/>
        <v>0</v>
      </c>
      <c r="AX137" s="23">
        <f>+'QTR Raw'!R74+'QTR Raw'!R75</f>
        <v>170397</v>
      </c>
      <c r="AY137" s="23">
        <f t="shared" si="1170"/>
        <v>170397</v>
      </c>
      <c r="AZ137" s="23">
        <f>+'QTR Raw'!T74+'QTR Raw'!T75</f>
        <v>205571</v>
      </c>
      <c r="BA137" s="23">
        <f t="shared" si="1170"/>
        <v>205571</v>
      </c>
      <c r="BB137" s="23">
        <f>+'QTR Raw'!V74+'QTR Raw'!V75</f>
        <v>250377</v>
      </c>
      <c r="BC137" s="23">
        <f t="shared" si="1170"/>
        <v>250377</v>
      </c>
      <c r="BD137" s="23">
        <f>+'QTR Raw'!X74+'QTR Raw'!X75</f>
        <v>190001</v>
      </c>
      <c r="BE137" s="23">
        <f t="shared" si="1170"/>
        <v>190001</v>
      </c>
      <c r="BF137" s="23">
        <f>+'QTR Raw'!Z74+'QTR Raw'!Z75</f>
        <v>166220</v>
      </c>
      <c r="BG137" s="23">
        <f t="shared" si="1170"/>
        <v>166220</v>
      </c>
      <c r="BH137" s="23">
        <f>+'QTR Raw'!AB74+'QTR Raw'!AB75</f>
        <v>197543</v>
      </c>
      <c r="BI137" s="23">
        <f t="shared" si="1170"/>
        <v>197543</v>
      </c>
      <c r="BJ137" s="23">
        <f>+'QTR Raw'!AD74+'QTR Raw'!AD75</f>
        <v>150178</v>
      </c>
      <c r="BK137" s="23">
        <f t="shared" si="1170"/>
        <v>150178</v>
      </c>
      <c r="BL137" s="23">
        <f>+'QTR Raw'!AF74+'QTR Raw'!AF75</f>
        <v>138705</v>
      </c>
      <c r="BM137" s="23">
        <f t="shared" si="1170"/>
        <v>138705</v>
      </c>
      <c r="BN137" s="23">
        <f>+'QTR Raw'!AH74+'QTR Raw'!AH75</f>
        <v>59096</v>
      </c>
      <c r="BO137" s="23">
        <f t="shared" si="1170"/>
        <v>59096</v>
      </c>
      <c r="BP137" s="23">
        <f>+'QTR Raw'!AJ74+'QTR Raw'!AJ75</f>
        <v>66680</v>
      </c>
      <c r="BQ137" s="23">
        <f t="shared" si="1170"/>
        <v>66680</v>
      </c>
      <c r="BR137" s="23">
        <f>+'QTR Raw'!AL74+'QTR Raw'!AL75</f>
        <v>71171</v>
      </c>
      <c r="BS137" s="23">
        <f t="shared" si="1170"/>
        <v>71171</v>
      </c>
      <c r="BT137" s="23">
        <f>+'QTR Raw'!AN74+'QTR Raw'!AN75</f>
        <v>77685</v>
      </c>
      <c r="BU137" s="23">
        <f t="shared" si="1170"/>
        <v>77685</v>
      </c>
      <c r="BV137" s="23">
        <f>+'QTR Raw'!AP74+'QTR Raw'!AP75</f>
        <v>68052</v>
      </c>
      <c r="BW137" s="23">
        <f t="shared" si="1170"/>
        <v>68052</v>
      </c>
      <c r="BX137" s="23">
        <f>+'QTR Raw'!AR74+'QTR Raw'!AR75</f>
        <v>82199</v>
      </c>
      <c r="BY137" s="23">
        <f t="shared" si="1170"/>
        <v>82199</v>
      </c>
      <c r="BZ137" s="23">
        <f>+'QTR Raw'!AT74+'QTR Raw'!AT75</f>
        <v>117259</v>
      </c>
      <c r="CA137" s="23">
        <f t="shared" si="1170"/>
        <v>117259</v>
      </c>
      <c r="CB137" s="23">
        <f>+'QTR Raw'!AV74+'QTR Raw'!AV75</f>
        <v>161344</v>
      </c>
      <c r="CC137" s="23">
        <f t="shared" si="1170"/>
        <v>161344</v>
      </c>
      <c r="CD137" s="23">
        <f>+'QTR Raw'!AX74+'QTR Raw'!AX75</f>
        <v>152382</v>
      </c>
      <c r="CE137" s="23">
        <f t="shared" si="1170"/>
        <v>152382</v>
      </c>
      <c r="CF137" s="23">
        <f>+'QTR Raw'!AZ74+'QTR Raw'!AZ75</f>
        <v>198873</v>
      </c>
      <c r="CG137" s="23">
        <f t="shared" si="1168"/>
        <v>198873</v>
      </c>
      <c r="CH137" s="23">
        <f t="shared" si="1156"/>
        <v>169710</v>
      </c>
      <c r="CI137" s="23">
        <f t="shared" si="1168"/>
        <v>169710</v>
      </c>
      <c r="CJ137" s="23">
        <f>+'QTR Raw'!BD74+'QTR Raw'!BD75</f>
        <v>217097</v>
      </c>
      <c r="CK137" s="23">
        <f t="shared" si="1171"/>
        <v>217097</v>
      </c>
      <c r="CL137" s="23">
        <f>+'QTR Raw'!BF74+'QTR Raw'!BF75</f>
        <v>192287</v>
      </c>
      <c r="CM137" s="24">
        <f t="shared" si="1172"/>
        <v>192287</v>
      </c>
      <c r="CN137" s="24">
        <f t="shared" si="1173"/>
        <v>192287</v>
      </c>
      <c r="CO137" s="24">
        <f t="shared" si="1174"/>
        <v>192287</v>
      </c>
      <c r="CP137" s="24">
        <f t="shared" si="1175"/>
        <v>192287</v>
      </c>
      <c r="CQ137" s="24">
        <f t="shared" si="1176"/>
        <v>192287</v>
      </c>
      <c r="CR137" s="24">
        <f t="shared" si="1177"/>
        <v>192287</v>
      </c>
      <c r="CS137" s="24">
        <f t="shared" si="1178"/>
        <v>192287</v>
      </c>
      <c r="CT137" s="24">
        <f t="shared" si="1179"/>
        <v>192287</v>
      </c>
      <c r="CU137" s="24">
        <f t="shared" si="1180"/>
        <v>192287</v>
      </c>
      <c r="CV137" s="24">
        <f t="shared" si="1181"/>
        <v>192287</v>
      </c>
      <c r="CW137" s="24">
        <f t="shared" si="1182"/>
        <v>192287</v>
      </c>
      <c r="CX137" s="24">
        <f t="shared" si="1183"/>
        <v>192287</v>
      </c>
      <c r="CY137" s="24">
        <f t="shared" si="1184"/>
        <v>192287</v>
      </c>
      <c r="CZ137" s="24">
        <f t="shared" si="1185"/>
        <v>192287</v>
      </c>
      <c r="DA137" s="24">
        <f t="shared" si="1186"/>
        <v>192287</v>
      </c>
      <c r="DB137" s="24">
        <f t="shared" si="1187"/>
        <v>192287</v>
      </c>
      <c r="DE137" s="123"/>
      <c r="DF137" s="23">
        <v>217097</v>
      </c>
    </row>
    <row r="138" spans="1:110" s="22" customFormat="1" x14ac:dyDescent="0.2">
      <c r="A138" s="22" t="s">
        <v>57</v>
      </c>
      <c r="B138" s="22">
        <f>B134+B137+B136</f>
        <v>14026.84</v>
      </c>
      <c r="C138" s="22">
        <f t="shared" ref="C138:D138" si="1188">C134+C137+C136</f>
        <v>33183.839999999997</v>
      </c>
      <c r="D138" s="22">
        <f t="shared" si="1188"/>
        <v>34146.93</v>
      </c>
      <c r="E138" s="22">
        <f t="shared" ref="E138:Y138" si="1189">E134+E137+E136+E135</f>
        <v>35244.089999999997</v>
      </c>
      <c r="F138" s="22">
        <f t="shared" si="1189"/>
        <v>35124.69</v>
      </c>
      <c r="G138" s="22">
        <f t="shared" si="1189"/>
        <v>65186.869999999995</v>
      </c>
      <c r="H138" s="22">
        <f t="shared" si="1189"/>
        <v>94146.26999999999</v>
      </c>
      <c r="I138" s="22">
        <f t="shared" si="1189"/>
        <v>113945.20999999999</v>
      </c>
      <c r="J138" s="22">
        <f t="shared" si="1189"/>
        <v>180890.16999999998</v>
      </c>
      <c r="K138" s="22">
        <f t="shared" si="1189"/>
        <v>177224.93</v>
      </c>
      <c r="L138" s="22">
        <f t="shared" si="1189"/>
        <v>186274</v>
      </c>
      <c r="M138" s="22">
        <f t="shared" si="1189"/>
        <v>164177</v>
      </c>
      <c r="N138" s="22">
        <f t="shared" si="1189"/>
        <v>183439</v>
      </c>
      <c r="O138" s="22">
        <f t="shared" si="1189"/>
        <v>232911</v>
      </c>
      <c r="P138" s="22">
        <f t="shared" si="1189"/>
        <v>322920</v>
      </c>
      <c r="Q138" s="22">
        <f t="shared" si="1189"/>
        <v>413607</v>
      </c>
      <c r="R138" s="22">
        <f t="shared" si="1189"/>
        <v>523363</v>
      </c>
      <c r="S138" s="22">
        <f t="shared" si="1189"/>
        <v>590907</v>
      </c>
      <c r="T138" s="22">
        <f t="shared" si="1189"/>
        <v>577837</v>
      </c>
      <c r="U138" s="22">
        <f t="shared" si="1189"/>
        <v>641764</v>
      </c>
      <c r="V138" s="22">
        <f t="shared" si="1189"/>
        <v>667211</v>
      </c>
      <c r="W138" s="22">
        <f t="shared" si="1189"/>
        <v>800304</v>
      </c>
      <c r="X138" s="22">
        <f t="shared" si="1189"/>
        <v>1018557</v>
      </c>
      <c r="Y138" s="22">
        <f t="shared" si="1189"/>
        <v>1118840</v>
      </c>
      <c r="Z138" s="22">
        <f>Z134+Z137+Z136+Z135</f>
        <v>1261751</v>
      </c>
      <c r="AA138" s="161">
        <f>AA134+AA137+AA136+AA135</f>
        <v>1165750</v>
      </c>
      <c r="AB138" s="161">
        <f t="shared" ref="AB138:AE138" si="1190">AB134+AB137+AB136+AB135</f>
        <v>1181598.5588943148</v>
      </c>
      <c r="AC138" s="161">
        <f t="shared" si="1190"/>
        <v>1196404.7960409527</v>
      </c>
      <c r="AD138" s="161">
        <f t="shared" si="1190"/>
        <v>1210237.2624440093</v>
      </c>
      <c r="AE138" s="161">
        <f t="shared" si="1190"/>
        <v>1223160.0006722799</v>
      </c>
      <c r="AJ138" s="22">
        <f t="shared" ref="AJ138" si="1191">AJ134+AJ137+AJ135+AJ136</f>
        <v>124061</v>
      </c>
      <c r="AK138" s="22">
        <f t="shared" ref="AK138" si="1192">AK134+AK137+AK135+AK136</f>
        <v>124061</v>
      </c>
      <c r="AL138" s="22">
        <f t="shared" ref="AL138:AM138" si="1193">AL134+AL137+AL135+AL136</f>
        <v>183439</v>
      </c>
      <c r="AM138" s="22">
        <f t="shared" si="1193"/>
        <v>183439</v>
      </c>
      <c r="AN138" s="22">
        <f t="shared" ref="AN138:AO138" si="1194">AN134+AN137+AN135+AN136</f>
        <v>143039</v>
      </c>
      <c r="AO138" s="22">
        <f t="shared" si="1194"/>
        <v>143039</v>
      </c>
      <c r="AP138" s="22">
        <f t="shared" ref="AP138:CE138" si="1195">AP134+AP137+AP135+AP136</f>
        <v>232911</v>
      </c>
      <c r="AQ138" s="22">
        <f t="shared" si="1195"/>
        <v>232911</v>
      </c>
      <c r="AR138" s="22">
        <f t="shared" si="1195"/>
        <v>276077</v>
      </c>
      <c r="AS138" s="22">
        <f t="shared" si="1195"/>
        <v>276077</v>
      </c>
      <c r="AT138" s="22">
        <f t="shared" si="1195"/>
        <v>322920</v>
      </c>
      <c r="AU138" s="22">
        <f t="shared" si="1195"/>
        <v>322920</v>
      </c>
      <c r="AV138" s="22">
        <f t="shared" si="1195"/>
        <v>372121</v>
      </c>
      <c r="AW138" s="22">
        <f t="shared" si="1195"/>
        <v>372121</v>
      </c>
      <c r="AX138" s="22">
        <f t="shared" si="1195"/>
        <v>413607</v>
      </c>
      <c r="AY138" s="22">
        <f t="shared" si="1195"/>
        <v>413607</v>
      </c>
      <c r="AZ138" s="22">
        <f t="shared" si="1195"/>
        <v>469800</v>
      </c>
      <c r="BA138" s="22">
        <f t="shared" si="1195"/>
        <v>469800</v>
      </c>
      <c r="BB138" s="22">
        <f t="shared" si="1195"/>
        <v>523363</v>
      </c>
      <c r="BC138" s="22">
        <f t="shared" si="1195"/>
        <v>523363</v>
      </c>
      <c r="BD138" s="22">
        <f t="shared" si="1195"/>
        <v>558044</v>
      </c>
      <c r="BE138" s="22">
        <f t="shared" si="1195"/>
        <v>558044</v>
      </c>
      <c r="BF138" s="22">
        <f t="shared" si="1195"/>
        <v>590907</v>
      </c>
      <c r="BG138" s="22">
        <f t="shared" si="1195"/>
        <v>590907</v>
      </c>
      <c r="BH138" s="22">
        <f t="shared" si="1195"/>
        <v>655262</v>
      </c>
      <c r="BI138" s="22">
        <f t="shared" si="1195"/>
        <v>655262</v>
      </c>
      <c r="BJ138" s="22">
        <f t="shared" si="1195"/>
        <v>577837</v>
      </c>
      <c r="BK138" s="22">
        <f t="shared" si="1195"/>
        <v>577837</v>
      </c>
      <c r="BL138" s="22">
        <f t="shared" si="1195"/>
        <v>616504</v>
      </c>
      <c r="BM138" s="22">
        <f t="shared" si="1195"/>
        <v>616504</v>
      </c>
      <c r="BN138" s="22">
        <f t="shared" si="1195"/>
        <v>641764</v>
      </c>
      <c r="BO138" s="22">
        <f t="shared" si="1195"/>
        <v>641764</v>
      </c>
      <c r="BP138" s="22">
        <f t="shared" si="1195"/>
        <v>657268</v>
      </c>
      <c r="BQ138" s="22">
        <f t="shared" si="1195"/>
        <v>657268</v>
      </c>
      <c r="BR138" s="22">
        <f t="shared" si="1195"/>
        <v>667211</v>
      </c>
      <c r="BS138" s="22">
        <f t="shared" si="1195"/>
        <v>667211</v>
      </c>
      <c r="BT138" s="22">
        <f t="shared" si="1195"/>
        <v>753415</v>
      </c>
      <c r="BU138" s="22">
        <f t="shared" si="1195"/>
        <v>753415</v>
      </c>
      <c r="BV138" s="22">
        <f t="shared" si="1195"/>
        <v>691974</v>
      </c>
      <c r="BW138" s="22">
        <f t="shared" si="1195"/>
        <v>691974</v>
      </c>
      <c r="BX138" s="22">
        <f t="shared" si="1195"/>
        <v>938413</v>
      </c>
      <c r="BY138" s="22">
        <f t="shared" si="1195"/>
        <v>938413</v>
      </c>
      <c r="BZ138" s="22">
        <f t="shared" si="1195"/>
        <v>820849</v>
      </c>
      <c r="CA138" s="22">
        <f t="shared" si="1195"/>
        <v>820849</v>
      </c>
      <c r="CB138" s="22">
        <f t="shared" si="1195"/>
        <v>886750</v>
      </c>
      <c r="CC138" s="22">
        <f t="shared" si="1195"/>
        <v>886750</v>
      </c>
      <c r="CD138" s="22">
        <f t="shared" si="1195"/>
        <v>919386</v>
      </c>
      <c r="CE138" s="22">
        <f t="shared" si="1195"/>
        <v>919386</v>
      </c>
      <c r="CF138" s="22">
        <f t="shared" ref="CF138:CG138" si="1196">CF134+CF137+CF135+CF136</f>
        <v>966729</v>
      </c>
      <c r="CG138" s="22">
        <f t="shared" si="1196"/>
        <v>966729</v>
      </c>
      <c r="CH138" s="22">
        <f t="shared" ref="CH138:CJ138" si="1197">CH134+CH137+CH135+CH136</f>
        <v>1261751</v>
      </c>
      <c r="CI138" s="22">
        <f t="shared" si="1197"/>
        <v>1247909</v>
      </c>
      <c r="CJ138" s="22">
        <f t="shared" si="1197"/>
        <v>1114390</v>
      </c>
      <c r="CK138" s="22">
        <f t="shared" ref="CK138:DB138" si="1198">CK134+CK137+CK135+CK136</f>
        <v>1119768</v>
      </c>
      <c r="CL138" s="22">
        <f t="shared" si="1198"/>
        <v>1165750</v>
      </c>
      <c r="CM138" s="21">
        <f t="shared" si="1198"/>
        <v>1169813.7845983198</v>
      </c>
      <c r="CN138" s="21">
        <f t="shared" si="1198"/>
        <v>1173809.0387435448</v>
      </c>
      <c r="CO138" s="21">
        <f t="shared" si="1198"/>
        <v>1177736.9181128251</v>
      </c>
      <c r="CP138" s="21">
        <f t="shared" si="1198"/>
        <v>1181598.5588943148</v>
      </c>
      <c r="CQ138" s="21">
        <f t="shared" si="1198"/>
        <v>1185395.0781158297</v>
      </c>
      <c r="CR138" s="21">
        <f t="shared" si="1198"/>
        <v>1189127.5739679611</v>
      </c>
      <c r="CS138" s="21">
        <f t="shared" si="1198"/>
        <v>1192797.1261217417</v>
      </c>
      <c r="CT138" s="21">
        <f t="shared" si="1198"/>
        <v>1196404.7960409527</v>
      </c>
      <c r="CU138" s="21">
        <f t="shared" si="1198"/>
        <v>1199951.6272891667</v>
      </c>
      <c r="CV138" s="21">
        <f t="shared" si="1198"/>
        <v>1203438.6458316112</v>
      </c>
      <c r="CW138" s="21">
        <f t="shared" si="1198"/>
        <v>1206866.8603319414</v>
      </c>
      <c r="CX138" s="21">
        <f t="shared" si="1198"/>
        <v>1210237.2624440093</v>
      </c>
      <c r="CY138" s="21">
        <f t="shared" si="1198"/>
        <v>1213550.8270987114</v>
      </c>
      <c r="CZ138" s="21">
        <f t="shared" si="1198"/>
        <v>1216808.5127859996</v>
      </c>
      <c r="DA138" s="21">
        <f t="shared" si="1198"/>
        <v>1220011.2618321381</v>
      </c>
      <c r="DB138" s="21">
        <f t="shared" si="1198"/>
        <v>1223160.0006722799</v>
      </c>
      <c r="DE138" s="126"/>
      <c r="DF138" s="22">
        <v>1125055.8943236154</v>
      </c>
    </row>
    <row r="139" spans="1:110" s="23" customFormat="1" x14ac:dyDescent="0.2">
      <c r="AA139" s="24"/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6685.73</v>
      </c>
      <c r="C140" s="23">
        <f>'Annual Raw'!D71</f>
        <v>6986.9</v>
      </c>
      <c r="D140" s="23">
        <f>'Annual Raw'!E71</f>
        <v>10341.879999999999</v>
      </c>
      <c r="E140" s="23">
        <f>'Annual Raw'!F71</f>
        <v>18160.64</v>
      </c>
      <c r="F140" s="23">
        <f>'Annual Raw'!G71</f>
        <v>19572.7</v>
      </c>
      <c r="G140" s="23">
        <f>'Annual Raw'!H71</f>
        <v>3863.71</v>
      </c>
      <c r="H140" s="23">
        <f>'Annual Raw'!I71</f>
        <v>2025.93</v>
      </c>
      <c r="I140" s="23">
        <f>'Annual Raw'!J71</f>
        <v>3474.82</v>
      </c>
      <c r="J140" s="23">
        <f>'Annual Raw'!K71</f>
        <v>3561.97</v>
      </c>
      <c r="K140" s="23">
        <f>'Annual Raw'!L71</f>
        <v>4639.26</v>
      </c>
      <c r="L140" s="23">
        <f>'Annual Raw'!M71</f>
        <v>6911</v>
      </c>
      <c r="M140" s="23">
        <f>'Annual Raw'!N71</f>
        <v>11423</v>
      </c>
      <c r="N140" s="23">
        <f>'Annual Raw'!O71</f>
        <v>13979</v>
      </c>
      <c r="O140" s="23">
        <f>'Annual Raw'!P71</f>
        <v>26867</v>
      </c>
      <c r="P140" s="23">
        <f>'Annual Raw'!Q71</f>
        <v>25437</v>
      </c>
      <c r="Q140" s="23">
        <f>'Annual Raw'!R71</f>
        <v>41512</v>
      </c>
      <c r="R140" s="23">
        <f>'Annual Raw'!S71</f>
        <v>25639</v>
      </c>
      <c r="S140" s="23">
        <f>'Annual Raw'!T71</f>
        <v>25259</v>
      </c>
      <c r="T140" s="23">
        <f>'Annual Raw'!U71</f>
        <v>164612</v>
      </c>
      <c r="U140" s="23">
        <f>'Annual Raw'!V71</f>
        <v>203852</v>
      </c>
      <c r="V140" s="23">
        <f>'Annual Raw'!W71</f>
        <v>212382</v>
      </c>
      <c r="W140" s="23">
        <f>'Annual Raw'!X71</f>
        <v>286146</v>
      </c>
      <c r="X140" s="23">
        <f>'Annual Raw'!Y71</f>
        <v>117087</v>
      </c>
      <c r="Y140" s="23">
        <f>'Annual Raw'!Z71</f>
        <v>119502</v>
      </c>
      <c r="Z140" s="23">
        <f>'Annual Raw'!AA71</f>
        <v>123672</v>
      </c>
      <c r="AA140" s="24">
        <f>+CL140</f>
        <v>150901</v>
      </c>
      <c r="AB140" s="24">
        <f>+CP140</f>
        <v>150901</v>
      </c>
      <c r="AC140" s="24">
        <f>+CT140</f>
        <v>150901</v>
      </c>
      <c r="AD140" s="24">
        <f>+CX140</f>
        <v>150901</v>
      </c>
      <c r="AE140" s="24">
        <f>+DB140</f>
        <v>150901</v>
      </c>
      <c r="AJ140" s="23">
        <f>+'QTR Raw'!D77</f>
        <v>28788</v>
      </c>
      <c r="AK140" s="23">
        <f t="shared" ref="AK140:CE140" si="1199">+AJ140</f>
        <v>28788</v>
      </c>
      <c r="AL140" s="23">
        <f>+'QTR Raw'!F77</f>
        <v>13979</v>
      </c>
      <c r="AM140" s="23">
        <f t="shared" si="1199"/>
        <v>13979</v>
      </c>
      <c r="AN140" s="23">
        <f>+'QTR Raw'!H77</f>
        <v>31210</v>
      </c>
      <c r="AO140" s="23">
        <f t="shared" si="1199"/>
        <v>31210</v>
      </c>
      <c r="AP140" s="23">
        <f>+'QTR Raw'!J77</f>
        <v>26867</v>
      </c>
      <c r="AQ140" s="23">
        <f t="shared" si="1199"/>
        <v>26867</v>
      </c>
      <c r="AR140" s="23">
        <f>+'QTR Raw'!L77</f>
        <v>26469</v>
      </c>
      <c r="AS140" s="23">
        <f t="shared" si="1199"/>
        <v>26469</v>
      </c>
      <c r="AT140" s="23">
        <f>+'QTR Raw'!N77</f>
        <v>25437</v>
      </c>
      <c r="AU140" s="23">
        <f t="shared" si="1199"/>
        <v>25437</v>
      </c>
      <c r="AV140" s="23">
        <f>+'QTR Raw'!P77</f>
        <v>27439</v>
      </c>
      <c r="AW140" s="23">
        <f t="shared" si="1199"/>
        <v>27439</v>
      </c>
      <c r="AX140" s="23">
        <f>+'QTR Raw'!R77</f>
        <v>41512</v>
      </c>
      <c r="AY140" s="23">
        <f t="shared" si="1199"/>
        <v>41512</v>
      </c>
      <c r="AZ140" s="23">
        <f>+'QTR Raw'!T77</f>
        <v>38703</v>
      </c>
      <c r="BA140" s="23">
        <f t="shared" si="1199"/>
        <v>38703</v>
      </c>
      <c r="BB140" s="23">
        <f>+'QTR Raw'!V77</f>
        <v>25639</v>
      </c>
      <c r="BC140" s="23">
        <f t="shared" si="1199"/>
        <v>25639</v>
      </c>
      <c r="BD140" s="23">
        <f>+'QTR Raw'!X77</f>
        <v>22624</v>
      </c>
      <c r="BE140" s="23">
        <f t="shared" si="1199"/>
        <v>22624</v>
      </c>
      <c r="BF140" s="23">
        <f>+'QTR Raw'!Z77</f>
        <v>25259</v>
      </c>
      <c r="BG140" s="23">
        <f t="shared" si="1199"/>
        <v>25259</v>
      </c>
      <c r="BH140" s="23">
        <f>+'QTR Raw'!AB77</f>
        <v>25395</v>
      </c>
      <c r="BI140" s="23">
        <f t="shared" si="1199"/>
        <v>25395</v>
      </c>
      <c r="BJ140" s="23">
        <f>+'QTR Raw'!AD77</f>
        <v>164612</v>
      </c>
      <c r="BK140" s="23">
        <f t="shared" si="1199"/>
        <v>164612</v>
      </c>
      <c r="BL140" s="23">
        <f>+'QTR Raw'!AF77</f>
        <v>149062</v>
      </c>
      <c r="BM140" s="23">
        <f t="shared" si="1199"/>
        <v>149062</v>
      </c>
      <c r="BN140" s="23">
        <f>+'QTR Raw'!AH77</f>
        <v>203852</v>
      </c>
      <c r="BO140" s="23">
        <f t="shared" si="1199"/>
        <v>203852</v>
      </c>
      <c r="BP140" s="23">
        <f>+'QTR Raw'!AJ77</f>
        <v>228407</v>
      </c>
      <c r="BQ140" s="23">
        <f t="shared" si="1199"/>
        <v>228407</v>
      </c>
      <c r="BR140" s="23">
        <f>+'QTR Raw'!AL77</f>
        <v>212382</v>
      </c>
      <c r="BS140" s="23">
        <f t="shared" si="1199"/>
        <v>212382</v>
      </c>
      <c r="BT140" s="23">
        <f>+'QTR Raw'!AN77</f>
        <v>248693</v>
      </c>
      <c r="BU140" s="23">
        <f t="shared" si="1199"/>
        <v>248693</v>
      </c>
      <c r="BV140" s="23">
        <f>+'QTR Raw'!AP77</f>
        <v>286146</v>
      </c>
      <c r="BW140" s="23">
        <f t="shared" si="1199"/>
        <v>286146</v>
      </c>
      <c r="BX140" s="23">
        <f>+'QTR Raw'!AR77</f>
        <v>275108</v>
      </c>
      <c r="BY140" s="23">
        <f t="shared" si="1199"/>
        <v>275108</v>
      </c>
      <c r="BZ140" s="23">
        <f>+'QTR Raw'!AT77</f>
        <v>117087</v>
      </c>
      <c r="CA140" s="23">
        <f t="shared" si="1199"/>
        <v>117087</v>
      </c>
      <c r="CB140" s="23">
        <f>+'QTR Raw'!AV77</f>
        <v>111349</v>
      </c>
      <c r="CC140" s="23">
        <f t="shared" si="1199"/>
        <v>111349</v>
      </c>
      <c r="CD140" s="23">
        <f>+'QTR Raw'!AX77</f>
        <v>119502</v>
      </c>
      <c r="CE140" s="23">
        <f t="shared" si="1199"/>
        <v>119502</v>
      </c>
      <c r="CF140" s="23">
        <f>+'QTR Raw'!AZ77</f>
        <v>120122</v>
      </c>
      <c r="CG140" s="23">
        <f t="shared" ref="CG140:CI143" si="1200">+CF140</f>
        <v>120122</v>
      </c>
      <c r="CH140" s="23">
        <f t="shared" ref="CH140:CH155" si="1201">Z140</f>
        <v>123672</v>
      </c>
      <c r="CI140" s="23">
        <f t="shared" si="1200"/>
        <v>123672</v>
      </c>
      <c r="CJ140" s="23">
        <f>+'QTR Raw'!BD77</f>
        <v>143964</v>
      </c>
      <c r="CK140" s="23">
        <f t="shared" ref="CK140" si="1202">+CJ140</f>
        <v>143964</v>
      </c>
      <c r="CL140" s="23">
        <f>+'QTR Raw'!BF77</f>
        <v>150901</v>
      </c>
      <c r="CM140" s="24">
        <f t="shared" ref="CM140" si="1203">+CL140</f>
        <v>150901</v>
      </c>
      <c r="CN140" s="24">
        <f t="shared" ref="CN140" si="1204">+CM140</f>
        <v>150901</v>
      </c>
      <c r="CO140" s="24">
        <f t="shared" ref="CO140" si="1205">+CN140</f>
        <v>150901</v>
      </c>
      <c r="CP140" s="24">
        <f t="shared" ref="CP140" si="1206">+CO140</f>
        <v>150901</v>
      </c>
      <c r="CQ140" s="24">
        <f t="shared" ref="CQ140" si="1207">+CP140</f>
        <v>150901</v>
      </c>
      <c r="CR140" s="24">
        <f t="shared" ref="CR140" si="1208">+CQ140</f>
        <v>150901</v>
      </c>
      <c r="CS140" s="24">
        <f t="shared" ref="CS140" si="1209">+CR140</f>
        <v>150901</v>
      </c>
      <c r="CT140" s="24">
        <f t="shared" ref="CT140" si="1210">+CS140</f>
        <v>150901</v>
      </c>
      <c r="CU140" s="24">
        <f t="shared" ref="CU140" si="1211">+CT140</f>
        <v>150901</v>
      </c>
      <c r="CV140" s="24">
        <f t="shared" ref="CV140" si="1212">+CU140</f>
        <v>150901</v>
      </c>
      <c r="CW140" s="24">
        <f t="shared" ref="CW140" si="1213">+CV140</f>
        <v>150901</v>
      </c>
      <c r="CX140" s="24">
        <f t="shared" ref="CX140" si="1214">+CW140</f>
        <v>150901</v>
      </c>
      <c r="CY140" s="24">
        <f t="shared" ref="CY140" si="1215">+CX140</f>
        <v>150901</v>
      </c>
      <c r="CZ140" s="24">
        <f t="shared" ref="CZ140" si="1216">+CY140</f>
        <v>150901</v>
      </c>
      <c r="DA140" s="24">
        <f t="shared" ref="DA140" si="1217">+CZ140</f>
        <v>150901</v>
      </c>
      <c r="DB140" s="24">
        <f t="shared" ref="DB140" si="1218">+DA140</f>
        <v>150901</v>
      </c>
      <c r="DE140" s="123"/>
      <c r="DF140" s="23">
        <v>143964</v>
      </c>
    </row>
    <row r="141" spans="1:110" s="23" customFormat="1" x14ac:dyDescent="0.2">
      <c r="AA141" s="24"/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6839</v>
      </c>
      <c r="M142" s="23">
        <f>'Annual Raw'!N72+'Annual Raw'!N61</f>
        <v>6741</v>
      </c>
      <c r="N142" s="23">
        <f>'Annual Raw'!O72+'Annual Raw'!O61</f>
        <v>9025</v>
      </c>
      <c r="O142" s="23">
        <f>'Annual Raw'!P72+'Annual Raw'!P61</f>
        <v>17996</v>
      </c>
      <c r="P142" s="23">
        <f>'Annual Raw'!Q72+'Annual Raw'!Q61</f>
        <v>19538</v>
      </c>
      <c r="Q142" s="23">
        <f>'Annual Raw'!R72+'Annual Raw'!R61</f>
        <v>15752</v>
      </c>
      <c r="R142" s="23">
        <f>'Annual Raw'!S72+'Annual Raw'!S61</f>
        <v>10611</v>
      </c>
      <c r="S142" s="23">
        <f>'Annual Raw'!T72+'Annual Raw'!T61</f>
        <v>10202</v>
      </c>
      <c r="T142" s="23">
        <f>'Annual Raw'!U72+'Annual Raw'!U61</f>
        <v>14946</v>
      </c>
      <c r="U142" s="23">
        <f>'Annual Raw'!V72+'Annual Raw'!V61</f>
        <v>36597</v>
      </c>
      <c r="V142" s="23">
        <f>'Annual Raw'!W72+'Annual Raw'!W61</f>
        <v>30721</v>
      </c>
      <c r="W142" s="23">
        <f>'Annual Raw'!X72+'Annual Raw'!X61</f>
        <v>19926</v>
      </c>
      <c r="X142" s="23">
        <f>'Annual Raw'!Y72+'Annual Raw'!Y61</f>
        <v>17140</v>
      </c>
      <c r="Y142" s="23">
        <f>'Annual Raw'!Z72+'Annual Raw'!Z61</f>
        <v>17690</v>
      </c>
      <c r="Z142" s="23">
        <f>'Annual Raw'!AA72+'Annual Raw'!AA61</f>
        <v>22226</v>
      </c>
      <c r="AA142" s="24">
        <f t="shared" ref="AA142:AA147" si="1219">+CL142</f>
        <v>826</v>
      </c>
      <c r="AB142" s="24">
        <f t="shared" ref="AB142:AB147" si="1220">+CP142</f>
        <v>0</v>
      </c>
      <c r="AC142" s="24">
        <f t="shared" ref="AC142:AC147" si="1221">+CT142</f>
        <v>0</v>
      </c>
      <c r="AD142" s="24">
        <f t="shared" ref="AD142:AD147" si="1222">+CX142</f>
        <v>0</v>
      </c>
      <c r="AE142" s="24">
        <f t="shared" ref="AE142:AE147" si="1223">+DB142</f>
        <v>0</v>
      </c>
      <c r="AJ142" s="23">
        <f>+'QTR Raw'!D78</f>
        <v>15853</v>
      </c>
      <c r="AK142" s="23">
        <f t="shared" ref="AK142:CE147" si="1224">+AJ142</f>
        <v>15853</v>
      </c>
      <c r="AL142" s="23">
        <f>+'QTR Raw'!F78</f>
        <v>9025</v>
      </c>
      <c r="AM142" s="23">
        <f t="shared" si="1224"/>
        <v>9025</v>
      </c>
      <c r="AN142" s="23">
        <f>+'QTR Raw'!H78</f>
        <v>24549</v>
      </c>
      <c r="AO142" s="23">
        <f t="shared" si="1224"/>
        <v>24549</v>
      </c>
      <c r="AP142" s="23">
        <f>+'QTR Raw'!J78</f>
        <v>17996</v>
      </c>
      <c r="AQ142" s="23">
        <f t="shared" si="1224"/>
        <v>17996</v>
      </c>
      <c r="AR142" s="23">
        <f>+'QTR Raw'!L78</f>
        <v>16154</v>
      </c>
      <c r="AS142" s="23">
        <f t="shared" si="1224"/>
        <v>16154</v>
      </c>
      <c r="AT142" s="23">
        <f>+'QTR Raw'!N78</f>
        <v>19538</v>
      </c>
      <c r="AU142" s="23">
        <f t="shared" si="1224"/>
        <v>19538</v>
      </c>
      <c r="AV142" s="23">
        <f>+'QTR Raw'!P78</f>
        <v>14379</v>
      </c>
      <c r="AW142" s="23">
        <f t="shared" si="1224"/>
        <v>14379</v>
      </c>
      <c r="AX142" s="23">
        <f>+'QTR Raw'!R78</f>
        <v>2032</v>
      </c>
      <c r="AY142" s="23">
        <f t="shared" si="1224"/>
        <v>2032</v>
      </c>
      <c r="AZ142" s="23">
        <f>+'QTR Raw'!T78</f>
        <v>2253</v>
      </c>
      <c r="BA142" s="23">
        <f t="shared" si="1224"/>
        <v>2253</v>
      </c>
      <c r="BB142" s="23">
        <f>+'QTR Raw'!V78</f>
        <v>2708</v>
      </c>
      <c r="BC142" s="23">
        <f t="shared" si="1224"/>
        <v>2708</v>
      </c>
      <c r="BD142" s="23">
        <f>+'QTR Raw'!X78</f>
        <v>3125</v>
      </c>
      <c r="BE142" s="23">
        <f t="shared" si="1224"/>
        <v>3125</v>
      </c>
      <c r="BF142" s="23">
        <f>+'QTR Raw'!Z78</f>
        <v>2668</v>
      </c>
      <c r="BG142" s="23">
        <f t="shared" si="1224"/>
        <v>2668</v>
      </c>
      <c r="BH142" s="23">
        <f>+'QTR Raw'!AB78</f>
        <v>2369</v>
      </c>
      <c r="BI142" s="23">
        <f t="shared" si="1224"/>
        <v>2369</v>
      </c>
      <c r="BJ142" s="23">
        <f>+'QTR Raw'!AD78</f>
        <v>5452</v>
      </c>
      <c r="BK142" s="23">
        <f t="shared" si="1224"/>
        <v>5452</v>
      </c>
      <c r="BL142" s="23">
        <f>+'QTR Raw'!AF78</f>
        <v>20676</v>
      </c>
      <c r="BM142" s="23">
        <f t="shared" si="1224"/>
        <v>20676</v>
      </c>
      <c r="BN142" s="23">
        <f>+'QTR Raw'!AH78</f>
        <v>21732</v>
      </c>
      <c r="BO142" s="23">
        <f t="shared" si="1224"/>
        <v>21732</v>
      </c>
      <c r="BP142" s="23">
        <f>+'QTR Raw'!AJ78</f>
        <v>20517</v>
      </c>
      <c r="BQ142" s="23">
        <f t="shared" si="1224"/>
        <v>20517</v>
      </c>
      <c r="BR142" s="23">
        <f>+'QTR Raw'!AL78</f>
        <v>1117</v>
      </c>
      <c r="BS142" s="23">
        <f t="shared" si="1224"/>
        <v>1117</v>
      </c>
      <c r="BT142" s="23">
        <f>+'QTR Raw'!AN78</f>
        <v>861</v>
      </c>
      <c r="BU142" s="23">
        <f t="shared" si="1224"/>
        <v>861</v>
      </c>
      <c r="BV142" s="23">
        <f>+'QTR Raw'!AP78</f>
        <v>1588</v>
      </c>
      <c r="BW142" s="23">
        <f t="shared" si="1224"/>
        <v>1588</v>
      </c>
      <c r="BX142" s="23">
        <f>+'QTR Raw'!AR78</f>
        <v>1578</v>
      </c>
      <c r="BY142" s="23">
        <f t="shared" si="1224"/>
        <v>1578</v>
      </c>
      <c r="BZ142" s="23">
        <f>+'QTR Raw'!AT78</f>
        <v>1525</v>
      </c>
      <c r="CA142" s="23">
        <f t="shared" si="1224"/>
        <v>1525</v>
      </c>
      <c r="CB142" s="23">
        <f>+'QTR Raw'!AV78</f>
        <v>1552</v>
      </c>
      <c r="CC142" s="23">
        <f t="shared" si="1224"/>
        <v>1552</v>
      </c>
      <c r="CD142" s="23">
        <f>+'QTR Raw'!AX78</f>
        <v>899</v>
      </c>
      <c r="CE142" s="23">
        <f t="shared" si="1224"/>
        <v>899</v>
      </c>
      <c r="CF142" s="23">
        <f>+'QTR Raw'!AZ78</f>
        <v>750</v>
      </c>
      <c r="CG142" s="23">
        <f t="shared" si="1200"/>
        <v>750</v>
      </c>
      <c r="CH142" s="23">
        <f t="shared" si="1201"/>
        <v>22226</v>
      </c>
      <c r="CJ142" s="23">
        <f>+'QTR Raw'!BD78</f>
        <v>790</v>
      </c>
      <c r="CL142" s="23">
        <f>+'QTR Raw'!BF78</f>
        <v>826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14</v>
      </c>
      <c r="Q143" s="23">
        <f>'Annual Raw'!R73+'Annual Raw'!R81</f>
        <v>341</v>
      </c>
      <c r="R143" s="23">
        <f>'Annual Raw'!S73+'Annual Raw'!S81</f>
        <v>376</v>
      </c>
      <c r="S143" s="23">
        <f>'Annual Raw'!T73+'Annual Raw'!T81</f>
        <v>1119</v>
      </c>
      <c r="T143" s="23">
        <f>'Annual Raw'!U73+'Annual Raw'!U81</f>
        <v>12849</v>
      </c>
      <c r="U143" s="23">
        <f>'Annual Raw'!V73+'Annual Raw'!V81</f>
        <v>22542</v>
      </c>
      <c r="V143" s="23">
        <f>'Annual Raw'!W73+'Annual Raw'!W81</f>
        <v>36740</v>
      </c>
      <c r="W143" s="23">
        <f>'Annual Raw'!X73+'Annual Raw'!X81</f>
        <v>45227</v>
      </c>
      <c r="X143" s="23">
        <f>'Annual Raw'!Y73+'Annual Raw'!Y81</f>
        <v>27802</v>
      </c>
      <c r="Y143" s="23">
        <f>'Annual Raw'!Z73+'Annual Raw'!Z81</f>
        <v>28916</v>
      </c>
      <c r="Z143" s="23">
        <f>'Annual Raw'!AA73+'Annual Raw'!AA81</f>
        <v>42794</v>
      </c>
      <c r="AA143" s="24">
        <f t="shared" si="1219"/>
        <v>265820</v>
      </c>
      <c r="AB143" s="24">
        <f t="shared" si="1220"/>
        <v>0</v>
      </c>
      <c r="AC143" s="24">
        <f t="shared" si="1221"/>
        <v>0</v>
      </c>
      <c r="AD143" s="24">
        <f t="shared" si="1222"/>
        <v>0</v>
      </c>
      <c r="AE143" s="24">
        <f t="shared" si="1223"/>
        <v>0</v>
      </c>
      <c r="AJ143" s="23">
        <f>+'QTR Raw'!D79+'QTR Raw'!D76</f>
        <v>0</v>
      </c>
      <c r="AK143" s="23">
        <f t="shared" si="1224"/>
        <v>0</v>
      </c>
      <c r="AL143" s="23">
        <f>+'QTR Raw'!F79+'QTR Raw'!F76</f>
        <v>0</v>
      </c>
      <c r="AM143" s="23">
        <f t="shared" si="1224"/>
        <v>0</v>
      </c>
      <c r="AN143" s="23">
        <f>+'QTR Raw'!H79+'QTR Raw'!H76</f>
        <v>0</v>
      </c>
      <c r="AO143" s="23">
        <f t="shared" si="1224"/>
        <v>0</v>
      </c>
      <c r="AP143" s="23">
        <f>+'QTR Raw'!J79+'QTR Raw'!J76</f>
        <v>0</v>
      </c>
      <c r="AQ143" s="23">
        <f t="shared" si="1224"/>
        <v>0</v>
      </c>
      <c r="AR143" s="23">
        <f>+'QTR Raw'!L79+'QTR Raw'!L76</f>
        <v>4</v>
      </c>
      <c r="AS143" s="23">
        <f t="shared" si="1224"/>
        <v>4</v>
      </c>
      <c r="AT143" s="23">
        <f>+'QTR Raw'!N79+'QTR Raw'!N76</f>
        <v>14</v>
      </c>
      <c r="AU143" s="23">
        <f t="shared" si="1224"/>
        <v>14</v>
      </c>
      <c r="AV143" s="23">
        <f>+'QTR Raw'!P79+'QTR Raw'!P76</f>
        <v>17</v>
      </c>
      <c r="AW143" s="23">
        <f t="shared" si="1224"/>
        <v>17</v>
      </c>
      <c r="AX143" s="23">
        <f>+'QTR Raw'!R79+'QTR Raw'!R76</f>
        <v>14061</v>
      </c>
      <c r="AY143" s="23">
        <f t="shared" si="1224"/>
        <v>14061</v>
      </c>
      <c r="AZ143" s="23">
        <f>+'QTR Raw'!T79+'QTR Raw'!T76</f>
        <v>8975</v>
      </c>
      <c r="BA143" s="23">
        <f t="shared" si="1224"/>
        <v>8975</v>
      </c>
      <c r="BB143" s="23">
        <f>+'QTR Raw'!V79+'QTR Raw'!V76</f>
        <v>8279</v>
      </c>
      <c r="BC143" s="23">
        <f t="shared" si="1224"/>
        <v>8279</v>
      </c>
      <c r="BD143" s="23">
        <f>+'QTR Raw'!X79+'QTR Raw'!X76</f>
        <v>6427</v>
      </c>
      <c r="BE143" s="23">
        <f t="shared" si="1224"/>
        <v>6427</v>
      </c>
      <c r="BF143" s="23">
        <f>+'QTR Raw'!Z79+'QTR Raw'!Z76</f>
        <v>8653</v>
      </c>
      <c r="BG143" s="23">
        <f t="shared" si="1224"/>
        <v>8653</v>
      </c>
      <c r="BH143" s="23">
        <f>+'QTR Raw'!AB79+'QTR Raw'!AB76</f>
        <v>8365</v>
      </c>
      <c r="BI143" s="23">
        <f t="shared" si="1224"/>
        <v>8365</v>
      </c>
      <c r="BJ143" s="23">
        <f>+'QTR Raw'!AD79+'QTR Raw'!AD76</f>
        <v>17676</v>
      </c>
      <c r="BK143" s="23">
        <f t="shared" si="1224"/>
        <v>17676</v>
      </c>
      <c r="BL143" s="23">
        <f>+'QTR Raw'!AF79+'QTR Raw'!AF76</f>
        <v>36998</v>
      </c>
      <c r="BM143" s="23">
        <f t="shared" si="1224"/>
        <v>36998</v>
      </c>
      <c r="BN143" s="23">
        <f>+'QTR Raw'!AH79+'QTR Raw'!AH76</f>
        <v>37407</v>
      </c>
      <c r="BO143" s="23">
        <f t="shared" si="1224"/>
        <v>37407</v>
      </c>
      <c r="BP143" s="23">
        <f>+'QTR Raw'!AJ79+'QTR Raw'!AJ76</f>
        <v>30148</v>
      </c>
      <c r="BQ143" s="23">
        <f t="shared" si="1224"/>
        <v>30148</v>
      </c>
      <c r="BR143" s="23">
        <f>+'QTR Raw'!AL79+'QTR Raw'!AL76</f>
        <v>66344</v>
      </c>
      <c r="BS143" s="23">
        <f t="shared" si="1224"/>
        <v>66344</v>
      </c>
      <c r="BT143" s="23">
        <f>+'QTR Raw'!AN79+'QTR Raw'!AN76</f>
        <v>53841</v>
      </c>
      <c r="BU143" s="23">
        <f t="shared" si="1224"/>
        <v>53841</v>
      </c>
      <c r="BV143" s="23">
        <f>+'QTR Raw'!AP79+'QTR Raw'!AP76</f>
        <v>171895</v>
      </c>
      <c r="BW143" s="23">
        <f t="shared" si="1224"/>
        <v>171895</v>
      </c>
      <c r="BX143" s="23">
        <f>+'QTR Raw'!AR79+'QTR Raw'!AR76</f>
        <v>59573</v>
      </c>
      <c r="BY143" s="23">
        <f t="shared" si="1224"/>
        <v>59573</v>
      </c>
      <c r="BZ143" s="23">
        <f>+'QTR Raw'!AT79+'QTR Raw'!AT76</f>
        <v>241125</v>
      </c>
      <c r="CA143" s="23">
        <f t="shared" si="1224"/>
        <v>241125</v>
      </c>
      <c r="CB143" s="23">
        <f>+'QTR Raw'!AV79+'QTR Raw'!AV76</f>
        <v>241880</v>
      </c>
      <c r="CC143" s="23">
        <f t="shared" si="1224"/>
        <v>241880</v>
      </c>
      <c r="CD143" s="23">
        <f>+'QTR Raw'!AX79+'QTR Raw'!AX76</f>
        <v>245161</v>
      </c>
      <c r="CE143" s="23">
        <f t="shared" si="1224"/>
        <v>245161</v>
      </c>
      <c r="CF143" s="23">
        <f>+'QTR Raw'!AZ79+'QTR Raw'!AZ76</f>
        <v>248456</v>
      </c>
      <c r="CG143" s="23">
        <f t="shared" si="1200"/>
        <v>248456</v>
      </c>
      <c r="CH143" s="23">
        <f t="shared" si="1201"/>
        <v>42794</v>
      </c>
      <c r="CJ143" s="23">
        <f>+'QTR Raw'!BD79+'QTR Raw'!BD76</f>
        <v>267838</v>
      </c>
      <c r="CL143" s="23">
        <f>+'QTR Raw'!BF79+'QTR Raw'!BF76</f>
        <v>265820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</row>
    <row r="144" spans="1:110" s="23" customFormat="1" outlineLevel="1" x14ac:dyDescent="0.2">
      <c r="A144" s="23" t="s">
        <v>61</v>
      </c>
      <c r="B144" s="23">
        <f>'Annual Raw'!C76</f>
        <v>2299.85</v>
      </c>
      <c r="C144" s="23">
        <f>'Annual Raw'!D76</f>
        <v>4974.07</v>
      </c>
      <c r="D144" s="23">
        <f>'Annual Raw'!E76</f>
        <v>7510.41</v>
      </c>
      <c r="E144" s="23">
        <f>'Annual Raw'!F76</f>
        <v>7231.22</v>
      </c>
      <c r="F144" s="23">
        <f>'Annual Raw'!G76</f>
        <v>7412.88</v>
      </c>
      <c r="G144" s="23">
        <f>'Annual Raw'!H76</f>
        <v>10345.26</v>
      </c>
      <c r="H144" s="23">
        <f>'Annual Raw'!I76</f>
        <v>12456.27</v>
      </c>
      <c r="I144" s="23">
        <f>'Annual Raw'!J76</f>
        <v>19126.14</v>
      </c>
      <c r="J144" s="23">
        <f>'Annual Raw'!K76</f>
        <v>20109.61</v>
      </c>
      <c r="K144" s="23">
        <f>'Annual Raw'!L76</f>
        <v>34393.32</v>
      </c>
      <c r="L144" s="23">
        <f>'Annual Raw'!M76</f>
        <v>38520</v>
      </c>
      <c r="M144" s="23">
        <f>'Annual Raw'!N76</f>
        <v>46692</v>
      </c>
      <c r="N144" s="23">
        <f>'Annual Raw'!O76</f>
        <v>54601</v>
      </c>
      <c r="O144" s="23">
        <f>'Annual Raw'!P76</f>
        <v>56720</v>
      </c>
      <c r="P144" s="23">
        <f>'Annual Raw'!Q76</f>
        <v>53248</v>
      </c>
      <c r="Q144" s="23">
        <f>'Annual Raw'!R76</f>
        <v>46486</v>
      </c>
      <c r="R144" s="23">
        <f>'Annual Raw'!S76</f>
        <v>48951</v>
      </c>
      <c r="S144" s="23">
        <f>'Annual Raw'!T76</f>
        <v>60837</v>
      </c>
      <c r="T144" s="23">
        <f>'Annual Raw'!U76</f>
        <v>67561</v>
      </c>
      <c r="U144" s="23">
        <f>'Annual Raw'!V76</f>
        <v>73903</v>
      </c>
      <c r="V144" s="23">
        <f>'Annual Raw'!W76</f>
        <v>81672</v>
      </c>
      <c r="W144" s="23">
        <f>'Annual Raw'!X76</f>
        <v>107778</v>
      </c>
      <c r="X144" s="23">
        <f>'Annual Raw'!Y76</f>
        <v>140008</v>
      </c>
      <c r="Y144" s="23">
        <f>'Annual Raw'!Z76</f>
        <v>152770</v>
      </c>
      <c r="Z144" s="23">
        <f>'Annual Raw'!AA76</f>
        <v>146062</v>
      </c>
      <c r="AA144" s="24">
        <f t="shared" si="1219"/>
        <v>166941</v>
      </c>
      <c r="AB144" s="24">
        <f t="shared" si="1220"/>
        <v>167255.82636236187</v>
      </c>
      <c r="AC144" s="24">
        <f t="shared" si="1221"/>
        <v>209080.46972558962</v>
      </c>
      <c r="AD144" s="24">
        <f t="shared" si="1222"/>
        <v>231283.20176994926</v>
      </c>
      <c r="AE144" s="24">
        <f t="shared" si="1223"/>
        <v>255844.45265527783</v>
      </c>
      <c r="AJ144" s="23">
        <f>+'QTR Raw'!D81</f>
        <v>39632</v>
      </c>
      <c r="AK144" s="23">
        <f>+AK179*AK10/90</f>
        <v>41189.447750619911</v>
      </c>
      <c r="AL144" s="23">
        <f>+'QTR Raw'!F81</f>
        <v>54601</v>
      </c>
      <c r="AM144" s="23">
        <f>+AM179*AM10/90</f>
        <v>63229.070797406108</v>
      </c>
      <c r="AN144" s="23">
        <f>+'QTR Raw'!H81</f>
        <v>47077</v>
      </c>
      <c r="AO144" s="23">
        <f>+AO179*AO10/90</f>
        <v>48115.220458737043</v>
      </c>
      <c r="AP144" s="23">
        <f>+'QTR Raw'!J81</f>
        <v>56720</v>
      </c>
      <c r="AQ144" s="23">
        <f>+AQ179*AQ10/90</f>
        <v>57384.661793711566</v>
      </c>
      <c r="AR144" s="23">
        <f>+'QTR Raw'!L81</f>
        <v>62330</v>
      </c>
      <c r="AS144" s="23">
        <f>+AS179*AS10/90</f>
        <v>53094.349025929667</v>
      </c>
      <c r="AT144" s="23">
        <f>+'QTR Raw'!N81</f>
        <v>53248</v>
      </c>
      <c r="AU144" s="23">
        <f>+AU179*AU10/90</f>
        <v>60465.325626204249</v>
      </c>
      <c r="AV144" s="23">
        <f>+'QTR Raw'!P81</f>
        <v>55152</v>
      </c>
      <c r="AW144" s="23">
        <f>+AW179*AW10/90</f>
        <v>49982.564317358039</v>
      </c>
      <c r="AX144" s="23">
        <f>+'QTR Raw'!R81</f>
        <v>46486</v>
      </c>
      <c r="AY144" s="23">
        <f>+AY179*AY10/90</f>
        <v>47239.033367733056</v>
      </c>
      <c r="AZ144" s="23">
        <f>+'QTR Raw'!T81</f>
        <v>51624</v>
      </c>
      <c r="BA144" s="23">
        <f>+BA179*BA10/90</f>
        <v>50205.858985193081</v>
      </c>
      <c r="BB144" s="23">
        <f>+'QTR Raw'!V81</f>
        <v>48951</v>
      </c>
      <c r="BC144" s="23">
        <f>+BC179*BC10/90</f>
        <v>43987.866388915798</v>
      </c>
      <c r="BD144" s="23">
        <f>+'QTR Raw'!X81</f>
        <v>53129</v>
      </c>
      <c r="BE144" s="23">
        <f>+BE179*BE10/90</f>
        <v>52415.319811404675</v>
      </c>
      <c r="BF144" s="23">
        <f>+'QTR Raw'!Z81</f>
        <v>60837</v>
      </c>
      <c r="BG144" s="23">
        <f>+BG179*BG10/90</f>
        <v>60665.495446096647</v>
      </c>
      <c r="BH144" s="23">
        <f>+'QTR Raw'!AB81</f>
        <v>76252</v>
      </c>
      <c r="BI144" s="23">
        <f>+BI179*BI10/90</f>
        <v>76548.146060873623</v>
      </c>
      <c r="BJ144" s="23">
        <f>+'QTR Raw'!AD81</f>
        <v>67561</v>
      </c>
      <c r="BK144" s="23">
        <f>+BK179*BK10/90</f>
        <v>68792.897113134954</v>
      </c>
      <c r="BL144" s="23">
        <f>+'QTR Raw'!AF81</f>
        <v>72231</v>
      </c>
      <c r="BM144" s="23">
        <f>+BM179*BM10/90</f>
        <v>67017.435071537504</v>
      </c>
      <c r="BN144" s="23">
        <f>+'QTR Raw'!AH81</f>
        <v>73903</v>
      </c>
      <c r="BO144" s="23">
        <f>+BO179*BO10/90</f>
        <v>43061.65586520623</v>
      </c>
      <c r="BP144" s="23">
        <f>+'QTR Raw'!AJ81</f>
        <v>76390</v>
      </c>
      <c r="BQ144" s="23">
        <f>+BQ179*BQ10/90</f>
        <v>70127.549168516562</v>
      </c>
      <c r="BR144" s="23">
        <f>+'QTR Raw'!AL81</f>
        <v>81672</v>
      </c>
      <c r="BS144" s="23">
        <f>+BS179*BS10/90</f>
        <v>66416.309178070253</v>
      </c>
      <c r="BT144" s="23">
        <f>+'QTR Raw'!AN81</f>
        <v>92622</v>
      </c>
      <c r="BU144" s="23">
        <f>+BU179*BU10/90</f>
        <v>89476.279650397846</v>
      </c>
      <c r="BV144" s="23">
        <f>+'QTR Raw'!AP81</f>
        <v>107778</v>
      </c>
      <c r="BW144" s="23">
        <f>+BW179*BW10/90</f>
        <v>101435.69117438365</v>
      </c>
      <c r="BX144" s="23">
        <f>+'QTR Raw'!AR81</f>
        <v>132817</v>
      </c>
      <c r="BY144" s="23">
        <f>+BY179*BY10/90</f>
        <v>113849.37127342336</v>
      </c>
      <c r="BZ144" s="23">
        <f>+'QTR Raw'!AT81</f>
        <v>140008</v>
      </c>
      <c r="CA144" s="23">
        <f>+CA179*CA10/90</f>
        <v>121611.50530011674</v>
      </c>
      <c r="CB144" s="23">
        <f>+'QTR Raw'!AV81</f>
        <v>146258</v>
      </c>
      <c r="CC144" s="23">
        <f>+CC179*CC10/90</f>
        <v>128598.21320645635</v>
      </c>
      <c r="CD144" s="23">
        <f>+'QTR Raw'!AX81</f>
        <v>152770</v>
      </c>
      <c r="CE144" s="23">
        <f>+CE179*CE10/90</f>
        <v>133705.04421637705</v>
      </c>
      <c r="CF144" s="23">
        <f>+'QTR Raw'!AZ81</f>
        <v>160950</v>
      </c>
      <c r="CG144" s="23">
        <f>+CG179*CG10/90</f>
        <v>149696.53059563535</v>
      </c>
      <c r="CH144" s="23">
        <f t="shared" si="1201"/>
        <v>146062</v>
      </c>
      <c r="CI144" s="23">
        <f>+CI179*CI10/90</f>
        <v>123501.15980537105</v>
      </c>
      <c r="CJ144" s="23">
        <f>+'QTR Raw'!BD81</f>
        <v>161508</v>
      </c>
      <c r="CK144" s="23">
        <f t="shared" ref="CK144:DB144" si="1225">+CK179*CK10/90</f>
        <v>150889.00905666768</v>
      </c>
      <c r="CL144" s="23">
        <f>+'QTR Raw'!BF81</f>
        <v>166941</v>
      </c>
      <c r="CM144" s="24">
        <f t="shared" si="1225"/>
        <v>136901.10917078322</v>
      </c>
      <c r="CN144" s="24">
        <f t="shared" si="1225"/>
        <v>144507.9718837683</v>
      </c>
      <c r="CO144" s="24">
        <f t="shared" si="1225"/>
        <v>150552.31994426591</v>
      </c>
      <c r="CP144" s="24">
        <f t="shared" si="1225"/>
        <v>167255.82636236187</v>
      </c>
      <c r="CQ144" s="24">
        <f t="shared" si="1225"/>
        <v>151155.01900518648</v>
      </c>
      <c r="CR144" s="24">
        <f t="shared" si="1225"/>
        <v>159886.38871969082</v>
      </c>
      <c r="CS144" s="24">
        <f t="shared" si="1225"/>
        <v>166594.85132605</v>
      </c>
      <c r="CT144" s="24">
        <f t="shared" si="1225"/>
        <v>209080.46972558962</v>
      </c>
      <c r="CU144" s="24">
        <f t="shared" si="1225"/>
        <v>188870.35437574395</v>
      </c>
      <c r="CV144" s="24">
        <f t="shared" si="1225"/>
        <v>199859.0139796497</v>
      </c>
      <c r="CW144" s="24">
        <f t="shared" si="1225"/>
        <v>208238.8465858085</v>
      </c>
      <c r="CX144" s="24">
        <f t="shared" si="1225"/>
        <v>231283.20176994926</v>
      </c>
      <c r="CY144" s="24">
        <f t="shared" si="1225"/>
        <v>208919.62244809154</v>
      </c>
      <c r="CZ144" s="24">
        <f t="shared" si="1225"/>
        <v>221089.40866869161</v>
      </c>
      <c r="DA144" s="24">
        <f t="shared" si="1225"/>
        <v>230355.79724059539</v>
      </c>
      <c r="DB144" s="24">
        <f t="shared" si="1225"/>
        <v>255844.45265527783</v>
      </c>
      <c r="DE144" s="123"/>
      <c r="DF144" s="23">
        <v>157818.88177747687</v>
      </c>
    </row>
    <row r="145" spans="1:110" s="23" customFormat="1" outlineLevel="1" x14ac:dyDescent="0.2">
      <c r="A145" s="23" t="s">
        <v>62</v>
      </c>
      <c r="B145" s="23">
        <f>'Annual Raw'!C77</f>
        <v>1134.17</v>
      </c>
      <c r="C145" s="23">
        <f>'Annual Raw'!D77</f>
        <v>2725.54</v>
      </c>
      <c r="D145" s="23">
        <f>'Annual Raw'!E77</f>
        <v>3000.73</v>
      </c>
      <c r="E145" s="23">
        <f>'Annual Raw'!F77</f>
        <v>3271.56</v>
      </c>
      <c r="F145" s="23">
        <f>'Annual Raw'!G77</f>
        <v>3927.81</v>
      </c>
      <c r="G145" s="23">
        <f>'Annual Raw'!H77</f>
        <v>4351.67</v>
      </c>
      <c r="H145" s="23">
        <f>'Annual Raw'!I77</f>
        <v>3831.35</v>
      </c>
      <c r="I145" s="23">
        <f>'Annual Raw'!J77</f>
        <v>6068.3</v>
      </c>
      <c r="J145" s="23">
        <f>'Annual Raw'!K77</f>
        <v>4844.97</v>
      </c>
      <c r="K145" s="23">
        <f>'Annual Raw'!L77</f>
        <v>10082.92</v>
      </c>
      <c r="L145" s="23">
        <f>'Annual Raw'!M77</f>
        <v>15696</v>
      </c>
      <c r="M145" s="23">
        <f>'Annual Raw'!N77</f>
        <v>16939</v>
      </c>
      <c r="N145" s="23">
        <f>'Annual Raw'!O77</f>
        <v>9750</v>
      </c>
      <c r="O145" s="23">
        <f>'Annual Raw'!P77</f>
        <v>9411</v>
      </c>
      <c r="P145" s="23">
        <f>'Annual Raw'!Q77</f>
        <v>5315</v>
      </c>
      <c r="Q145" s="23">
        <f>'Annual Raw'!R77</f>
        <v>4465</v>
      </c>
      <c r="R145" s="23">
        <f>'Annual Raw'!S77</f>
        <v>8177</v>
      </c>
      <c r="S145" s="23">
        <f>'Annual Raw'!T77</f>
        <v>17555</v>
      </c>
      <c r="T145" s="23">
        <f>'Annual Raw'!U77</f>
        <v>30089</v>
      </c>
      <c r="U145" s="23">
        <f>'Annual Raw'!V77</f>
        <v>19656</v>
      </c>
      <c r="V145" s="23">
        <f>'Annual Raw'!W77</f>
        <v>19014</v>
      </c>
      <c r="W145" s="23">
        <f>'Annual Raw'!X77</f>
        <v>23640</v>
      </c>
      <c r="X145" s="23">
        <f>'Annual Raw'!Y77</f>
        <v>28448</v>
      </c>
      <c r="Y145" s="23">
        <f>'Annual Raw'!Z77</f>
        <v>31628</v>
      </c>
      <c r="Z145" s="23">
        <f>'Annual Raw'!AA77</f>
        <v>42121</v>
      </c>
      <c r="AA145" s="24">
        <f t="shared" si="1219"/>
        <v>58491</v>
      </c>
      <c r="AB145" s="24">
        <f t="shared" si="1220"/>
        <v>58601.305489729348</v>
      </c>
      <c r="AC145" s="24">
        <f t="shared" si="1221"/>
        <v>104895.8572500297</v>
      </c>
      <c r="AD145" s="24">
        <f t="shared" si="1222"/>
        <v>116034.98762477249</v>
      </c>
      <c r="AE145" s="24">
        <f t="shared" si="1223"/>
        <v>128357.38899555086</v>
      </c>
      <c r="AJ145" s="23">
        <f>+'QTR Raw'!D82</f>
        <v>17105</v>
      </c>
      <c r="AK145" s="23">
        <f>+AK180*AK10/90</f>
        <v>17777.18772139568</v>
      </c>
      <c r="AL145" s="23">
        <f>+'QTR Raw'!F82</f>
        <v>9750</v>
      </c>
      <c r="AM145" s="23">
        <f>+AM180*AM10/90</f>
        <v>11290.69871018314</v>
      </c>
      <c r="AN145" s="23">
        <f>+'QTR Raw'!H82</f>
        <v>11016</v>
      </c>
      <c r="AO145" s="23">
        <f>+AO180*AO10/90</f>
        <v>11258.94319037847</v>
      </c>
      <c r="AP145" s="23">
        <f>+'QTR Raw'!J82</f>
        <v>9411</v>
      </c>
      <c r="AQ145" s="23">
        <f>+AQ180*AQ10/90</f>
        <v>9521.2808910546464</v>
      </c>
      <c r="AR145" s="23">
        <f>+'QTR Raw'!L82</f>
        <v>10921</v>
      </c>
      <c r="AS145" s="23">
        <f>+AS180*AS10/90</f>
        <v>9302.7977813601447</v>
      </c>
      <c r="AT145" s="23">
        <f>+'QTR Raw'!N82</f>
        <v>5315</v>
      </c>
      <c r="AU145" s="23">
        <f>+AU180*AU10/90</f>
        <v>6035.4042537424039</v>
      </c>
      <c r="AV145" s="23">
        <f>+'QTR Raw'!P82</f>
        <v>9161</v>
      </c>
      <c r="AW145" s="23">
        <f>+AW180*AW10/90</f>
        <v>8302.333037991677</v>
      </c>
      <c r="AX145" s="23">
        <f>+'QTR Raw'!R82</f>
        <v>4465</v>
      </c>
      <c r="AY145" s="23">
        <f>+AY180*AY10/90</f>
        <v>4537.3291740938812</v>
      </c>
      <c r="AZ145" s="23">
        <f>+'QTR Raw'!T82</f>
        <v>6197</v>
      </c>
      <c r="BA145" s="23">
        <f>+BA180*BA10/90</f>
        <v>6026.7648406020744</v>
      </c>
      <c r="BB145" s="23">
        <f>+'QTR Raw'!V82</f>
        <v>8177</v>
      </c>
      <c r="BC145" s="23">
        <f>+BC180*BC10/90</f>
        <v>7347.9353529481423</v>
      </c>
      <c r="BD145" s="23">
        <f>+'QTR Raw'!X82</f>
        <v>11345</v>
      </c>
      <c r="BE145" s="23">
        <f>+BE180*BE10/90</f>
        <v>11192.6029712659</v>
      </c>
      <c r="BF145" s="23">
        <f>+'QTR Raw'!Z82</f>
        <v>17555</v>
      </c>
      <c r="BG145" s="23">
        <f>+BG180*BG10/90</f>
        <v>17505.510997521684</v>
      </c>
      <c r="BH145" s="23">
        <f>+'QTR Raw'!AB82</f>
        <v>21309</v>
      </c>
      <c r="BI145" s="23">
        <f>+BI180*BI10/90</f>
        <v>21391.759487110583</v>
      </c>
      <c r="BJ145" s="23">
        <f>+'QTR Raw'!AD82</f>
        <v>30089</v>
      </c>
      <c r="BK145" s="23">
        <f>+BK180*BK10/90</f>
        <v>30637.638300752173</v>
      </c>
      <c r="BL145" s="23">
        <f>+'QTR Raw'!AF82</f>
        <v>21364</v>
      </c>
      <c r="BM145" s="23">
        <f>+BM180*BM10/90</f>
        <v>19821.966785290628</v>
      </c>
      <c r="BN145" s="23">
        <f>+'QTR Raw'!AH82</f>
        <v>19656</v>
      </c>
      <c r="BO145" s="23">
        <f>+BO180*BO10/90</f>
        <v>11453.119733792859</v>
      </c>
      <c r="BP145" s="23">
        <f>+'QTR Raw'!AJ82</f>
        <v>15636</v>
      </c>
      <c r="BQ145" s="23">
        <f>+BQ180*BQ10/90</f>
        <v>14354.161000116834</v>
      </c>
      <c r="BR145" s="23">
        <f>+'QTR Raw'!AL82</f>
        <v>19014</v>
      </c>
      <c r="BS145" s="23">
        <f>+BS180*BS10/90</f>
        <v>15462.333513466401</v>
      </c>
      <c r="BT145" s="23">
        <f>+'QTR Raw'!AN82</f>
        <v>17475</v>
      </c>
      <c r="BU145" s="23">
        <f>+BU180*BU10/90</f>
        <v>16881.496695069232</v>
      </c>
      <c r="BV145" s="23">
        <f>+'QTR Raw'!AP82</f>
        <v>23640</v>
      </c>
      <c r="BW145" s="23">
        <f>+BW180*BW10/90</f>
        <v>22248.879542786373</v>
      </c>
      <c r="BX145" s="23">
        <f>+'QTR Raw'!AR82</f>
        <v>25836</v>
      </c>
      <c r="BY145" s="23">
        <f>+BY180*BY10/90</f>
        <v>22146.354429178235</v>
      </c>
      <c r="BZ145" s="23">
        <f>+'QTR Raw'!AT82</f>
        <v>28448</v>
      </c>
      <c r="CA145" s="23">
        <f>+CA180*CA10/90</f>
        <v>24710.045874362331</v>
      </c>
      <c r="CB145" s="23">
        <f>+'QTR Raw'!AV82</f>
        <v>36936</v>
      </c>
      <c r="CC145" s="23">
        <f>+CC180*CC10/90</f>
        <v>32476.196878076214</v>
      </c>
      <c r="CD145" s="23">
        <f>+'QTR Raw'!AX82</f>
        <v>31628</v>
      </c>
      <c r="CE145" s="23">
        <f>+CE180*CE10/90</f>
        <v>27680.97884712688</v>
      </c>
      <c r="CF145" s="23">
        <f>+'QTR Raw'!AZ82</f>
        <v>30121</v>
      </c>
      <c r="CG145" s="23">
        <f>+CG180*CG10/90</f>
        <v>28014.968611811946</v>
      </c>
      <c r="CH145" s="23">
        <f t="shared" si="1201"/>
        <v>42121</v>
      </c>
      <c r="CI145" s="23">
        <f>+CI180*CI10/90</f>
        <v>35614.960442565716</v>
      </c>
      <c r="CJ145" s="23">
        <f>+'QTR Raw'!BD82</f>
        <v>44903</v>
      </c>
      <c r="CK145" s="23">
        <f t="shared" ref="CK145:DB145" si="1226">+CK180*CK10/90</f>
        <v>41950.672249495678</v>
      </c>
      <c r="CL145" s="23">
        <f>+'QTR Raw'!BF82</f>
        <v>58491</v>
      </c>
      <c r="CM145" s="24">
        <f t="shared" si="1226"/>
        <v>47965.944714050354</v>
      </c>
      <c r="CN145" s="24">
        <f t="shared" si="1226"/>
        <v>50631.155818244108</v>
      </c>
      <c r="CO145" s="24">
        <f t="shared" si="1226"/>
        <v>52748.909769679449</v>
      </c>
      <c r="CP145" s="24">
        <f t="shared" si="1226"/>
        <v>58601.305489729348</v>
      </c>
      <c r="CQ145" s="24">
        <f t="shared" si="1226"/>
        <v>52960.077013030721</v>
      </c>
      <c r="CR145" s="24">
        <f t="shared" si="1226"/>
        <v>56019.280839359017</v>
      </c>
      <c r="CS145" s="24">
        <f t="shared" si="1226"/>
        <v>58369.720134131152</v>
      </c>
      <c r="CT145" s="24">
        <f t="shared" si="1226"/>
        <v>104895.8572500297</v>
      </c>
      <c r="CU145" s="24">
        <f t="shared" si="1226"/>
        <v>94756.424439655748</v>
      </c>
      <c r="CV145" s="24">
        <f t="shared" si="1226"/>
        <v>100269.44471693604</v>
      </c>
      <c r="CW145" s="24">
        <f t="shared" si="1226"/>
        <v>104473.61417374108</v>
      </c>
      <c r="CX145" s="24">
        <f t="shared" si="1226"/>
        <v>116034.98762477249</v>
      </c>
      <c r="CY145" s="24">
        <f t="shared" si="1226"/>
        <v>104815.16002813404</v>
      </c>
      <c r="CZ145" s="24">
        <f t="shared" si="1226"/>
        <v>110920.75257742802</v>
      </c>
      <c r="DA145" s="24">
        <f t="shared" si="1226"/>
        <v>115569.70794919206</v>
      </c>
      <c r="DB145" s="24">
        <f t="shared" si="1226"/>
        <v>128357.38899555086</v>
      </c>
      <c r="DE145" s="123"/>
      <c r="DF145" s="23">
        <v>43877.33888385741</v>
      </c>
    </row>
    <row r="146" spans="1:110" s="23" customFormat="1" outlineLevel="1" x14ac:dyDescent="0.2">
      <c r="A146" s="23" t="s">
        <v>63</v>
      </c>
      <c r="B146" s="23">
        <f>'Annual Raw'!C79</f>
        <v>85.13</v>
      </c>
      <c r="C146" s="23">
        <f>'Annual Raw'!D79</f>
        <v>409.74</v>
      </c>
      <c r="D146" s="23">
        <f>'Annual Raw'!E79</f>
        <v>464.08</v>
      </c>
      <c r="E146" s="23">
        <f>'Annual Raw'!F79</f>
        <v>728.22</v>
      </c>
      <c r="F146" s="23">
        <f>'Annual Raw'!G79</f>
        <v>1453.31</v>
      </c>
      <c r="G146" s="23">
        <f>'Annual Raw'!H79</f>
        <v>25.01</v>
      </c>
      <c r="H146" s="23">
        <f>'Annual Raw'!I79</f>
        <v>3.15</v>
      </c>
      <c r="I146" s="23">
        <f>'Annual Raw'!J79</f>
        <v>72.62</v>
      </c>
      <c r="J146" s="23">
        <f>'Annual Raw'!K79</f>
        <v>47.59</v>
      </c>
      <c r="K146" s="23">
        <f>'Annual Raw'!L79</f>
        <v>91.4</v>
      </c>
      <c r="L146" s="23">
        <f>'Annual Raw'!M79</f>
        <v>289</v>
      </c>
      <c r="M146" s="23">
        <f>'Annual Raw'!N79</f>
        <v>417</v>
      </c>
      <c r="N146" s="23">
        <f>'Annual Raw'!O79</f>
        <v>828</v>
      </c>
      <c r="O146" s="23">
        <f>'Annual Raw'!P79</f>
        <v>682</v>
      </c>
      <c r="P146" s="23">
        <f>'Annual Raw'!Q79</f>
        <v>1007</v>
      </c>
      <c r="Q146" s="23">
        <f>'Annual Raw'!R79</f>
        <v>9153</v>
      </c>
      <c r="R146" s="23">
        <f>'Annual Raw'!S79</f>
        <v>9443</v>
      </c>
      <c r="S146" s="23">
        <f>'Annual Raw'!T79</f>
        <v>16523</v>
      </c>
      <c r="T146" s="23">
        <f>'Annual Raw'!U79</f>
        <v>21285</v>
      </c>
      <c r="U146" s="23">
        <f>'Annual Raw'!V79</f>
        <v>26913</v>
      </c>
      <c r="V146" s="23">
        <f>'Annual Raw'!W79</f>
        <v>62288</v>
      </c>
      <c r="W146" s="23">
        <f>'Annual Raw'!X79</f>
        <v>27210</v>
      </c>
      <c r="X146" s="23">
        <f>'Annual Raw'!Y79</f>
        <v>20688</v>
      </c>
      <c r="Y146" s="23">
        <f>'Annual Raw'!Z79</f>
        <v>26251</v>
      </c>
      <c r="Z146" s="23">
        <f>'Annual Raw'!AA79</f>
        <v>39507</v>
      </c>
      <c r="AA146" s="24">
        <f t="shared" si="1219"/>
        <v>120539</v>
      </c>
      <c r="AB146" s="24">
        <f t="shared" si="1220"/>
        <v>392794.35851286241</v>
      </c>
      <c r="AC146" s="24">
        <f t="shared" si="1221"/>
        <v>434566.86242301477</v>
      </c>
      <c r="AD146" s="24">
        <f t="shared" si="1222"/>
        <v>480714.50889807614</v>
      </c>
      <c r="AE146" s="24">
        <f t="shared" si="1223"/>
        <v>531764.259017876</v>
      </c>
      <c r="AJ146" s="23">
        <f>+'QTR Raw'!D84</f>
        <v>523</v>
      </c>
      <c r="AK146" s="23">
        <f t="shared" si="1224"/>
        <v>523</v>
      </c>
      <c r="AL146" s="23">
        <f>+'QTR Raw'!F84</f>
        <v>1783</v>
      </c>
      <c r="AM146" s="23">
        <f t="shared" si="1224"/>
        <v>1783</v>
      </c>
      <c r="AN146" s="23">
        <f>+'QTR Raw'!H84</f>
        <v>624</v>
      </c>
      <c r="AO146" s="23">
        <f t="shared" si="1224"/>
        <v>624</v>
      </c>
      <c r="AP146" s="23">
        <f>+'QTR Raw'!J84</f>
        <v>3254</v>
      </c>
      <c r="AQ146" s="23">
        <f t="shared" si="1224"/>
        <v>3254</v>
      </c>
      <c r="AR146" s="23">
        <f>+'QTR Raw'!L84</f>
        <v>3351</v>
      </c>
      <c r="AS146" s="23">
        <f t="shared" si="1224"/>
        <v>3351</v>
      </c>
      <c r="AT146" s="23">
        <f>+'QTR Raw'!N84</f>
        <v>3284</v>
      </c>
      <c r="AU146" s="23">
        <f t="shared" si="1224"/>
        <v>3284</v>
      </c>
      <c r="AV146" s="23">
        <f>+'QTR Raw'!P84</f>
        <v>10383</v>
      </c>
      <c r="AW146" s="23">
        <f t="shared" si="1224"/>
        <v>10383</v>
      </c>
      <c r="AX146" s="23">
        <f>+'QTR Raw'!R84</f>
        <v>22462</v>
      </c>
      <c r="AY146" s="23">
        <f t="shared" si="1224"/>
        <v>22462</v>
      </c>
      <c r="AZ146" s="23">
        <f>+'QTR Raw'!T84</f>
        <v>24528</v>
      </c>
      <c r="BA146" s="23">
        <f t="shared" si="1224"/>
        <v>24528</v>
      </c>
      <c r="BB146" s="23">
        <f>+'QTR Raw'!V84</f>
        <v>28406</v>
      </c>
      <c r="BC146" s="23">
        <f t="shared" si="1224"/>
        <v>28406</v>
      </c>
      <c r="BD146" s="23">
        <f>+'QTR Raw'!X84</f>
        <v>34918</v>
      </c>
      <c r="BE146" s="23">
        <f t="shared" si="1224"/>
        <v>34918</v>
      </c>
      <c r="BF146" s="23">
        <f>+'QTR Raw'!Z84</f>
        <v>41209</v>
      </c>
      <c r="BG146" s="23">
        <f t="shared" si="1224"/>
        <v>41209</v>
      </c>
      <c r="BH146" s="23">
        <f>+'QTR Raw'!AB84</f>
        <v>46938</v>
      </c>
      <c r="BI146" s="23">
        <f t="shared" si="1224"/>
        <v>46938</v>
      </c>
      <c r="BJ146" s="23">
        <f>+'QTR Raw'!AD84</f>
        <v>51754</v>
      </c>
      <c r="BK146" s="23">
        <f t="shared" si="1224"/>
        <v>51754</v>
      </c>
      <c r="BL146" s="23">
        <f>+'QTR Raw'!AF84</f>
        <v>39924</v>
      </c>
      <c r="BM146" s="23">
        <f t="shared" si="1224"/>
        <v>39924</v>
      </c>
      <c r="BN146" s="23">
        <f>+'QTR Raw'!AH84</f>
        <v>60197</v>
      </c>
      <c r="BO146" s="23">
        <f t="shared" si="1224"/>
        <v>60197</v>
      </c>
      <c r="BP146" s="23">
        <f>+'QTR Raw'!AJ84</f>
        <v>62927</v>
      </c>
      <c r="BQ146" s="23">
        <f t="shared" si="1224"/>
        <v>62927</v>
      </c>
      <c r="BR146" s="23">
        <f>+'QTR Raw'!AL84</f>
        <v>102417</v>
      </c>
      <c r="BS146" s="23">
        <f t="shared" si="1224"/>
        <v>102417</v>
      </c>
      <c r="BT146" s="23">
        <f>+'QTR Raw'!AN84</f>
        <v>89597</v>
      </c>
      <c r="BU146" s="23">
        <f t="shared" si="1224"/>
        <v>89597</v>
      </c>
      <c r="BV146" s="23">
        <f>+'QTR Raw'!AP84</f>
        <v>71175</v>
      </c>
      <c r="BW146" s="23">
        <f t="shared" si="1224"/>
        <v>71175</v>
      </c>
      <c r="BX146" s="23">
        <f>+'QTR Raw'!AR84</f>
        <v>73344</v>
      </c>
      <c r="BY146" s="23">
        <f t="shared" si="1224"/>
        <v>73344</v>
      </c>
      <c r="BZ146" s="23">
        <f>+'QTR Raw'!AT84</f>
        <v>69527</v>
      </c>
      <c r="CA146" s="23">
        <f t="shared" si="1224"/>
        <v>69527</v>
      </c>
      <c r="CB146" s="23">
        <f>+'QTR Raw'!AV84</f>
        <v>81358</v>
      </c>
      <c r="CC146" s="23">
        <f t="shared" si="1224"/>
        <v>81358</v>
      </c>
      <c r="CD146" s="23">
        <f>+'QTR Raw'!AX84</f>
        <v>79790</v>
      </c>
      <c r="CE146" s="23">
        <f t="shared" si="1224"/>
        <v>79790</v>
      </c>
      <c r="CF146" s="23">
        <f>+'QTR Raw'!AZ84</f>
        <v>67910</v>
      </c>
      <c r="CG146" s="23">
        <f t="shared" ref="CG146:CG147" si="1227">+CF146</f>
        <v>67910</v>
      </c>
      <c r="CH146" s="23">
        <f t="shared" si="1201"/>
        <v>39507</v>
      </c>
      <c r="CI146" s="23">
        <f>CI10/90*CI181</f>
        <v>127588.49673420377</v>
      </c>
      <c r="CJ146" s="23">
        <f>+'QTR Raw'!BD84</f>
        <v>76089</v>
      </c>
      <c r="CK146" s="23">
        <f t="shared" ref="CK146:DB146" si="1228">CK10/90*CK181</f>
        <v>386145.24243984552</v>
      </c>
      <c r="CL146" s="23">
        <f>+'QTR Raw'!BF84</f>
        <v>120539</v>
      </c>
      <c r="CM146" s="24">
        <f t="shared" si="1228"/>
        <v>321507.38498003123</v>
      </c>
      <c r="CN146" s="24">
        <f t="shared" si="1228"/>
        <v>339371.8314667503</v>
      </c>
      <c r="CO146" s="24">
        <f t="shared" si="1228"/>
        <v>353566.76787457342</v>
      </c>
      <c r="CP146" s="24">
        <f t="shared" si="1228"/>
        <v>392794.35851286241</v>
      </c>
      <c r="CQ146" s="24">
        <f t="shared" si="1228"/>
        <v>354982.18517966446</v>
      </c>
      <c r="CR146" s="24">
        <f t="shared" si="1228"/>
        <v>375487.4963579849</v>
      </c>
      <c r="CS146" s="24">
        <f t="shared" si="1228"/>
        <v>391242.08215258393</v>
      </c>
      <c r="CT146" s="24">
        <f t="shared" si="1228"/>
        <v>434566.86242301477</v>
      </c>
      <c r="CU146" s="24">
        <f t="shared" si="1228"/>
        <v>392560.80404598638</v>
      </c>
      <c r="CV146" s="24">
        <f t="shared" si="1228"/>
        <v>415400.37070934451</v>
      </c>
      <c r="CW146" s="24">
        <f t="shared" si="1228"/>
        <v>432817.57647738192</v>
      </c>
      <c r="CX146" s="24">
        <f t="shared" si="1228"/>
        <v>480714.50889807614</v>
      </c>
      <c r="CY146" s="24">
        <f t="shared" si="1228"/>
        <v>434232.54666026868</v>
      </c>
      <c r="CZ146" s="24">
        <f t="shared" si="1228"/>
        <v>459527.04605175217</v>
      </c>
      <c r="DA146" s="24">
        <f t="shared" si="1228"/>
        <v>478786.92916264158</v>
      </c>
      <c r="DB146" s="24">
        <f t="shared" si="1228"/>
        <v>531764.259017876</v>
      </c>
      <c r="DE146" s="123"/>
      <c r="DF146" s="23">
        <v>403879.71759203618</v>
      </c>
    </row>
    <row r="147" spans="1:110" s="23" customFormat="1" outlineLevel="1" x14ac:dyDescent="0.2">
      <c r="A147" s="23" t="s">
        <v>64</v>
      </c>
      <c r="B147" s="23">
        <f>'Annual Raw'!C80</f>
        <v>5502.73</v>
      </c>
      <c r="C147" s="23">
        <f>'Annual Raw'!D80</f>
        <v>6590.99</v>
      </c>
      <c r="D147" s="23">
        <f>'Annual Raw'!E80</f>
        <v>7805.41</v>
      </c>
      <c r="E147" s="23">
        <f>'Annual Raw'!F80</f>
        <v>7449.02</v>
      </c>
      <c r="F147" s="23">
        <f>'Annual Raw'!G80</f>
        <v>6697.21</v>
      </c>
      <c r="G147" s="23">
        <f>'Annual Raw'!H80</f>
        <v>7673.82</v>
      </c>
      <c r="H147" s="23">
        <f>'Annual Raw'!I80</f>
        <v>14888.08</v>
      </c>
      <c r="I147" s="23">
        <f>'Annual Raw'!J80</f>
        <v>21747.65</v>
      </c>
      <c r="J147" s="23">
        <f>'Annual Raw'!K80</f>
        <v>11001.8</v>
      </c>
      <c r="K147" s="23">
        <f>'Annual Raw'!L80</f>
        <v>10647.21</v>
      </c>
      <c r="L147" s="23">
        <f>'Annual Raw'!M80</f>
        <v>8165</v>
      </c>
      <c r="M147" s="23">
        <f>'Annual Raw'!N80</f>
        <v>12897</v>
      </c>
      <c r="N147" s="23">
        <f>'Annual Raw'!O80</f>
        <v>11410</v>
      </c>
      <c r="O147" s="23">
        <f>'Annual Raw'!P80</f>
        <v>12537</v>
      </c>
      <c r="P147" s="23">
        <f>'Annual Raw'!Q80</f>
        <v>13448</v>
      </c>
      <c r="Q147" s="23">
        <f>'Annual Raw'!R80</f>
        <v>14150</v>
      </c>
      <c r="R147" s="23">
        <f>'Annual Raw'!S80</f>
        <v>19959</v>
      </c>
      <c r="S147" s="23">
        <f>'Annual Raw'!T80</f>
        <v>27013</v>
      </c>
      <c r="T147" s="23">
        <f>'Annual Raw'!U80</f>
        <v>26347</v>
      </c>
      <c r="U147" s="23">
        <f>'Annual Raw'!V80</f>
        <v>33953</v>
      </c>
      <c r="V147" s="23">
        <f>'Annual Raw'!W80</f>
        <v>40194</v>
      </c>
      <c r="W147" s="23">
        <f>'Annual Raw'!X80</f>
        <v>44095</v>
      </c>
      <c r="X147" s="23">
        <f>'Annual Raw'!Y80</f>
        <v>49015</v>
      </c>
      <c r="Y147" s="23">
        <f>'Annual Raw'!Z80</f>
        <v>56056</v>
      </c>
      <c r="Z147" s="23">
        <f>'Annual Raw'!AA80</f>
        <v>46369</v>
      </c>
      <c r="AA147" s="24">
        <f t="shared" si="1219"/>
        <v>4870</v>
      </c>
      <c r="AB147" s="24">
        <f t="shared" si="1220"/>
        <v>0</v>
      </c>
      <c r="AC147" s="24">
        <f t="shared" si="1221"/>
        <v>0</v>
      </c>
      <c r="AD147" s="24">
        <f t="shared" si="1222"/>
        <v>0</v>
      </c>
      <c r="AE147" s="24">
        <f t="shared" si="1223"/>
        <v>0</v>
      </c>
      <c r="AJ147" s="23">
        <f>+'QTR Raw'!D85</f>
        <v>13372</v>
      </c>
      <c r="AK147" s="23">
        <f t="shared" si="1224"/>
        <v>13372</v>
      </c>
      <c r="AL147" s="23">
        <f>+'QTR Raw'!F85</f>
        <v>10455</v>
      </c>
      <c r="AM147" s="23">
        <f t="shared" si="1224"/>
        <v>10455</v>
      </c>
      <c r="AN147" s="23">
        <f>+'QTR Raw'!H85</f>
        <v>15363</v>
      </c>
      <c r="AO147" s="23">
        <f t="shared" si="1224"/>
        <v>15363</v>
      </c>
      <c r="AP147" s="23">
        <f>+'QTR Raw'!J85</f>
        <v>9965</v>
      </c>
      <c r="AQ147" s="23">
        <f t="shared" si="1224"/>
        <v>9965</v>
      </c>
      <c r="AR147" s="23">
        <f>+'QTR Raw'!L85</f>
        <v>11343</v>
      </c>
      <c r="AS147" s="23">
        <f t="shared" si="1224"/>
        <v>11343</v>
      </c>
      <c r="AT147" s="23">
        <f>+'QTR Raw'!N85</f>
        <v>11171</v>
      </c>
      <c r="AU147" s="23">
        <f t="shared" si="1224"/>
        <v>11171</v>
      </c>
      <c r="AV147" s="23">
        <f>+'QTR Raw'!P85</f>
        <v>14219</v>
      </c>
      <c r="AW147" s="23">
        <f t="shared" si="1224"/>
        <v>14219</v>
      </c>
      <c r="AX147" s="23">
        <f>+'QTR Raw'!R85</f>
        <v>841</v>
      </c>
      <c r="AY147" s="23">
        <f t="shared" si="1224"/>
        <v>841</v>
      </c>
      <c r="AZ147" s="23">
        <f>+'QTR Raw'!T85</f>
        <v>693</v>
      </c>
      <c r="BA147" s="23">
        <f t="shared" si="1224"/>
        <v>693</v>
      </c>
      <c r="BB147" s="23">
        <f>+'QTR Raw'!V85</f>
        <v>996</v>
      </c>
      <c r="BC147" s="23">
        <f t="shared" si="1224"/>
        <v>996</v>
      </c>
      <c r="BD147" s="23">
        <f>+'QTR Raw'!X85</f>
        <v>2425</v>
      </c>
      <c r="BE147" s="23">
        <f t="shared" si="1224"/>
        <v>2425</v>
      </c>
      <c r="BF147" s="23">
        <f>+'QTR Raw'!Z85</f>
        <v>2327</v>
      </c>
      <c r="BG147" s="23">
        <f t="shared" si="1224"/>
        <v>2327</v>
      </c>
      <c r="BH147" s="23">
        <f>+'QTR Raw'!AB85</f>
        <v>1664</v>
      </c>
      <c r="BI147" s="23">
        <f t="shared" si="1224"/>
        <v>1664</v>
      </c>
      <c r="BJ147" s="23">
        <f>+'QTR Raw'!AD85</f>
        <v>545</v>
      </c>
      <c r="BK147" s="23">
        <f t="shared" si="1224"/>
        <v>545</v>
      </c>
      <c r="BL147" s="23">
        <f>+'QTR Raw'!AF85</f>
        <v>621</v>
      </c>
      <c r="BM147" s="23">
        <f t="shared" si="1224"/>
        <v>621</v>
      </c>
      <c r="BN147" s="23">
        <f>+'QTR Raw'!AH85</f>
        <v>669</v>
      </c>
      <c r="BO147" s="23">
        <f t="shared" si="1224"/>
        <v>669</v>
      </c>
      <c r="BP147" s="23">
        <f>+'QTR Raw'!AJ85</f>
        <v>175</v>
      </c>
      <c r="BQ147" s="23">
        <f t="shared" si="1224"/>
        <v>175</v>
      </c>
      <c r="BR147" s="23">
        <f>+'QTR Raw'!AL85</f>
        <v>65</v>
      </c>
      <c r="BS147" s="23">
        <f t="shared" si="1224"/>
        <v>65</v>
      </c>
      <c r="BT147" s="23">
        <f>+'QTR Raw'!AN85</f>
        <v>65</v>
      </c>
      <c r="BU147" s="23">
        <f t="shared" si="1224"/>
        <v>65</v>
      </c>
      <c r="BV147" s="23">
        <f>+'QTR Raw'!AP85</f>
        <v>130</v>
      </c>
      <c r="BW147" s="23">
        <f t="shared" si="1224"/>
        <v>130</v>
      </c>
      <c r="BX147" s="23">
        <f>+'QTR Raw'!AR85</f>
        <v>251</v>
      </c>
      <c r="BY147" s="23">
        <f t="shared" si="1224"/>
        <v>251</v>
      </c>
      <c r="BZ147" s="23">
        <f>+'QTR Raw'!AT85</f>
        <v>176</v>
      </c>
      <c r="CA147" s="23">
        <f t="shared" si="1224"/>
        <v>176</v>
      </c>
      <c r="CB147" s="23">
        <f>+'QTR Raw'!AV85</f>
        <v>2258</v>
      </c>
      <c r="CC147" s="23">
        <f t="shared" si="1224"/>
        <v>2258</v>
      </c>
      <c r="CD147" s="23">
        <f>+'QTR Raw'!AX85</f>
        <v>2517</v>
      </c>
      <c r="CE147" s="23">
        <f t="shared" si="1224"/>
        <v>2517</v>
      </c>
      <c r="CF147" s="23">
        <f>+'QTR Raw'!AZ85</f>
        <v>4641</v>
      </c>
      <c r="CG147" s="23">
        <f t="shared" si="1227"/>
        <v>4641</v>
      </c>
      <c r="CH147" s="23">
        <f t="shared" si="1201"/>
        <v>46369</v>
      </c>
      <c r="CJ147" s="23">
        <f>+'QTR Raw'!BD85</f>
        <v>5593</v>
      </c>
      <c r="CL147" s="23">
        <f>+'QTR Raw'!BF85</f>
        <v>4870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</row>
    <row r="148" spans="1:110" s="22" customFormat="1" x14ac:dyDescent="0.2">
      <c r="A148" s="22" t="s">
        <v>65</v>
      </c>
      <c r="B148" s="22">
        <f>SUM(B142:B147)</f>
        <v>9021.8799999999992</v>
      </c>
      <c r="C148" s="22">
        <f t="shared" ref="C148:V148" si="1229">SUM(C142:C147)</f>
        <v>14700.34</v>
      </c>
      <c r="D148" s="22">
        <f t="shared" si="1229"/>
        <v>18780.629999999997</v>
      </c>
      <c r="E148" s="22">
        <f t="shared" si="1229"/>
        <v>18680.02</v>
      </c>
      <c r="F148" s="22">
        <f t="shared" si="1229"/>
        <v>19491.21</v>
      </c>
      <c r="G148" s="22">
        <f t="shared" si="1229"/>
        <v>22395.760000000002</v>
      </c>
      <c r="H148" s="22">
        <f t="shared" si="1229"/>
        <v>31178.85</v>
      </c>
      <c r="I148" s="22">
        <f t="shared" si="1229"/>
        <v>47014.71</v>
      </c>
      <c r="J148" s="22">
        <f t="shared" si="1229"/>
        <v>36003.97</v>
      </c>
      <c r="K148" s="22">
        <f t="shared" si="1229"/>
        <v>55214.85</v>
      </c>
      <c r="L148" s="22">
        <f>SUM(L142:L147)</f>
        <v>69509</v>
      </c>
      <c r="M148" s="22">
        <f>SUM(M142:M147)</f>
        <v>83686</v>
      </c>
      <c r="N148" s="22">
        <f t="shared" si="1229"/>
        <v>85614</v>
      </c>
      <c r="O148" s="22">
        <f t="shared" si="1229"/>
        <v>97346</v>
      </c>
      <c r="P148" s="22">
        <f t="shared" si="1229"/>
        <v>92570</v>
      </c>
      <c r="Q148" s="22">
        <f t="shared" si="1229"/>
        <v>90347</v>
      </c>
      <c r="R148" s="22">
        <f t="shared" si="1229"/>
        <v>97517</v>
      </c>
      <c r="S148" s="22">
        <f t="shared" si="1229"/>
        <v>133249</v>
      </c>
      <c r="T148" s="22">
        <f t="shared" si="1229"/>
        <v>173077</v>
      </c>
      <c r="U148" s="22">
        <f t="shared" si="1229"/>
        <v>213564</v>
      </c>
      <c r="V148" s="22">
        <f t="shared" si="1229"/>
        <v>270629</v>
      </c>
      <c r="W148" s="22">
        <f t="shared" ref="W148" si="1230">SUM(W142:W147)</f>
        <v>267876</v>
      </c>
      <c r="X148" s="22">
        <f t="shared" ref="X148:Y148" si="1231">SUM(X142:X147)</f>
        <v>283101</v>
      </c>
      <c r="Y148" s="22">
        <f t="shared" si="1231"/>
        <v>313311</v>
      </c>
      <c r="Z148" s="22">
        <f t="shared" ref="Z148" si="1232">SUM(Z142:Z147)</f>
        <v>339079</v>
      </c>
      <c r="AA148" s="21">
        <f t="shared" ref="AA148:AD148" si="1233">SUM(AA142:AA147)</f>
        <v>617487</v>
      </c>
      <c r="AB148" s="21">
        <f t="shared" si="1233"/>
        <v>618651.49036495364</v>
      </c>
      <c r="AC148" s="21">
        <f t="shared" si="1233"/>
        <v>748543.18939863401</v>
      </c>
      <c r="AD148" s="21">
        <f t="shared" si="1233"/>
        <v>828032.6982927979</v>
      </c>
      <c r="AE148" s="21">
        <f t="shared" ref="AE148" si="1234">SUM(AE142:AE147)</f>
        <v>915966.10066870472</v>
      </c>
      <c r="AJ148" s="22">
        <f t="shared" ref="AJ148" si="1235">SUM(AJ142:AJ147)</f>
        <v>86485</v>
      </c>
      <c r="AK148" s="22">
        <f t="shared" ref="AK148" si="1236">SUM(AK142:AK147)</f>
        <v>88714.635472015594</v>
      </c>
      <c r="AL148" s="22">
        <f t="shared" ref="AL148:AM148" si="1237">SUM(AL142:AL147)</f>
        <v>85614</v>
      </c>
      <c r="AM148" s="22">
        <f t="shared" si="1237"/>
        <v>95782.769507589255</v>
      </c>
      <c r="AN148" s="22">
        <f t="shared" ref="AN148:AO148" si="1238">SUM(AN142:AN147)</f>
        <v>98629</v>
      </c>
      <c r="AO148" s="22">
        <f t="shared" si="1238"/>
        <v>99910.163649115522</v>
      </c>
      <c r="AP148" s="22">
        <f t="shared" ref="AP148:CE148" si="1239">SUM(AP142:AP147)</f>
        <v>97346</v>
      </c>
      <c r="AQ148" s="22">
        <f t="shared" si="1239"/>
        <v>98120.942684766211</v>
      </c>
      <c r="AR148" s="22">
        <f t="shared" si="1239"/>
        <v>104103</v>
      </c>
      <c r="AS148" s="22">
        <f t="shared" si="1239"/>
        <v>93249.146807289813</v>
      </c>
      <c r="AT148" s="22">
        <f t="shared" si="1239"/>
        <v>92570</v>
      </c>
      <c r="AU148" s="22">
        <f t="shared" si="1239"/>
        <v>100507.72987994667</v>
      </c>
      <c r="AV148" s="22">
        <f t="shared" si="1239"/>
        <v>103311</v>
      </c>
      <c r="AW148" s="22">
        <f t="shared" si="1239"/>
        <v>97282.89735534972</v>
      </c>
      <c r="AX148" s="22">
        <f t="shared" si="1239"/>
        <v>90347</v>
      </c>
      <c r="AY148" s="22">
        <f t="shared" si="1239"/>
        <v>91172.362541826937</v>
      </c>
      <c r="AZ148" s="22">
        <f t="shared" si="1239"/>
        <v>94270</v>
      </c>
      <c r="BA148" s="22">
        <f t="shared" si="1239"/>
        <v>92681.623825795163</v>
      </c>
      <c r="BB148" s="22">
        <f t="shared" si="1239"/>
        <v>97517</v>
      </c>
      <c r="BC148" s="22">
        <f t="shared" si="1239"/>
        <v>91724.80174186395</v>
      </c>
      <c r="BD148" s="22">
        <f t="shared" si="1239"/>
        <v>111369</v>
      </c>
      <c r="BE148" s="22">
        <f t="shared" si="1239"/>
        <v>110502.92278267058</v>
      </c>
      <c r="BF148" s="22">
        <f t="shared" si="1239"/>
        <v>133249</v>
      </c>
      <c r="BG148" s="22">
        <f t="shared" si="1239"/>
        <v>133028.00644361833</v>
      </c>
      <c r="BH148" s="22">
        <f t="shared" si="1239"/>
        <v>156897</v>
      </c>
      <c r="BI148" s="22">
        <f t="shared" si="1239"/>
        <v>157275.90554798421</v>
      </c>
      <c r="BJ148" s="22">
        <f t="shared" si="1239"/>
        <v>173077</v>
      </c>
      <c r="BK148" s="22">
        <f t="shared" si="1239"/>
        <v>174857.53541388712</v>
      </c>
      <c r="BL148" s="22">
        <f t="shared" si="1239"/>
        <v>191814</v>
      </c>
      <c r="BM148" s="22">
        <f t="shared" si="1239"/>
        <v>185058.40185682813</v>
      </c>
      <c r="BN148" s="22">
        <f t="shared" si="1239"/>
        <v>213564</v>
      </c>
      <c r="BO148" s="22">
        <f t="shared" si="1239"/>
        <v>174519.77559899911</v>
      </c>
      <c r="BP148" s="22">
        <f t="shared" si="1239"/>
        <v>205793</v>
      </c>
      <c r="BQ148" s="22">
        <f t="shared" si="1239"/>
        <v>198248.71016863341</v>
      </c>
      <c r="BR148" s="22">
        <f t="shared" si="1239"/>
        <v>270629</v>
      </c>
      <c r="BS148" s="22">
        <f t="shared" si="1239"/>
        <v>251821.64269153666</v>
      </c>
      <c r="BT148" s="22">
        <f t="shared" si="1239"/>
        <v>254461</v>
      </c>
      <c r="BU148" s="22">
        <f t="shared" si="1239"/>
        <v>250721.77634546708</v>
      </c>
      <c r="BV148" s="22">
        <f t="shared" si="1239"/>
        <v>376206</v>
      </c>
      <c r="BW148" s="22">
        <f t="shared" si="1239"/>
        <v>368472.57071717002</v>
      </c>
      <c r="BX148" s="22">
        <f t="shared" si="1239"/>
        <v>293399</v>
      </c>
      <c r="BY148" s="22">
        <f t="shared" si="1239"/>
        <v>270741.7257026016</v>
      </c>
      <c r="BZ148" s="22">
        <f t="shared" si="1239"/>
        <v>480809</v>
      </c>
      <c r="CA148" s="22">
        <f t="shared" si="1239"/>
        <v>458674.55117447907</v>
      </c>
      <c r="CB148" s="22">
        <f t="shared" si="1239"/>
        <v>510242</v>
      </c>
      <c r="CC148" s="22">
        <f t="shared" si="1239"/>
        <v>488122.41008453257</v>
      </c>
      <c r="CD148" s="22">
        <f t="shared" si="1239"/>
        <v>512765</v>
      </c>
      <c r="CE148" s="22">
        <f t="shared" si="1239"/>
        <v>489753.02306350396</v>
      </c>
      <c r="CF148" s="22">
        <f t="shared" ref="CF148:CG148" si="1240">SUM(CF142:CF147)</f>
        <v>512828</v>
      </c>
      <c r="CG148" s="22">
        <f t="shared" si="1240"/>
        <v>499468.49920744728</v>
      </c>
      <c r="CH148" s="22">
        <f t="shared" ref="CH148:CI148" si="1241">SUM(CH142:CH147)</f>
        <v>339079</v>
      </c>
      <c r="CI148" s="22">
        <f t="shared" si="1241"/>
        <v>286704.61698214052</v>
      </c>
      <c r="CJ148" s="22">
        <f t="shared" ref="CJ148:DB148" si="1242">SUM(CJ142:CJ147)</f>
        <v>556721</v>
      </c>
      <c r="CK148" s="22">
        <f t="shared" si="1242"/>
        <v>578984.92374600889</v>
      </c>
      <c r="CL148" s="22">
        <f t="shared" ref="CL148" si="1243">SUM(CL142:CL147)</f>
        <v>617487</v>
      </c>
      <c r="CM148" s="21">
        <f t="shared" si="1242"/>
        <v>506374.43886486482</v>
      </c>
      <c r="CN148" s="21">
        <f t="shared" si="1242"/>
        <v>534510.95916876267</v>
      </c>
      <c r="CO148" s="21">
        <f t="shared" si="1242"/>
        <v>556867.99758851877</v>
      </c>
      <c r="CP148" s="21">
        <f t="shared" si="1242"/>
        <v>618651.49036495364</v>
      </c>
      <c r="CQ148" s="21">
        <f t="shared" si="1242"/>
        <v>559097.28119788168</v>
      </c>
      <c r="CR148" s="21">
        <f t="shared" si="1242"/>
        <v>591393.16591703473</v>
      </c>
      <c r="CS148" s="21">
        <f t="shared" si="1242"/>
        <v>616206.65361276502</v>
      </c>
      <c r="CT148" s="21">
        <f t="shared" si="1242"/>
        <v>748543.18939863401</v>
      </c>
      <c r="CU148" s="21">
        <f t="shared" si="1242"/>
        <v>676187.58286138601</v>
      </c>
      <c r="CV148" s="21">
        <f t="shared" si="1242"/>
        <v>715528.82940593024</v>
      </c>
      <c r="CW148" s="21">
        <f t="shared" si="1242"/>
        <v>745530.0372369315</v>
      </c>
      <c r="CX148" s="21">
        <f t="shared" si="1242"/>
        <v>828032.6982927979</v>
      </c>
      <c r="CY148" s="21">
        <f t="shared" si="1242"/>
        <v>747967.32913649431</v>
      </c>
      <c r="CZ148" s="21">
        <f t="shared" si="1242"/>
        <v>791537.20729787182</v>
      </c>
      <c r="DA148" s="21">
        <f t="shared" si="1242"/>
        <v>824712.43435242912</v>
      </c>
      <c r="DB148" s="21">
        <f t="shared" si="1242"/>
        <v>915966.10066870472</v>
      </c>
      <c r="DE148" s="126"/>
      <c r="DF148" s="22">
        <v>605575.93825337046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807</v>
      </c>
      <c r="P149" s="23">
        <f>'Annual Raw'!Q50+'Annual Raw'!Q58</f>
        <v>1703</v>
      </c>
      <c r="Q149" s="23">
        <f>'Annual Raw'!R50+'Annual Raw'!R58</f>
        <v>15559</v>
      </c>
      <c r="R149" s="23">
        <f>'Annual Raw'!S50+'Annual Raw'!S58</f>
        <v>29162</v>
      </c>
      <c r="S149" s="23">
        <f>'Annual Raw'!T50+'Annual Raw'!T58</f>
        <v>28752</v>
      </c>
      <c r="T149" s="23">
        <f>'Annual Raw'!U50+'Annual Raw'!U58</f>
        <v>32706</v>
      </c>
      <c r="U149" s="23">
        <f>'Annual Raw'!V50+'Annual Raw'!V58</f>
        <v>38108</v>
      </c>
      <c r="V149" s="23">
        <f>'Annual Raw'!W50+'Annual Raw'!W58</f>
        <v>40903</v>
      </c>
      <c r="W149" s="23">
        <f>'Annual Raw'!X50+'Annual Raw'!X58</f>
        <v>62823</v>
      </c>
      <c r="X149" s="23">
        <f>'Annual Raw'!Y50+'Annual Raw'!Y58</f>
        <v>137700</v>
      </c>
      <c r="Y149" s="23">
        <f>'Annual Raw'!Z50+'Annual Raw'!Z58</f>
        <v>135834</v>
      </c>
      <c r="Z149" s="23">
        <f>'Annual Raw'!AA50+'Annual Raw'!AA58</f>
        <v>138102</v>
      </c>
      <c r="AA149" s="24">
        <f t="shared" ref="AA149:AA155" si="1244">+CL149</f>
        <v>160515</v>
      </c>
      <c r="AB149" s="24">
        <f t="shared" ref="AB149:AB155" si="1245">+CP149</f>
        <v>0</v>
      </c>
      <c r="AC149" s="24">
        <f t="shared" ref="AC149:AC155" si="1246">+CT149</f>
        <v>0</v>
      </c>
      <c r="AD149" s="24">
        <f t="shared" ref="AD149:AD155" si="1247">+CX149</f>
        <v>0</v>
      </c>
      <c r="AE149" s="24">
        <f t="shared" ref="AE149:AE155" si="1248">+DB149</f>
        <v>0</v>
      </c>
      <c r="AJ149" s="23">
        <f>+'QTR Raw'!D64</f>
        <v>0</v>
      </c>
      <c r="AK149" s="23">
        <f t="shared" ref="AK149:CE155" si="1249">+AJ149</f>
        <v>0</v>
      </c>
      <c r="AL149" s="23">
        <f>+'QTR Raw'!F64</f>
        <v>0</v>
      </c>
      <c r="AM149" s="23">
        <f t="shared" si="1249"/>
        <v>0</v>
      </c>
      <c r="AN149" s="23">
        <f>+'QTR Raw'!H64</f>
        <v>0</v>
      </c>
      <c r="AO149" s="23">
        <f t="shared" si="1249"/>
        <v>0</v>
      </c>
      <c r="AP149" s="23">
        <f>+'QTR Raw'!J64</f>
        <v>807</v>
      </c>
      <c r="AQ149" s="23">
        <f t="shared" si="1249"/>
        <v>807</v>
      </c>
      <c r="AR149" s="23">
        <f>+'QTR Raw'!L64</f>
        <v>1493</v>
      </c>
      <c r="AS149" s="23">
        <f t="shared" si="1249"/>
        <v>1493</v>
      </c>
      <c r="AT149" s="23">
        <f>+'QTR Raw'!N64</f>
        <v>1703</v>
      </c>
      <c r="AU149" s="23">
        <f t="shared" si="1249"/>
        <v>1703</v>
      </c>
      <c r="AV149" s="23">
        <f>+'QTR Raw'!P64</f>
        <v>2241</v>
      </c>
      <c r="AW149" s="23">
        <f t="shared" si="1249"/>
        <v>2241</v>
      </c>
      <c r="AX149" s="23">
        <f>+'QTR Raw'!R64</f>
        <v>15559</v>
      </c>
      <c r="AY149" s="23">
        <f t="shared" si="1249"/>
        <v>15559</v>
      </c>
      <c r="AZ149" s="23">
        <f>+'QTR Raw'!T64</f>
        <v>17163</v>
      </c>
      <c r="BA149" s="23">
        <f t="shared" si="1249"/>
        <v>17163</v>
      </c>
      <c r="BB149" s="23">
        <f>+'QTR Raw'!V64</f>
        <v>29162</v>
      </c>
      <c r="BC149" s="23">
        <f t="shared" si="1249"/>
        <v>29162</v>
      </c>
      <c r="BD149" s="23">
        <f>+'QTR Raw'!X64</f>
        <v>29305</v>
      </c>
      <c r="BE149" s="23">
        <f t="shared" si="1249"/>
        <v>29305</v>
      </c>
      <c r="BF149" s="23">
        <f>+'QTR Raw'!Z64</f>
        <v>28752</v>
      </c>
      <c r="BG149" s="23">
        <f t="shared" si="1249"/>
        <v>28752</v>
      </c>
      <c r="BH149" s="23">
        <f>+'QTR Raw'!AB64</f>
        <v>33714</v>
      </c>
      <c r="BI149" s="23">
        <f t="shared" si="1249"/>
        <v>33714</v>
      </c>
      <c r="BJ149" s="23">
        <f>+'QTR Raw'!AD64</f>
        <v>29407</v>
      </c>
      <c r="BK149" s="23">
        <f t="shared" si="1249"/>
        <v>29407</v>
      </c>
      <c r="BL149" s="23">
        <f>+'QTR Raw'!AF64</f>
        <v>39955</v>
      </c>
      <c r="BM149" s="23">
        <f t="shared" si="1249"/>
        <v>39955</v>
      </c>
      <c r="BN149" s="23">
        <f>+'QTR Raw'!AH64</f>
        <v>38108</v>
      </c>
      <c r="BO149" s="23">
        <f t="shared" si="1249"/>
        <v>38108</v>
      </c>
      <c r="BP149" s="23">
        <f>+'QTR Raw'!AJ64</f>
        <v>40385</v>
      </c>
      <c r="BQ149" s="23">
        <f t="shared" si="1249"/>
        <v>40385</v>
      </c>
      <c r="BR149" s="23">
        <f>+'QTR Raw'!AL64</f>
        <v>40903</v>
      </c>
      <c r="BS149" s="23">
        <f t="shared" si="1249"/>
        <v>40903</v>
      </c>
      <c r="BT149" s="23">
        <f>+'QTR Raw'!AN64</f>
        <v>70554</v>
      </c>
      <c r="BU149" s="23">
        <f t="shared" si="1249"/>
        <v>70554</v>
      </c>
      <c r="BV149" s="23">
        <f>+'QTR Raw'!AP64</f>
        <v>62823</v>
      </c>
      <c r="BW149" s="23">
        <f t="shared" si="1249"/>
        <v>62823</v>
      </c>
      <c r="BX149" s="23">
        <f>+'QTR Raw'!AR64</f>
        <v>142562</v>
      </c>
      <c r="BY149" s="23">
        <f t="shared" si="1249"/>
        <v>142562</v>
      </c>
      <c r="BZ149" s="23">
        <f>+'QTR Raw'!AT64</f>
        <v>137700</v>
      </c>
      <c r="CA149" s="23">
        <f t="shared" si="1249"/>
        <v>137700</v>
      </c>
      <c r="CB149" s="23">
        <f>+'QTR Raw'!AV64</f>
        <v>135782</v>
      </c>
      <c r="CC149" s="23">
        <f t="shared" si="1249"/>
        <v>135782</v>
      </c>
      <c r="CD149" s="23">
        <f>+'QTR Raw'!AX64</f>
        <v>135834</v>
      </c>
      <c r="CE149" s="23">
        <f t="shared" si="1249"/>
        <v>135834</v>
      </c>
      <c r="CF149" s="23">
        <f>+'QTR Raw'!AZ64</f>
        <v>134661</v>
      </c>
      <c r="CG149" s="23">
        <f t="shared" ref="CG149:CG152" si="1250">+CF149</f>
        <v>134661</v>
      </c>
      <c r="CH149" s="23">
        <f t="shared" si="1201"/>
        <v>138102</v>
      </c>
      <c r="CJ149" s="23">
        <f>+'QTR Raw'!BD64</f>
        <v>147629</v>
      </c>
      <c r="CL149" s="23">
        <f>+'QTR Raw'!BF64</f>
        <v>160515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4">
        <f t="shared" si="1244"/>
        <v>0</v>
      </c>
      <c r="AB150" s="24">
        <f t="shared" si="1245"/>
        <v>0</v>
      </c>
      <c r="AC150" s="24">
        <f t="shared" si="1246"/>
        <v>0</v>
      </c>
      <c r="AD150" s="24">
        <f t="shared" si="1247"/>
        <v>0</v>
      </c>
      <c r="AE150" s="24">
        <f t="shared" si="1248"/>
        <v>0</v>
      </c>
      <c r="AJ150" s="23">
        <f>+'QTR Raw'!D65</f>
        <v>0</v>
      </c>
      <c r="AK150" s="23">
        <f t="shared" si="1249"/>
        <v>0</v>
      </c>
      <c r="AL150" s="23">
        <f>+'QTR Raw'!F65</f>
        <v>0</v>
      </c>
      <c r="AM150" s="23">
        <f t="shared" si="1249"/>
        <v>0</v>
      </c>
      <c r="AN150" s="23">
        <f>+'QTR Raw'!H65</f>
        <v>0</v>
      </c>
      <c r="AO150" s="23">
        <f t="shared" si="1249"/>
        <v>0</v>
      </c>
      <c r="AP150" s="23">
        <f>+'QTR Raw'!J65</f>
        <v>0</v>
      </c>
      <c r="AQ150" s="23">
        <f t="shared" si="1249"/>
        <v>0</v>
      </c>
      <c r="AR150" s="23">
        <f>+'QTR Raw'!L65</f>
        <v>0</v>
      </c>
      <c r="AS150" s="23">
        <f t="shared" si="1249"/>
        <v>0</v>
      </c>
      <c r="AT150" s="23">
        <f>+'QTR Raw'!N65</f>
        <v>0</v>
      </c>
      <c r="AU150" s="23">
        <f t="shared" si="1249"/>
        <v>0</v>
      </c>
      <c r="AV150" s="23">
        <f>+'QTR Raw'!P65</f>
        <v>0</v>
      </c>
      <c r="AW150" s="23">
        <f t="shared" si="1249"/>
        <v>0</v>
      </c>
      <c r="AX150" s="23">
        <f>+'QTR Raw'!R65</f>
        <v>0</v>
      </c>
      <c r="AY150" s="23">
        <f t="shared" si="1249"/>
        <v>0</v>
      </c>
      <c r="AZ150" s="23">
        <f>+'QTR Raw'!T65</f>
        <v>0</v>
      </c>
      <c r="BA150" s="23">
        <f t="shared" si="1249"/>
        <v>0</v>
      </c>
      <c r="BB150" s="23">
        <f>+'QTR Raw'!V65</f>
        <v>0</v>
      </c>
      <c r="BC150" s="23">
        <f t="shared" si="1249"/>
        <v>0</v>
      </c>
      <c r="BD150" s="23">
        <f>+'QTR Raw'!X65</f>
        <v>0</v>
      </c>
      <c r="BE150" s="23">
        <f t="shared" si="1249"/>
        <v>0</v>
      </c>
      <c r="BF150" s="23">
        <f>+'QTR Raw'!Z65</f>
        <v>0</v>
      </c>
      <c r="BG150" s="23">
        <f t="shared" si="1249"/>
        <v>0</v>
      </c>
      <c r="BH150" s="23">
        <f>+'QTR Raw'!AB65</f>
        <v>0</v>
      </c>
      <c r="BI150" s="23">
        <f t="shared" si="1249"/>
        <v>0</v>
      </c>
      <c r="BJ150" s="23">
        <f>+'QTR Raw'!AD65</f>
        <v>0</v>
      </c>
      <c r="BK150" s="23">
        <f t="shared" si="1249"/>
        <v>0</v>
      </c>
      <c r="BL150" s="23">
        <f>+'QTR Raw'!AF65</f>
        <v>0</v>
      </c>
      <c r="BM150" s="23">
        <f t="shared" si="1249"/>
        <v>0</v>
      </c>
      <c r="BN150" s="23">
        <f>+'QTR Raw'!AH65</f>
        <v>0</v>
      </c>
      <c r="BO150" s="23">
        <f t="shared" si="1249"/>
        <v>0</v>
      </c>
      <c r="BP150" s="23">
        <f>+'QTR Raw'!AJ65</f>
        <v>0</v>
      </c>
      <c r="BQ150" s="23">
        <f t="shared" si="1249"/>
        <v>0</v>
      </c>
      <c r="BR150" s="23">
        <f>+'QTR Raw'!AL65</f>
        <v>0</v>
      </c>
      <c r="BS150" s="23">
        <f t="shared" si="1249"/>
        <v>0</v>
      </c>
      <c r="BT150" s="23">
        <f>+'QTR Raw'!AN65</f>
        <v>0</v>
      </c>
      <c r="BU150" s="23">
        <f t="shared" si="1249"/>
        <v>0</v>
      </c>
      <c r="BV150" s="23">
        <f>+'QTR Raw'!AP65</f>
        <v>0</v>
      </c>
      <c r="BW150" s="23">
        <f t="shared" si="1249"/>
        <v>0</v>
      </c>
      <c r="BX150" s="23">
        <f>+'QTR Raw'!AR65</f>
        <v>0</v>
      </c>
      <c r="BY150" s="23">
        <f t="shared" si="1249"/>
        <v>0</v>
      </c>
      <c r="BZ150" s="23">
        <f>+'QTR Raw'!AT65</f>
        <v>0</v>
      </c>
      <c r="CA150" s="23">
        <f t="shared" si="1249"/>
        <v>0</v>
      </c>
      <c r="CB150" s="23">
        <f>+'QTR Raw'!AV65</f>
        <v>0</v>
      </c>
      <c r="CC150" s="23">
        <f t="shared" si="1249"/>
        <v>0</v>
      </c>
      <c r="CD150" s="23">
        <f>+'QTR Raw'!AX65</f>
        <v>0</v>
      </c>
      <c r="CE150" s="23">
        <f t="shared" si="1249"/>
        <v>0</v>
      </c>
      <c r="CF150" s="23">
        <f>+'QTR Raw'!AZ65</f>
        <v>0</v>
      </c>
      <c r="CG150" s="23">
        <f t="shared" si="1250"/>
        <v>0</v>
      </c>
      <c r="CH150" s="23">
        <f t="shared" si="1201"/>
        <v>0</v>
      </c>
      <c r="CJ150" s="23">
        <f>+'QTR Raw'!BD65</f>
        <v>0</v>
      </c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214</v>
      </c>
      <c r="M151" s="23">
        <f>'Annual Raw'!N52</f>
        <v>421</v>
      </c>
      <c r="N151" s="23">
        <f>'Annual Raw'!O52</f>
        <v>531</v>
      </c>
      <c r="O151" s="23">
        <f>'Annual Raw'!P52</f>
        <v>290</v>
      </c>
      <c r="P151" s="23">
        <f>'Annual Raw'!Q52</f>
        <v>1554</v>
      </c>
      <c r="Q151" s="23">
        <f>'Annual Raw'!R52</f>
        <v>1231</v>
      </c>
      <c r="R151" s="23">
        <f>'Annual Raw'!S52</f>
        <v>2353</v>
      </c>
      <c r="S151" s="23">
        <f>'Annual Raw'!T52</f>
        <v>2906</v>
      </c>
      <c r="T151" s="23">
        <f>'Annual Raw'!U52</f>
        <v>2856</v>
      </c>
      <c r="U151" s="23">
        <f>'Annual Raw'!V52</f>
        <v>1790</v>
      </c>
      <c r="V151" s="23">
        <f>'Annual Raw'!W52</f>
        <v>2625</v>
      </c>
      <c r="W151" s="23">
        <f>'Annual Raw'!X52</f>
        <v>1853</v>
      </c>
      <c r="X151" s="23">
        <f>'Annual Raw'!Y52</f>
        <v>1607</v>
      </c>
      <c r="Y151" s="23">
        <f>'Annual Raw'!Z52</f>
        <v>2044</v>
      </c>
      <c r="Z151" s="23">
        <f>'Annual Raw'!AA52</f>
        <v>28304</v>
      </c>
      <c r="AA151" s="24">
        <f t="shared" si="1244"/>
        <v>21793</v>
      </c>
      <c r="AB151" s="24">
        <f t="shared" si="1245"/>
        <v>0</v>
      </c>
      <c r="AC151" s="24">
        <f t="shared" si="1246"/>
        <v>0</v>
      </c>
      <c r="AD151" s="24">
        <f t="shared" si="1247"/>
        <v>0</v>
      </c>
      <c r="AE151" s="24">
        <f t="shared" si="1248"/>
        <v>0</v>
      </c>
      <c r="AJ151" s="23">
        <f>+'QTR Raw'!D66</f>
        <v>0</v>
      </c>
      <c r="AK151" s="23">
        <f t="shared" si="1249"/>
        <v>0</v>
      </c>
      <c r="AL151" s="23">
        <f>+'QTR Raw'!F66</f>
        <v>531</v>
      </c>
      <c r="AM151" s="23">
        <f t="shared" si="1249"/>
        <v>531</v>
      </c>
      <c r="AN151" s="23">
        <f>+'QTR Raw'!H66</f>
        <v>0</v>
      </c>
      <c r="AO151" s="23">
        <f t="shared" si="1249"/>
        <v>0</v>
      </c>
      <c r="AP151" s="23">
        <f>+'QTR Raw'!J66</f>
        <v>290</v>
      </c>
      <c r="AQ151" s="23">
        <f t="shared" si="1249"/>
        <v>290</v>
      </c>
      <c r="AR151" s="23">
        <f>+'QTR Raw'!L66</f>
        <v>115</v>
      </c>
      <c r="AS151" s="23">
        <f t="shared" si="1249"/>
        <v>115</v>
      </c>
      <c r="AT151" s="23">
        <f>+'QTR Raw'!N66</f>
        <v>1554</v>
      </c>
      <c r="AU151" s="23">
        <f t="shared" si="1249"/>
        <v>1554</v>
      </c>
      <c r="AV151" s="23">
        <f>+'QTR Raw'!P66</f>
        <v>1624</v>
      </c>
      <c r="AW151" s="23">
        <f t="shared" si="1249"/>
        <v>1624</v>
      </c>
      <c r="AX151" s="23">
        <f>+'QTR Raw'!R66</f>
        <v>1231</v>
      </c>
      <c r="AY151" s="23">
        <f t="shared" si="1249"/>
        <v>1231</v>
      </c>
      <c r="AZ151" s="23">
        <f>+'QTR Raw'!T66</f>
        <v>1282</v>
      </c>
      <c r="BA151" s="23">
        <f t="shared" si="1249"/>
        <v>1282</v>
      </c>
      <c r="BB151" s="23">
        <f>+'QTR Raw'!V66</f>
        <v>2353</v>
      </c>
      <c r="BC151" s="23">
        <f t="shared" si="1249"/>
        <v>2353</v>
      </c>
      <c r="BD151" s="23">
        <f>+'QTR Raw'!X66</f>
        <v>2392</v>
      </c>
      <c r="BE151" s="23">
        <f t="shared" si="1249"/>
        <v>2392</v>
      </c>
      <c r="BF151" s="23">
        <f>+'QTR Raw'!Z66</f>
        <v>2906</v>
      </c>
      <c r="BG151" s="23">
        <f t="shared" si="1249"/>
        <v>2906</v>
      </c>
      <c r="BH151" s="23">
        <f>+'QTR Raw'!AB66</f>
        <v>3337</v>
      </c>
      <c r="BI151" s="23">
        <f t="shared" si="1249"/>
        <v>3337</v>
      </c>
      <c r="BJ151" s="23">
        <f>+'QTR Raw'!AD66</f>
        <v>2856</v>
      </c>
      <c r="BK151" s="23">
        <f t="shared" si="1249"/>
        <v>2856</v>
      </c>
      <c r="BL151" s="23">
        <f>+'QTR Raw'!AF66</f>
        <v>1639</v>
      </c>
      <c r="BM151" s="23">
        <f t="shared" si="1249"/>
        <v>1639</v>
      </c>
      <c r="BN151" s="23">
        <f>+'QTR Raw'!AH66</f>
        <v>1790</v>
      </c>
      <c r="BO151" s="23">
        <f t="shared" si="1249"/>
        <v>1790</v>
      </c>
      <c r="BP151" s="23">
        <f>+'QTR Raw'!AJ66</f>
        <v>1747</v>
      </c>
      <c r="BQ151" s="23">
        <f t="shared" si="1249"/>
        <v>1747</v>
      </c>
      <c r="BR151" s="23">
        <f>+'QTR Raw'!AL66</f>
        <v>2625</v>
      </c>
      <c r="BS151" s="23">
        <f t="shared" si="1249"/>
        <v>2625</v>
      </c>
      <c r="BT151" s="23">
        <f>+'QTR Raw'!AN66</f>
        <v>2684</v>
      </c>
      <c r="BU151" s="23">
        <f t="shared" si="1249"/>
        <v>2684</v>
      </c>
      <c r="BV151" s="23">
        <f>+'QTR Raw'!AP66</f>
        <v>1853</v>
      </c>
      <c r="BW151" s="23">
        <f t="shared" si="1249"/>
        <v>1853</v>
      </c>
      <c r="BX151" s="23">
        <f>+'QTR Raw'!AR66</f>
        <v>1503</v>
      </c>
      <c r="BY151" s="23">
        <f t="shared" si="1249"/>
        <v>1503</v>
      </c>
      <c r="BZ151" s="23">
        <f>+'QTR Raw'!AT66</f>
        <v>1607</v>
      </c>
      <c r="CA151" s="23">
        <f t="shared" si="1249"/>
        <v>1607</v>
      </c>
      <c r="CB151" s="23">
        <f>+'QTR Raw'!AV66</f>
        <v>2101</v>
      </c>
      <c r="CC151" s="23">
        <f t="shared" si="1249"/>
        <v>2101</v>
      </c>
      <c r="CD151" s="23">
        <f>+'QTR Raw'!AX66</f>
        <v>2044</v>
      </c>
      <c r="CE151" s="23">
        <f t="shared" si="1249"/>
        <v>2044</v>
      </c>
      <c r="CF151" s="23">
        <f>+'QTR Raw'!AZ66</f>
        <v>2063</v>
      </c>
      <c r="CG151" s="23">
        <f t="shared" si="1250"/>
        <v>2063</v>
      </c>
      <c r="CH151" s="23">
        <f t="shared" si="1201"/>
        <v>28304</v>
      </c>
      <c r="CJ151" s="23">
        <f>+'QTR Raw'!BD66</f>
        <v>26556</v>
      </c>
      <c r="CL151" s="23">
        <f>+'QTR Raw'!BF66</f>
        <v>21793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4">
        <f t="shared" si="1244"/>
        <v>0</v>
      </c>
      <c r="AB152" s="24">
        <f t="shared" si="1245"/>
        <v>461919.47301362123</v>
      </c>
      <c r="AC152" s="24">
        <f t="shared" si="1246"/>
        <v>511043.22587425489</v>
      </c>
      <c r="AD152" s="24">
        <f t="shared" si="1247"/>
        <v>565312.07184568001</v>
      </c>
      <c r="AE152" s="24">
        <f t="shared" si="1248"/>
        <v>625345.70817918866</v>
      </c>
      <c r="AJ152" s="23">
        <f>+'QTR Raw'!D87</f>
        <v>68922</v>
      </c>
      <c r="AK152" s="23">
        <f t="shared" si="1249"/>
        <v>68922</v>
      </c>
      <c r="AL152" s="23">
        <f>+'QTR Raw'!F87</f>
        <v>0</v>
      </c>
      <c r="AM152" s="23">
        <f t="shared" si="1249"/>
        <v>0</v>
      </c>
      <c r="AN152" s="23">
        <f>+'QTR Raw'!H87</f>
        <v>0</v>
      </c>
      <c r="AO152" s="23">
        <f t="shared" si="1249"/>
        <v>0</v>
      </c>
      <c r="AP152" s="23">
        <f>+'QTR Raw'!J87</f>
        <v>0</v>
      </c>
      <c r="AQ152" s="23">
        <f t="shared" si="1249"/>
        <v>0</v>
      </c>
      <c r="AR152" s="23">
        <f>+'QTR Raw'!L87</f>
        <v>0</v>
      </c>
      <c r="AS152" s="23">
        <f t="shared" si="1249"/>
        <v>0</v>
      </c>
      <c r="AT152" s="23">
        <f>+'QTR Raw'!N87</f>
        <v>0</v>
      </c>
      <c r="AU152" s="23">
        <f t="shared" si="1249"/>
        <v>0</v>
      </c>
      <c r="AV152" s="23">
        <f>+'QTR Raw'!P87</f>
        <v>0</v>
      </c>
      <c r="AW152" s="23">
        <f t="shared" si="1249"/>
        <v>0</v>
      </c>
      <c r="AX152" s="23">
        <f>+'QTR Raw'!R87</f>
        <v>0</v>
      </c>
      <c r="AY152" s="23">
        <f t="shared" si="1249"/>
        <v>0</v>
      </c>
      <c r="AZ152" s="23">
        <f>+'QTR Raw'!T87</f>
        <v>0</v>
      </c>
      <c r="BA152" s="23">
        <f t="shared" si="1249"/>
        <v>0</v>
      </c>
      <c r="BB152" s="23">
        <f>+'QTR Raw'!V87</f>
        <v>0</v>
      </c>
      <c r="BC152" s="23">
        <f t="shared" si="1249"/>
        <v>0</v>
      </c>
      <c r="BD152" s="23">
        <f>+'QTR Raw'!X87</f>
        <v>0</v>
      </c>
      <c r="BE152" s="23">
        <f t="shared" si="1249"/>
        <v>0</v>
      </c>
      <c r="BF152" s="23">
        <f>+'QTR Raw'!Z87</f>
        <v>0</v>
      </c>
      <c r="BG152" s="23">
        <f t="shared" si="1249"/>
        <v>0</v>
      </c>
      <c r="BH152" s="23">
        <f>+'QTR Raw'!AB87</f>
        <v>0</v>
      </c>
      <c r="BI152" s="23">
        <f t="shared" si="1249"/>
        <v>0</v>
      </c>
      <c r="BJ152" s="23">
        <f>+'QTR Raw'!AD87</f>
        <v>0</v>
      </c>
      <c r="BK152" s="23">
        <f t="shared" si="1249"/>
        <v>0</v>
      </c>
      <c r="BL152" s="23">
        <f>+'QTR Raw'!AF87</f>
        <v>0</v>
      </c>
      <c r="BM152" s="23">
        <f t="shared" si="1249"/>
        <v>0</v>
      </c>
      <c r="BN152" s="23">
        <f>+'QTR Raw'!AH87</f>
        <v>0</v>
      </c>
      <c r="BO152" s="23">
        <f t="shared" si="1249"/>
        <v>0</v>
      </c>
      <c r="BP152" s="23">
        <f>+'QTR Raw'!AJ87</f>
        <v>0</v>
      </c>
      <c r="BQ152" s="23">
        <f t="shared" si="1249"/>
        <v>0</v>
      </c>
      <c r="BR152" s="23">
        <f>+'QTR Raw'!AL87</f>
        <v>0</v>
      </c>
      <c r="BS152" s="23">
        <f t="shared" si="1249"/>
        <v>0</v>
      </c>
      <c r="BT152" s="23">
        <f>+'QTR Raw'!AN87</f>
        <v>0</v>
      </c>
      <c r="BU152" s="23">
        <f t="shared" si="1249"/>
        <v>0</v>
      </c>
      <c r="BV152" s="23">
        <f>+'QTR Raw'!AP87</f>
        <v>0</v>
      </c>
      <c r="BW152" s="23">
        <f t="shared" si="1249"/>
        <v>0</v>
      </c>
      <c r="BX152" s="23">
        <f>+'QTR Raw'!AR87</f>
        <v>0</v>
      </c>
      <c r="BY152" s="23">
        <f t="shared" si="1249"/>
        <v>0</v>
      </c>
      <c r="BZ152" s="23">
        <f>+'QTR Raw'!AT87</f>
        <v>0</v>
      </c>
      <c r="CA152" s="23">
        <f t="shared" si="1249"/>
        <v>0</v>
      </c>
      <c r="CB152" s="23">
        <f>+'QTR Raw'!AV87</f>
        <v>0</v>
      </c>
      <c r="CC152" s="23">
        <f t="shared" si="1249"/>
        <v>0</v>
      </c>
      <c r="CD152" s="23">
        <f>+'QTR Raw'!AX87</f>
        <v>0</v>
      </c>
      <c r="CE152" s="23">
        <f t="shared" si="1249"/>
        <v>0</v>
      </c>
      <c r="CF152" s="23">
        <f>+'QTR Raw'!AZ87</f>
        <v>0</v>
      </c>
      <c r="CG152" s="23">
        <f t="shared" si="1250"/>
        <v>0</v>
      </c>
      <c r="CH152" s="23">
        <f t="shared" si="1201"/>
        <v>0</v>
      </c>
      <c r="CI152" s="23">
        <f>CI10/90*CI184</f>
        <v>272874.97635160934</v>
      </c>
      <c r="CJ152" s="23">
        <f>+'QTR Raw'!BD87</f>
        <v>0</v>
      </c>
      <c r="CK152" s="23">
        <f t="shared" ref="CK152:DB152" si="1251">CK10/90*CK184</f>
        <v>255221.79989513828</v>
      </c>
      <c r="CL152" s="23">
        <f>+'QTR Raw'!BF87</f>
        <v>0</v>
      </c>
      <c r="CM152" s="24">
        <f t="shared" si="1251"/>
        <v>378087.20675681584</v>
      </c>
      <c r="CN152" s="24">
        <f t="shared" si="1251"/>
        <v>399095.49144315277</v>
      </c>
      <c r="CO152" s="24">
        <f t="shared" si="1251"/>
        <v>415788.49479938304</v>
      </c>
      <c r="CP152" s="24">
        <f t="shared" si="1251"/>
        <v>461919.47301362123</v>
      </c>
      <c r="CQ152" s="24">
        <f t="shared" si="1251"/>
        <v>417453.00143368746</v>
      </c>
      <c r="CR152" s="24">
        <f t="shared" si="1251"/>
        <v>441566.89800117072</v>
      </c>
      <c r="CS152" s="24">
        <f t="shared" si="1251"/>
        <v>460094.02246227919</v>
      </c>
      <c r="CT152" s="24">
        <f t="shared" si="1251"/>
        <v>511043.22587425489</v>
      </c>
      <c r="CU152" s="24">
        <f t="shared" si="1251"/>
        <v>461644.81693997543</v>
      </c>
      <c r="CV152" s="24">
        <f t="shared" si="1251"/>
        <v>488503.75818582432</v>
      </c>
      <c r="CW152" s="24">
        <f t="shared" si="1251"/>
        <v>508986.09540726937</v>
      </c>
      <c r="CX152" s="24">
        <f t="shared" si="1251"/>
        <v>565312.07184568001</v>
      </c>
      <c r="CY152" s="24">
        <f t="shared" si="1251"/>
        <v>510650.07623347978</v>
      </c>
      <c r="CZ152" s="24">
        <f t="shared" si="1251"/>
        <v>540395.97653941507</v>
      </c>
      <c r="DA152" s="24">
        <f t="shared" si="1251"/>
        <v>563045.2709197331</v>
      </c>
      <c r="DB152" s="24">
        <f t="shared" si="1251"/>
        <v>625345.70817918866</v>
      </c>
      <c r="DE152" s="123"/>
      <c r="DF152" s="23">
        <v>266943.36000018817</v>
      </c>
    </row>
    <row r="153" spans="1:110" s="23" customFormat="1" outlineLevel="1" x14ac:dyDescent="0.2">
      <c r="A153" s="23" t="s">
        <v>70</v>
      </c>
      <c r="B153" s="23">
        <f>'Annual Raw'!C54</f>
        <v>3859.22</v>
      </c>
      <c r="C153" s="23">
        <f>'Annual Raw'!D54</f>
        <v>6050.97</v>
      </c>
      <c r="D153" s="23">
        <f>'Annual Raw'!E54</f>
        <v>9073.2800000000007</v>
      </c>
      <c r="E153" s="23">
        <f>'Annual Raw'!F54</f>
        <v>9981.84</v>
      </c>
      <c r="F153" s="23">
        <f>'Annual Raw'!G54</f>
        <v>13212.27</v>
      </c>
      <c r="G153" s="23">
        <f>'Annual Raw'!H54</f>
        <v>12454.12</v>
      </c>
      <c r="H153" s="23">
        <f>'Annual Raw'!I54</f>
        <v>17690.77</v>
      </c>
      <c r="I153" s="23">
        <f>'Annual Raw'!J54</f>
        <v>22798.68</v>
      </c>
      <c r="J153" s="23">
        <f>'Annual Raw'!K54</f>
        <v>34501.11</v>
      </c>
      <c r="K153" s="23">
        <f>'Annual Raw'!L54</f>
        <v>38125.620000000003</v>
      </c>
      <c r="L153" s="23">
        <f>'Annual Raw'!M54</f>
        <v>36107</v>
      </c>
      <c r="M153" s="23">
        <f>'Annual Raw'!N54</f>
        <v>40368</v>
      </c>
      <c r="N153" s="23">
        <f>'Annual Raw'!O54</f>
        <v>49700</v>
      </c>
      <c r="O153" s="23">
        <f>'Annual Raw'!P54</f>
        <v>60860</v>
      </c>
      <c r="P153" s="23">
        <f>'Annual Raw'!Q54</f>
        <v>59407</v>
      </c>
      <c r="Q153" s="23">
        <f>'Annual Raw'!R54</f>
        <v>60296</v>
      </c>
      <c r="R153" s="23">
        <f>'Annual Raw'!S54</f>
        <v>76595</v>
      </c>
      <c r="S153" s="23">
        <f>'Annual Raw'!T54</f>
        <v>106861</v>
      </c>
      <c r="T153" s="23">
        <f>'Annual Raw'!U54</f>
        <v>108309</v>
      </c>
      <c r="U153" s="23">
        <f>'Annual Raw'!V54</f>
        <v>96799</v>
      </c>
      <c r="V153" s="23">
        <f>'Annual Raw'!W54</f>
        <v>108897</v>
      </c>
      <c r="W153" s="23">
        <f>'Annual Raw'!X54</f>
        <v>159330</v>
      </c>
      <c r="X153" s="23">
        <f>'Annual Raw'!Y54</f>
        <v>147172</v>
      </c>
      <c r="Y153" s="23">
        <f>'Annual Raw'!Z54</f>
        <v>178377</v>
      </c>
      <c r="Z153" s="23">
        <f>'Annual Raw'!AA54</f>
        <v>186789</v>
      </c>
      <c r="AA153" s="24">
        <f t="shared" si="1244"/>
        <v>158842</v>
      </c>
      <c r="AB153" s="24">
        <f t="shared" si="1245"/>
        <v>159141.55283034296</v>
      </c>
      <c r="AC153" s="24">
        <f t="shared" si="1246"/>
        <v>176065.78046701744</v>
      </c>
      <c r="AD153" s="24">
        <f t="shared" si="1247"/>
        <v>194762.60734434769</v>
      </c>
      <c r="AE153" s="24">
        <f t="shared" si="1248"/>
        <v>215445.53297603014</v>
      </c>
      <c r="AJ153" s="23">
        <f>+'QTR Raw'!D89</f>
        <v>0</v>
      </c>
      <c r="AK153" s="23">
        <f>+AK183*AK10/90</f>
        <v>0</v>
      </c>
      <c r="AL153" s="23">
        <f>+'QTR Raw'!F89</f>
        <v>49700</v>
      </c>
      <c r="AM153" s="23">
        <f>+AM183*AM10/90</f>
        <v>57553.612912420715</v>
      </c>
      <c r="AN153" s="23">
        <f>+'QTR Raw'!H89</f>
        <v>59157</v>
      </c>
      <c r="AO153" s="23">
        <f>+AO183*AO10/90</f>
        <v>60461.628750292235</v>
      </c>
      <c r="AP153" s="23">
        <f>+'QTR Raw'!J89</f>
        <v>60860</v>
      </c>
      <c r="AQ153" s="23">
        <f>+AQ183*AQ10/90</f>
        <v>61573.175542406316</v>
      </c>
      <c r="AR153" s="23">
        <f>+'QTR Raw'!L89</f>
        <v>72925</v>
      </c>
      <c r="AS153" s="23">
        <f>+AS183*AS10/90</f>
        <v>62119.451351129814</v>
      </c>
      <c r="AT153" s="23">
        <f>+'QTR Raw'!N89</f>
        <v>59407</v>
      </c>
      <c r="AU153" s="23">
        <f>+AU183*AU10/90</f>
        <v>67459.127093523042</v>
      </c>
      <c r="AV153" s="23">
        <f>+'QTR Raw'!P89</f>
        <v>62587</v>
      </c>
      <c r="AW153" s="23">
        <f>+AW183*AW10/90</f>
        <v>56720.676547187548</v>
      </c>
      <c r="AX153" s="23">
        <f>+'QTR Raw'!R89</f>
        <v>60296</v>
      </c>
      <c r="AY153" s="23">
        <f>+AY183*AY10/90</f>
        <v>61272.743534415364</v>
      </c>
      <c r="AZ153" s="23">
        <f>+'QTR Raw'!T89</f>
        <v>67512</v>
      </c>
      <c r="BA153" s="23">
        <f>+BA183*BA10/90</f>
        <v>65657.406473894996</v>
      </c>
      <c r="BB153" s="23">
        <f>+'QTR Raw'!V89</f>
        <v>76595</v>
      </c>
      <c r="BC153" s="23">
        <f>+BC183*BC10/90</f>
        <v>68829.04590425131</v>
      </c>
      <c r="BD153" s="23">
        <f>+'QTR Raw'!X89</f>
        <v>84655</v>
      </c>
      <c r="BE153" s="23">
        <f>+BE183*BE10/90</f>
        <v>83517.832043412505</v>
      </c>
      <c r="BF153" s="23">
        <f>+'QTR Raw'!Z89</f>
        <v>106861</v>
      </c>
      <c r="BG153" s="23">
        <f>+BG183*BG10/90</f>
        <v>106559.74996902107</v>
      </c>
      <c r="BH153" s="23">
        <f>+'QTR Raw'!AB89</f>
        <v>128261</v>
      </c>
      <c r="BI153" s="23">
        <f>+BI183*BI10/90</f>
        <v>128759.13762148813</v>
      </c>
      <c r="BJ153" s="23">
        <f>+'QTR Raw'!AD89</f>
        <v>108309</v>
      </c>
      <c r="BK153" s="23">
        <f>+BK183*BK10/90</f>
        <v>110283.89001682233</v>
      </c>
      <c r="BL153" s="23">
        <f>+'QTR Raw'!AF89</f>
        <v>103122</v>
      </c>
      <c r="BM153" s="23">
        <f>+BM183*BM10/90</f>
        <v>95678.752051710355</v>
      </c>
      <c r="BN153" s="23">
        <f>+'QTR Raw'!AH89</f>
        <v>96799</v>
      </c>
      <c r="BO153" s="23">
        <f>+BO183*BO10/90</f>
        <v>56402.652478195705</v>
      </c>
      <c r="BP153" s="23">
        <f>+'QTR Raw'!AJ89</f>
        <v>72966</v>
      </c>
      <c r="BQ153" s="23">
        <f>+BQ183*BQ10/90</f>
        <v>66984.248627176072</v>
      </c>
      <c r="BR153" s="23">
        <f>+'QTR Raw'!AL89</f>
        <v>108897</v>
      </c>
      <c r="BS153" s="23">
        <f>+BS183*BS10/90</f>
        <v>88555.892111914931</v>
      </c>
      <c r="BT153" s="23">
        <f>+'QTR Raw'!AN89</f>
        <v>132134</v>
      </c>
      <c r="BU153" s="23">
        <f>+BU183*BU10/90</f>
        <v>127646.33386588142</v>
      </c>
      <c r="BV153" s="23">
        <f>+'QTR Raw'!AP89</f>
        <v>159330</v>
      </c>
      <c r="BW153" s="23">
        <f>+BW183*BW10/90</f>
        <v>149954.05996413503</v>
      </c>
      <c r="BX153" s="23">
        <f>+'QTR Raw'!AR89</f>
        <v>150711</v>
      </c>
      <c r="BY153" s="23">
        <f>+BY183*BY10/90</f>
        <v>129187.92469329157</v>
      </c>
      <c r="BZ153" s="23">
        <f>+'QTR Raw'!AT89</f>
        <v>147172</v>
      </c>
      <c r="CA153" s="23">
        <f>+CA183*CA10/90</f>
        <v>127834.18417539557</v>
      </c>
      <c r="CB153" s="23">
        <f>+'QTR Raw'!AV89</f>
        <v>158101</v>
      </c>
      <c r="CC153" s="23">
        <f>+CC183*CC10/90</f>
        <v>139011.24113658027</v>
      </c>
      <c r="CD153" s="23">
        <f>+'QTR Raw'!AX89</f>
        <v>178377</v>
      </c>
      <c r="CE153" s="23">
        <f>+CE183*CE10/90</f>
        <v>156116.41468995676</v>
      </c>
      <c r="CF153" s="23">
        <f>+'QTR Raw'!AZ89</f>
        <v>175576</v>
      </c>
      <c r="CG153" s="23">
        <f>+CG183*CG10/90</f>
        <v>163299.89472419553</v>
      </c>
      <c r="CH153" s="23">
        <f t="shared" si="1201"/>
        <v>186789</v>
      </c>
      <c r="CI153" s="23">
        <f>+CI183*CI10/90</f>
        <v>157937.43847739627</v>
      </c>
      <c r="CJ153" s="23">
        <f>+'QTR Raw'!BD89</f>
        <v>214512</v>
      </c>
      <c r="CK153" s="23">
        <f t="shared" ref="CK153:DB153" si="1252">+CK183*CK10/90</f>
        <v>200408.04858436668</v>
      </c>
      <c r="CL153" s="23">
        <f>+'QTR Raw'!BF89</f>
        <v>158842</v>
      </c>
      <c r="CM153" s="24">
        <f t="shared" si="1252"/>
        <v>130259.46881176913</v>
      </c>
      <c r="CN153" s="24">
        <f t="shared" si="1252"/>
        <v>137497.29107865368</v>
      </c>
      <c r="CO153" s="24">
        <f t="shared" si="1252"/>
        <v>143248.40275658519</v>
      </c>
      <c r="CP153" s="24">
        <f t="shared" si="1252"/>
        <v>159141.55283034296</v>
      </c>
      <c r="CQ153" s="24">
        <f t="shared" si="1252"/>
        <v>143821.86238744127</v>
      </c>
      <c r="CR153" s="24">
        <f t="shared" si="1252"/>
        <v>152129.63715931453</v>
      </c>
      <c r="CS153" s="24">
        <f t="shared" si="1252"/>
        <v>158512.64443325746</v>
      </c>
      <c r="CT153" s="24">
        <f t="shared" si="1252"/>
        <v>176065.78046701744</v>
      </c>
      <c r="CU153" s="24">
        <f t="shared" si="1252"/>
        <v>159046.92769196309</v>
      </c>
      <c r="CV153" s="24">
        <f t="shared" si="1252"/>
        <v>168300.43153183538</v>
      </c>
      <c r="CW153" s="24">
        <f t="shared" si="1252"/>
        <v>175357.0531757542</v>
      </c>
      <c r="CX153" s="24">
        <f t="shared" si="1252"/>
        <v>194762.60734434769</v>
      </c>
      <c r="CY153" s="24">
        <f t="shared" si="1252"/>
        <v>175930.3316540037</v>
      </c>
      <c r="CZ153" s="24">
        <f t="shared" si="1252"/>
        <v>186178.457229094</v>
      </c>
      <c r="DA153" s="24">
        <f t="shared" si="1252"/>
        <v>193981.64390723838</v>
      </c>
      <c r="DB153" s="24">
        <f t="shared" si="1252"/>
        <v>215445.53297603014</v>
      </c>
      <c r="DE153" s="123"/>
      <c r="DF153" s="23">
        <v>209612.18000253927</v>
      </c>
    </row>
    <row r="154" spans="1:110" s="23" customFormat="1" outlineLevel="1" x14ac:dyDescent="0.2">
      <c r="A154" s="23" t="s">
        <v>71</v>
      </c>
      <c r="B154" s="23">
        <f>'Annual Raw'!C55-Template!B126</f>
        <v>251.58</v>
      </c>
      <c r="C154" s="23">
        <f>'Annual Raw'!D55-Template!C126</f>
        <v>448.92999999999898</v>
      </c>
      <c r="D154" s="23">
        <f>'Annual Raw'!E55-Template!D126</f>
        <v>485.30999999999898</v>
      </c>
      <c r="E154" s="23">
        <f>'Annual Raw'!F55-Template!E126</f>
        <v>462.87999999999897</v>
      </c>
      <c r="F154" s="23">
        <f>'Annual Raw'!G55-Template!F126</f>
        <v>449.95999999999901</v>
      </c>
      <c r="G154" s="23">
        <f>'Annual Raw'!H55-Template!G126</f>
        <v>416.789999999999</v>
      </c>
      <c r="H154" s="23">
        <f>'Annual Raw'!I55-Template!H126</f>
        <v>494.48</v>
      </c>
      <c r="I154" s="23">
        <f>'Annual Raw'!J55-Template!I126</f>
        <v>618.82999999999799</v>
      </c>
      <c r="J154" s="23">
        <f>'Annual Raw'!K55-Template!J126</f>
        <v>1255.8699999999999</v>
      </c>
      <c r="K154" s="23">
        <f>'Annual Raw'!L55-Template!K126</f>
        <v>764.94999999999698</v>
      </c>
      <c r="L154" s="23">
        <f>'Annual Raw'!M55-Template!L126</f>
        <v>16329</v>
      </c>
      <c r="M154" s="23">
        <f>'Annual Raw'!N55-Template!M126</f>
        <v>7741</v>
      </c>
      <c r="N154" s="23">
        <f>'Annual Raw'!O55-Template!N126</f>
        <v>5758</v>
      </c>
      <c r="O154" s="23">
        <f>'Annual Raw'!P55-Template!O126</f>
        <v>12108</v>
      </c>
      <c r="P154" s="23">
        <f>'Annual Raw'!Q55-Template!P126</f>
        <v>33668</v>
      </c>
      <c r="Q154" s="23">
        <f>'Annual Raw'!R55-Template!Q126</f>
        <v>83326</v>
      </c>
      <c r="R154" s="23">
        <f>'Annual Raw'!S55-Template!R126</f>
        <v>111761</v>
      </c>
      <c r="S154" s="23">
        <f>'Annual Raw'!T55-Template!S126</f>
        <v>130301</v>
      </c>
      <c r="T154" s="23">
        <f>'Annual Raw'!U55-Template!T126</f>
        <v>123019</v>
      </c>
      <c r="U154" s="23">
        <f>'Annual Raw'!V55-Template!U126</f>
        <v>175564</v>
      </c>
      <c r="V154" s="23">
        <f>'Annual Raw'!W55-Template!V126</f>
        <v>78039</v>
      </c>
      <c r="W154" s="23">
        <f>'Annual Raw'!X55-Template!W126</f>
        <v>68790</v>
      </c>
      <c r="X154" s="23">
        <f>'Annual Raw'!Y55-Template!X126</f>
        <v>115603</v>
      </c>
      <c r="Y154" s="23">
        <f>'Annual Raw'!Z55-Template!Y126</f>
        <v>114905</v>
      </c>
      <c r="Z154" s="23">
        <f>'Annual Raw'!AA55-Template!Z126</f>
        <v>152170</v>
      </c>
      <c r="AA154" s="24">
        <f t="shared" si="1244"/>
        <v>273544</v>
      </c>
      <c r="AB154" s="24">
        <f t="shared" si="1245"/>
        <v>0</v>
      </c>
      <c r="AC154" s="24">
        <f t="shared" si="1246"/>
        <v>0</v>
      </c>
      <c r="AD154" s="24">
        <f t="shared" si="1247"/>
        <v>0</v>
      </c>
      <c r="AE154" s="24">
        <f t="shared" si="1248"/>
        <v>0</v>
      </c>
      <c r="AJ154" s="23">
        <f>+'QTR Raw'!D91</f>
        <v>0</v>
      </c>
      <c r="AK154" s="23">
        <f t="shared" si="1249"/>
        <v>0</v>
      </c>
      <c r="AL154" s="23">
        <f>+'QTR Raw'!F91</f>
        <v>23655</v>
      </c>
      <c r="AM154" s="23">
        <f t="shared" si="1249"/>
        <v>23655</v>
      </c>
      <c r="AN154" s="23">
        <f>+'QTR Raw'!H91</f>
        <v>21170</v>
      </c>
      <c r="AO154" s="23">
        <f t="shared" si="1249"/>
        <v>21170</v>
      </c>
      <c r="AP154" s="23">
        <f>+'QTR Raw'!J91</f>
        <v>17058</v>
      </c>
      <c r="AQ154" s="23">
        <f t="shared" si="1249"/>
        <v>17058</v>
      </c>
      <c r="AR154" s="23">
        <f>+'QTR Raw'!L91</f>
        <v>30857</v>
      </c>
      <c r="AS154" s="23">
        <f t="shared" si="1249"/>
        <v>30857</v>
      </c>
      <c r="AT154" s="23">
        <f>+'QTR Raw'!N91</f>
        <v>45789</v>
      </c>
      <c r="AU154" s="23">
        <f t="shared" si="1249"/>
        <v>45789</v>
      </c>
      <c r="AV154" s="23">
        <f>+'QTR Raw'!P91</f>
        <v>78199</v>
      </c>
      <c r="AW154" s="23">
        <f t="shared" si="1249"/>
        <v>78199</v>
      </c>
      <c r="AX154" s="23">
        <f>+'QTR Raw'!R91</f>
        <v>99538</v>
      </c>
      <c r="AY154" s="23">
        <f t="shared" si="1249"/>
        <v>99538</v>
      </c>
      <c r="AZ154" s="23">
        <f>+'QTR Raw'!T91</f>
        <v>98376</v>
      </c>
      <c r="BA154" s="23">
        <f t="shared" si="1249"/>
        <v>98376</v>
      </c>
      <c r="BB154" s="23">
        <f>+'QTR Raw'!V91</f>
        <v>125423</v>
      </c>
      <c r="BC154" s="23">
        <f t="shared" si="1249"/>
        <v>125423</v>
      </c>
      <c r="BD154" s="23">
        <f>+'QTR Raw'!X91</f>
        <v>151469</v>
      </c>
      <c r="BE154" s="23">
        <f t="shared" si="1249"/>
        <v>151469</v>
      </c>
      <c r="BF154" s="23">
        <f>+'QTR Raw'!Z91</f>
        <v>168330</v>
      </c>
      <c r="BG154" s="23">
        <f t="shared" si="1249"/>
        <v>168330</v>
      </c>
      <c r="BH154" s="23">
        <f>+'QTR Raw'!AB91</f>
        <v>160593</v>
      </c>
      <c r="BI154" s="23">
        <f t="shared" si="1249"/>
        <v>160593</v>
      </c>
      <c r="BJ154" s="23">
        <f>+'QTR Raw'!AD91</f>
        <v>143251</v>
      </c>
      <c r="BK154" s="23">
        <f t="shared" si="1249"/>
        <v>143251</v>
      </c>
      <c r="BL154" s="23">
        <f>+'QTR Raw'!AF91</f>
        <v>176894</v>
      </c>
      <c r="BM154" s="23">
        <f t="shared" si="1249"/>
        <v>176894</v>
      </c>
      <c r="BN154" s="23">
        <f>+'QTR Raw'!AH91</f>
        <v>220441</v>
      </c>
      <c r="BO154" s="23">
        <f t="shared" si="1249"/>
        <v>220441</v>
      </c>
      <c r="BP154" s="23">
        <f>+'QTR Raw'!AJ91</f>
        <v>139351</v>
      </c>
      <c r="BQ154" s="23">
        <f t="shared" si="1249"/>
        <v>139351</v>
      </c>
      <c r="BR154" s="23">
        <f>+'QTR Raw'!AL91</f>
        <v>78039</v>
      </c>
      <c r="BS154" s="23">
        <f t="shared" si="1249"/>
        <v>78039</v>
      </c>
      <c r="BT154" s="23">
        <f>+'QTR Raw'!AN91</f>
        <v>79049</v>
      </c>
      <c r="BU154" s="23">
        <f t="shared" si="1249"/>
        <v>79049</v>
      </c>
      <c r="BV154" s="23">
        <f>+'QTR Raw'!AP91</f>
        <v>68790</v>
      </c>
      <c r="BW154" s="23">
        <f t="shared" si="1249"/>
        <v>68790</v>
      </c>
      <c r="BX154" s="23">
        <f>+'QTR Raw'!AR91</f>
        <v>77566</v>
      </c>
      <c r="BY154" s="23">
        <f t="shared" si="1249"/>
        <v>77566</v>
      </c>
      <c r="BZ154" s="23">
        <f>+'QTR Raw'!AT91</f>
        <v>115603</v>
      </c>
      <c r="CA154" s="23">
        <f t="shared" si="1249"/>
        <v>115603</v>
      </c>
      <c r="CB154" s="23">
        <f>+'QTR Raw'!AV91</f>
        <v>143343</v>
      </c>
      <c r="CC154" s="23">
        <f t="shared" si="1249"/>
        <v>143343</v>
      </c>
      <c r="CD154" s="23">
        <f>+'QTR Raw'!AX91</f>
        <v>114905</v>
      </c>
      <c r="CE154" s="23">
        <f t="shared" si="1249"/>
        <v>114905</v>
      </c>
      <c r="CF154" s="23">
        <f>+'QTR Raw'!AZ91</f>
        <v>131450</v>
      </c>
      <c r="CG154" s="23">
        <f t="shared" ref="CG154:CG155" si="1253">+CF154</f>
        <v>131450</v>
      </c>
      <c r="CH154" s="23">
        <f t="shared" si="1201"/>
        <v>152170</v>
      </c>
      <c r="CJ154" s="23">
        <f>+'QTR Raw'!BD91</f>
        <v>157246</v>
      </c>
      <c r="CL154" s="23">
        <f>+'QTR Raw'!BF91</f>
        <v>273544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outlineLevel="1" x14ac:dyDescent="0.2">
      <c r="A155" s="23" t="s">
        <v>72</v>
      </c>
      <c r="B155" s="23">
        <f>'Annual Raw'!C57</f>
        <v>863.5</v>
      </c>
      <c r="C155" s="23">
        <f>'Annual Raw'!D57</f>
        <v>1210.6300000000001</v>
      </c>
      <c r="D155" s="23">
        <f>'Annual Raw'!E57</f>
        <v>905.02</v>
      </c>
      <c r="E155" s="23">
        <f>'Annual Raw'!F57</f>
        <v>2671.09</v>
      </c>
      <c r="F155" s="23">
        <f>'Annual Raw'!G57</f>
        <v>3470.75</v>
      </c>
      <c r="G155" s="23">
        <f>'Annual Raw'!H57</f>
        <v>4201.66</v>
      </c>
      <c r="H155" s="23">
        <f>'Annual Raw'!I57</f>
        <v>2066.38</v>
      </c>
      <c r="I155" s="23">
        <f>'Annual Raw'!J57</f>
        <v>3449.18</v>
      </c>
      <c r="J155" s="23">
        <f>'Annual Raw'!K57</f>
        <v>3115.03</v>
      </c>
      <c r="K155" s="23">
        <f>'Annual Raw'!L57</f>
        <v>3695.02</v>
      </c>
      <c r="L155" s="23">
        <f>'Annual Raw'!M57</f>
        <v>4742</v>
      </c>
      <c r="M155" s="23">
        <f>'Annual Raw'!N57</f>
        <v>4403</v>
      </c>
      <c r="N155" s="23">
        <f>'Annual Raw'!O57</f>
        <v>4557</v>
      </c>
      <c r="O155" s="23">
        <f>'Annual Raw'!P57</f>
        <v>4446</v>
      </c>
      <c r="P155" s="23">
        <f>'Annual Raw'!Q57</f>
        <v>5392</v>
      </c>
      <c r="Q155" s="23">
        <f>'Annual Raw'!R57</f>
        <v>1775</v>
      </c>
      <c r="R155" s="23">
        <f>'Annual Raw'!S57</f>
        <v>1769</v>
      </c>
      <c r="S155" s="23">
        <f>'Annual Raw'!T57</f>
        <v>1232</v>
      </c>
      <c r="T155" s="23">
        <f>'Annual Raw'!U57</f>
        <v>1326</v>
      </c>
      <c r="U155" s="23">
        <f>'Annual Raw'!V57</f>
        <v>1890</v>
      </c>
      <c r="V155" s="23">
        <f>'Annual Raw'!W57</f>
        <v>2504</v>
      </c>
      <c r="W155" s="23">
        <f>'Annual Raw'!X57</f>
        <v>1936</v>
      </c>
      <c r="X155" s="23">
        <f>'Annual Raw'!Y57</f>
        <v>2178</v>
      </c>
      <c r="Y155" s="23">
        <f>'Annual Raw'!Z57</f>
        <v>2175</v>
      </c>
      <c r="Z155" s="23">
        <f>'Annual Raw'!AA57</f>
        <v>4147</v>
      </c>
      <c r="AA155" s="24">
        <f t="shared" si="1244"/>
        <v>5198</v>
      </c>
      <c r="AB155" s="24">
        <f t="shared" si="1245"/>
        <v>0</v>
      </c>
      <c r="AC155" s="24">
        <f t="shared" si="1246"/>
        <v>0</v>
      </c>
      <c r="AD155" s="24">
        <f t="shared" si="1247"/>
        <v>0</v>
      </c>
      <c r="AE155" s="24">
        <f t="shared" si="1248"/>
        <v>0</v>
      </c>
      <c r="AJ155" s="23">
        <f>+'QTR Raw'!D92</f>
        <v>1465</v>
      </c>
      <c r="AK155" s="23">
        <f t="shared" si="1249"/>
        <v>1465</v>
      </c>
      <c r="AL155" s="23">
        <f>+'QTR Raw'!F92</f>
        <v>4557</v>
      </c>
      <c r="AM155" s="23">
        <f t="shared" si="1249"/>
        <v>4557</v>
      </c>
      <c r="AN155" s="23">
        <f>+'QTR Raw'!H92</f>
        <v>1395</v>
      </c>
      <c r="AO155" s="23">
        <f t="shared" si="1249"/>
        <v>1395</v>
      </c>
      <c r="AP155" s="23">
        <f>+'QTR Raw'!J92</f>
        <v>4446</v>
      </c>
      <c r="AQ155" s="23">
        <f t="shared" si="1249"/>
        <v>4446</v>
      </c>
      <c r="AR155" s="23">
        <f>+'QTR Raw'!L92</f>
        <v>1721</v>
      </c>
      <c r="AS155" s="23">
        <f t="shared" si="1249"/>
        <v>1721</v>
      </c>
      <c r="AT155" s="23">
        <f>+'QTR Raw'!N92</f>
        <v>5392</v>
      </c>
      <c r="AU155" s="23">
        <f t="shared" si="1249"/>
        <v>5392</v>
      </c>
      <c r="AV155" s="23">
        <f>+'QTR Raw'!P92</f>
        <v>1935</v>
      </c>
      <c r="AW155" s="23">
        <f t="shared" si="1249"/>
        <v>1935</v>
      </c>
      <c r="AX155" s="23">
        <f>+'QTR Raw'!R92</f>
        <v>1775</v>
      </c>
      <c r="AY155" s="23">
        <f t="shared" si="1249"/>
        <v>1775</v>
      </c>
      <c r="AZ155" s="23">
        <f>+'QTR Raw'!T92</f>
        <v>1828</v>
      </c>
      <c r="BA155" s="23">
        <f t="shared" si="1249"/>
        <v>1828</v>
      </c>
      <c r="BB155" s="23">
        <f>+'QTR Raw'!V92</f>
        <v>1769</v>
      </c>
      <c r="BC155" s="23">
        <f t="shared" si="1249"/>
        <v>1769</v>
      </c>
      <c r="BD155" s="23">
        <f>+'QTR Raw'!X92</f>
        <v>1608</v>
      </c>
      <c r="BE155" s="23">
        <f t="shared" si="1249"/>
        <v>1608</v>
      </c>
      <c r="BF155" s="23">
        <f>+'QTR Raw'!Z92</f>
        <v>1232</v>
      </c>
      <c r="BG155" s="23">
        <f t="shared" si="1249"/>
        <v>1232</v>
      </c>
      <c r="BH155" s="23">
        <f>+'QTR Raw'!AB92</f>
        <v>1490</v>
      </c>
      <c r="BI155" s="23">
        <f t="shared" si="1249"/>
        <v>1490</v>
      </c>
      <c r="BJ155" s="23">
        <f>+'QTR Raw'!AD92</f>
        <v>1326</v>
      </c>
      <c r="BK155" s="23">
        <f t="shared" si="1249"/>
        <v>1326</v>
      </c>
      <c r="BL155" s="23">
        <f>+'QTR Raw'!AF92</f>
        <v>3311</v>
      </c>
      <c r="BM155" s="23">
        <f t="shared" si="1249"/>
        <v>3311</v>
      </c>
      <c r="BN155" s="23">
        <f>+'QTR Raw'!AH92</f>
        <v>1890</v>
      </c>
      <c r="BO155" s="23">
        <f t="shared" si="1249"/>
        <v>1890</v>
      </c>
      <c r="BP155" s="23">
        <f>+'QTR Raw'!AJ92</f>
        <v>1994</v>
      </c>
      <c r="BQ155" s="23">
        <f t="shared" si="1249"/>
        <v>1994</v>
      </c>
      <c r="BR155" s="23">
        <f>+'QTR Raw'!AL92</f>
        <v>2504</v>
      </c>
      <c r="BS155" s="23">
        <f t="shared" si="1249"/>
        <v>2504</v>
      </c>
      <c r="BT155" s="23">
        <f>+'QTR Raw'!AN92</f>
        <v>4535</v>
      </c>
      <c r="BU155" s="23">
        <f t="shared" si="1249"/>
        <v>4535</v>
      </c>
      <c r="BV155" s="23">
        <f>+'QTR Raw'!AP92</f>
        <v>1936</v>
      </c>
      <c r="BW155" s="23">
        <f t="shared" si="1249"/>
        <v>1936</v>
      </c>
      <c r="BX155" s="23">
        <f>+'QTR Raw'!AR92</f>
        <v>2246</v>
      </c>
      <c r="BY155" s="23">
        <f t="shared" si="1249"/>
        <v>2246</v>
      </c>
      <c r="BZ155" s="23">
        <f>+'QTR Raw'!AT92</f>
        <v>2178</v>
      </c>
      <c r="CA155" s="23">
        <f t="shared" si="1249"/>
        <v>2178</v>
      </c>
      <c r="CB155" s="23">
        <f>+'QTR Raw'!AV92</f>
        <v>4400</v>
      </c>
      <c r="CC155" s="23">
        <f t="shared" si="1249"/>
        <v>4400</v>
      </c>
      <c r="CD155" s="23">
        <f>+'QTR Raw'!AX92</f>
        <v>2175</v>
      </c>
      <c r="CE155" s="23">
        <f t="shared" si="1249"/>
        <v>2175</v>
      </c>
      <c r="CF155" s="23">
        <f>+'QTR Raw'!AZ92</f>
        <v>3325</v>
      </c>
      <c r="CG155" s="23">
        <f t="shared" si="1253"/>
        <v>3325</v>
      </c>
      <c r="CH155" s="23">
        <f t="shared" si="1201"/>
        <v>4147</v>
      </c>
      <c r="CJ155" s="23">
        <f>+'QTR Raw'!BD92</f>
        <v>4763</v>
      </c>
      <c r="CL155" s="23">
        <f>+'QTR Raw'!BF92</f>
        <v>5198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2" customFormat="1" x14ac:dyDescent="0.2">
      <c r="A156" s="22" t="s">
        <v>73</v>
      </c>
      <c r="B156" s="22">
        <f>SUM(B149:B155)</f>
        <v>4974.3</v>
      </c>
      <c r="C156" s="22">
        <f t="shared" ref="C156:V156" si="1254">SUM(C149:C155)</f>
        <v>7710.53</v>
      </c>
      <c r="D156" s="22">
        <f t="shared" si="1254"/>
        <v>10463.61</v>
      </c>
      <c r="E156" s="22">
        <f t="shared" si="1254"/>
        <v>13115.81</v>
      </c>
      <c r="F156" s="22">
        <f t="shared" si="1254"/>
        <v>17132.98</v>
      </c>
      <c r="G156" s="22">
        <f t="shared" si="1254"/>
        <v>17072.57</v>
      </c>
      <c r="H156" s="22">
        <f t="shared" si="1254"/>
        <v>20251.63</v>
      </c>
      <c r="I156" s="22">
        <f t="shared" si="1254"/>
        <v>26866.69</v>
      </c>
      <c r="J156" s="22">
        <f t="shared" si="1254"/>
        <v>38872.01</v>
      </c>
      <c r="K156" s="22">
        <f t="shared" si="1254"/>
        <v>42585.59</v>
      </c>
      <c r="L156" s="22">
        <f t="shared" si="1254"/>
        <v>57392</v>
      </c>
      <c r="M156" s="22">
        <f t="shared" si="1254"/>
        <v>52933</v>
      </c>
      <c r="N156" s="22">
        <f t="shared" si="1254"/>
        <v>60546</v>
      </c>
      <c r="O156" s="22">
        <f t="shared" si="1254"/>
        <v>78511</v>
      </c>
      <c r="P156" s="22">
        <f t="shared" si="1254"/>
        <v>101724</v>
      </c>
      <c r="Q156" s="22">
        <f t="shared" si="1254"/>
        <v>162187</v>
      </c>
      <c r="R156" s="22">
        <f t="shared" si="1254"/>
        <v>221640</v>
      </c>
      <c r="S156" s="22">
        <f t="shared" si="1254"/>
        <v>270052</v>
      </c>
      <c r="T156" s="22">
        <f t="shared" si="1254"/>
        <v>268216</v>
      </c>
      <c r="U156" s="22">
        <f t="shared" si="1254"/>
        <v>314151</v>
      </c>
      <c r="V156" s="22">
        <f t="shared" si="1254"/>
        <v>232968</v>
      </c>
      <c r="W156" s="22">
        <f t="shared" ref="W156" si="1255">SUM(W149:W155)</f>
        <v>294732</v>
      </c>
      <c r="X156" s="22">
        <f t="shared" ref="X156:Y156" si="1256">SUM(X149:X155)</f>
        <v>404260</v>
      </c>
      <c r="Y156" s="22">
        <f t="shared" si="1256"/>
        <v>433335</v>
      </c>
      <c r="Z156" s="22">
        <f t="shared" ref="Z156" si="1257">SUM(Z149:Z155)</f>
        <v>509512</v>
      </c>
      <c r="AA156" s="21">
        <f t="shared" ref="AA156:AD156" si="1258">SUM(AA149:AA155)</f>
        <v>619892</v>
      </c>
      <c r="AB156" s="21">
        <f t="shared" si="1258"/>
        <v>621061.02584396419</v>
      </c>
      <c r="AC156" s="21">
        <f t="shared" si="1258"/>
        <v>687109.00634127227</v>
      </c>
      <c r="AD156" s="21">
        <f t="shared" si="1258"/>
        <v>760074.67919002776</v>
      </c>
      <c r="AE156" s="21">
        <f t="shared" ref="AE156" si="1259">SUM(AE149:AE155)</f>
        <v>840791.2411552188</v>
      </c>
      <c r="AJ156" s="22">
        <f t="shared" ref="AJ156" si="1260">SUM(AJ149:AJ155)</f>
        <v>70387</v>
      </c>
      <c r="AK156" s="22">
        <f t="shared" ref="AK156" si="1261">SUM(AK149:AK155)</f>
        <v>70387</v>
      </c>
      <c r="AL156" s="22">
        <f t="shared" ref="AL156:AM156" si="1262">SUM(AL149:AL155)</f>
        <v>78443</v>
      </c>
      <c r="AM156" s="22">
        <f t="shared" si="1262"/>
        <v>86296.612912420707</v>
      </c>
      <c r="AN156" s="22">
        <f t="shared" ref="AN156:AO156" si="1263">SUM(AN149:AN155)</f>
        <v>81722</v>
      </c>
      <c r="AO156" s="22">
        <f t="shared" si="1263"/>
        <v>83026.628750292235</v>
      </c>
      <c r="AP156" s="22">
        <f t="shared" ref="AP156:CE156" si="1264">SUM(AP149:AP155)</f>
        <v>83461</v>
      </c>
      <c r="AQ156" s="22">
        <f t="shared" si="1264"/>
        <v>84174.175542406316</v>
      </c>
      <c r="AR156" s="22">
        <f t="shared" si="1264"/>
        <v>107111</v>
      </c>
      <c r="AS156" s="22">
        <f t="shared" si="1264"/>
        <v>96305.451351129814</v>
      </c>
      <c r="AT156" s="22">
        <f t="shared" si="1264"/>
        <v>113845</v>
      </c>
      <c r="AU156" s="22">
        <f t="shared" si="1264"/>
        <v>121897.12709352304</v>
      </c>
      <c r="AV156" s="22">
        <f t="shared" si="1264"/>
        <v>146586</v>
      </c>
      <c r="AW156" s="22">
        <f t="shared" si="1264"/>
        <v>140719.67654718756</v>
      </c>
      <c r="AX156" s="22">
        <f t="shared" si="1264"/>
        <v>178399</v>
      </c>
      <c r="AY156" s="22">
        <f t="shared" si="1264"/>
        <v>179375.74353441538</v>
      </c>
      <c r="AZ156" s="22">
        <f t="shared" si="1264"/>
        <v>186161</v>
      </c>
      <c r="BA156" s="22">
        <f t="shared" si="1264"/>
        <v>184306.40647389501</v>
      </c>
      <c r="BB156" s="22">
        <f t="shared" si="1264"/>
        <v>235302</v>
      </c>
      <c r="BC156" s="22">
        <f t="shared" si="1264"/>
        <v>227536.04590425131</v>
      </c>
      <c r="BD156" s="22">
        <f t="shared" si="1264"/>
        <v>269429</v>
      </c>
      <c r="BE156" s="22">
        <f t="shared" si="1264"/>
        <v>268291.83204341249</v>
      </c>
      <c r="BF156" s="22">
        <f t="shared" si="1264"/>
        <v>308081</v>
      </c>
      <c r="BG156" s="22">
        <f t="shared" si="1264"/>
        <v>307779.74996902107</v>
      </c>
      <c r="BH156" s="22">
        <f t="shared" ref="BH156" si="1265">SUM(BH149:BH155)</f>
        <v>327395</v>
      </c>
      <c r="BI156" s="22">
        <f t="shared" si="1264"/>
        <v>327893.13762148813</v>
      </c>
      <c r="BJ156" s="22">
        <f t="shared" si="1264"/>
        <v>285149</v>
      </c>
      <c r="BK156" s="22">
        <f t="shared" si="1264"/>
        <v>287123.89001682232</v>
      </c>
      <c r="BL156" s="22">
        <f t="shared" si="1264"/>
        <v>324921</v>
      </c>
      <c r="BM156" s="22">
        <f t="shared" si="1264"/>
        <v>317477.75205171038</v>
      </c>
      <c r="BN156" s="22">
        <f t="shared" si="1264"/>
        <v>359028</v>
      </c>
      <c r="BO156" s="22">
        <f t="shared" si="1264"/>
        <v>318631.65247819573</v>
      </c>
      <c r="BP156" s="22">
        <f t="shared" si="1264"/>
        <v>256443</v>
      </c>
      <c r="BQ156" s="22">
        <f t="shared" si="1264"/>
        <v>250461.24862717607</v>
      </c>
      <c r="BR156" s="22">
        <f t="shared" si="1264"/>
        <v>232968</v>
      </c>
      <c r="BS156" s="22">
        <f t="shared" si="1264"/>
        <v>212626.89211191493</v>
      </c>
      <c r="BT156" s="22">
        <f t="shared" si="1264"/>
        <v>288956</v>
      </c>
      <c r="BU156" s="22">
        <f t="shared" si="1264"/>
        <v>284468.33386588143</v>
      </c>
      <c r="BV156" s="22">
        <f t="shared" si="1264"/>
        <v>294732</v>
      </c>
      <c r="BW156" s="22">
        <f t="shared" si="1264"/>
        <v>285356.05996413506</v>
      </c>
      <c r="BX156" s="22">
        <f t="shared" si="1264"/>
        <v>374588</v>
      </c>
      <c r="BY156" s="22">
        <f t="shared" si="1264"/>
        <v>353064.92469329154</v>
      </c>
      <c r="BZ156" s="22">
        <f t="shared" si="1264"/>
        <v>404260</v>
      </c>
      <c r="CA156" s="22">
        <f t="shared" si="1264"/>
        <v>384922.18417539558</v>
      </c>
      <c r="CB156" s="22">
        <f t="shared" si="1264"/>
        <v>443727</v>
      </c>
      <c r="CC156" s="22">
        <f t="shared" si="1264"/>
        <v>424637.24113658024</v>
      </c>
      <c r="CD156" s="22">
        <f t="shared" si="1264"/>
        <v>433335</v>
      </c>
      <c r="CE156" s="22">
        <f t="shared" si="1264"/>
        <v>411074.41468995676</v>
      </c>
      <c r="CF156" s="22">
        <f t="shared" ref="CF156:CG156" si="1266">SUM(CF149:CF155)</f>
        <v>447075</v>
      </c>
      <c r="CG156" s="22">
        <f t="shared" si="1266"/>
        <v>434798.89472419553</v>
      </c>
      <c r="CH156" s="22">
        <f t="shared" ref="CH156:CI156" si="1267">SUM(CH149:CH155)</f>
        <v>509512</v>
      </c>
      <c r="CI156" s="22">
        <f t="shared" si="1267"/>
        <v>430812.4148290056</v>
      </c>
      <c r="CJ156" s="22">
        <f t="shared" ref="CJ156:DB156" si="1268">SUM(CJ149:CJ155)</f>
        <v>550706</v>
      </c>
      <c r="CK156" s="22">
        <f t="shared" si="1268"/>
        <v>455629.84847950493</v>
      </c>
      <c r="CL156" s="22">
        <f t="shared" ref="CL156" si="1269">SUM(CL149:CL155)</f>
        <v>619892</v>
      </c>
      <c r="CM156" s="21">
        <f t="shared" si="1268"/>
        <v>508346.67556858493</v>
      </c>
      <c r="CN156" s="21">
        <f t="shared" si="1268"/>
        <v>536592.78252180642</v>
      </c>
      <c r="CO156" s="21">
        <f t="shared" si="1268"/>
        <v>559036.89755596826</v>
      </c>
      <c r="CP156" s="21">
        <f t="shared" si="1268"/>
        <v>621061.02584396419</v>
      </c>
      <c r="CQ156" s="21">
        <f t="shared" si="1268"/>
        <v>561274.86382112873</v>
      </c>
      <c r="CR156" s="21">
        <f t="shared" si="1268"/>
        <v>593696.53516048519</v>
      </c>
      <c r="CS156" s="21">
        <f t="shared" si="1268"/>
        <v>618606.66689553671</v>
      </c>
      <c r="CT156" s="21">
        <f t="shared" si="1268"/>
        <v>687109.00634127227</v>
      </c>
      <c r="CU156" s="21">
        <f t="shared" si="1268"/>
        <v>620691.74463193852</v>
      </c>
      <c r="CV156" s="21">
        <f t="shared" si="1268"/>
        <v>656804.18971765973</v>
      </c>
      <c r="CW156" s="21">
        <f t="shared" si="1268"/>
        <v>684343.14858302358</v>
      </c>
      <c r="CX156" s="21">
        <f t="shared" si="1268"/>
        <v>760074.67919002776</v>
      </c>
      <c r="CY156" s="21">
        <f t="shared" si="1268"/>
        <v>686580.40788748348</v>
      </c>
      <c r="CZ156" s="21">
        <f t="shared" si="1268"/>
        <v>726574.43376850907</v>
      </c>
      <c r="DA156" s="21">
        <f t="shared" si="1268"/>
        <v>757026.91482697148</v>
      </c>
      <c r="DB156" s="21">
        <f t="shared" si="1268"/>
        <v>840791.2411552188</v>
      </c>
      <c r="DE156" s="126"/>
      <c r="DF156" s="22">
        <v>476555.54000272742</v>
      </c>
    </row>
    <row r="157" spans="1:110" s="22" customFormat="1" x14ac:dyDescent="0.2">
      <c r="A157" s="22" t="s">
        <v>74</v>
      </c>
      <c r="B157" s="22">
        <f>B148-B156</f>
        <v>4047.579999999999</v>
      </c>
      <c r="C157" s="22">
        <f t="shared" ref="C157:V157" si="1270">C148-C156</f>
        <v>6989.81</v>
      </c>
      <c r="D157" s="22">
        <f t="shared" si="1270"/>
        <v>8317.0199999999968</v>
      </c>
      <c r="E157" s="22">
        <f t="shared" si="1270"/>
        <v>5564.2100000000009</v>
      </c>
      <c r="F157" s="22">
        <f t="shared" si="1270"/>
        <v>2358.2299999999996</v>
      </c>
      <c r="G157" s="22">
        <f t="shared" si="1270"/>
        <v>5323.1900000000023</v>
      </c>
      <c r="H157" s="22">
        <f t="shared" si="1270"/>
        <v>10927.219999999998</v>
      </c>
      <c r="I157" s="22">
        <f t="shared" si="1270"/>
        <v>20148.02</v>
      </c>
      <c r="J157" s="22">
        <f t="shared" si="1270"/>
        <v>-2868.0400000000009</v>
      </c>
      <c r="K157" s="22">
        <f t="shared" si="1270"/>
        <v>12629.260000000002</v>
      </c>
      <c r="L157" s="22">
        <f t="shared" si="1270"/>
        <v>12117</v>
      </c>
      <c r="M157" s="22">
        <f t="shared" si="1270"/>
        <v>30753</v>
      </c>
      <c r="N157" s="22">
        <f t="shared" si="1270"/>
        <v>25068</v>
      </c>
      <c r="O157" s="22">
        <f t="shared" si="1270"/>
        <v>18835</v>
      </c>
      <c r="P157" s="22">
        <f t="shared" si="1270"/>
        <v>-9154</v>
      </c>
      <c r="Q157" s="22">
        <f t="shared" si="1270"/>
        <v>-71840</v>
      </c>
      <c r="R157" s="22">
        <f t="shared" si="1270"/>
        <v>-124123</v>
      </c>
      <c r="S157" s="22">
        <f t="shared" si="1270"/>
        <v>-136803</v>
      </c>
      <c r="T157" s="22">
        <f t="shared" si="1270"/>
        <v>-95139</v>
      </c>
      <c r="U157" s="22">
        <f t="shared" si="1270"/>
        <v>-100587</v>
      </c>
      <c r="V157" s="22">
        <f t="shared" si="1270"/>
        <v>37661</v>
      </c>
      <c r="W157" s="22">
        <f t="shared" ref="W157" si="1271">W148-W156</f>
        <v>-26856</v>
      </c>
      <c r="X157" s="22">
        <f t="shared" ref="X157:Y157" si="1272">X148-X156</f>
        <v>-121159</v>
      </c>
      <c r="Y157" s="22">
        <f t="shared" si="1272"/>
        <v>-120024</v>
      </c>
      <c r="Z157" s="22">
        <f t="shared" ref="Z157" si="1273">Z148-Z156</f>
        <v>-170433</v>
      </c>
      <c r="AA157" s="21">
        <f t="shared" ref="AA157:AD157" si="1274">AA148-AA156</f>
        <v>-2405</v>
      </c>
      <c r="AB157" s="21">
        <f t="shared" si="1274"/>
        <v>-2409.5354790105484</v>
      </c>
      <c r="AC157" s="21">
        <f t="shared" si="1274"/>
        <v>61434.183057361748</v>
      </c>
      <c r="AD157" s="21">
        <f t="shared" si="1274"/>
        <v>67958.019102770137</v>
      </c>
      <c r="AE157" s="21">
        <f t="shared" ref="AE157" si="1275">AE148-AE156</f>
        <v>75174.859513485921</v>
      </c>
      <c r="AJ157" s="22">
        <f t="shared" ref="AJ157" si="1276">AJ148-AJ156</f>
        <v>16098</v>
      </c>
      <c r="AK157" s="22">
        <f t="shared" ref="AK157" si="1277">AK148-AK156</f>
        <v>18327.635472015594</v>
      </c>
      <c r="AL157" s="22">
        <f t="shared" ref="AL157:AM157" si="1278">AL148-AL156</f>
        <v>7171</v>
      </c>
      <c r="AM157" s="22">
        <f t="shared" si="1278"/>
        <v>9486.1565951685479</v>
      </c>
      <c r="AN157" s="22">
        <f t="shared" ref="AN157:AO157" si="1279">AN148-AN156</f>
        <v>16907</v>
      </c>
      <c r="AO157" s="22">
        <f t="shared" si="1279"/>
        <v>16883.534898823287</v>
      </c>
      <c r="AP157" s="22">
        <f t="shared" ref="AP157:CE157" si="1280">AP148-AP156</f>
        <v>13885</v>
      </c>
      <c r="AQ157" s="22">
        <f t="shared" si="1280"/>
        <v>13946.767142359895</v>
      </c>
      <c r="AR157" s="22">
        <f t="shared" si="1280"/>
        <v>-3008</v>
      </c>
      <c r="AS157" s="22">
        <f t="shared" si="1280"/>
        <v>-3056.3045438400004</v>
      </c>
      <c r="AT157" s="22">
        <f t="shared" si="1280"/>
        <v>-21275</v>
      </c>
      <c r="AU157" s="22">
        <f t="shared" si="1280"/>
        <v>-21389.397213576376</v>
      </c>
      <c r="AV157" s="22">
        <f t="shared" si="1280"/>
        <v>-43275</v>
      </c>
      <c r="AW157" s="22">
        <f t="shared" si="1280"/>
        <v>-43436.779191837835</v>
      </c>
      <c r="AX157" s="22">
        <f t="shared" si="1280"/>
        <v>-88052</v>
      </c>
      <c r="AY157" s="22">
        <f t="shared" si="1280"/>
        <v>-88203.380992588442</v>
      </c>
      <c r="AZ157" s="22">
        <f t="shared" si="1280"/>
        <v>-91891</v>
      </c>
      <c r="BA157" s="22">
        <f t="shared" si="1280"/>
        <v>-91624.782648099848</v>
      </c>
      <c r="BB157" s="22">
        <f t="shared" si="1280"/>
        <v>-137785</v>
      </c>
      <c r="BC157" s="22">
        <f t="shared" si="1280"/>
        <v>-135811.24416238736</v>
      </c>
      <c r="BD157" s="22">
        <f t="shared" si="1280"/>
        <v>-158060</v>
      </c>
      <c r="BE157" s="22">
        <f t="shared" si="1280"/>
        <v>-157788.9092607419</v>
      </c>
      <c r="BF157" s="22">
        <f t="shared" si="1280"/>
        <v>-174832</v>
      </c>
      <c r="BG157" s="22">
        <f t="shared" si="1280"/>
        <v>-174751.74352540274</v>
      </c>
      <c r="BH157" s="22">
        <f t="shared" ref="BH157" si="1281">BH148-BH156</f>
        <v>-170498</v>
      </c>
      <c r="BI157" s="22">
        <f t="shared" si="1280"/>
        <v>-170617.23207350392</v>
      </c>
      <c r="BJ157" s="22">
        <f t="shared" si="1280"/>
        <v>-112072</v>
      </c>
      <c r="BK157" s="22">
        <f t="shared" si="1280"/>
        <v>-112266.3546029352</v>
      </c>
      <c r="BL157" s="22">
        <f t="shared" si="1280"/>
        <v>-133107</v>
      </c>
      <c r="BM157" s="22">
        <f t="shared" si="1280"/>
        <v>-132419.35019488225</v>
      </c>
      <c r="BN157" s="22">
        <f t="shared" si="1280"/>
        <v>-145464</v>
      </c>
      <c r="BO157" s="22">
        <f t="shared" si="1280"/>
        <v>-144111.87687919661</v>
      </c>
      <c r="BP157" s="22">
        <f t="shared" si="1280"/>
        <v>-50650</v>
      </c>
      <c r="BQ157" s="22">
        <f t="shared" si="1280"/>
        <v>-52212.538458542665</v>
      </c>
      <c r="BR157" s="22">
        <f t="shared" si="1280"/>
        <v>37661</v>
      </c>
      <c r="BS157" s="22">
        <f t="shared" si="1280"/>
        <v>39194.75057962173</v>
      </c>
      <c r="BT157" s="22">
        <f t="shared" si="1280"/>
        <v>-34495</v>
      </c>
      <c r="BU157" s="22">
        <f t="shared" si="1280"/>
        <v>-33746.557520414353</v>
      </c>
      <c r="BV157" s="22">
        <f t="shared" si="1280"/>
        <v>81474</v>
      </c>
      <c r="BW157" s="22">
        <f t="shared" si="1280"/>
        <v>83116.510753034963</v>
      </c>
      <c r="BX157" s="22">
        <f t="shared" si="1280"/>
        <v>-81189</v>
      </c>
      <c r="BY157" s="22">
        <f t="shared" si="1280"/>
        <v>-82323.19899068994</v>
      </c>
      <c r="BZ157" s="22">
        <f t="shared" si="1280"/>
        <v>76549</v>
      </c>
      <c r="CA157" s="22">
        <f t="shared" si="1280"/>
        <v>73752.36699908349</v>
      </c>
      <c r="CB157" s="22">
        <f t="shared" si="1280"/>
        <v>66515</v>
      </c>
      <c r="CC157" s="22">
        <f t="shared" si="1280"/>
        <v>63485.168947952334</v>
      </c>
      <c r="CD157" s="22">
        <f t="shared" si="1280"/>
        <v>79430</v>
      </c>
      <c r="CE157" s="22">
        <f t="shared" si="1280"/>
        <v>78678.608373547206</v>
      </c>
      <c r="CF157" s="22">
        <f t="shared" ref="CF157:CG157" si="1282">CF148-CF156</f>
        <v>65753</v>
      </c>
      <c r="CG157" s="22">
        <f t="shared" si="1282"/>
        <v>64669.604483251751</v>
      </c>
      <c r="CH157" s="22">
        <f t="shared" ref="CH157:CI157" si="1283">CH148-CH156</f>
        <v>-170433</v>
      </c>
      <c r="CI157" s="22">
        <f t="shared" si="1283"/>
        <v>-144107.79784686508</v>
      </c>
      <c r="CJ157" s="22">
        <f t="shared" ref="CJ157:DB157" si="1284">CJ148-CJ156</f>
        <v>6015</v>
      </c>
      <c r="CK157" s="22">
        <f t="shared" si="1284"/>
        <v>123355.07526650396</v>
      </c>
      <c r="CL157" s="22">
        <f t="shared" ref="CL157" si="1285">CL148-CL156</f>
        <v>-2405</v>
      </c>
      <c r="CM157" s="21">
        <f t="shared" si="1284"/>
        <v>-1972.2367037201184</v>
      </c>
      <c r="CN157" s="21">
        <f t="shared" si="1284"/>
        <v>-2081.8233530437574</v>
      </c>
      <c r="CO157" s="21">
        <f t="shared" si="1284"/>
        <v>-2168.8999674494844</v>
      </c>
      <c r="CP157" s="21">
        <f t="shared" si="1284"/>
        <v>-2409.5354790105484</v>
      </c>
      <c r="CQ157" s="21">
        <f t="shared" si="1284"/>
        <v>-2177.5826232470572</v>
      </c>
      <c r="CR157" s="21">
        <f t="shared" si="1284"/>
        <v>-2303.3692434504628</v>
      </c>
      <c r="CS157" s="21">
        <f t="shared" si="1284"/>
        <v>-2400.013282771688</v>
      </c>
      <c r="CT157" s="21">
        <f t="shared" si="1284"/>
        <v>61434.183057361748</v>
      </c>
      <c r="CU157" s="21">
        <f t="shared" si="1284"/>
        <v>55495.838229447487</v>
      </c>
      <c r="CV157" s="21">
        <f t="shared" si="1284"/>
        <v>58724.639688270516</v>
      </c>
      <c r="CW157" s="21">
        <f t="shared" si="1284"/>
        <v>61186.888653907925</v>
      </c>
      <c r="CX157" s="21">
        <f t="shared" si="1284"/>
        <v>67958.019102770137</v>
      </c>
      <c r="CY157" s="21">
        <f t="shared" si="1284"/>
        <v>61386.921249010833</v>
      </c>
      <c r="CZ157" s="21">
        <f t="shared" si="1284"/>
        <v>64962.773529362748</v>
      </c>
      <c r="DA157" s="21">
        <f t="shared" si="1284"/>
        <v>67685.519525457639</v>
      </c>
      <c r="DB157" s="21">
        <f t="shared" si="1284"/>
        <v>75174.859513485921</v>
      </c>
      <c r="DE157" s="126"/>
      <c r="DF157" s="22">
        <v>129020.39825064305</v>
      </c>
    </row>
    <row r="158" spans="1:110" s="23" customFormat="1" x14ac:dyDescent="0.2">
      <c r="AA158" s="24"/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40.380000000000003</v>
      </c>
      <c r="C159" s="23">
        <f>'Annual Raw'!D75</f>
        <v>0</v>
      </c>
      <c r="D159" s="23">
        <f>'Annual Raw'!E75</f>
        <v>0</v>
      </c>
      <c r="E159" s="23">
        <f>'Annual Raw'!F75</f>
        <v>268.11</v>
      </c>
      <c r="F159" s="23">
        <f>'Annual Raw'!G75</f>
        <v>3511.27</v>
      </c>
      <c r="G159" s="23">
        <f>'Annual Raw'!H75</f>
        <v>2803.1</v>
      </c>
      <c r="H159" s="23">
        <f>'Annual Raw'!I75</f>
        <v>3242.08</v>
      </c>
      <c r="I159" s="23">
        <f>'Annual Raw'!J75</f>
        <v>6048.03</v>
      </c>
      <c r="J159" s="23">
        <f>'Annual Raw'!K75</f>
        <v>2873.57</v>
      </c>
      <c r="K159" s="23">
        <f>'Annual Raw'!L75</f>
        <v>8472.99</v>
      </c>
      <c r="L159" s="23">
        <f>'Annual Raw'!M75</f>
        <v>14685</v>
      </c>
      <c r="M159" s="23">
        <f>'Annual Raw'!N75</f>
        <v>27173</v>
      </c>
      <c r="N159" s="23">
        <f>'Annual Raw'!O75</f>
        <v>28869</v>
      </c>
      <c r="O159" s="23">
        <f>'Annual Raw'!P75</f>
        <v>33735</v>
      </c>
      <c r="P159" s="23">
        <f>'Annual Raw'!Q75</f>
        <v>51014</v>
      </c>
      <c r="Q159" s="23">
        <f>'Annual Raw'!R75</f>
        <v>42503</v>
      </c>
      <c r="R159" s="23">
        <f>'Annual Raw'!S75</f>
        <v>57260</v>
      </c>
      <c r="S159" s="23">
        <f>'Annual Raw'!T75</f>
        <v>57603</v>
      </c>
      <c r="T159" s="23">
        <f>'Annual Raw'!U75</f>
        <v>71023</v>
      </c>
      <c r="U159" s="23">
        <f>'Annual Raw'!V75</f>
        <v>72915</v>
      </c>
      <c r="V159" s="23">
        <f>'Annual Raw'!W75</f>
        <v>152446</v>
      </c>
      <c r="W159" s="23">
        <f>'Annual Raw'!X75</f>
        <v>108118</v>
      </c>
      <c r="X159" s="23">
        <f>'Annual Raw'!Y75</f>
        <v>118473</v>
      </c>
      <c r="Y159" s="23">
        <f>'Annual Raw'!Z75</f>
        <v>106170</v>
      </c>
      <c r="Z159" s="23">
        <f>'Annual Raw'!AA75</f>
        <v>118709</v>
      </c>
      <c r="AA159" s="24">
        <f t="shared" ref="AA159:AA160" si="1286">+CL159</f>
        <v>97431</v>
      </c>
      <c r="AB159" s="24">
        <f t="shared" ref="AB159:AB160" si="1287">+CP159</f>
        <v>0</v>
      </c>
      <c r="AC159" s="24">
        <f t="shared" ref="AC159:AC160" si="1288">+CT159</f>
        <v>0</v>
      </c>
      <c r="AD159" s="24">
        <f t="shared" ref="AD159:AD160" si="1289">+CX159</f>
        <v>0</v>
      </c>
      <c r="AE159" s="24">
        <f t="shared" ref="AE159:AE160" si="1290">+DB159</f>
        <v>0</v>
      </c>
      <c r="AJ159" s="23">
        <f>+'QTR Raw'!D80</f>
        <v>28410</v>
      </c>
      <c r="AL159" s="23">
        <f>+'QTR Raw'!F80</f>
        <v>28869</v>
      </c>
      <c r="AN159" s="23">
        <f>+'QTR Raw'!H80</f>
        <v>34951</v>
      </c>
      <c r="AP159" s="23">
        <f>+'QTR Raw'!J80</f>
        <v>33735</v>
      </c>
      <c r="AR159" s="23">
        <f>+'QTR Raw'!L80</f>
        <v>39045</v>
      </c>
      <c r="AT159" s="23">
        <f>+'QTR Raw'!N80</f>
        <v>51014</v>
      </c>
      <c r="AV159" s="23">
        <f>+'QTR Raw'!P80</f>
        <v>53071</v>
      </c>
      <c r="AX159" s="23">
        <f>+'QTR Raw'!R80</f>
        <v>42503</v>
      </c>
      <c r="AZ159" s="23">
        <f>+'QTR Raw'!T80</f>
        <v>43655</v>
      </c>
      <c r="BB159" s="23">
        <f>+'QTR Raw'!V80</f>
        <v>57260</v>
      </c>
      <c r="BD159" s="23">
        <f>+'QTR Raw'!X80</f>
        <v>57989</v>
      </c>
      <c r="BF159" s="23">
        <f>+'QTR Raw'!Z80</f>
        <v>57603</v>
      </c>
      <c r="BH159" s="23">
        <f>+'QTR Raw'!AB80</f>
        <v>56599</v>
      </c>
      <c r="BJ159" s="23">
        <f>+'QTR Raw'!AD80</f>
        <v>71023</v>
      </c>
      <c r="BL159" s="23">
        <f>+'QTR Raw'!AF80</f>
        <v>68631</v>
      </c>
      <c r="BN159" s="23">
        <f>+'QTR Raw'!AH80</f>
        <v>72915</v>
      </c>
      <c r="BP159" s="23">
        <f>+'QTR Raw'!AJ80</f>
        <v>117917</v>
      </c>
      <c r="BR159" s="23">
        <f>+'QTR Raw'!AL80</f>
        <v>152446</v>
      </c>
      <c r="BT159" s="23">
        <f>+'QTR Raw'!AN80</f>
        <v>152807</v>
      </c>
      <c r="BV159" s="23">
        <f>+'QTR Raw'!AP80</f>
        <v>108118</v>
      </c>
      <c r="BX159" s="23">
        <f>+'QTR Raw'!AR80</f>
        <v>70005</v>
      </c>
      <c r="BZ159" s="23">
        <f>+'QTR Raw'!AT80</f>
        <v>118473</v>
      </c>
      <c r="CB159" s="23">
        <f>+'QTR Raw'!AV80</f>
        <v>104107</v>
      </c>
      <c r="CD159" s="23">
        <f>+'QTR Raw'!AX80</f>
        <v>106170</v>
      </c>
      <c r="CF159" s="23">
        <f>+'QTR Raw'!AZ80</f>
        <v>124437</v>
      </c>
      <c r="CH159" s="23">
        <f t="shared" ref="CH159:CH160" si="1291">Z159</f>
        <v>118709</v>
      </c>
      <c r="CJ159" s="23">
        <f>+'QTR Raw'!BD80</f>
        <v>112371</v>
      </c>
      <c r="CL159" s="23">
        <f>+'QTR Raw'!BF80</f>
        <v>97431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outlineLevel="1" x14ac:dyDescent="0.2">
      <c r="A160" s="23" t="s">
        <v>76</v>
      </c>
      <c r="B160" s="23">
        <f>'Annual Raw'!C78</f>
        <v>100.63</v>
      </c>
      <c r="C160" s="23">
        <f>'Annual Raw'!D78</f>
        <v>1763.56</v>
      </c>
      <c r="D160" s="23">
        <f>'Annual Raw'!E78</f>
        <v>150.12</v>
      </c>
      <c r="E160" s="23">
        <f>'Annual Raw'!F78</f>
        <v>270.88</v>
      </c>
      <c r="F160" s="23">
        <f>'Annual Raw'!G78</f>
        <v>3610.72</v>
      </c>
      <c r="G160" s="23">
        <f>'Annual Raw'!H78</f>
        <v>2616.41</v>
      </c>
      <c r="H160" s="23">
        <f>'Annual Raw'!I78</f>
        <v>1937.04</v>
      </c>
      <c r="I160" s="23">
        <f>'Annual Raw'!J78</f>
        <v>4474.16</v>
      </c>
      <c r="J160" s="23">
        <f>'Annual Raw'!K78</f>
        <v>22742.1</v>
      </c>
      <c r="K160" s="23">
        <f>'Annual Raw'!L78</f>
        <v>13890.83</v>
      </c>
      <c r="L160" s="23">
        <f>'Annual Raw'!M78</f>
        <v>30139</v>
      </c>
      <c r="M160" s="23">
        <f>'Annual Raw'!N78</f>
        <v>40731</v>
      </c>
      <c r="N160" s="23">
        <f>'Annual Raw'!O78</f>
        <v>50456</v>
      </c>
      <c r="O160" s="23">
        <f>'Annual Raw'!P78</f>
        <v>37984</v>
      </c>
      <c r="P160" s="23">
        <f>'Annual Raw'!Q78</f>
        <v>12545</v>
      </c>
      <c r="Q160" s="23">
        <f>'Annual Raw'!R78</f>
        <v>11028</v>
      </c>
      <c r="R160" s="23">
        <f>'Annual Raw'!S78</f>
        <v>3023</v>
      </c>
      <c r="S160" s="23">
        <f>'Annual Raw'!T78</f>
        <v>4255</v>
      </c>
      <c r="T160" s="23">
        <f>'Annual Raw'!U78</f>
        <v>11081</v>
      </c>
      <c r="U160" s="23">
        <f>'Annual Raw'!V78</f>
        <v>30920</v>
      </c>
      <c r="V160" s="23">
        <f>'Annual Raw'!W78</f>
        <v>17397</v>
      </c>
      <c r="W160" s="23">
        <f>'Annual Raw'!X78</f>
        <v>36178</v>
      </c>
      <c r="X160" s="23">
        <f>'Annual Raw'!Y78</f>
        <v>68664</v>
      </c>
      <c r="Y160" s="23">
        <f>'Annual Raw'!Z78</f>
        <v>97225</v>
      </c>
      <c r="Z160" s="23">
        <f>'Annual Raw'!AA78</f>
        <v>106502</v>
      </c>
      <c r="AA160" s="24">
        <f t="shared" si="1286"/>
        <v>145977</v>
      </c>
      <c r="AB160" s="24">
        <f t="shared" si="1287"/>
        <v>311671.78251852345</v>
      </c>
      <c r="AC160" s="24">
        <f t="shared" si="1288"/>
        <v>333828.41903910058</v>
      </c>
      <c r="AD160" s="24">
        <f t="shared" si="1289"/>
        <v>432013.81570926512</v>
      </c>
      <c r="AE160" s="24">
        <f t="shared" si="1290"/>
        <v>552417.63821638434</v>
      </c>
      <c r="AJ160" s="23">
        <f>+'QTR Raw'!D83</f>
        <v>43643</v>
      </c>
      <c r="AK160" s="23">
        <f t="shared" ref="AK160:AM160" si="1292">+AK210</f>
        <v>75325.364527984406</v>
      </c>
      <c r="AL160" s="23">
        <f>+'QTR Raw'!F83</f>
        <v>50456</v>
      </c>
      <c r="AM160" s="23">
        <f t="shared" si="1292"/>
        <v>82246.843404831452</v>
      </c>
      <c r="AN160" s="23">
        <f>+'QTR Raw'!H83</f>
        <v>43429</v>
      </c>
      <c r="AO160" s="23">
        <f t="shared" ref="AO160" si="1293">+AO210</f>
        <v>83905.465101176713</v>
      </c>
      <c r="AP160" s="23">
        <f>+'QTR Raw'!J83</f>
        <v>37984</v>
      </c>
      <c r="AQ160" s="23">
        <f t="shared" ref="AQ160" si="1294">+AQ210</f>
        <v>77614.232857640105</v>
      </c>
      <c r="AR160" s="23">
        <f>+'QTR Raw'!L83</f>
        <v>27322</v>
      </c>
      <c r="AS160" s="23">
        <f t="shared" ref="AS160" si="1295">+AS210</f>
        <v>71671.30454384</v>
      </c>
      <c r="AT160" s="23">
        <f>+'QTR Raw'!N83</f>
        <v>12545</v>
      </c>
      <c r="AU160" s="23">
        <f t="shared" ref="AU160" si="1296">+AU210</f>
        <v>69697.397213576376</v>
      </c>
      <c r="AV160" s="23">
        <f>+'QTR Raw'!P83</f>
        <v>7401</v>
      </c>
      <c r="AW160" s="23">
        <f t="shared" ref="AW160" si="1297">+AW210</f>
        <v>67878.779191837835</v>
      </c>
      <c r="AX160" s="23">
        <f>+'QTR Raw'!R83</f>
        <v>11028</v>
      </c>
      <c r="AY160" s="23">
        <f t="shared" ref="AY160" si="1298">+AY210</f>
        <v>60795.380992588442</v>
      </c>
      <c r="AZ160" s="23">
        <f>+'QTR Raw'!T83</f>
        <v>5359</v>
      </c>
      <c r="BA160" s="23">
        <f t="shared" ref="BA160" si="1299">+BA210</f>
        <v>56280.782648099848</v>
      </c>
      <c r="BB160" s="23">
        <f>+'QTR Raw'!V83</f>
        <v>3023</v>
      </c>
      <c r="BC160" s="23">
        <f t="shared" ref="BC160" si="1300">+BC210</f>
        <v>67417.24416238736</v>
      </c>
      <c r="BD160" s="23">
        <f>+'QTR Raw'!X83</f>
        <v>1998</v>
      </c>
      <c r="BE160" s="23">
        <f t="shared" ref="BE160" si="1301">+BE210</f>
        <v>69135.909260741915</v>
      </c>
      <c r="BF160" s="23">
        <f>+'QTR Raw'!Z83</f>
        <v>4255</v>
      </c>
      <c r="BG160" s="23">
        <f t="shared" ref="BG160" si="1302">+BG210</f>
        <v>71236.743525402737</v>
      </c>
      <c r="BH160" s="23">
        <f>+'QTR Raw'!AB83</f>
        <v>4061</v>
      </c>
      <c r="BI160" s="23">
        <f t="shared" ref="BI160" si="1303">+BI210</f>
        <v>71030.232073503925</v>
      </c>
      <c r="BJ160" s="23">
        <f>+'QTR Raw'!AD83</f>
        <v>11081</v>
      </c>
      <c r="BK160" s="23">
        <f t="shared" ref="BK160" si="1304">+BK210</f>
        <v>92402.3546029352</v>
      </c>
      <c r="BL160" s="23">
        <f>+'QTR Raw'!AF83</f>
        <v>12781</v>
      </c>
      <c r="BM160" s="23">
        <f t="shared" ref="BM160" si="1305">+BM210</f>
        <v>92364.350194882252</v>
      </c>
      <c r="BN160" s="23">
        <f>+'QTR Raw'!AH83</f>
        <v>30920</v>
      </c>
      <c r="BO160" s="23">
        <f t="shared" ref="BO160" si="1306">+BO210</f>
        <v>115715.87687919661</v>
      </c>
      <c r="BP160" s="23">
        <f>+'QTR Raw'!AJ83</f>
        <v>15874</v>
      </c>
      <c r="BQ160" s="23">
        <f t="shared" ref="BQ160" si="1307">+BQ210</f>
        <v>148454.53845854267</v>
      </c>
      <c r="BR160" s="23">
        <f>+'QTR Raw'!AL83</f>
        <v>17397</v>
      </c>
      <c r="BS160" s="23">
        <f t="shared" ref="BS160" si="1308">+BS210</f>
        <v>180582.24942037827</v>
      </c>
      <c r="BT160" s="23">
        <f>+'QTR Raw'!AN83</f>
        <v>19074</v>
      </c>
      <c r="BU160" s="23">
        <f t="shared" ref="BU160" si="1309">+BU210</f>
        <v>189681.55752041435</v>
      </c>
      <c r="BV160" s="23">
        <f>+'QTR Raw'!AP83</f>
        <v>36178</v>
      </c>
      <c r="BW160" s="23">
        <f t="shared" ref="BW160" si="1310">+BW210</f>
        <v>160608.48924696504</v>
      </c>
      <c r="BX160" s="23">
        <f>+'QTR Raw'!AR83</f>
        <v>48258</v>
      </c>
      <c r="BY160" s="23">
        <f t="shared" ref="BY160" si="1311">+BY210</f>
        <v>135189.19899068994</v>
      </c>
      <c r="BZ160" s="23">
        <f>+'QTR Raw'!AT83</f>
        <v>68664</v>
      </c>
      <c r="CA160" s="23">
        <f t="shared" ref="CA160" si="1312">+CA210</f>
        <v>205944.63300091651</v>
      </c>
      <c r="CB160" s="23">
        <f>+'QTR Raw'!AV83</f>
        <v>68827</v>
      </c>
      <c r="CC160" s="23">
        <f t="shared" ref="CC160" si="1313">+CC210</f>
        <v>193228.83105204767</v>
      </c>
      <c r="CD160" s="23">
        <f>+'QTR Raw'!AX83</f>
        <v>97225</v>
      </c>
      <c r="CE160" s="23">
        <f t="shared" ref="CE160" si="1314">+CE210</f>
        <v>219284.39162645279</v>
      </c>
      <c r="CF160" s="23">
        <f>+'QTR Raw'!AZ83</f>
        <v>90353</v>
      </c>
      <c r="CG160" s="23">
        <f t="shared" ref="CG160:CI160" si="1315">+CG210</f>
        <v>234413.39551674825</v>
      </c>
      <c r="CH160" s="23">
        <f t="shared" si="1291"/>
        <v>106502</v>
      </c>
      <c r="CI160" s="23">
        <f t="shared" si="1315"/>
        <v>239721.79784686508</v>
      </c>
      <c r="CJ160" s="23">
        <f>+'QTR Raw'!BD83</f>
        <v>111500</v>
      </c>
      <c r="CK160" s="23">
        <f t="shared" ref="CK160:DB160" si="1316">+CK210</f>
        <v>119797.92473349604</v>
      </c>
      <c r="CL160" s="23">
        <f>+'QTR Raw'!BF83</f>
        <v>145977</v>
      </c>
      <c r="CM160" s="24">
        <f t="shared" si="1316"/>
        <v>257373.96458219143</v>
      </c>
      <c r="CN160" s="24">
        <f t="shared" si="1316"/>
        <v>273338.74679016013</v>
      </c>
      <c r="CO160" s="24">
        <f t="shared" si="1316"/>
        <v>290387.56416918058</v>
      </c>
      <c r="CP160" s="24">
        <f t="shared" si="1316"/>
        <v>311671.78251852345</v>
      </c>
      <c r="CQ160" s="24">
        <f t="shared" si="1316"/>
        <v>329253.37897042965</v>
      </c>
      <c r="CR160" s="24">
        <f t="shared" si="1316"/>
        <v>349326.85113894317</v>
      </c>
      <c r="CS160" s="24">
        <f t="shared" si="1316"/>
        <v>371120.02103392908</v>
      </c>
      <c r="CT160" s="24">
        <f t="shared" si="1316"/>
        <v>333828.41903910058</v>
      </c>
      <c r="CU160" s="24">
        <f t="shared" si="1316"/>
        <v>361635.42434024648</v>
      </c>
      <c r="CV160" s="24">
        <f t="shared" si="1316"/>
        <v>382887.65813615464</v>
      </c>
      <c r="CW160" s="24">
        <f t="shared" si="1316"/>
        <v>406932.9068610245</v>
      </c>
      <c r="CX160" s="24">
        <f t="shared" si="1316"/>
        <v>432013.81570926512</v>
      </c>
      <c r="CY160" s="24">
        <f t="shared" si="1316"/>
        <v>465652.71555027761</v>
      </c>
      <c r="CZ160" s="24">
        <f t="shared" si="1316"/>
        <v>492105.98101061437</v>
      </c>
      <c r="DA160" s="24">
        <f t="shared" si="1316"/>
        <v>521685.61191620416</v>
      </c>
      <c r="DB160" s="24">
        <f t="shared" si="1316"/>
        <v>552417.63821638434</v>
      </c>
      <c r="DE160" s="123"/>
      <c r="DF160" s="23">
        <v>128301.87343198886</v>
      </c>
    </row>
    <row r="161" spans="1:110" s="22" customFormat="1" x14ac:dyDescent="0.2">
      <c r="A161" s="22" t="s">
        <v>77</v>
      </c>
      <c r="B161" s="22">
        <f>B159+B160</f>
        <v>141.01</v>
      </c>
      <c r="C161" s="22">
        <f t="shared" ref="C161:V161" si="1317">C159+C160</f>
        <v>1763.56</v>
      </c>
      <c r="D161" s="22">
        <f t="shared" si="1317"/>
        <v>150.12</v>
      </c>
      <c r="E161" s="22">
        <f t="shared" si="1317"/>
        <v>538.99</v>
      </c>
      <c r="F161" s="22">
        <f t="shared" si="1317"/>
        <v>7121.99</v>
      </c>
      <c r="G161" s="22">
        <f t="shared" si="1317"/>
        <v>5419.51</v>
      </c>
      <c r="H161" s="22">
        <f t="shared" si="1317"/>
        <v>5179.12</v>
      </c>
      <c r="I161" s="22">
        <f t="shared" si="1317"/>
        <v>10522.189999999999</v>
      </c>
      <c r="J161" s="22">
        <f t="shared" si="1317"/>
        <v>25615.67</v>
      </c>
      <c r="K161" s="22">
        <f t="shared" si="1317"/>
        <v>22363.82</v>
      </c>
      <c r="L161" s="22">
        <f t="shared" si="1317"/>
        <v>44824</v>
      </c>
      <c r="M161" s="22">
        <f t="shared" si="1317"/>
        <v>67904</v>
      </c>
      <c r="N161" s="22">
        <f t="shared" si="1317"/>
        <v>79325</v>
      </c>
      <c r="O161" s="22">
        <f t="shared" si="1317"/>
        <v>71719</v>
      </c>
      <c r="P161" s="22">
        <f t="shared" si="1317"/>
        <v>63559</v>
      </c>
      <c r="Q161" s="22">
        <f t="shared" si="1317"/>
        <v>53531</v>
      </c>
      <c r="R161" s="22">
        <f t="shared" si="1317"/>
        <v>60283</v>
      </c>
      <c r="S161" s="22">
        <f t="shared" si="1317"/>
        <v>61858</v>
      </c>
      <c r="T161" s="22">
        <f t="shared" si="1317"/>
        <v>82104</v>
      </c>
      <c r="U161" s="22">
        <f t="shared" si="1317"/>
        <v>103835</v>
      </c>
      <c r="V161" s="22">
        <f t="shared" si="1317"/>
        <v>169843</v>
      </c>
      <c r="W161" s="22">
        <f t="shared" ref="W161" si="1318">W159+W160</f>
        <v>144296</v>
      </c>
      <c r="X161" s="22">
        <f t="shared" ref="X161:Y161" si="1319">X159+X160</f>
        <v>187137</v>
      </c>
      <c r="Y161" s="22">
        <f t="shared" si="1319"/>
        <v>203395</v>
      </c>
      <c r="Z161" s="22">
        <f t="shared" ref="Z161" si="1320">Z159+Z160</f>
        <v>225211</v>
      </c>
      <c r="AA161" s="21">
        <f t="shared" ref="AA161:AD161" si="1321">AA159+AA160</f>
        <v>243408</v>
      </c>
      <c r="AB161" s="21">
        <f t="shared" si="1321"/>
        <v>311671.78251852345</v>
      </c>
      <c r="AC161" s="21">
        <f t="shared" si="1321"/>
        <v>333828.41903910058</v>
      </c>
      <c r="AD161" s="21">
        <f t="shared" si="1321"/>
        <v>432013.81570926512</v>
      </c>
      <c r="AE161" s="21">
        <f t="shared" ref="AE161" si="1322">AE159+AE160</f>
        <v>552417.63821638434</v>
      </c>
      <c r="AJ161" s="22">
        <f t="shared" ref="AJ161" si="1323">AJ159+AJ160</f>
        <v>72053</v>
      </c>
      <c r="AK161" s="22">
        <f t="shared" ref="AK161" si="1324">AK159+AK160</f>
        <v>75325.364527984406</v>
      </c>
      <c r="AL161" s="22">
        <f t="shared" ref="AL161:AM161" si="1325">AL159+AL160</f>
        <v>79325</v>
      </c>
      <c r="AM161" s="22">
        <f t="shared" si="1325"/>
        <v>82246.843404831452</v>
      </c>
      <c r="AN161" s="22">
        <f t="shared" ref="AN161:AO161" si="1326">AN159+AN160</f>
        <v>78380</v>
      </c>
      <c r="AO161" s="22">
        <f t="shared" si="1326"/>
        <v>83905.465101176713</v>
      </c>
      <c r="AP161" s="22">
        <f t="shared" ref="AP161:CE161" si="1327">AP159+AP160</f>
        <v>71719</v>
      </c>
      <c r="AQ161" s="22">
        <f t="shared" si="1327"/>
        <v>77614.232857640105</v>
      </c>
      <c r="AR161" s="22">
        <f t="shared" si="1327"/>
        <v>66367</v>
      </c>
      <c r="AS161" s="22">
        <f t="shared" si="1327"/>
        <v>71671.30454384</v>
      </c>
      <c r="AT161" s="22">
        <f t="shared" si="1327"/>
        <v>63559</v>
      </c>
      <c r="AU161" s="22">
        <f t="shared" si="1327"/>
        <v>69697.397213576376</v>
      </c>
      <c r="AV161" s="22">
        <f t="shared" si="1327"/>
        <v>60472</v>
      </c>
      <c r="AW161" s="22">
        <f t="shared" si="1327"/>
        <v>67878.779191837835</v>
      </c>
      <c r="AX161" s="22">
        <f t="shared" si="1327"/>
        <v>53531</v>
      </c>
      <c r="AY161" s="22">
        <f t="shared" si="1327"/>
        <v>60795.380992588442</v>
      </c>
      <c r="AZ161" s="22">
        <f t="shared" si="1327"/>
        <v>49014</v>
      </c>
      <c r="BA161" s="22">
        <f t="shared" si="1327"/>
        <v>56280.782648099848</v>
      </c>
      <c r="BB161" s="22">
        <f t="shared" si="1327"/>
        <v>60283</v>
      </c>
      <c r="BC161" s="22">
        <f t="shared" si="1327"/>
        <v>67417.24416238736</v>
      </c>
      <c r="BD161" s="22">
        <f t="shared" si="1327"/>
        <v>59987</v>
      </c>
      <c r="BE161" s="22">
        <f t="shared" si="1327"/>
        <v>69135.909260741915</v>
      </c>
      <c r="BF161" s="22">
        <f t="shared" si="1327"/>
        <v>61858</v>
      </c>
      <c r="BG161" s="22">
        <f t="shared" si="1327"/>
        <v>71236.743525402737</v>
      </c>
      <c r="BH161" s="22">
        <f t="shared" si="1327"/>
        <v>60660</v>
      </c>
      <c r="BI161" s="22">
        <f t="shared" si="1327"/>
        <v>71030.232073503925</v>
      </c>
      <c r="BJ161" s="22">
        <f t="shared" si="1327"/>
        <v>82104</v>
      </c>
      <c r="BK161" s="22">
        <f t="shared" si="1327"/>
        <v>92402.3546029352</v>
      </c>
      <c r="BL161" s="22">
        <f t="shared" si="1327"/>
        <v>81412</v>
      </c>
      <c r="BM161" s="22">
        <f t="shared" si="1327"/>
        <v>92364.350194882252</v>
      </c>
      <c r="BN161" s="22">
        <f t="shared" si="1327"/>
        <v>103835</v>
      </c>
      <c r="BO161" s="22">
        <f t="shared" si="1327"/>
        <v>115715.87687919661</v>
      </c>
      <c r="BP161" s="22">
        <f t="shared" si="1327"/>
        <v>133791</v>
      </c>
      <c r="BQ161" s="22">
        <f t="shared" si="1327"/>
        <v>148454.53845854267</v>
      </c>
      <c r="BR161" s="22">
        <f t="shared" si="1327"/>
        <v>169843</v>
      </c>
      <c r="BS161" s="22">
        <f t="shared" si="1327"/>
        <v>180582.24942037827</v>
      </c>
      <c r="BT161" s="22">
        <f t="shared" si="1327"/>
        <v>171881</v>
      </c>
      <c r="BU161" s="22">
        <f t="shared" si="1327"/>
        <v>189681.55752041435</v>
      </c>
      <c r="BV161" s="22">
        <f t="shared" si="1327"/>
        <v>144296</v>
      </c>
      <c r="BW161" s="22">
        <f t="shared" si="1327"/>
        <v>160608.48924696504</v>
      </c>
      <c r="BX161" s="22">
        <f t="shared" si="1327"/>
        <v>118263</v>
      </c>
      <c r="BY161" s="22">
        <f t="shared" si="1327"/>
        <v>135189.19899068994</v>
      </c>
      <c r="BZ161" s="22">
        <f t="shared" si="1327"/>
        <v>187137</v>
      </c>
      <c r="CA161" s="22">
        <f t="shared" si="1327"/>
        <v>205944.63300091651</v>
      </c>
      <c r="CB161" s="22">
        <f t="shared" si="1327"/>
        <v>172934</v>
      </c>
      <c r="CC161" s="22">
        <f t="shared" si="1327"/>
        <v>193228.83105204767</v>
      </c>
      <c r="CD161" s="22">
        <f t="shared" si="1327"/>
        <v>203395</v>
      </c>
      <c r="CE161" s="22">
        <f t="shared" si="1327"/>
        <v>219284.39162645279</v>
      </c>
      <c r="CF161" s="22">
        <f t="shared" ref="CF161:CG161" si="1328">CF159+CF160</f>
        <v>214790</v>
      </c>
      <c r="CG161" s="22">
        <f t="shared" si="1328"/>
        <v>234413.39551674825</v>
      </c>
      <c r="CH161" s="22">
        <f t="shared" ref="CH161:CI161" si="1329">CH159+CH160</f>
        <v>225211</v>
      </c>
      <c r="CI161" s="22">
        <f t="shared" si="1329"/>
        <v>239721.79784686508</v>
      </c>
      <c r="CJ161" s="22">
        <f t="shared" ref="CJ161:DB161" si="1330">CJ159+CJ160</f>
        <v>223871</v>
      </c>
      <c r="CK161" s="22">
        <f t="shared" si="1330"/>
        <v>119797.92473349604</v>
      </c>
      <c r="CL161" s="22">
        <f t="shared" ref="CL161" si="1331">CL159+CL160</f>
        <v>243408</v>
      </c>
      <c r="CM161" s="21">
        <f t="shared" si="1330"/>
        <v>257373.96458219143</v>
      </c>
      <c r="CN161" s="21">
        <f t="shared" si="1330"/>
        <v>273338.74679016013</v>
      </c>
      <c r="CO161" s="21">
        <f t="shared" si="1330"/>
        <v>290387.56416918058</v>
      </c>
      <c r="CP161" s="21">
        <f t="shared" si="1330"/>
        <v>311671.78251852345</v>
      </c>
      <c r="CQ161" s="21">
        <f t="shared" si="1330"/>
        <v>329253.37897042965</v>
      </c>
      <c r="CR161" s="21">
        <f t="shared" si="1330"/>
        <v>349326.85113894317</v>
      </c>
      <c r="CS161" s="21">
        <f t="shared" si="1330"/>
        <v>371120.02103392908</v>
      </c>
      <c r="CT161" s="21">
        <f t="shared" si="1330"/>
        <v>333828.41903910058</v>
      </c>
      <c r="CU161" s="21">
        <f t="shared" si="1330"/>
        <v>361635.42434024648</v>
      </c>
      <c r="CV161" s="21">
        <f t="shared" si="1330"/>
        <v>382887.65813615464</v>
      </c>
      <c r="CW161" s="21">
        <f t="shared" si="1330"/>
        <v>406932.9068610245</v>
      </c>
      <c r="CX161" s="21">
        <f t="shared" si="1330"/>
        <v>432013.81570926512</v>
      </c>
      <c r="CY161" s="21">
        <f t="shared" si="1330"/>
        <v>465652.71555027761</v>
      </c>
      <c r="CZ161" s="21">
        <f t="shared" si="1330"/>
        <v>492105.98101061437</v>
      </c>
      <c r="DA161" s="21">
        <f t="shared" si="1330"/>
        <v>521685.61191620416</v>
      </c>
      <c r="DB161" s="21">
        <f t="shared" si="1330"/>
        <v>552417.63821638434</v>
      </c>
      <c r="DE161" s="126"/>
      <c r="DF161" s="22">
        <v>128301.87343198886</v>
      </c>
    </row>
    <row r="162" spans="1:110" s="23" customFormat="1" x14ac:dyDescent="0.2">
      <c r="AA162" s="24"/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-2060.83</v>
      </c>
      <c r="D163" s="23">
        <f>-'Annual Raw'!E49</f>
        <v>-2684.88</v>
      </c>
      <c r="E163" s="23">
        <f>-'Annual Raw'!F49</f>
        <v>-3474.84</v>
      </c>
      <c r="F163" s="23">
        <f>-'Annual Raw'!G49</f>
        <v>-4266.82</v>
      </c>
      <c r="G163" s="23">
        <f>-'Annual Raw'!H49</f>
        <v>-4970.82</v>
      </c>
      <c r="H163" s="23">
        <f>-'Annual Raw'!I49</f>
        <v>-6990.53</v>
      </c>
      <c r="I163" s="23">
        <f>-'Annual Raw'!J49</f>
        <v>-7798.34</v>
      </c>
      <c r="J163" s="23">
        <f>-'Annual Raw'!K49</f>
        <v>-9551.33</v>
      </c>
      <c r="K163" s="23">
        <f>-'Annual Raw'!L49</f>
        <v>-10677.57</v>
      </c>
      <c r="L163" s="23">
        <f>-'Annual Raw'!M49</f>
        <v>-11071</v>
      </c>
      <c r="M163" s="23">
        <f>-'Annual Raw'!N49</f>
        <v>-11567</v>
      </c>
      <c r="N163" s="23">
        <f>-'Annual Raw'!O49</f>
        <v>-11588</v>
      </c>
      <c r="O163" s="23">
        <f>-'Annual Raw'!P49</f>
        <v>-11928</v>
      </c>
      <c r="P163" s="23">
        <f>-'Annual Raw'!Q49</f>
        <v>-20362</v>
      </c>
      <c r="Q163" s="23">
        <f>-'Annual Raw'!R49</f>
        <v>-20494</v>
      </c>
      <c r="R163" s="23">
        <f>-'Annual Raw'!S49</f>
        <v>-21198</v>
      </c>
      <c r="S163" s="23">
        <f>-'Annual Raw'!T49</f>
        <v>-24543</v>
      </c>
      <c r="T163" s="23">
        <f>-'Annual Raw'!U49</f>
        <v>-45147</v>
      </c>
      <c r="U163" s="23">
        <f>-'Annual Raw'!V49</f>
        <v>-51223</v>
      </c>
      <c r="V163" s="23">
        <f>-'Annual Raw'!W49</f>
        <v>-35854</v>
      </c>
      <c r="W163" s="23">
        <f>-'Annual Raw'!X49</f>
        <v>-48601</v>
      </c>
      <c r="X163" s="23">
        <f>-'Annual Raw'!Y49</f>
        <v>-58775</v>
      </c>
      <c r="Y163" s="23">
        <f>-'Annual Raw'!Z49</f>
        <v>-71303</v>
      </c>
      <c r="Z163" s="23">
        <f>-'Annual Raw'!AA49</f>
        <v>-83045</v>
      </c>
      <c r="AA163" s="24">
        <f t="shared" ref="AA163:AA164" si="1332">+CL163</f>
        <v>-97367</v>
      </c>
      <c r="AB163" s="24">
        <f t="shared" ref="AB163:AB164" si="1333">+CP163</f>
        <v>-97367</v>
      </c>
      <c r="AC163" s="24">
        <f t="shared" ref="AC163:AC164" si="1334">+CT163</f>
        <v>-97367</v>
      </c>
      <c r="AD163" s="24">
        <f t="shared" ref="AD163:AD164" si="1335">+CX163</f>
        <v>-97367</v>
      </c>
      <c r="AE163" s="24">
        <f t="shared" ref="AE163:AE164" si="1336">+DB163</f>
        <v>-97367</v>
      </c>
      <c r="AJ163" s="23">
        <f>+'QTR Raw'!D96</f>
        <v>-12066</v>
      </c>
      <c r="AK163" s="23">
        <f t="shared" ref="AK163:CE163" si="1337">+AJ163</f>
        <v>-12066</v>
      </c>
      <c r="AL163" s="23">
        <f>+'QTR Raw'!F96</f>
        <v>-11588</v>
      </c>
      <c r="AM163" s="23">
        <f t="shared" si="1337"/>
        <v>-11588</v>
      </c>
      <c r="AN163" s="23">
        <f>+'QTR Raw'!H96</f>
        <v>-12057</v>
      </c>
      <c r="AO163" s="23">
        <f t="shared" si="1337"/>
        <v>-12057</v>
      </c>
      <c r="AP163" s="23">
        <f>+'QTR Raw'!J96</f>
        <v>-11925</v>
      </c>
      <c r="AQ163" s="23">
        <f t="shared" si="1337"/>
        <v>-11925</v>
      </c>
      <c r="AR163" s="23">
        <f>+'QTR Raw'!L96</f>
        <v>-12391</v>
      </c>
      <c r="AS163" s="23">
        <f t="shared" si="1337"/>
        <v>-12391</v>
      </c>
      <c r="AT163" s="23">
        <f>+'QTR Raw'!N96</f>
        <v>-12974</v>
      </c>
      <c r="AU163" s="23">
        <f t="shared" si="1337"/>
        <v>-12974</v>
      </c>
      <c r="AV163" s="23">
        <f>+'QTR Raw'!P96</f>
        <v>-11548</v>
      </c>
      <c r="AW163" s="23">
        <f t="shared" si="1337"/>
        <v>-11548</v>
      </c>
      <c r="AX163" s="23">
        <f>+'QTR Raw'!R96</f>
        <v>-20494</v>
      </c>
      <c r="AY163" s="23">
        <f t="shared" si="1337"/>
        <v>-20494</v>
      </c>
      <c r="AZ163" s="23">
        <f>+'QTR Raw'!T96</f>
        <v>-26618</v>
      </c>
      <c r="BA163" s="23">
        <f t="shared" si="1337"/>
        <v>-26618</v>
      </c>
      <c r="BB163" s="23">
        <f>+'QTR Raw'!V96</f>
        <v>-21198</v>
      </c>
      <c r="BC163" s="23">
        <f t="shared" si="1337"/>
        <v>-21198</v>
      </c>
      <c r="BD163" s="23">
        <f>+'QTR Raw'!X96</f>
        <v>-22311</v>
      </c>
      <c r="BE163" s="23">
        <f t="shared" si="1337"/>
        <v>-22311</v>
      </c>
      <c r="BF163" s="23">
        <f>+'QTR Raw'!Z96</f>
        <v>-24543</v>
      </c>
      <c r="BG163" s="23">
        <f t="shared" si="1337"/>
        <v>-24543</v>
      </c>
      <c r="BH163" s="23">
        <f>+'QTR Raw'!AB96</f>
        <v>-26465</v>
      </c>
      <c r="BI163" s="23">
        <f t="shared" si="1337"/>
        <v>-26465</v>
      </c>
      <c r="BJ163" s="23">
        <f>+'QTR Raw'!AD96</f>
        <v>-45147</v>
      </c>
      <c r="BK163" s="23">
        <f t="shared" si="1337"/>
        <v>-45147</v>
      </c>
      <c r="BL163" s="23">
        <f>+'QTR Raw'!AF96</f>
        <v>-47849</v>
      </c>
      <c r="BM163" s="23">
        <f t="shared" si="1337"/>
        <v>-47849</v>
      </c>
      <c r="BN163" s="23">
        <f>+'QTR Raw'!AH96</f>
        <v>-51223</v>
      </c>
      <c r="BO163" s="23">
        <f t="shared" si="1337"/>
        <v>-51223</v>
      </c>
      <c r="BP163" s="23">
        <f>+'QTR Raw'!AJ96</f>
        <v>-50148</v>
      </c>
      <c r="BQ163" s="23">
        <f t="shared" si="1337"/>
        <v>-50148</v>
      </c>
      <c r="BR163" s="23">
        <f>+'QTR Raw'!AL96</f>
        <v>-35854</v>
      </c>
      <c r="BS163" s="23">
        <f t="shared" si="1337"/>
        <v>-35854</v>
      </c>
      <c r="BT163" s="23">
        <f>+'QTR Raw'!AN96</f>
        <v>-37992</v>
      </c>
      <c r="BU163" s="23">
        <f t="shared" si="1337"/>
        <v>-37992</v>
      </c>
      <c r="BV163" s="23">
        <f>+'QTR Raw'!AP96</f>
        <v>-48601</v>
      </c>
      <c r="BW163" s="23">
        <f t="shared" si="1337"/>
        <v>-48601</v>
      </c>
      <c r="BX163" s="23">
        <f>+'QTR Raw'!AR96</f>
        <v>-52971</v>
      </c>
      <c r="BY163" s="23">
        <f t="shared" si="1337"/>
        <v>-52971</v>
      </c>
      <c r="BZ163" s="23">
        <f>+'QTR Raw'!AT96</f>
        <v>-58775</v>
      </c>
      <c r="CA163" s="23">
        <f t="shared" si="1337"/>
        <v>-58775</v>
      </c>
      <c r="CB163" s="23">
        <f>+'QTR Raw'!AV96</f>
        <v>-64586</v>
      </c>
      <c r="CC163" s="23">
        <f t="shared" si="1337"/>
        <v>-64586</v>
      </c>
      <c r="CD163" s="23">
        <f>+'QTR Raw'!AX96</f>
        <v>-71303</v>
      </c>
      <c r="CE163" s="23">
        <f t="shared" si="1337"/>
        <v>-71303</v>
      </c>
      <c r="CF163" s="23">
        <f>+'QTR Raw'!AZ96</f>
        <v>-76733</v>
      </c>
      <c r="CG163" s="23">
        <f t="shared" ref="CG163:CI164" si="1338">+CF163</f>
        <v>-76733</v>
      </c>
      <c r="CH163" s="23">
        <f t="shared" ref="CH163:CH164" si="1339">Z163</f>
        <v>-83045</v>
      </c>
      <c r="CI163" s="23">
        <f t="shared" si="1338"/>
        <v>-83045</v>
      </c>
      <c r="CJ163" s="23">
        <f>+'QTR Raw'!BD96</f>
        <v>-89283</v>
      </c>
      <c r="CK163" s="23">
        <f t="shared" ref="CK163:CK164" si="1340">+CJ163</f>
        <v>-89283</v>
      </c>
      <c r="CL163" s="23">
        <f>+'QTR Raw'!BF96</f>
        <v>-97367</v>
      </c>
      <c r="CM163" s="24">
        <f t="shared" ref="CM163:CM164" si="1341">+CL163</f>
        <v>-97367</v>
      </c>
      <c r="CN163" s="24">
        <f t="shared" ref="CN163:CN164" si="1342">+CM163</f>
        <v>-97367</v>
      </c>
      <c r="CO163" s="24">
        <f t="shared" ref="CO163:CO164" si="1343">+CN163</f>
        <v>-97367</v>
      </c>
      <c r="CP163" s="24">
        <f t="shared" ref="CP163:CP164" si="1344">+CO163</f>
        <v>-97367</v>
      </c>
      <c r="CQ163" s="24">
        <f t="shared" ref="CQ163:CQ164" si="1345">+CP163</f>
        <v>-97367</v>
      </c>
      <c r="CR163" s="24">
        <f t="shared" ref="CR163:CR164" si="1346">+CQ163</f>
        <v>-97367</v>
      </c>
      <c r="CS163" s="24">
        <f t="shared" ref="CS163:CS164" si="1347">+CR163</f>
        <v>-97367</v>
      </c>
      <c r="CT163" s="24">
        <f t="shared" ref="CT163:CT164" si="1348">+CS163</f>
        <v>-97367</v>
      </c>
      <c r="CU163" s="24">
        <f t="shared" ref="CU163:CU164" si="1349">+CT163</f>
        <v>-97367</v>
      </c>
      <c r="CV163" s="24">
        <f t="shared" ref="CV163:CV164" si="1350">+CU163</f>
        <v>-97367</v>
      </c>
      <c r="CW163" s="24">
        <f t="shared" ref="CW163:CW164" si="1351">+CV163</f>
        <v>-97367</v>
      </c>
      <c r="CX163" s="24">
        <f t="shared" ref="CX163:CX164" si="1352">+CW163</f>
        <v>-97367</v>
      </c>
      <c r="CY163" s="24">
        <f t="shared" ref="CY163:CY164" si="1353">+CX163</f>
        <v>-97367</v>
      </c>
      <c r="CZ163" s="24">
        <f t="shared" ref="CZ163:CZ164" si="1354">+CY163</f>
        <v>-97367</v>
      </c>
      <c r="DA163" s="24">
        <f t="shared" ref="DA163:DA164" si="1355">+CZ163</f>
        <v>-97367</v>
      </c>
      <c r="DB163" s="24">
        <f t="shared" ref="DB163:DB164" si="1356">+DA163</f>
        <v>-97367</v>
      </c>
      <c r="DE163" s="123"/>
      <c r="DF163" s="23">
        <v>-89283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62.89</v>
      </c>
      <c r="D164" s="23">
        <f>'Annual Raw'!E83</f>
        <v>47.19</v>
      </c>
      <c r="E164" s="23">
        <f>'Annual Raw'!F83</f>
        <v>1.39</v>
      </c>
      <c r="F164" s="23">
        <f>'Annual Raw'!G83</f>
        <v>0.02</v>
      </c>
      <c r="G164" s="23">
        <f>'Annual Raw'!H83</f>
        <v>5.62</v>
      </c>
      <c r="H164" s="23">
        <f>'Annual Raw'!I83</f>
        <v>4.5599999999999996</v>
      </c>
      <c r="I164" s="23">
        <f>'Annual Raw'!J83</f>
        <v>3.25</v>
      </c>
      <c r="J164" s="23">
        <f>'Annual Raw'!K83</f>
        <v>3.6</v>
      </c>
      <c r="K164" s="23">
        <f>'Annual Raw'!L83</f>
        <v>2.33</v>
      </c>
      <c r="L164" s="23">
        <f>'Annual Raw'!M83</f>
        <v>1</v>
      </c>
      <c r="M164" s="23">
        <f>'Annual Raw'!N83</f>
        <v>1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4">
        <f t="shared" si="1332"/>
        <v>0</v>
      </c>
      <c r="AB164" s="24">
        <f t="shared" si="1333"/>
        <v>0</v>
      </c>
      <c r="AC164" s="24">
        <f t="shared" si="1334"/>
        <v>0</v>
      </c>
      <c r="AD164" s="24">
        <f t="shared" si="1335"/>
        <v>0</v>
      </c>
      <c r="AE164" s="24">
        <f t="shared" si="1336"/>
        <v>0</v>
      </c>
      <c r="AJ164" s="23">
        <f>+'QTR Raw'!D95</f>
        <v>0</v>
      </c>
      <c r="AK164" s="23">
        <f t="shared" ref="AK164:CE164" si="1357">+AJ164</f>
        <v>0</v>
      </c>
      <c r="AL164" s="23">
        <f>+'QTR Raw'!F95</f>
        <v>0</v>
      </c>
      <c r="AM164" s="23">
        <f t="shared" si="1357"/>
        <v>0</v>
      </c>
      <c r="AN164" s="23">
        <f>+'QTR Raw'!H95</f>
        <v>0</v>
      </c>
      <c r="AO164" s="23">
        <f t="shared" si="1357"/>
        <v>0</v>
      </c>
      <c r="AP164" s="23">
        <f>+'QTR Raw'!J95</f>
        <v>0</v>
      </c>
      <c r="AQ164" s="23">
        <f t="shared" si="1357"/>
        <v>0</v>
      </c>
      <c r="AR164" s="23">
        <f>+'QTR Raw'!L95</f>
        <v>0</v>
      </c>
      <c r="AS164" s="23">
        <f t="shared" si="1357"/>
        <v>0</v>
      </c>
      <c r="AT164" s="23">
        <f>+'QTR Raw'!N95</f>
        <v>0</v>
      </c>
      <c r="AU164" s="23">
        <f t="shared" si="1357"/>
        <v>0</v>
      </c>
      <c r="AV164" s="23">
        <f>+'QTR Raw'!P95</f>
        <v>0</v>
      </c>
      <c r="AW164" s="23">
        <f t="shared" si="1357"/>
        <v>0</v>
      </c>
      <c r="AX164" s="23">
        <f>+'QTR Raw'!R95</f>
        <v>0</v>
      </c>
      <c r="AY164" s="23">
        <f t="shared" si="1357"/>
        <v>0</v>
      </c>
      <c r="AZ164" s="23">
        <f>+'QTR Raw'!T95</f>
        <v>0</v>
      </c>
      <c r="BA164" s="23">
        <f t="shared" si="1357"/>
        <v>0</v>
      </c>
      <c r="BB164" s="23">
        <f>+'QTR Raw'!V95</f>
        <v>0</v>
      </c>
      <c r="BC164" s="23">
        <f t="shared" si="1357"/>
        <v>0</v>
      </c>
      <c r="BD164" s="23">
        <f>+'QTR Raw'!X95</f>
        <v>0</v>
      </c>
      <c r="BE164" s="23">
        <f t="shared" si="1357"/>
        <v>0</v>
      </c>
      <c r="BF164" s="23">
        <f>+'QTR Raw'!Z95</f>
        <v>0</v>
      </c>
      <c r="BG164" s="23">
        <f t="shared" si="1357"/>
        <v>0</v>
      </c>
      <c r="BH164" s="23">
        <f>+'QTR Raw'!AB95</f>
        <v>0</v>
      </c>
      <c r="BI164" s="23">
        <f t="shared" si="1357"/>
        <v>0</v>
      </c>
      <c r="BJ164" s="23">
        <f>+'QTR Raw'!AD95</f>
        <v>0</v>
      </c>
      <c r="BK164" s="23">
        <f t="shared" si="1357"/>
        <v>0</v>
      </c>
      <c r="BL164" s="23">
        <f>+'QTR Raw'!AF95</f>
        <v>0</v>
      </c>
      <c r="BM164" s="23">
        <f t="shared" si="1357"/>
        <v>0</v>
      </c>
      <c r="BN164" s="23">
        <f>+'QTR Raw'!AH95</f>
        <v>0</v>
      </c>
      <c r="BO164" s="23">
        <f t="shared" si="1357"/>
        <v>0</v>
      </c>
      <c r="BP164" s="23">
        <f>+'QTR Raw'!AJ95</f>
        <v>0</v>
      </c>
      <c r="BQ164" s="23">
        <f t="shared" si="1357"/>
        <v>0</v>
      </c>
      <c r="BR164" s="23">
        <f>+'QTR Raw'!AL95</f>
        <v>0</v>
      </c>
      <c r="BS164" s="23">
        <f t="shared" si="1357"/>
        <v>0</v>
      </c>
      <c r="BT164" s="23">
        <f>+'QTR Raw'!AN95</f>
        <v>0</v>
      </c>
      <c r="BU164" s="23">
        <f t="shared" si="1357"/>
        <v>0</v>
      </c>
      <c r="BV164" s="23">
        <f>+'QTR Raw'!AP95</f>
        <v>0</v>
      </c>
      <c r="BW164" s="23">
        <f t="shared" si="1357"/>
        <v>0</v>
      </c>
      <c r="BX164" s="23">
        <f>+'QTR Raw'!AR95</f>
        <v>0</v>
      </c>
      <c r="BY164" s="23">
        <f t="shared" si="1357"/>
        <v>0</v>
      </c>
      <c r="BZ164" s="23">
        <f>+'QTR Raw'!AT95</f>
        <v>0</v>
      </c>
      <c r="CA164" s="23">
        <f t="shared" si="1357"/>
        <v>0</v>
      </c>
      <c r="CB164" s="23">
        <f>+'QTR Raw'!AV95</f>
        <v>0</v>
      </c>
      <c r="CC164" s="23">
        <f t="shared" si="1357"/>
        <v>0</v>
      </c>
      <c r="CD164" s="23">
        <f>+'QTR Raw'!AX95</f>
        <v>0</v>
      </c>
      <c r="CE164" s="23">
        <f t="shared" si="1357"/>
        <v>0</v>
      </c>
      <c r="CF164" s="23">
        <f>+'QTR Raw'!AZ95</f>
        <v>0</v>
      </c>
      <c r="CG164" s="23">
        <f t="shared" si="1338"/>
        <v>0</v>
      </c>
      <c r="CH164" s="23">
        <f t="shared" si="1339"/>
        <v>0</v>
      </c>
      <c r="CI164" s="23">
        <f t="shared" si="1338"/>
        <v>0</v>
      </c>
      <c r="CJ164" s="23">
        <f>+'QTR Raw'!BD95</f>
        <v>0</v>
      </c>
      <c r="CK164" s="23">
        <f t="shared" si="1340"/>
        <v>0</v>
      </c>
      <c r="CL164" s="23">
        <f>+'QTR Raw'!BF95</f>
        <v>0</v>
      </c>
      <c r="CM164" s="24">
        <f t="shared" si="1341"/>
        <v>0</v>
      </c>
      <c r="CN164" s="24">
        <f t="shared" si="1342"/>
        <v>0</v>
      </c>
      <c r="CO164" s="24">
        <f t="shared" si="1343"/>
        <v>0</v>
      </c>
      <c r="CP164" s="24">
        <f t="shared" si="1344"/>
        <v>0</v>
      </c>
      <c r="CQ164" s="24">
        <f t="shared" si="1345"/>
        <v>0</v>
      </c>
      <c r="CR164" s="24">
        <f t="shared" si="1346"/>
        <v>0</v>
      </c>
      <c r="CS164" s="24">
        <f t="shared" si="1347"/>
        <v>0</v>
      </c>
      <c r="CT164" s="24">
        <f t="shared" si="1348"/>
        <v>0</v>
      </c>
      <c r="CU164" s="24">
        <f t="shared" si="1349"/>
        <v>0</v>
      </c>
      <c r="CV164" s="24">
        <f t="shared" si="1350"/>
        <v>0</v>
      </c>
      <c r="CW164" s="24">
        <f t="shared" si="1351"/>
        <v>0</v>
      </c>
      <c r="CX164" s="24">
        <f t="shared" si="1352"/>
        <v>0</v>
      </c>
      <c r="CY164" s="24">
        <f t="shared" si="1353"/>
        <v>0</v>
      </c>
      <c r="CZ164" s="24">
        <f t="shared" si="1354"/>
        <v>0</v>
      </c>
      <c r="DA164" s="24">
        <f t="shared" si="1355"/>
        <v>0</v>
      </c>
      <c r="DB164" s="24">
        <f t="shared" si="1356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58">B163+B161+B157+B140+B138+B164</f>
        <v>24901.16</v>
      </c>
      <c r="C165" s="26">
        <f t="shared" si="1358"/>
        <v>46926.17</v>
      </c>
      <c r="D165" s="26">
        <f t="shared" si="1358"/>
        <v>50318.259999999995</v>
      </c>
      <c r="E165" s="26">
        <f t="shared" si="1358"/>
        <v>56034.479999999996</v>
      </c>
      <c r="F165" s="26">
        <f t="shared" si="1358"/>
        <v>59910.81</v>
      </c>
      <c r="G165" s="26">
        <f t="shared" si="1358"/>
        <v>74828.079999999987</v>
      </c>
      <c r="H165" s="26">
        <f t="shared" si="1358"/>
        <v>105292.56999999998</v>
      </c>
      <c r="I165" s="26">
        <f t="shared" si="1358"/>
        <v>140295.15</v>
      </c>
      <c r="J165" s="26">
        <f t="shared" si="1358"/>
        <v>197652.03999999998</v>
      </c>
      <c r="K165" s="26">
        <f t="shared" si="1358"/>
        <v>206182.03</v>
      </c>
      <c r="L165" s="26">
        <f t="shared" si="1358"/>
        <v>239056</v>
      </c>
      <c r="M165" s="26">
        <f t="shared" si="1358"/>
        <v>262691</v>
      </c>
      <c r="N165" s="26">
        <f t="shared" si="1358"/>
        <v>290223</v>
      </c>
      <c r="O165" s="26">
        <f t="shared" si="1358"/>
        <v>338404</v>
      </c>
      <c r="P165" s="26">
        <f t="shared" si="1358"/>
        <v>382400</v>
      </c>
      <c r="Q165" s="26">
        <f t="shared" si="1358"/>
        <v>416316</v>
      </c>
      <c r="R165" s="26">
        <f t="shared" si="1358"/>
        <v>463964</v>
      </c>
      <c r="S165" s="26">
        <f t="shared" si="1358"/>
        <v>516678</v>
      </c>
      <c r="T165" s="26">
        <f t="shared" si="1358"/>
        <v>684267</v>
      </c>
      <c r="U165" s="26">
        <f t="shared" si="1358"/>
        <v>797641</v>
      </c>
      <c r="V165" s="26">
        <f t="shared" si="1358"/>
        <v>1051243</v>
      </c>
      <c r="W165" s="26">
        <f t="shared" si="1358"/>
        <v>1155289</v>
      </c>
      <c r="X165" s="26">
        <f t="shared" ref="X165:Y165" si="1359">X163+X161+X157+X140+X138+X164</f>
        <v>1142847</v>
      </c>
      <c r="Y165" s="26">
        <f t="shared" si="1359"/>
        <v>1250410</v>
      </c>
      <c r="Z165" s="26">
        <f t="shared" ref="Z165" si="1360">Z163+Z161+Z157+Z140+Z138+Z164</f>
        <v>1357156</v>
      </c>
      <c r="AA165" s="27">
        <f t="shared" ref="AA165:AD165" si="1361">AA163+AA161+AA157+AA140+AA138+AA164</f>
        <v>1460287</v>
      </c>
      <c r="AB165" s="27">
        <f t="shared" si="1361"/>
        <v>1544394.8059338278</v>
      </c>
      <c r="AC165" s="27">
        <f t="shared" si="1361"/>
        <v>1645201.3981374151</v>
      </c>
      <c r="AD165" s="27">
        <f t="shared" si="1361"/>
        <v>1763743.0972560446</v>
      </c>
      <c r="AE165" s="27">
        <f t="shared" ref="AE165" si="1362">AE163+AE161+AE157+AE140+AE138+AE164</f>
        <v>1904286.4984021501</v>
      </c>
      <c r="AJ165" s="26">
        <f t="shared" ref="AJ165" si="1363">AJ163+AJ161+AJ157+AJ140+AJ138+AJ164</f>
        <v>228934</v>
      </c>
      <c r="AK165" s="26">
        <f t="shared" ref="AK165:AL165" si="1364">AK163+AK161+AK157+AK140+AK138+AK164</f>
        <v>234436</v>
      </c>
      <c r="AL165" s="26">
        <f t="shared" si="1364"/>
        <v>272326</v>
      </c>
      <c r="AM165" s="26">
        <f t="shared" ref="AM165:AO165" si="1365">AM163+AM161+AM157+AM140+AM138+AM164</f>
        <v>277563</v>
      </c>
      <c r="AN165" s="26">
        <f t="shared" si="1365"/>
        <v>257479</v>
      </c>
      <c r="AO165" s="26">
        <f t="shared" si="1365"/>
        <v>262981</v>
      </c>
      <c r="AP165" s="26">
        <f t="shared" ref="AP165:CE165" si="1366">AP163+AP161+AP157+AP140+AP138+AP164</f>
        <v>333457</v>
      </c>
      <c r="AQ165" s="26">
        <f t="shared" si="1366"/>
        <v>339414</v>
      </c>
      <c r="AR165" s="26">
        <f t="shared" si="1366"/>
        <v>353514</v>
      </c>
      <c r="AS165" s="26">
        <f t="shared" si="1366"/>
        <v>358770</v>
      </c>
      <c r="AT165" s="26">
        <f t="shared" si="1366"/>
        <v>377667</v>
      </c>
      <c r="AU165" s="26">
        <f t="shared" si="1366"/>
        <v>383691</v>
      </c>
      <c r="AV165" s="26">
        <f t="shared" si="1366"/>
        <v>405209</v>
      </c>
      <c r="AW165" s="26">
        <f t="shared" si="1366"/>
        <v>412454</v>
      </c>
      <c r="AX165" s="26">
        <f t="shared" si="1366"/>
        <v>400104</v>
      </c>
      <c r="AY165" s="26">
        <f t="shared" si="1366"/>
        <v>407217</v>
      </c>
      <c r="AZ165" s="26">
        <f t="shared" si="1366"/>
        <v>439008</v>
      </c>
      <c r="BA165" s="26">
        <f t="shared" si="1366"/>
        <v>446541</v>
      </c>
      <c r="BB165" s="26">
        <f t="shared" si="1366"/>
        <v>450302</v>
      </c>
      <c r="BC165" s="26">
        <f t="shared" si="1366"/>
        <v>459410</v>
      </c>
      <c r="BD165" s="26">
        <f t="shared" si="1366"/>
        <v>460284</v>
      </c>
      <c r="BE165" s="26">
        <f t="shared" si="1366"/>
        <v>469704</v>
      </c>
      <c r="BF165" s="26">
        <f t="shared" si="1366"/>
        <v>478649</v>
      </c>
      <c r="BG165" s="26">
        <f t="shared" si="1366"/>
        <v>488108</v>
      </c>
      <c r="BH165" s="26">
        <f t="shared" ref="BH165" si="1367">BH163+BH161+BH157+BH140+BH138+BH164</f>
        <v>544354</v>
      </c>
      <c r="BI165" s="26">
        <f t="shared" si="1366"/>
        <v>554605</v>
      </c>
      <c r="BJ165" s="26">
        <f t="shared" si="1366"/>
        <v>667334</v>
      </c>
      <c r="BK165" s="26">
        <f t="shared" si="1366"/>
        <v>677438</v>
      </c>
      <c r="BL165" s="26">
        <f t="shared" si="1366"/>
        <v>666022</v>
      </c>
      <c r="BM165" s="26">
        <f t="shared" si="1366"/>
        <v>677662</v>
      </c>
      <c r="BN165" s="26">
        <f t="shared" si="1366"/>
        <v>752764</v>
      </c>
      <c r="BO165" s="26">
        <f t="shared" si="1366"/>
        <v>765997</v>
      </c>
      <c r="BP165" s="26">
        <f t="shared" si="1366"/>
        <v>918668</v>
      </c>
      <c r="BQ165" s="26">
        <f t="shared" si="1366"/>
        <v>931769</v>
      </c>
      <c r="BR165" s="26">
        <f t="shared" si="1366"/>
        <v>1051243</v>
      </c>
      <c r="BS165" s="26">
        <f t="shared" si="1366"/>
        <v>1063516</v>
      </c>
      <c r="BT165" s="26">
        <f t="shared" si="1366"/>
        <v>1101502</v>
      </c>
      <c r="BU165" s="26">
        <f t="shared" si="1366"/>
        <v>1120051</v>
      </c>
      <c r="BV165" s="26">
        <f t="shared" si="1366"/>
        <v>1155289</v>
      </c>
      <c r="BW165" s="26">
        <f t="shared" si="1366"/>
        <v>1173244</v>
      </c>
      <c r="BX165" s="26">
        <f t="shared" si="1366"/>
        <v>1197624</v>
      </c>
      <c r="BY165" s="26">
        <f t="shared" si="1366"/>
        <v>1213416</v>
      </c>
      <c r="BZ165" s="26">
        <f t="shared" si="1366"/>
        <v>1142847</v>
      </c>
      <c r="CA165" s="26">
        <f t="shared" si="1366"/>
        <v>1158858</v>
      </c>
      <c r="CB165" s="26">
        <f t="shared" si="1366"/>
        <v>1172962</v>
      </c>
      <c r="CC165" s="26">
        <f t="shared" si="1366"/>
        <v>1190227</v>
      </c>
      <c r="CD165" s="26">
        <f t="shared" si="1366"/>
        <v>1250410</v>
      </c>
      <c r="CE165" s="26">
        <f t="shared" si="1366"/>
        <v>1265548</v>
      </c>
      <c r="CF165" s="26">
        <f t="shared" ref="CF165:CG165" si="1368">CF163+CF161+CF157+CF140+CF138+CF164</f>
        <v>1290661</v>
      </c>
      <c r="CG165" s="26">
        <f t="shared" si="1368"/>
        <v>1309201</v>
      </c>
      <c r="CH165" s="26">
        <f t="shared" ref="CH165:CI165" si="1369">CH163+CH161+CH157+CH140+CH138+CH164</f>
        <v>1357156</v>
      </c>
      <c r="CI165" s="26">
        <f t="shared" si="1369"/>
        <v>1384150</v>
      </c>
      <c r="CJ165" s="26">
        <f t="shared" ref="CJ165:DB165" si="1370">CJ163+CJ161+CJ157+CJ140+CJ138+CJ164</f>
        <v>1398957</v>
      </c>
      <c r="CK165" s="26">
        <f t="shared" si="1370"/>
        <v>1417602</v>
      </c>
      <c r="CL165" s="26">
        <f t="shared" ref="CL165" si="1371">CL163+CL161+CL157+CL140+CL138+CL164</f>
        <v>1460287</v>
      </c>
      <c r="CM165" s="27">
        <f t="shared" si="1370"/>
        <v>1478749.5124767912</v>
      </c>
      <c r="CN165" s="27">
        <f t="shared" si="1370"/>
        <v>1498599.9621806613</v>
      </c>
      <c r="CO165" s="27">
        <f t="shared" si="1370"/>
        <v>1519489.5823145562</v>
      </c>
      <c r="CP165" s="27">
        <f t="shared" si="1370"/>
        <v>1544394.8059338278</v>
      </c>
      <c r="CQ165" s="27">
        <f t="shared" si="1370"/>
        <v>1566004.8744630124</v>
      </c>
      <c r="CR165" s="27">
        <f t="shared" si="1370"/>
        <v>1589685.0558634538</v>
      </c>
      <c r="CS165" s="27">
        <f t="shared" si="1370"/>
        <v>1615051.1338728992</v>
      </c>
      <c r="CT165" s="27">
        <f t="shared" si="1370"/>
        <v>1645201.3981374151</v>
      </c>
      <c r="CU165" s="27">
        <f t="shared" si="1370"/>
        <v>1670616.8898588605</v>
      </c>
      <c r="CV165" s="27">
        <f t="shared" si="1370"/>
        <v>1698584.9436560364</v>
      </c>
      <c r="CW165" s="27">
        <f t="shared" si="1370"/>
        <v>1728520.6558468738</v>
      </c>
      <c r="CX165" s="27">
        <f t="shared" si="1370"/>
        <v>1763743.0972560446</v>
      </c>
      <c r="CY165" s="27">
        <f t="shared" si="1370"/>
        <v>1794124.4638979998</v>
      </c>
      <c r="CZ165" s="27">
        <f t="shared" si="1370"/>
        <v>1827411.2673259766</v>
      </c>
      <c r="DA165" s="27">
        <f t="shared" si="1370"/>
        <v>1862916.3932737999</v>
      </c>
      <c r="DB165" s="27">
        <f t="shared" si="1370"/>
        <v>1904286.4984021501</v>
      </c>
      <c r="DE165" s="121"/>
      <c r="DF165" s="26">
        <v>1437059.1660062473</v>
      </c>
    </row>
    <row r="166" spans="1:110" s="23" customFormat="1" x14ac:dyDescent="0.2">
      <c r="A166" s="28" t="s">
        <v>439</v>
      </c>
      <c r="B166" s="23">
        <f t="shared" ref="B166:W166" si="1372">B165-B129</f>
        <v>0</v>
      </c>
      <c r="C166" s="23">
        <f t="shared" si="1372"/>
        <v>0</v>
      </c>
      <c r="D166" s="23">
        <f t="shared" si="1372"/>
        <v>0</v>
      </c>
      <c r="E166" s="23">
        <f t="shared" si="1372"/>
        <v>0</v>
      </c>
      <c r="F166" s="23">
        <f t="shared" si="1372"/>
        <v>0</v>
      </c>
      <c r="G166" s="23">
        <f t="shared" si="1372"/>
        <v>0</v>
      </c>
      <c r="H166" s="23">
        <f t="shared" si="1372"/>
        <v>0</v>
      </c>
      <c r="I166" s="23">
        <f t="shared" si="1372"/>
        <v>0</v>
      </c>
      <c r="J166" s="23">
        <f t="shared" si="1372"/>
        <v>0</v>
      </c>
      <c r="K166" s="23">
        <f t="shared" si="1372"/>
        <v>0</v>
      </c>
      <c r="L166" s="23">
        <f t="shared" si="1372"/>
        <v>0</v>
      </c>
      <c r="M166" s="23">
        <f t="shared" si="1372"/>
        <v>0</v>
      </c>
      <c r="N166" s="23">
        <f t="shared" si="1372"/>
        <v>0</v>
      </c>
      <c r="O166" s="23">
        <f t="shared" si="1372"/>
        <v>0</v>
      </c>
      <c r="P166" s="23">
        <f t="shared" si="1372"/>
        <v>0</v>
      </c>
      <c r="Q166" s="23">
        <f t="shared" si="1372"/>
        <v>0</v>
      </c>
      <c r="R166" s="23">
        <f t="shared" si="1372"/>
        <v>0</v>
      </c>
      <c r="S166" s="23">
        <f t="shared" si="1372"/>
        <v>0</v>
      </c>
      <c r="T166" s="23">
        <f t="shared" si="1372"/>
        <v>0</v>
      </c>
      <c r="U166" s="23">
        <f t="shared" si="1372"/>
        <v>0</v>
      </c>
      <c r="V166" s="23">
        <f t="shared" si="1372"/>
        <v>0</v>
      </c>
      <c r="W166" s="23">
        <f t="shared" si="1372"/>
        <v>0</v>
      </c>
      <c r="X166" s="23">
        <f t="shared" ref="X166:Y166" si="1373">X165-X129</f>
        <v>0</v>
      </c>
      <c r="Y166" s="23">
        <f t="shared" si="1373"/>
        <v>0</v>
      </c>
      <c r="Z166" s="23">
        <f t="shared" ref="Z166" si="1374">Z165-Z129</f>
        <v>0</v>
      </c>
      <c r="AA166" s="24">
        <f t="shared" ref="AA166:AD166" si="1375">AA165-AA129</f>
        <v>0</v>
      </c>
      <c r="AB166" s="24">
        <f t="shared" si="1375"/>
        <v>0</v>
      </c>
      <c r="AC166" s="24">
        <f t="shared" si="1375"/>
        <v>0</v>
      </c>
      <c r="AD166" s="24">
        <f t="shared" si="1375"/>
        <v>0</v>
      </c>
      <c r="AE166" s="24">
        <f t="shared" ref="AE166" si="1376">AE165-AE129</f>
        <v>0</v>
      </c>
      <c r="AJ166" s="23">
        <f t="shared" ref="AJ166" si="1377">AJ165-AJ129</f>
        <v>0</v>
      </c>
      <c r="AK166" s="23">
        <f t="shared" ref="AK166" si="1378">AK165-AK129</f>
        <v>0</v>
      </c>
      <c r="AL166" s="23">
        <f t="shared" ref="AL166:AM166" si="1379">AL165-AL129</f>
        <v>0</v>
      </c>
      <c r="AM166" s="23">
        <f t="shared" si="1379"/>
        <v>0</v>
      </c>
      <c r="AN166" s="23">
        <f t="shared" ref="AN166:AO166" si="1380">AN165-AN129</f>
        <v>0</v>
      </c>
      <c r="AO166" s="23">
        <f t="shared" si="1380"/>
        <v>0</v>
      </c>
      <c r="AP166" s="23">
        <f t="shared" ref="AP166:CE166" si="1381">AP165-AP129</f>
        <v>0</v>
      </c>
      <c r="AQ166" s="23">
        <f t="shared" si="1381"/>
        <v>0</v>
      </c>
      <c r="AR166" s="23">
        <f t="shared" si="1381"/>
        <v>0</v>
      </c>
      <c r="AS166" s="23">
        <f t="shared" si="1381"/>
        <v>0</v>
      </c>
      <c r="AT166" s="23">
        <f t="shared" si="1381"/>
        <v>0</v>
      </c>
      <c r="AU166" s="23">
        <f t="shared" si="1381"/>
        <v>0</v>
      </c>
      <c r="AV166" s="23">
        <f t="shared" si="1381"/>
        <v>0</v>
      </c>
      <c r="AW166" s="23">
        <f t="shared" si="1381"/>
        <v>0</v>
      </c>
      <c r="AX166" s="23">
        <f t="shared" si="1381"/>
        <v>0</v>
      </c>
      <c r="AY166" s="23">
        <f t="shared" si="1381"/>
        <v>0</v>
      </c>
      <c r="AZ166" s="23">
        <f t="shared" si="1381"/>
        <v>0</v>
      </c>
      <c r="BA166" s="23">
        <f t="shared" si="1381"/>
        <v>0</v>
      </c>
      <c r="BB166" s="23">
        <f t="shared" si="1381"/>
        <v>0</v>
      </c>
      <c r="BC166" s="23">
        <f t="shared" si="1381"/>
        <v>0</v>
      </c>
      <c r="BD166" s="23">
        <f t="shared" si="1381"/>
        <v>0</v>
      </c>
      <c r="BE166" s="23">
        <f t="shared" si="1381"/>
        <v>0</v>
      </c>
      <c r="BF166" s="23">
        <f t="shared" si="1381"/>
        <v>0</v>
      </c>
      <c r="BG166" s="23">
        <f t="shared" si="1381"/>
        <v>0</v>
      </c>
      <c r="BH166" s="23">
        <f t="shared" ref="BH166" si="1382">BH165-BH129</f>
        <v>0</v>
      </c>
      <c r="BI166" s="23">
        <f t="shared" si="1381"/>
        <v>0</v>
      </c>
      <c r="BJ166" s="23">
        <f t="shared" si="1381"/>
        <v>0</v>
      </c>
      <c r="BK166" s="23">
        <f t="shared" si="1381"/>
        <v>0</v>
      </c>
      <c r="BL166" s="23">
        <f t="shared" si="1381"/>
        <v>0</v>
      </c>
      <c r="BM166" s="23">
        <f t="shared" si="1381"/>
        <v>0</v>
      </c>
      <c r="BN166" s="23">
        <f t="shared" si="1381"/>
        <v>0</v>
      </c>
      <c r="BO166" s="23">
        <f t="shared" si="1381"/>
        <v>0</v>
      </c>
      <c r="BP166" s="23">
        <f t="shared" si="1381"/>
        <v>0</v>
      </c>
      <c r="BQ166" s="23">
        <f t="shared" si="1381"/>
        <v>0</v>
      </c>
      <c r="BR166" s="23">
        <f t="shared" si="1381"/>
        <v>0</v>
      </c>
      <c r="BS166" s="23">
        <f t="shared" si="1381"/>
        <v>0</v>
      </c>
      <c r="BT166" s="23">
        <f t="shared" si="1381"/>
        <v>0</v>
      </c>
      <c r="BU166" s="23">
        <f t="shared" si="1381"/>
        <v>0</v>
      </c>
      <c r="BV166" s="23">
        <f t="shared" si="1381"/>
        <v>0</v>
      </c>
      <c r="BW166" s="23">
        <f t="shared" si="1381"/>
        <v>0</v>
      </c>
      <c r="BX166" s="23">
        <f t="shared" si="1381"/>
        <v>0</v>
      </c>
      <c r="BY166" s="23">
        <f t="shared" si="1381"/>
        <v>0</v>
      </c>
      <c r="BZ166" s="23">
        <f t="shared" si="1381"/>
        <v>0</v>
      </c>
      <c r="CA166" s="23">
        <f t="shared" si="1381"/>
        <v>0</v>
      </c>
      <c r="CB166" s="23">
        <f t="shared" si="1381"/>
        <v>0</v>
      </c>
      <c r="CC166" s="23">
        <f t="shared" si="1381"/>
        <v>0</v>
      </c>
      <c r="CD166" s="23">
        <f t="shared" si="1381"/>
        <v>0</v>
      </c>
      <c r="CE166" s="23">
        <f t="shared" si="1381"/>
        <v>0</v>
      </c>
      <c r="CF166" s="23">
        <f t="shared" ref="CF166:CG166" si="1383">CF165-CF129</f>
        <v>0</v>
      </c>
      <c r="CG166" s="23">
        <f t="shared" si="1383"/>
        <v>0</v>
      </c>
      <c r="CH166" s="23">
        <f t="shared" ref="CH166:CI166" si="1384">CH165-CH129</f>
        <v>0</v>
      </c>
      <c r="CI166" s="23">
        <f t="shared" si="1384"/>
        <v>0</v>
      </c>
      <c r="CJ166" s="23">
        <f t="shared" ref="CJ166:DB166" si="1385">CJ165-CJ129</f>
        <v>0</v>
      </c>
      <c r="CK166" s="23">
        <f t="shared" si="1385"/>
        <v>0</v>
      </c>
      <c r="CL166" s="23">
        <f t="shared" ref="CL166" si="1386">CL165-CL129</f>
        <v>0</v>
      </c>
      <c r="CM166" s="24">
        <f t="shared" si="1385"/>
        <v>0</v>
      </c>
      <c r="CN166" s="24">
        <f t="shared" si="1385"/>
        <v>0</v>
      </c>
      <c r="CO166" s="24">
        <f t="shared" si="1385"/>
        <v>0</v>
      </c>
      <c r="CP166" s="24">
        <f t="shared" si="1385"/>
        <v>0</v>
      </c>
      <c r="CQ166" s="24">
        <f t="shared" si="1385"/>
        <v>0</v>
      </c>
      <c r="CR166" s="24">
        <f t="shared" si="1385"/>
        <v>0</v>
      </c>
      <c r="CS166" s="24">
        <f t="shared" si="1385"/>
        <v>0</v>
      </c>
      <c r="CT166" s="24">
        <f t="shared" si="1385"/>
        <v>0</v>
      </c>
      <c r="CU166" s="24">
        <f t="shared" si="1385"/>
        <v>0</v>
      </c>
      <c r="CV166" s="24">
        <f t="shared" si="1385"/>
        <v>0</v>
      </c>
      <c r="CW166" s="24">
        <f t="shared" si="1385"/>
        <v>0</v>
      </c>
      <c r="CX166" s="24">
        <f t="shared" si="1385"/>
        <v>0</v>
      </c>
      <c r="CY166" s="24">
        <f t="shared" si="1385"/>
        <v>0</v>
      </c>
      <c r="CZ166" s="24">
        <f t="shared" si="1385"/>
        <v>0</v>
      </c>
      <c r="DA166" s="24">
        <f t="shared" si="1385"/>
        <v>0</v>
      </c>
      <c r="DB166" s="24">
        <f t="shared" si="1385"/>
        <v>0</v>
      </c>
      <c r="DE166" s="123"/>
      <c r="DF166" s="23">
        <v>0</v>
      </c>
    </row>
    <row r="167" spans="1:110" s="23" customFormat="1" x14ac:dyDescent="0.2">
      <c r="A167" s="28"/>
      <c r="AA167" s="24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87">B128-B161</f>
        <v>9994.7800000000007</v>
      </c>
      <c r="C168" s="22">
        <f t="shared" si="1387"/>
        <v>17185.78</v>
      </c>
      <c r="D168" s="22">
        <f t="shared" si="1387"/>
        <v>19632.370000000003</v>
      </c>
      <c r="E168" s="22">
        <f t="shared" si="1387"/>
        <v>20477.78</v>
      </c>
      <c r="F168" s="22">
        <f t="shared" si="1387"/>
        <v>11695.1</v>
      </c>
      <c r="G168" s="22">
        <f t="shared" si="1387"/>
        <v>17923.29</v>
      </c>
      <c r="H168" s="22">
        <f t="shared" si="1387"/>
        <v>28472.360000000004</v>
      </c>
      <c r="I168" s="22">
        <f t="shared" si="1387"/>
        <v>40173.899999999994</v>
      </c>
      <c r="J168" s="22">
        <f t="shared" si="1387"/>
        <v>50640.930000000008</v>
      </c>
      <c r="K168" s="22">
        <f t="shared" si="1387"/>
        <v>42241.700000000004</v>
      </c>
      <c r="L168" s="22">
        <f t="shared" si="1387"/>
        <v>39328</v>
      </c>
      <c r="M168" s="22">
        <f t="shared" si="1387"/>
        <v>24543</v>
      </c>
      <c r="N168" s="22">
        <f t="shared" si="1387"/>
        <v>27894</v>
      </c>
      <c r="O168" s="22">
        <f t="shared" si="1387"/>
        <v>67039</v>
      </c>
      <c r="P168" s="22">
        <f t="shared" si="1387"/>
        <v>97304</v>
      </c>
      <c r="Q168" s="22">
        <f t="shared" si="1387"/>
        <v>127873</v>
      </c>
      <c r="R168" s="22">
        <f t="shared" si="1387"/>
        <v>137055</v>
      </c>
      <c r="S168" s="22">
        <f t="shared" si="1387"/>
        <v>157775</v>
      </c>
      <c r="T168" s="22">
        <f t="shared" si="1387"/>
        <v>206771</v>
      </c>
      <c r="U168" s="22">
        <f t="shared" si="1387"/>
        <v>232459</v>
      </c>
      <c r="V168" s="22">
        <f t="shared" si="1387"/>
        <v>81968</v>
      </c>
      <c r="W168" s="22">
        <f t="shared" si="1387"/>
        <v>122009</v>
      </c>
      <c r="X168" s="22">
        <f t="shared" ref="X168:Y168" si="1388">X128-X161</f>
        <v>126829</v>
      </c>
      <c r="Y168" s="22">
        <f t="shared" si="1388"/>
        <v>121227</v>
      </c>
      <c r="Z168" s="22">
        <f t="shared" ref="Z168" si="1389">Z128-Z161</f>
        <v>122319</v>
      </c>
      <c r="AA168" s="21">
        <f t="shared" ref="AA168:AD168" si="1390">AA128-AA161</f>
        <v>131013</v>
      </c>
      <c r="AB168" s="21">
        <f t="shared" si="1390"/>
        <v>62749.217481476546</v>
      </c>
      <c r="AC168" s="21">
        <f t="shared" si="1390"/>
        <v>40592.580960899417</v>
      </c>
      <c r="AD168" s="21">
        <f t="shared" si="1390"/>
        <v>-57592.815709265124</v>
      </c>
      <c r="AE168" s="21">
        <f t="shared" ref="AE168" si="1391">AE128-AE161</f>
        <v>-177996.63821638434</v>
      </c>
      <c r="AJ168" s="22">
        <f t="shared" ref="AJ168:AM168" si="1392">AJ128-AJ161</f>
        <v>-15522</v>
      </c>
      <c r="AK168" s="22">
        <f t="shared" si="1392"/>
        <v>-18794.364527984406</v>
      </c>
      <c r="AL168" s="22">
        <f t="shared" si="1392"/>
        <v>9997</v>
      </c>
      <c r="AM168" s="22">
        <f t="shared" si="1392"/>
        <v>7075.1565951685479</v>
      </c>
      <c r="AN168" s="22">
        <f t="shared" ref="AN168:AO168" si="1393">AN128-AN161</f>
        <v>-10955</v>
      </c>
      <c r="AO168" s="22">
        <f t="shared" si="1393"/>
        <v>-16480.465101176713</v>
      </c>
      <c r="AP168" s="22">
        <f t="shared" ref="AP168:CE168" si="1394">AP128-AP161</f>
        <v>62092</v>
      </c>
      <c r="AQ168" s="22">
        <f t="shared" si="1394"/>
        <v>56196.767142359895</v>
      </c>
      <c r="AR168" s="22">
        <f t="shared" si="1394"/>
        <v>74047</v>
      </c>
      <c r="AS168" s="22">
        <f t="shared" si="1394"/>
        <v>68742.69545616</v>
      </c>
      <c r="AT168" s="22">
        <f t="shared" si="1394"/>
        <v>92571</v>
      </c>
      <c r="AU168" s="22">
        <f t="shared" si="1394"/>
        <v>86432.602786423624</v>
      </c>
      <c r="AV168" s="22">
        <f t="shared" si="1394"/>
        <v>110108</v>
      </c>
      <c r="AW168" s="22">
        <f t="shared" si="1394"/>
        <v>102701.22080816216</v>
      </c>
      <c r="AX168" s="22">
        <f t="shared" si="1394"/>
        <v>111661</v>
      </c>
      <c r="AY168" s="22">
        <f t="shared" si="1394"/>
        <v>104396.61900741156</v>
      </c>
      <c r="AZ168" s="22">
        <f t="shared" si="1394"/>
        <v>132168</v>
      </c>
      <c r="BA168" s="22">
        <f t="shared" si="1394"/>
        <v>124901.21735190015</v>
      </c>
      <c r="BB168" s="22">
        <f t="shared" si="1394"/>
        <v>123393</v>
      </c>
      <c r="BC168" s="22">
        <f t="shared" si="1394"/>
        <v>116258.75583761264</v>
      </c>
      <c r="BD168" s="22">
        <f t="shared" si="1394"/>
        <v>121265</v>
      </c>
      <c r="BE168" s="22">
        <f t="shared" si="1394"/>
        <v>112116.09073925808</v>
      </c>
      <c r="BF168" s="22">
        <f t="shared" si="1394"/>
        <v>119746</v>
      </c>
      <c r="BG168" s="22">
        <f t="shared" si="1394"/>
        <v>110367.25647459726</v>
      </c>
      <c r="BH168" s="22">
        <f t="shared" si="1394"/>
        <v>173456</v>
      </c>
      <c r="BI168" s="22">
        <f t="shared" si="1394"/>
        <v>163085.76792649608</v>
      </c>
      <c r="BJ168" s="22">
        <f t="shared" si="1394"/>
        <v>189838</v>
      </c>
      <c r="BK168" s="22">
        <f t="shared" si="1394"/>
        <v>179539.6453970648</v>
      </c>
      <c r="BL168" s="22">
        <f t="shared" si="1394"/>
        <v>170778</v>
      </c>
      <c r="BM168" s="22">
        <f t="shared" si="1394"/>
        <v>159825.64980511775</v>
      </c>
      <c r="BN168" s="22">
        <f t="shared" si="1394"/>
        <v>187582</v>
      </c>
      <c r="BO168" s="22">
        <f t="shared" si="1394"/>
        <v>175701.12312080339</v>
      </c>
      <c r="BP168" s="22">
        <f t="shared" si="1394"/>
        <v>121450</v>
      </c>
      <c r="BQ168" s="22">
        <f t="shared" si="1394"/>
        <v>106786.46154145733</v>
      </c>
      <c r="BR168" s="22">
        <f t="shared" si="1394"/>
        <v>81968</v>
      </c>
      <c r="BS168" s="22">
        <f t="shared" si="1394"/>
        <v>71228.75057962173</v>
      </c>
      <c r="BT168" s="22">
        <f t="shared" si="1394"/>
        <v>84010</v>
      </c>
      <c r="BU168" s="22">
        <f t="shared" si="1394"/>
        <v>66209.442479585647</v>
      </c>
      <c r="BV168" s="22">
        <f t="shared" si="1394"/>
        <v>122009</v>
      </c>
      <c r="BW168" s="22">
        <f t="shared" si="1394"/>
        <v>105696.51075303496</v>
      </c>
      <c r="BX168" s="22">
        <f t="shared" si="1394"/>
        <v>176596</v>
      </c>
      <c r="BY168" s="22">
        <f t="shared" si="1394"/>
        <v>159669.80100931006</v>
      </c>
      <c r="BZ168" s="22">
        <f t="shared" si="1394"/>
        <v>126829</v>
      </c>
      <c r="CA168" s="22">
        <f t="shared" si="1394"/>
        <v>108021.36699908349</v>
      </c>
      <c r="CB168" s="22">
        <f t="shared" si="1394"/>
        <v>122753</v>
      </c>
      <c r="CC168" s="22">
        <f t="shared" si="1394"/>
        <v>102458.16894795233</v>
      </c>
      <c r="CD168" s="22">
        <f t="shared" si="1394"/>
        <v>121227</v>
      </c>
      <c r="CE168" s="22">
        <f t="shared" si="1394"/>
        <v>105337.60837354721</v>
      </c>
      <c r="CF168" s="22">
        <f t="shared" ref="CF168:CG168" si="1395">CF128-CF161</f>
        <v>121547</v>
      </c>
      <c r="CG168" s="22">
        <f t="shared" si="1395"/>
        <v>101923.60448325175</v>
      </c>
      <c r="CH168" s="22">
        <f t="shared" ref="CH168:CI168" si="1396">CH128-CH161</f>
        <v>122319</v>
      </c>
      <c r="CI168" s="22">
        <f t="shared" si="1396"/>
        <v>107808.20215313492</v>
      </c>
      <c r="CJ168" s="22">
        <f t="shared" ref="CJ168:DB168" si="1397">CJ128-CJ161</f>
        <v>124359</v>
      </c>
      <c r="CK168" s="22">
        <f t="shared" si="1397"/>
        <v>228432.07526650396</v>
      </c>
      <c r="CL168" s="22">
        <f t="shared" ref="CL168" si="1398">CL128-CL161</f>
        <v>131013</v>
      </c>
      <c r="CM168" s="21">
        <f t="shared" si="1397"/>
        <v>117047.03541780857</v>
      </c>
      <c r="CN168" s="21">
        <f t="shared" si="1397"/>
        <v>101082.25320983987</v>
      </c>
      <c r="CO168" s="21">
        <f t="shared" si="1397"/>
        <v>84033.435830819421</v>
      </c>
      <c r="CP168" s="21">
        <f t="shared" si="1397"/>
        <v>62749.217481476546</v>
      </c>
      <c r="CQ168" s="21">
        <f t="shared" si="1397"/>
        <v>45167.621029570349</v>
      </c>
      <c r="CR168" s="21">
        <f t="shared" si="1397"/>
        <v>25094.148861056834</v>
      </c>
      <c r="CS168" s="21">
        <f t="shared" si="1397"/>
        <v>3300.9789660709212</v>
      </c>
      <c r="CT168" s="21">
        <f t="shared" si="1397"/>
        <v>40592.580960899417</v>
      </c>
      <c r="CU168" s="21">
        <f t="shared" si="1397"/>
        <v>12785.575659753522</v>
      </c>
      <c r="CV168" s="21">
        <f t="shared" si="1397"/>
        <v>-8466.6581361546414</v>
      </c>
      <c r="CW168" s="21">
        <f t="shared" si="1397"/>
        <v>-32511.906861024501</v>
      </c>
      <c r="CX168" s="21">
        <f t="shared" si="1397"/>
        <v>-57592.815709265124</v>
      </c>
      <c r="CY168" s="21">
        <f t="shared" si="1397"/>
        <v>-91231.715550277615</v>
      </c>
      <c r="CZ168" s="21">
        <f t="shared" si="1397"/>
        <v>-117684.98101061437</v>
      </c>
      <c r="DA168" s="21">
        <f t="shared" si="1397"/>
        <v>-147264.61191620416</v>
      </c>
      <c r="DB168" s="21">
        <f t="shared" si="1397"/>
        <v>-177996.63821638434</v>
      </c>
      <c r="DE168" s="126"/>
      <c r="DF168" s="22">
        <v>219928.12656801112</v>
      </c>
    </row>
    <row r="169" spans="1:110" x14ac:dyDescent="0.2">
      <c r="CE169" s="111"/>
      <c r="CG169" s="111"/>
      <c r="CK169" s="2">
        <v>219557.2</v>
      </c>
      <c r="CL169" s="2"/>
      <c r="CP169" s="24">
        <v>192210.56670000002</v>
      </c>
      <c r="CT169" s="24">
        <v>130330.6412</v>
      </c>
    </row>
    <row r="170" spans="1:110" s="49" customFormat="1" x14ac:dyDescent="0.2">
      <c r="A170" s="49" t="s">
        <v>81</v>
      </c>
      <c r="B170" s="49">
        <f>'Annual Raw'!C85</f>
        <v>2041.2</v>
      </c>
      <c r="C170" s="49">
        <f>'Annual Raw'!D85</f>
        <v>7296.89</v>
      </c>
      <c r="D170" s="49">
        <f>'Annual Raw'!E85</f>
        <v>10362.52</v>
      </c>
      <c r="E170" s="49">
        <f>'Annual Raw'!F85</f>
        <v>8238.75</v>
      </c>
      <c r="F170" s="49">
        <f>'Annual Raw'!G85</f>
        <v>8963.23</v>
      </c>
      <c r="G170" s="49">
        <f>'Annual Raw'!H85</f>
        <v>10029.23</v>
      </c>
      <c r="H170" s="49">
        <f>'Annual Raw'!I85</f>
        <v>22324.29</v>
      </c>
      <c r="I170" s="49">
        <f>'Annual Raw'!J85</f>
        <v>15823.06</v>
      </c>
      <c r="J170" s="49">
        <f>'Annual Raw'!K85</f>
        <v>14744.24</v>
      </c>
      <c r="K170" s="49">
        <f>'Annual Raw'!L85</f>
        <v>11343.71</v>
      </c>
      <c r="L170" s="49">
        <f>'Annual Raw'!M85</f>
        <v>8714</v>
      </c>
      <c r="M170" s="49">
        <f>'Annual Raw'!N85</f>
        <v>8851</v>
      </c>
      <c r="N170" s="49">
        <f>'Annual Raw'!O85</f>
        <v>14552</v>
      </c>
      <c r="O170" s="49">
        <f>'Annual Raw'!P85</f>
        <v>16518</v>
      </c>
      <c r="P170" s="49">
        <f>'Annual Raw'!Q85</f>
        <v>32221</v>
      </c>
      <c r="Q170" s="49">
        <f>'Annual Raw'!R85</f>
        <v>47831</v>
      </c>
      <c r="R170" s="49">
        <f>'Annual Raw'!S85</f>
        <v>29833</v>
      </c>
      <c r="S170" s="49">
        <f>'Annual Raw'!T85</f>
        <v>14857</v>
      </c>
      <c r="T170" s="49">
        <f>'Annual Raw'!U85</f>
        <v>29239</v>
      </c>
      <c r="U170" s="49">
        <f>'Annual Raw'!V85</f>
        <v>32343</v>
      </c>
      <c r="V170" s="49">
        <f>'Annual Raw'!W85</f>
        <v>23445</v>
      </c>
      <c r="W170" s="49">
        <f>'Annual Raw'!X85</f>
        <v>24657</v>
      </c>
      <c r="X170" s="49">
        <f>'Annual Raw'!Y85</f>
        <v>11114</v>
      </c>
      <c r="Y170" s="49">
        <f>'Annual Raw'!Z85</f>
        <v>12493</v>
      </c>
      <c r="Z170" s="49">
        <f>'Annual Raw'!AA85</f>
        <v>13928</v>
      </c>
      <c r="AA170" s="50"/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1106.1500000000001</v>
      </c>
      <c r="C171" s="29">
        <f>'Annual Raw'!D95</f>
        <v>4408.67</v>
      </c>
      <c r="D171" s="29">
        <f>'Annual Raw'!E95</f>
        <v>5765.65</v>
      </c>
      <c r="E171" s="29">
        <f>'Annual Raw'!F95</f>
        <v>2053.85</v>
      </c>
      <c r="F171" s="29">
        <f>'Annual Raw'!G95</f>
        <v>2864.2</v>
      </c>
      <c r="G171" s="29">
        <f>'Annual Raw'!H95</f>
        <v>3635.35</v>
      </c>
      <c r="H171" s="29">
        <f>'Annual Raw'!I95</f>
        <v>12798.61</v>
      </c>
      <c r="I171" s="29">
        <f>'Annual Raw'!J95</f>
        <v>8999.39</v>
      </c>
      <c r="J171" s="29">
        <f>'Annual Raw'!K95</f>
        <v>6702.88</v>
      </c>
      <c r="K171" s="29">
        <f>'Annual Raw'!L95</f>
        <v>3259.26</v>
      </c>
      <c r="L171" s="29">
        <f>'Annual Raw'!M95</f>
        <v>4751</v>
      </c>
      <c r="M171" s="29">
        <f>'Annual Raw'!N95</f>
        <v>6824</v>
      </c>
      <c r="N171" s="29">
        <f>'Annual Raw'!O95</f>
        <v>8857</v>
      </c>
      <c r="O171" s="29">
        <f>'Annual Raw'!P95</f>
        <v>9602</v>
      </c>
      <c r="P171" s="29">
        <f>'Annual Raw'!Q95</f>
        <v>27970</v>
      </c>
      <c r="Q171" s="29">
        <f>'Annual Raw'!R95</f>
        <v>43087</v>
      </c>
      <c r="R171" s="29">
        <f>'Annual Raw'!S95</f>
        <v>24759</v>
      </c>
      <c r="S171" s="29">
        <f>'Annual Raw'!T95</f>
        <v>11313</v>
      </c>
      <c r="T171" s="29">
        <f>'Annual Raw'!U95</f>
        <v>23898</v>
      </c>
      <c r="U171" s="29">
        <f>'Annual Raw'!V95</f>
        <v>25455</v>
      </c>
      <c r="V171" s="29">
        <f>'Annual Raw'!W95</f>
        <v>14816</v>
      </c>
      <c r="W171" s="29">
        <f>'Annual Raw'!X95</f>
        <v>14100</v>
      </c>
      <c r="X171" s="29">
        <f>'Annual Raw'!Y95</f>
        <v>3847</v>
      </c>
      <c r="Y171" s="29">
        <f>'Annual Raw'!Z95</f>
        <v>6167</v>
      </c>
      <c r="Z171" s="29">
        <f>'Annual Raw'!AA95</f>
        <v>6958</v>
      </c>
      <c r="AA171" s="30"/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622.24</v>
      </c>
      <c r="C172" s="29">
        <f>'Annual Raw'!D93</f>
        <v>2869.03</v>
      </c>
      <c r="D172" s="29">
        <f>'Annual Raw'!E93</f>
        <v>4094.84</v>
      </c>
      <c r="E172" s="29">
        <f>'Annual Raw'!F93</f>
        <v>5596.03</v>
      </c>
      <c r="F172" s="29">
        <f>'Annual Raw'!G93</f>
        <v>6046.48</v>
      </c>
      <c r="G172" s="29">
        <f>'Annual Raw'!H93</f>
        <v>5964.48</v>
      </c>
      <c r="H172" s="29">
        <f>'Annual Raw'!I93</f>
        <v>7064.75</v>
      </c>
      <c r="I172" s="29">
        <f>'Annual Raw'!J93</f>
        <v>6322.04</v>
      </c>
      <c r="J172" s="29">
        <f>'Annual Raw'!K93</f>
        <v>6693.48</v>
      </c>
      <c r="K172" s="29">
        <f>'Annual Raw'!L93</f>
        <v>6250.01</v>
      </c>
      <c r="L172" s="29">
        <f>'Annual Raw'!M93</f>
        <v>1667</v>
      </c>
      <c r="M172" s="29">
        <f>'Annual Raw'!N93</f>
        <v>1396</v>
      </c>
      <c r="N172" s="29">
        <f>'Annual Raw'!O93</f>
        <v>1734</v>
      </c>
      <c r="O172" s="29">
        <f>'Annual Raw'!P93</f>
        <v>1946</v>
      </c>
      <c r="P172" s="29">
        <f>'Annual Raw'!Q93</f>
        <v>3130</v>
      </c>
      <c r="Q172" s="29">
        <f>'Annual Raw'!R93</f>
        <v>4010</v>
      </c>
      <c r="R172" s="29">
        <f>'Annual Raw'!S93</f>
        <v>4691</v>
      </c>
      <c r="S172" s="29">
        <f>'Annual Raw'!T93</f>
        <v>3544</v>
      </c>
      <c r="T172" s="29">
        <f>'Annual Raw'!U93</f>
        <v>5341</v>
      </c>
      <c r="U172" s="29">
        <f>'Annual Raw'!V93</f>
        <v>6888</v>
      </c>
      <c r="V172" s="29">
        <f>'Annual Raw'!W93</f>
        <v>8629</v>
      </c>
      <c r="W172" s="29">
        <f>'Annual Raw'!X93</f>
        <v>10557</v>
      </c>
      <c r="X172" s="29">
        <f>'Annual Raw'!Y93</f>
        <v>7267</v>
      </c>
      <c r="Y172" s="29">
        <f>'Annual Raw'!Z93</f>
        <v>6326</v>
      </c>
      <c r="Z172" s="29">
        <f>'Annual Raw'!AA93</f>
        <v>6970</v>
      </c>
      <c r="AA172" s="30"/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99">B170-B171-B172</f>
        <v>312.80999999999995</v>
      </c>
      <c r="C173" s="29">
        <f t="shared" si="1399"/>
        <v>19.190000000000055</v>
      </c>
      <c r="D173" s="29">
        <f t="shared" si="1399"/>
        <v>502.03000000000065</v>
      </c>
      <c r="E173" s="29">
        <f t="shared" si="1399"/>
        <v>588.86999999999989</v>
      </c>
      <c r="F173" s="29">
        <f t="shared" si="1399"/>
        <v>52.550000000000182</v>
      </c>
      <c r="G173" s="29">
        <f t="shared" si="1399"/>
        <v>429.39999999999964</v>
      </c>
      <c r="H173" s="29">
        <f t="shared" si="1399"/>
        <v>2460.9300000000003</v>
      </c>
      <c r="I173" s="29">
        <f t="shared" si="1399"/>
        <v>501.63000000000011</v>
      </c>
      <c r="J173" s="29">
        <f t="shared" si="1399"/>
        <v>1347.88</v>
      </c>
      <c r="K173" s="29">
        <f t="shared" si="1399"/>
        <v>1834.4399999999987</v>
      </c>
      <c r="L173" s="29">
        <f t="shared" si="1399"/>
        <v>2296</v>
      </c>
      <c r="M173" s="29">
        <f t="shared" si="1399"/>
        <v>631</v>
      </c>
      <c r="N173" s="29">
        <f t="shared" si="1399"/>
        <v>3961</v>
      </c>
      <c r="O173" s="29">
        <f t="shared" si="1399"/>
        <v>4970</v>
      </c>
      <c r="P173" s="29">
        <f t="shared" si="1399"/>
        <v>1121</v>
      </c>
      <c r="Q173" s="29">
        <f t="shared" si="1399"/>
        <v>734</v>
      </c>
      <c r="R173" s="29">
        <f t="shared" si="1399"/>
        <v>383</v>
      </c>
      <c r="S173" s="29">
        <f t="shared" si="1399"/>
        <v>0</v>
      </c>
      <c r="T173" s="29">
        <f t="shared" si="1399"/>
        <v>0</v>
      </c>
      <c r="U173" s="29">
        <f t="shared" si="1399"/>
        <v>0</v>
      </c>
      <c r="V173" s="29">
        <f t="shared" si="1399"/>
        <v>0</v>
      </c>
      <c r="W173" s="29">
        <f t="shared" ref="W173" si="1400">W170-W171-W172</f>
        <v>0</v>
      </c>
      <c r="X173" s="29">
        <f t="shared" ref="X173:Y173" si="1401">X170-X171-X172</f>
        <v>0</v>
      </c>
      <c r="Y173" s="29">
        <f t="shared" si="1401"/>
        <v>0</v>
      </c>
      <c r="Z173" s="29">
        <f t="shared" ref="Z173" si="1402">Z170-Z171-Z172</f>
        <v>0</v>
      </c>
      <c r="AA173" s="30">
        <f t="shared" ref="AA173:AD173" si="1403">AA170-AA171-AA172</f>
        <v>0</v>
      </c>
      <c r="AB173" s="30">
        <f t="shared" si="1403"/>
        <v>0</v>
      </c>
      <c r="AC173" s="30">
        <f t="shared" si="1403"/>
        <v>0</v>
      </c>
      <c r="AD173" s="30">
        <f t="shared" si="1403"/>
        <v>0</v>
      </c>
      <c r="AE173" s="30">
        <f t="shared" ref="AE173" si="1404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</row>
    <row r="174" spans="1:110" s="5" customFormat="1" x14ac:dyDescent="0.2">
      <c r="AA174" s="63"/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05">B170/B120</f>
        <v>0.13824238742408759</v>
      </c>
      <c r="C175" s="95">
        <f t="shared" si="1405"/>
        <v>0.26081969463225907</v>
      </c>
      <c r="D175" s="95">
        <f t="shared" si="1405"/>
        <v>0.33935742774607175</v>
      </c>
      <c r="E175" s="95">
        <f t="shared" si="1405"/>
        <v>0.23527488359408358</v>
      </c>
      <c r="F175" s="95">
        <f t="shared" si="1405"/>
        <v>0.21811704819744743</v>
      </c>
      <c r="G175" s="95">
        <f t="shared" si="1405"/>
        <v>0.19654354675263772</v>
      </c>
      <c r="H175" s="95">
        <f t="shared" si="1405"/>
        <v>0.32724407892923796</v>
      </c>
      <c r="I175" s="95">
        <f t="shared" si="1405"/>
        <v>0.18504234802564551</v>
      </c>
      <c r="J175" s="95">
        <f t="shared" si="1405"/>
        <v>0.12159542075008903</v>
      </c>
      <c r="K175" s="95">
        <f t="shared" si="1405"/>
        <v>8.0450143677814473E-2</v>
      </c>
      <c r="L175" s="95">
        <f t="shared" si="1405"/>
        <v>5.6546962401526263E-2</v>
      </c>
      <c r="M175" s="95">
        <f t="shared" si="1405"/>
        <v>5.2235238572988285E-2</v>
      </c>
      <c r="N175" s="95">
        <f t="shared" si="1405"/>
        <v>7.9931888714948773E-2</v>
      </c>
      <c r="O175" s="95">
        <f t="shared" si="1405"/>
        <v>8.3135786437965237E-2</v>
      </c>
      <c r="P175" s="95">
        <f t="shared" si="1405"/>
        <v>0.14746520579041553</v>
      </c>
      <c r="Q175" s="95">
        <f t="shared" si="1405"/>
        <v>0.20656342310283474</v>
      </c>
      <c r="R175" s="95">
        <f t="shared" si="1405"/>
        <v>0.1131284863239404</v>
      </c>
      <c r="S175" s="95">
        <f t="shared" si="1405"/>
        <v>5.0619067412591222E-2</v>
      </c>
      <c r="T175" s="95">
        <f t="shared" si="1405"/>
        <v>7.5531112442910581E-2</v>
      </c>
      <c r="U175" s="95">
        <f t="shared" si="1405"/>
        <v>7.2006785909886323E-2</v>
      </c>
      <c r="V175" s="95">
        <f t="shared" si="1405"/>
        <v>3.3484629491039343E-2</v>
      </c>
      <c r="W175" s="95">
        <f t="shared" si="1405"/>
        <v>3.1632423972238081E-2</v>
      </c>
      <c r="X175" s="95">
        <f t="shared" ref="X175:Y175" si="1406">X170/X120</f>
        <v>1.5525121809485495E-2</v>
      </c>
      <c r="Y175" s="95">
        <f t="shared" si="1406"/>
        <v>1.5744548388682274E-2</v>
      </c>
      <c r="Z175" s="95">
        <f t="shared" ref="Z175" si="1407">Z170/Z120</f>
        <v>1.6518026565464895E-2</v>
      </c>
      <c r="AA175" s="87">
        <f t="shared" ref="AA175:AD175" si="1408">AA170/AA120</f>
        <v>0</v>
      </c>
      <c r="AB175" s="87">
        <f t="shared" si="1408"/>
        <v>0</v>
      </c>
      <c r="AC175" s="87">
        <f t="shared" si="1408"/>
        <v>0</v>
      </c>
      <c r="AD175" s="87">
        <f t="shared" si="1408"/>
        <v>0</v>
      </c>
      <c r="AE175" s="87">
        <f t="shared" ref="AE175" si="1409">AE170/AE120</f>
        <v>0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</row>
    <row r="176" spans="1:110" x14ac:dyDescent="0.2">
      <c r="A176" s="152" t="s">
        <v>492</v>
      </c>
      <c r="CE176" s="111"/>
      <c r="CG176" s="111"/>
      <c r="CL176" s="2"/>
    </row>
    <row r="177" spans="1:110" s="6" customFormat="1" x14ac:dyDescent="0.2">
      <c r="AA177" s="19"/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A178" s="63"/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10">B144/B8*365</f>
        <v>29.971356653843063</v>
      </c>
      <c r="C179" s="67">
        <f t="shared" si="1410"/>
        <v>31.78098055402678</v>
      </c>
      <c r="D179" s="67">
        <f t="shared" si="1410"/>
        <v>42.126063332478914</v>
      </c>
      <c r="E179" s="67">
        <f t="shared" si="1410"/>
        <v>35.360863249247636</v>
      </c>
      <c r="F179" s="67">
        <f t="shared" si="1410"/>
        <v>36.707153910042074</v>
      </c>
      <c r="G179" s="67">
        <f t="shared" si="1410"/>
        <v>41.523041977858746</v>
      </c>
      <c r="H179" s="67">
        <f t="shared" si="1410"/>
        <v>37.752196484130764</v>
      </c>
      <c r="I179" s="67">
        <f t="shared" si="1410"/>
        <v>48.816769178248194</v>
      </c>
      <c r="J179" s="67">
        <f t="shared" si="1410"/>
        <v>47.115205415341599</v>
      </c>
      <c r="K179" s="67">
        <f t="shared" si="1410"/>
        <v>59.291246036701871</v>
      </c>
      <c r="L179" s="67">
        <f t="shared" si="1410"/>
        <v>50.872736746124787</v>
      </c>
      <c r="M179" s="67">
        <f t="shared" si="1410"/>
        <v>46.239611906525475</v>
      </c>
      <c r="N179" s="67">
        <f t="shared" si="1410"/>
        <v>48.799596955865937</v>
      </c>
      <c r="O179" s="67">
        <f t="shared" si="1410"/>
        <v>46.383578401170411</v>
      </c>
      <c r="P179" s="67">
        <f t="shared" si="1410"/>
        <v>50.027851137984115</v>
      </c>
      <c r="Q179" s="67">
        <f t="shared" si="1410"/>
        <v>57.850343336811022</v>
      </c>
      <c r="R179" s="67">
        <f t="shared" si="1410"/>
        <v>54.11325640559695</v>
      </c>
      <c r="S179" s="67">
        <f t="shared" si="1410"/>
        <v>51.553069084881287</v>
      </c>
      <c r="T179" s="67">
        <f t="shared" si="1410"/>
        <v>39.442245190431407</v>
      </c>
      <c r="U179" s="67">
        <f t="shared" si="1410"/>
        <v>40.870784261140578</v>
      </c>
      <c r="V179" s="67">
        <f t="shared" si="1410"/>
        <v>55.28223159347079</v>
      </c>
      <c r="W179" s="67">
        <f t="shared" si="1410"/>
        <v>49.875523459479204</v>
      </c>
      <c r="X179" s="67">
        <f t="shared" si="1410"/>
        <v>52.420563278570143</v>
      </c>
      <c r="Y179" s="67">
        <f t="shared" si="1410"/>
        <v>55.754247981746225</v>
      </c>
      <c r="Z179" s="67">
        <f t="shared" si="1410"/>
        <v>49.770280085214914</v>
      </c>
      <c r="AA179" s="18">
        <f t="shared" si="1410"/>
        <v>51.817739997397773</v>
      </c>
      <c r="AB179" s="18">
        <f t="shared" si="1410"/>
        <v>52.28560374972075</v>
      </c>
      <c r="AC179" s="18">
        <f t="shared" si="1410"/>
        <v>59.10105903590982</v>
      </c>
      <c r="AD179" s="18">
        <f t="shared" si="1410"/>
        <v>59.102780527771642</v>
      </c>
      <c r="AE179" s="18">
        <f t="shared" si="1410"/>
        <v>59.102700860519292</v>
      </c>
      <c r="AI179" s="67">
        <f>AJ144/AI8*90</f>
        <v>38.822761112804216</v>
      </c>
      <c r="AJ179" s="67">
        <f>AJ144/AJ8*90</f>
        <v>39.484590860786398</v>
      </c>
      <c r="AK179" s="67">
        <f t="shared" ref="AK179:CE179" si="1411">+AJ179</f>
        <v>39.484590860786398</v>
      </c>
      <c r="AL179" s="67">
        <f>AL144/AL8*90</f>
        <v>58.363500320672692</v>
      </c>
      <c r="AM179" s="67">
        <f t="shared" ref="AM179:AM180" si="1412">+AL179</f>
        <v>58.363500320672692</v>
      </c>
      <c r="AN179" s="67">
        <f>AN144/AN8*90</f>
        <v>36.686235291061642</v>
      </c>
      <c r="AO179" s="67">
        <f t="shared" ref="AO179:AO180" si="1413">+AN179</f>
        <v>36.686235291061642</v>
      </c>
      <c r="AP179" s="67">
        <f>AP144/AP8*90</f>
        <v>49.356073790462929</v>
      </c>
      <c r="AQ179" s="67">
        <f t="shared" ref="AQ179:AQ180" si="1414">+AP179</f>
        <v>49.356073790462929</v>
      </c>
      <c r="AR179" s="67">
        <f>AR144/AR8*90</f>
        <v>51.09155987868521</v>
      </c>
      <c r="AS179" s="67">
        <f t="shared" ref="AS179:AS180" si="1415">+AR179</f>
        <v>51.09155987868521</v>
      </c>
      <c r="AT179" s="67">
        <f>AT144/AT8*90</f>
        <v>71.028901734104053</v>
      </c>
      <c r="AU179" s="67">
        <f t="shared" ref="AU179:AU180" si="1416">+AT179</f>
        <v>71.028901734104053</v>
      </c>
      <c r="AV179" s="67">
        <f>AV144/AV8*90</f>
        <v>66.635521546516316</v>
      </c>
      <c r="AW179" s="67">
        <f t="shared" ref="AW179:AW180" si="1417">+AV179</f>
        <v>66.635521546516316</v>
      </c>
      <c r="AX179" s="67">
        <f>AX144/AX8*90</f>
        <v>65.417956656346746</v>
      </c>
      <c r="AY179" s="67">
        <f t="shared" ref="AY179:AY180" si="1418">+AX179</f>
        <v>65.417956656346746</v>
      </c>
      <c r="AZ179" s="67">
        <f>AZ144/AZ8*90</f>
        <v>56.902671124664735</v>
      </c>
      <c r="BA179" s="67">
        <f t="shared" ref="BA179:BA180" si="1419">+AZ179</f>
        <v>56.902671124664735</v>
      </c>
      <c r="BB179" s="67">
        <f>BB144/BB8*90</f>
        <v>47.428543745761068</v>
      </c>
      <c r="BC179" s="67">
        <f t="shared" ref="BC179:BC180" si="1420">+BB179</f>
        <v>47.428543745761068</v>
      </c>
      <c r="BD179" s="67">
        <f>BD144/BD8*90</f>
        <v>47.263588648696732</v>
      </c>
      <c r="BE179" s="67">
        <f t="shared" ref="BE179:BE180" si="1421">+BD179</f>
        <v>47.263588648696732</v>
      </c>
      <c r="BF179" s="67">
        <f>BF144/BF8*90</f>
        <v>42.404972118959108</v>
      </c>
      <c r="BG179" s="67">
        <f t="shared" ref="BG179:BG180" si="1422">+BF179</f>
        <v>42.404972118959108</v>
      </c>
      <c r="BH179" s="67">
        <f>BH144/BH8*90</f>
        <v>43.909630113058334</v>
      </c>
      <c r="BI179" s="67">
        <f t="shared" ref="BI179:BI180" si="1423">+BH179</f>
        <v>43.909630113058334</v>
      </c>
      <c r="BJ179" s="67">
        <f>BJ144/BJ8*90</f>
        <v>39.190788328789374</v>
      </c>
      <c r="BK179" s="67">
        <f t="shared" ref="BK179:BK180" si="1424">+BJ179</f>
        <v>39.190788328789374</v>
      </c>
      <c r="BL179" s="67">
        <f>BL144/BL8*90</f>
        <v>39.344360520008713</v>
      </c>
      <c r="BM179" s="67">
        <f t="shared" ref="BM179:BM180" si="1425">+BL179</f>
        <v>39.344360520008713</v>
      </c>
      <c r="BN179" s="67">
        <f>BN144/BN8*90</f>
        <v>43.914076891080875</v>
      </c>
      <c r="BO179" s="67">
        <f t="shared" ref="BO179:BO180" si="1426">+BN179</f>
        <v>43.914076891080875</v>
      </c>
      <c r="BP179" s="67">
        <f>BP144/BP8*90</f>
        <v>53.550648440238341</v>
      </c>
      <c r="BQ179" s="67">
        <f t="shared" ref="BQ179:BQ180" si="1427">+BP179</f>
        <v>53.550648440238341</v>
      </c>
      <c r="BR179" s="67">
        <f>BR144/BR8*90</f>
        <v>42.711758040617099</v>
      </c>
      <c r="BS179" s="67">
        <f t="shared" ref="BS179:BS180" si="1428">+BR179</f>
        <v>42.711758040617099</v>
      </c>
      <c r="BT179" s="67">
        <f>BT144/BT8*90</f>
        <v>43.522648956832278</v>
      </c>
      <c r="BU179" s="67">
        <f t="shared" ref="BU179:BU180" si="1429">+BT179</f>
        <v>43.522648956832278</v>
      </c>
      <c r="BV179" s="67">
        <f>BV144/BV8*90</f>
        <v>41.713519022615557</v>
      </c>
      <c r="BW179" s="67">
        <f t="shared" ref="BW179:BW180" si="1430">+BV179</f>
        <v>41.713519022615557</v>
      </c>
      <c r="BX179" s="67">
        <f>BX144/BX8*90</f>
        <v>47.27593080373034</v>
      </c>
      <c r="BY179" s="67">
        <f t="shared" ref="BY179:BY180" si="1431">+BX179</f>
        <v>47.27593080373034</v>
      </c>
      <c r="BZ179" s="67">
        <f>BZ144/BZ8*90</f>
        <v>52.732165201270519</v>
      </c>
      <c r="CA179" s="67">
        <f t="shared" ref="CA179:CA180" si="1432">+BZ179</f>
        <v>52.732165201270519</v>
      </c>
      <c r="CB179" s="67">
        <f>CB144/CB8*90</f>
        <v>51.419631556743077</v>
      </c>
      <c r="CC179" s="67">
        <f t="shared" ref="CC179:CC180" si="1433">+CB179</f>
        <v>51.419631556743077</v>
      </c>
      <c r="CD179" s="67">
        <f>CD144/CD8*90</f>
        <v>51.916672330591993</v>
      </c>
      <c r="CE179" s="67">
        <f t="shared" si="1411"/>
        <v>51.916672330591993</v>
      </c>
      <c r="CF179" s="67">
        <f>CF144/CF8*90</f>
        <v>56.139473776000187</v>
      </c>
      <c r="CG179" s="67">
        <f t="shared" ref="CG179:CI180" si="1434">+CF179</f>
        <v>56.139473776000187</v>
      </c>
      <c r="CH179" s="67">
        <f>CH144/CH8*90</f>
        <v>45.622514211940114</v>
      </c>
      <c r="CI179" s="67">
        <f t="shared" si="1434"/>
        <v>45.622514211940114</v>
      </c>
      <c r="CJ179" s="67">
        <f>CJ144/CJ8*90</f>
        <v>51.26370138389268</v>
      </c>
      <c r="CK179" s="67">
        <f t="shared" ref="CK179:CK180" si="1435">+CJ179</f>
        <v>51.26370138389268</v>
      </c>
      <c r="CL179" s="67">
        <f>CL144/CL8*90</f>
        <v>46.188600940699075</v>
      </c>
      <c r="CM179" s="30">
        <f t="shared" ref="CM179:CM180" si="1436">+CL179</f>
        <v>46.188600940699075</v>
      </c>
      <c r="CN179" s="30">
        <f t="shared" ref="CN179:CN180" si="1437">+CM179</f>
        <v>46.188600940699075</v>
      </c>
      <c r="CO179" s="30">
        <f t="shared" ref="CO179:CO180" si="1438">+CN179</f>
        <v>46.188600940699075</v>
      </c>
      <c r="CP179" s="30">
        <f t="shared" ref="CP179:CP180" si="1439">+CO179</f>
        <v>46.188600940699075</v>
      </c>
      <c r="CQ179" s="30">
        <f t="shared" ref="CQ179:CQ180" si="1440">+CP179</f>
        <v>46.188600940699075</v>
      </c>
      <c r="CR179" s="30">
        <f t="shared" ref="CR179:CR180" si="1441">+CQ179</f>
        <v>46.188600940699075</v>
      </c>
      <c r="CS179" s="30">
        <f t="shared" ref="CS179:CS180" si="1442">+CR179</f>
        <v>46.188600940699075</v>
      </c>
      <c r="CT179" s="30">
        <f>+CS179+6</f>
        <v>52.188600940699075</v>
      </c>
      <c r="CU179" s="30">
        <f t="shared" ref="CU179:CU180" si="1443">+CT179</f>
        <v>52.188600940699075</v>
      </c>
      <c r="CV179" s="30">
        <f t="shared" ref="CV179:CV180" si="1444">+CU179</f>
        <v>52.188600940699075</v>
      </c>
      <c r="CW179" s="30">
        <f t="shared" ref="CW179:CW180" si="1445">+CV179</f>
        <v>52.188600940699075</v>
      </c>
      <c r="CX179" s="30">
        <f t="shared" ref="CX179:CX180" si="1446">+CW179</f>
        <v>52.188600940699075</v>
      </c>
      <c r="CY179" s="30">
        <f t="shared" ref="CY179:CY180" si="1447">+CX179</f>
        <v>52.188600940699075</v>
      </c>
      <c r="CZ179" s="30">
        <f t="shared" ref="CZ179:CZ180" si="1448">+CY179</f>
        <v>52.188600940699075</v>
      </c>
      <c r="DA179" s="30">
        <f t="shared" ref="DA179:DA180" si="1449">+CZ179</f>
        <v>52.188600940699075</v>
      </c>
      <c r="DB179" s="30">
        <f t="shared" ref="DB179:DB180" si="1450">+DA179</f>
        <v>52.188600940699075</v>
      </c>
      <c r="DE179" s="139"/>
      <c r="DF179" s="62">
        <v>51.26370138389268</v>
      </c>
    </row>
    <row r="180" spans="1:110" s="62" customFormat="1" outlineLevel="1" x14ac:dyDescent="0.2">
      <c r="A180" s="68" t="s">
        <v>465</v>
      </c>
      <c r="B180" s="67">
        <f t="shared" ref="B180:AE180" si="1451">B145/B8*365</f>
        <v>14.78036114359162</v>
      </c>
      <c r="C180" s="67">
        <f t="shared" si="1451"/>
        <v>17.414377710651873</v>
      </c>
      <c r="D180" s="67">
        <f t="shared" si="1451"/>
        <v>16.831163947596664</v>
      </c>
      <c r="E180" s="67">
        <f t="shared" si="1451"/>
        <v>15.998017730301193</v>
      </c>
      <c r="F180" s="67">
        <f t="shared" si="1451"/>
        <v>19.449758555298661</v>
      </c>
      <c r="G180" s="67">
        <f t="shared" si="1451"/>
        <v>17.466412258733815</v>
      </c>
      <c r="H180" s="67">
        <f t="shared" si="1451"/>
        <v>11.611973568289253</v>
      </c>
      <c r="I180" s="67">
        <f t="shared" si="1451"/>
        <v>15.488478093560099</v>
      </c>
      <c r="J180" s="67">
        <f t="shared" si="1451"/>
        <v>11.351376619495237</v>
      </c>
      <c r="K180" s="67">
        <f t="shared" si="1451"/>
        <v>17.38212218210926</v>
      </c>
      <c r="L180" s="67">
        <f t="shared" si="1451"/>
        <v>20.729451608701318</v>
      </c>
      <c r="M180" s="67">
        <f t="shared" si="1451"/>
        <v>16.774881908777413</v>
      </c>
      <c r="N180" s="67">
        <f t="shared" si="1451"/>
        <v>8.7140541440576698</v>
      </c>
      <c r="O180" s="67">
        <f t="shared" si="1451"/>
        <v>7.6959777209699354</v>
      </c>
      <c r="P180" s="67">
        <f t="shared" si="1451"/>
        <v>4.9935777643927572</v>
      </c>
      <c r="Q180" s="67">
        <f t="shared" si="1451"/>
        <v>5.5565499935219469</v>
      </c>
      <c r="R180" s="67">
        <f t="shared" si="1451"/>
        <v>9.0393270337391733</v>
      </c>
      <c r="S180" s="67">
        <f t="shared" si="1451"/>
        <v>14.876047927825022</v>
      </c>
      <c r="T180" s="67">
        <f t="shared" si="1451"/>
        <v>17.566017606827764</v>
      </c>
      <c r="U180" s="67">
        <f t="shared" si="1451"/>
        <v>10.870413047332034</v>
      </c>
      <c r="V180" s="67">
        <f t="shared" si="1451"/>
        <v>12.870216861571327</v>
      </c>
      <c r="W180" s="67">
        <f t="shared" si="1451"/>
        <v>10.939685043163616</v>
      </c>
      <c r="X180" s="67">
        <f t="shared" si="1451"/>
        <v>10.65124981535886</v>
      </c>
      <c r="Y180" s="67">
        <f t="shared" si="1451"/>
        <v>11.542811776963211</v>
      </c>
      <c r="Z180" s="67">
        <f t="shared" si="1451"/>
        <v>14.352630851757045</v>
      </c>
      <c r="AA180" s="18">
        <f t="shared" si="1451"/>
        <v>18.155344883448606</v>
      </c>
      <c r="AB180" s="18">
        <f t="shared" si="1451"/>
        <v>18.319269975170368</v>
      </c>
      <c r="AC180" s="18">
        <f t="shared" si="1451"/>
        <v>29.651053778925082</v>
      </c>
      <c r="AD180" s="18">
        <f t="shared" si="1451"/>
        <v>29.65191745292022</v>
      </c>
      <c r="AE180" s="18">
        <f t="shared" si="1451"/>
        <v>29.651877483788997</v>
      </c>
      <c r="AI180" s="67">
        <f>AJ145/AI8*90</f>
        <v>16.755735991989201</v>
      </c>
      <c r="AJ180" s="67">
        <f>AJ145/AJ8*90</f>
        <v>17.041378852284804</v>
      </c>
      <c r="AK180" s="67">
        <f>+AJ180</f>
        <v>17.041378852284804</v>
      </c>
      <c r="AL180" s="67">
        <f>AL145/AL8*90</f>
        <v>10.421862752084373</v>
      </c>
      <c r="AM180" s="67">
        <f t="shared" si="1412"/>
        <v>10.421862752084373</v>
      </c>
      <c r="AN180" s="67">
        <f>AN145/AN8*90</f>
        <v>8.5845650310413788</v>
      </c>
      <c r="AO180" s="67">
        <f t="shared" si="1413"/>
        <v>8.5845650310413788</v>
      </c>
      <c r="AP180" s="67">
        <f>AP145/AP8*90</f>
        <v>8.1891750783153494</v>
      </c>
      <c r="AQ180" s="67">
        <f t="shared" si="1414"/>
        <v>8.1891750783153494</v>
      </c>
      <c r="AR180" s="67">
        <f>AR145/AR8*90</f>
        <v>8.951883931254951</v>
      </c>
      <c r="AS180" s="67">
        <f t="shared" si="1415"/>
        <v>8.951883931254951</v>
      </c>
      <c r="AT180" s="67">
        <f>AT145/AT8*90</f>
        <v>7.0898176967541131</v>
      </c>
      <c r="AU180" s="67">
        <f t="shared" si="1416"/>
        <v>7.0898176967541131</v>
      </c>
      <c r="AV180" s="67">
        <f>AV145/AV8*90</f>
        <v>11.068465565847765</v>
      </c>
      <c r="AW180" s="67">
        <f t="shared" si="1417"/>
        <v>11.068465565847765</v>
      </c>
      <c r="AX180" s="67">
        <f>AX145/AX8*90</f>
        <v>6.2834224598930488</v>
      </c>
      <c r="AY180" s="67">
        <f t="shared" si="1418"/>
        <v>6.2834224598930488</v>
      </c>
      <c r="AZ180" s="67">
        <f>AZ145/AZ8*90</f>
        <v>6.830657309769629</v>
      </c>
      <c r="BA180" s="67">
        <f t="shared" si="1419"/>
        <v>6.830657309769629</v>
      </c>
      <c r="BB180" s="67">
        <f>BB145/BB8*90</f>
        <v>7.9226819106675714</v>
      </c>
      <c r="BC180" s="67">
        <f t="shared" si="1420"/>
        <v>7.9226819106675714</v>
      </c>
      <c r="BD180" s="67">
        <f>BD145/BD8*90</f>
        <v>10.092518459211814</v>
      </c>
      <c r="BE180" s="67">
        <f t="shared" si="1421"/>
        <v>10.092518459211814</v>
      </c>
      <c r="BF180" s="67">
        <f>BF145/BF8*90</f>
        <v>12.236291821561338</v>
      </c>
      <c r="BG180" s="67">
        <f t="shared" si="1422"/>
        <v>12.236291821561338</v>
      </c>
      <c r="BH180" s="67">
        <f>BH145/BH8*90</f>
        <v>12.270764151486651</v>
      </c>
      <c r="BI180" s="67">
        <f t="shared" si="1423"/>
        <v>12.270764151486651</v>
      </c>
      <c r="BJ180" s="67">
        <f>BJ145/BJ8*90</f>
        <v>17.454028655954524</v>
      </c>
      <c r="BK180" s="67">
        <f t="shared" si="1424"/>
        <v>17.454028655954524</v>
      </c>
      <c r="BL180" s="67">
        <f>BL145/BL8*90</f>
        <v>11.637010676156583</v>
      </c>
      <c r="BM180" s="67">
        <f t="shared" si="1425"/>
        <v>11.637010676156583</v>
      </c>
      <c r="BN180" s="67">
        <f>BN145/BN8*90</f>
        <v>11.679838374234953</v>
      </c>
      <c r="BO180" s="67">
        <f t="shared" si="1426"/>
        <v>11.679838374234953</v>
      </c>
      <c r="BP180" s="67">
        <f>BP145/BP8*90</f>
        <v>10.961093585699263</v>
      </c>
      <c r="BQ180" s="67">
        <f t="shared" si="1427"/>
        <v>10.961093585699263</v>
      </c>
      <c r="BR180" s="67">
        <f>BR145/BR8*90</f>
        <v>9.9436938900026153</v>
      </c>
      <c r="BS180" s="67">
        <f t="shared" si="1428"/>
        <v>9.9436938900026153</v>
      </c>
      <c r="BT180" s="67">
        <f>BT145/BT8*90</f>
        <v>8.2114215901259318</v>
      </c>
      <c r="BU180" s="67">
        <f t="shared" si="1429"/>
        <v>8.2114215901259318</v>
      </c>
      <c r="BV180" s="67">
        <f>BV145/BV8*90</f>
        <v>9.1494329983357634</v>
      </c>
      <c r="BW180" s="67">
        <f t="shared" si="1430"/>
        <v>9.1494329983357634</v>
      </c>
      <c r="BX180" s="67">
        <f>BX145/BX8*90</f>
        <v>9.1962696661208803</v>
      </c>
      <c r="BY180" s="67">
        <f t="shared" si="1431"/>
        <v>9.1962696661208803</v>
      </c>
      <c r="BZ180" s="67">
        <f>BZ145/BZ8*90</f>
        <v>10.714563708114849</v>
      </c>
      <c r="CA180" s="67">
        <f t="shared" si="1432"/>
        <v>10.714563708114849</v>
      </c>
      <c r="CB180" s="67">
        <f>CB145/CB8*90</f>
        <v>12.985515398678103</v>
      </c>
      <c r="CC180" s="67">
        <f t="shared" si="1433"/>
        <v>12.985515398678103</v>
      </c>
      <c r="CD180" s="67">
        <f>CD145/CD8*90</f>
        <v>10.748317814177938</v>
      </c>
      <c r="CE180" s="114">
        <f t="shared" ref="CE180" si="1452">+CD180</f>
        <v>10.748317814177938</v>
      </c>
      <c r="CF180" s="67">
        <f>CF145/CF8*90</f>
        <v>10.506226092618215</v>
      </c>
      <c r="CG180" s="67">
        <f t="shared" si="1434"/>
        <v>10.506226092618215</v>
      </c>
      <c r="CH180" s="67">
        <f>CH145/CH8*90</f>
        <v>13.156508339753866</v>
      </c>
      <c r="CI180" s="67">
        <f t="shared" si="1434"/>
        <v>13.156508339753866</v>
      </c>
      <c r="CJ180" s="67">
        <f>CJ145/CJ8*90</f>
        <v>14.252507511955649</v>
      </c>
      <c r="CK180" s="67">
        <f t="shared" si="1435"/>
        <v>14.252507511955649</v>
      </c>
      <c r="CL180" s="67">
        <f>CL145/CL8*90</f>
        <v>16.183067416766576</v>
      </c>
      <c r="CM180" s="30">
        <f t="shared" si="1436"/>
        <v>16.183067416766576</v>
      </c>
      <c r="CN180" s="30">
        <f t="shared" si="1437"/>
        <v>16.183067416766576</v>
      </c>
      <c r="CO180" s="30">
        <f t="shared" si="1438"/>
        <v>16.183067416766576</v>
      </c>
      <c r="CP180" s="30">
        <f t="shared" si="1439"/>
        <v>16.183067416766576</v>
      </c>
      <c r="CQ180" s="30">
        <f t="shared" si="1440"/>
        <v>16.183067416766576</v>
      </c>
      <c r="CR180" s="30">
        <f t="shared" si="1441"/>
        <v>16.183067416766576</v>
      </c>
      <c r="CS180" s="30">
        <f t="shared" si="1442"/>
        <v>16.183067416766576</v>
      </c>
      <c r="CT180" s="30">
        <f>+CS180+10</f>
        <v>26.183067416766576</v>
      </c>
      <c r="CU180" s="30">
        <f t="shared" si="1443"/>
        <v>26.183067416766576</v>
      </c>
      <c r="CV180" s="30">
        <f t="shared" si="1444"/>
        <v>26.183067416766576</v>
      </c>
      <c r="CW180" s="30">
        <f t="shared" si="1445"/>
        <v>26.183067416766576</v>
      </c>
      <c r="CX180" s="30">
        <f t="shared" si="1446"/>
        <v>26.183067416766576</v>
      </c>
      <c r="CY180" s="30">
        <f t="shared" si="1447"/>
        <v>26.183067416766576</v>
      </c>
      <c r="CZ180" s="30">
        <f t="shared" si="1448"/>
        <v>26.183067416766576</v>
      </c>
      <c r="DA180" s="30">
        <f t="shared" si="1449"/>
        <v>26.183067416766576</v>
      </c>
      <c r="DB180" s="30">
        <f t="shared" si="1450"/>
        <v>26.183067416766576</v>
      </c>
      <c r="DE180" s="139"/>
      <c r="DF180" s="62">
        <v>14.252507511955649</v>
      </c>
    </row>
    <row r="181" spans="1:110" s="62" customFormat="1" outlineLevel="1" x14ac:dyDescent="0.2">
      <c r="A181" s="68" t="s">
        <v>466</v>
      </c>
      <c r="B181" s="67">
        <f>B182-B180-B179</f>
        <v>72.820290450135218</v>
      </c>
      <c r="C181" s="67">
        <f t="shared" ref="C181:U181" si="1453">C182-C180-C179</f>
        <v>44.729982487981047</v>
      </c>
      <c r="D181" s="67">
        <f t="shared" si="1453"/>
        <v>46.383760602590407</v>
      </c>
      <c r="E181" s="67">
        <f t="shared" si="1453"/>
        <v>39.986926880426502</v>
      </c>
      <c r="F181" s="67">
        <f t="shared" si="1453"/>
        <v>40.359805107714685</v>
      </c>
      <c r="G181" s="67">
        <f t="shared" si="1453"/>
        <v>30.900996327825332</v>
      </c>
      <c r="H181" s="67">
        <f t="shared" si="1453"/>
        <v>45.13202113075441</v>
      </c>
      <c r="I181" s="67">
        <f t="shared" si="1453"/>
        <v>55.693155231377233</v>
      </c>
      <c r="J181" s="67">
        <f t="shared" si="1453"/>
        <v>25.887835694686352</v>
      </c>
      <c r="K181" s="67">
        <f t="shared" si="1453"/>
        <v>18.512477643978166</v>
      </c>
      <c r="L181" s="67">
        <f t="shared" si="1453"/>
        <v>20.197216071092583</v>
      </c>
      <c r="M181" s="67">
        <f t="shared" si="1453"/>
        <v>19.860691698478711</v>
      </c>
      <c r="N181" s="67">
        <f t="shared" si="1453"/>
        <v>19.003788027189557</v>
      </c>
      <c r="O181" s="67">
        <f t="shared" si="1453"/>
        <v>25.526505638091223</v>
      </c>
      <c r="P181" s="67">
        <f t="shared" si="1453"/>
        <v>31.950441963067647</v>
      </c>
      <c r="Q181" s="67">
        <f t="shared" si="1453"/>
        <v>49.02706462369332</v>
      </c>
      <c r="R181" s="67">
        <f t="shared" si="1453"/>
        <v>44.648328184626571</v>
      </c>
      <c r="S181" s="67">
        <f t="shared" si="1453"/>
        <v>46.485637207444995</v>
      </c>
      <c r="T181" s="67">
        <f t="shared" si="1453"/>
        <v>44.03443152082815</v>
      </c>
      <c r="U181" s="67">
        <f t="shared" si="1453"/>
        <v>66.366703181984178</v>
      </c>
      <c r="V181" s="67">
        <f>V182-V180-V179</f>
        <v>115.03120143610059</v>
      </c>
      <c r="W181" s="67">
        <f t="shared" ref="W181" si="1454">W182-W180-W179</f>
        <v>63.147527141286822</v>
      </c>
      <c r="X181" s="67">
        <f t="shared" ref="X181:Y181" si="1455">X182-X180-X179</f>
        <v>42.924372014968242</v>
      </c>
      <c r="Y181" s="67">
        <f t="shared" si="1455"/>
        <v>47.047505204365059</v>
      </c>
      <c r="Z181" s="67">
        <f t="shared" ref="Z181" si="1456">Z182-Z180-Z179</f>
        <v>51.417454120432346</v>
      </c>
      <c r="AA181" s="18">
        <f t="shared" ref="AA181:AD181" si="1457">AA182-AA180-AA179</f>
        <v>121.69211910004006</v>
      </c>
      <c r="AB181" s="18">
        <f t="shared" si="1457"/>
        <v>122.79088047931167</v>
      </c>
      <c r="AC181" s="18">
        <f t="shared" si="1457"/>
        <v>122.83960249764672</v>
      </c>
      <c r="AD181" s="18">
        <f t="shared" si="1457"/>
        <v>122.84318056171969</v>
      </c>
      <c r="AE181" s="18">
        <f t="shared" ref="AE181" si="1458">AE182-AE180-AE179</f>
        <v>122.84301497596249</v>
      </c>
      <c r="AI181" s="67">
        <f t="shared" ref="AI181:AK181" si="1459">AI182-AI180-AI179</f>
        <v>-55.578497104793414</v>
      </c>
      <c r="AJ181" s="67">
        <f t="shared" ref="AJ181:AM181" si="1460">AJ182-AJ180-AJ179</f>
        <v>29.637353878852281</v>
      </c>
      <c r="AK181" s="67">
        <f t="shared" si="1459"/>
        <v>28.516711756811446</v>
      </c>
      <c r="AL181" s="67">
        <f t="shared" si="1460"/>
        <v>22.728212071545649</v>
      </c>
      <c r="AM181" s="67">
        <f t="shared" si="1460"/>
        <v>19.626780714439555</v>
      </c>
      <c r="AN181" s="67">
        <f t="shared" ref="AN181:AY181" si="1461">AN182-AN180-AN179</f>
        <v>31.588954983505211</v>
      </c>
      <c r="AO181" s="67">
        <f t="shared" si="1461"/>
        <v>30.907334926040768</v>
      </c>
      <c r="AP181" s="67">
        <f t="shared" si="1461"/>
        <v>27.162373825269754</v>
      </c>
      <c r="AQ181" s="67">
        <f t="shared" si="1461"/>
        <v>26.847763761467888</v>
      </c>
      <c r="AR181" s="67">
        <f t="shared" si="1461"/>
        <v>25.289215552337502</v>
      </c>
      <c r="AS181" s="67">
        <f t="shared" si="1461"/>
        <v>29.688221709006918</v>
      </c>
      <c r="AT181" s="67">
        <f t="shared" si="1461"/>
        <v>45.36282792352155</v>
      </c>
      <c r="AU181" s="67">
        <f t="shared" si="1461"/>
        <v>39.948182470795544</v>
      </c>
      <c r="AV181" s="67">
        <f t="shared" si="1461"/>
        <v>47.118002416431736</v>
      </c>
      <c r="AW181" s="67">
        <f t="shared" si="1461"/>
        <v>43.039338387635581</v>
      </c>
      <c r="AX181" s="67">
        <f t="shared" si="1461"/>
        <v>55.440472839853655</v>
      </c>
      <c r="AY181" s="67">
        <f t="shared" si="1461"/>
        <v>43.139737575820845</v>
      </c>
      <c r="AZ181" s="67">
        <f t="shared" ref="AZ181:BC181" si="1462">AZ182-AZ180-AZ179</f>
        <v>40.175992945585477</v>
      </c>
      <c r="BA181" s="67">
        <f t="shared" si="1462"/>
        <v>35.34548405082576</v>
      </c>
      <c r="BB181" s="67">
        <f t="shared" si="1462"/>
        <v>39.132835965507205</v>
      </c>
      <c r="BC181" s="67">
        <f t="shared" si="1462"/>
        <v>35.829530904621045</v>
      </c>
      <c r="BD181" s="67">
        <f t="shared" ref="BD181:CE181" si="1463">BD182-BD180-BD179</f>
        <v>41.717818699403971</v>
      </c>
      <c r="BE181" s="67">
        <f t="shared" si="1463"/>
        <v>33.133525305906566</v>
      </c>
      <c r="BF181" s="67">
        <f t="shared" si="1463"/>
        <v>38.236756505576196</v>
      </c>
      <c r="BG181" s="67">
        <f t="shared" si="1463"/>
        <v>29.851361836130408</v>
      </c>
      <c r="BH181" s="67">
        <f t="shared" si="1463"/>
        <v>34.168570167188143</v>
      </c>
      <c r="BI181" s="67">
        <f t="shared" si="1463"/>
        <v>26.451430016357413</v>
      </c>
      <c r="BJ181" s="67">
        <f t="shared" si="1463"/>
        <v>43.753698010325429</v>
      </c>
      <c r="BK181" s="67">
        <f t="shared" si="1463"/>
        <v>33.753536638730829</v>
      </c>
      <c r="BL181" s="67">
        <f t="shared" si="1463"/>
        <v>53.500072626915546</v>
      </c>
      <c r="BM181" s="67">
        <f t="shared" si="1463"/>
        <v>47.441733306907814</v>
      </c>
      <c r="BN181" s="67">
        <f t="shared" si="1463"/>
        <v>71.308455642046482</v>
      </c>
      <c r="BO181" s="67">
        <f t="shared" si="1463"/>
        <v>100.0281537526069</v>
      </c>
      <c r="BP181" s="67">
        <f t="shared" si="1463"/>
        <v>79.752541184717813</v>
      </c>
      <c r="BQ181" s="67">
        <f t="shared" si="1463"/>
        <v>64.941304250078389</v>
      </c>
      <c r="BR181" s="67">
        <f t="shared" si="1463"/>
        <v>88.874575089340198</v>
      </c>
      <c r="BS181" s="67">
        <f t="shared" si="1463"/>
        <v>90.008922446124245</v>
      </c>
      <c r="BT181" s="67">
        <f t="shared" si="1463"/>
        <v>67.835975189524447</v>
      </c>
      <c r="BU181" s="67">
        <f t="shared" si="1463"/>
        <v>55.808762560432477</v>
      </c>
      <c r="BV181" s="67">
        <f t="shared" si="1463"/>
        <v>94.740753163985417</v>
      </c>
      <c r="BW181" s="67">
        <f t="shared" si="1463"/>
        <v>85.873402660531298</v>
      </c>
      <c r="BX181" s="67">
        <f t="shared" si="1463"/>
        <v>47.962554282053112</v>
      </c>
      <c r="BY181" s="67">
        <f t="shared" si="1463"/>
        <v>44.831390375583659</v>
      </c>
      <c r="BZ181" s="67">
        <f t="shared" si="1463"/>
        <v>117.64363462882444</v>
      </c>
      <c r="CA181" s="67">
        <f t="shared" si="1463"/>
        <v>115.1555832140035</v>
      </c>
      <c r="CB181" s="67">
        <f t="shared" si="1463"/>
        <v>114.97960905639152</v>
      </c>
      <c r="CC181" s="67">
        <f t="shared" si="1463"/>
        <v>112.62183929380487</v>
      </c>
      <c r="CD181" s="67">
        <f t="shared" si="1463"/>
        <v>111.59077006728744</v>
      </c>
      <c r="CE181" s="114">
        <f t="shared" si="1463"/>
        <v>127.50245918613884</v>
      </c>
      <c r="CF181" s="67">
        <f t="shared" ref="CF181:CG181" si="1464">CF182-CF180-CF179</f>
        <v>112.22906905091327</v>
      </c>
      <c r="CG181" s="67">
        <f t="shared" si="1464"/>
        <v>120.66591384497428</v>
      </c>
      <c r="CH181" s="67">
        <f t="shared" ref="CH181" si="1465">CH182-CH180-CH179</f>
        <v>47.132415717468717</v>
      </c>
      <c r="CI181" s="67">
        <f>CH181</f>
        <v>47.132415717468717</v>
      </c>
      <c r="CJ181" s="67">
        <f t="shared" ref="CJ181:CL181" si="1466">CJ182-CJ180-CJ179</f>
        <v>111.19069787125989</v>
      </c>
      <c r="CK181" s="67">
        <f>CJ181+20</f>
        <v>131.19069787125989</v>
      </c>
      <c r="CL181" s="67">
        <f t="shared" si="1466"/>
        <v>108.47228626763808</v>
      </c>
      <c r="CM181" s="30">
        <f t="shared" ref="CM181:DB181" si="1467">CL181</f>
        <v>108.47228626763808</v>
      </c>
      <c r="CN181" s="30">
        <f t="shared" si="1467"/>
        <v>108.47228626763808</v>
      </c>
      <c r="CO181" s="30">
        <f t="shared" si="1467"/>
        <v>108.47228626763808</v>
      </c>
      <c r="CP181" s="30">
        <f t="shared" si="1467"/>
        <v>108.47228626763808</v>
      </c>
      <c r="CQ181" s="30">
        <f t="shared" si="1467"/>
        <v>108.47228626763808</v>
      </c>
      <c r="CR181" s="30">
        <f t="shared" si="1467"/>
        <v>108.47228626763808</v>
      </c>
      <c r="CS181" s="30">
        <f t="shared" si="1467"/>
        <v>108.47228626763808</v>
      </c>
      <c r="CT181" s="30">
        <f t="shared" si="1467"/>
        <v>108.47228626763808</v>
      </c>
      <c r="CU181" s="30">
        <f t="shared" si="1467"/>
        <v>108.47228626763808</v>
      </c>
      <c r="CV181" s="30">
        <f t="shared" si="1467"/>
        <v>108.47228626763808</v>
      </c>
      <c r="CW181" s="30">
        <f t="shared" si="1467"/>
        <v>108.47228626763808</v>
      </c>
      <c r="CX181" s="30">
        <f t="shared" si="1467"/>
        <v>108.47228626763808</v>
      </c>
      <c r="CY181" s="30">
        <f t="shared" si="1467"/>
        <v>108.47228626763808</v>
      </c>
      <c r="CZ181" s="30">
        <f t="shared" si="1467"/>
        <v>108.47228626763808</v>
      </c>
      <c r="DA181" s="30">
        <f t="shared" si="1467"/>
        <v>108.47228626763808</v>
      </c>
      <c r="DB181" s="30">
        <f t="shared" si="1467"/>
        <v>108.47228626763808</v>
      </c>
      <c r="DE181" s="139"/>
      <c r="DF181" s="62">
        <v>131.19069787125989</v>
      </c>
    </row>
    <row r="182" spans="1:110" s="7" customFormat="1" outlineLevel="1" x14ac:dyDescent="0.2">
      <c r="A182" s="69" t="s">
        <v>467</v>
      </c>
      <c r="B182" s="70">
        <f t="shared" ref="B182:AE182" si="1468">B148/B8*365</f>
        <v>117.5720082475699</v>
      </c>
      <c r="C182" s="70">
        <f t="shared" si="1468"/>
        <v>93.925340752659707</v>
      </c>
      <c r="D182" s="70">
        <f t="shared" si="1468"/>
        <v>105.34098788266598</v>
      </c>
      <c r="E182" s="70">
        <f t="shared" si="1468"/>
        <v>91.345807859975324</v>
      </c>
      <c r="F182" s="70">
        <f t="shared" si="1468"/>
        <v>96.516717573055416</v>
      </c>
      <c r="G182" s="70">
        <f t="shared" si="1468"/>
        <v>89.89045056441789</v>
      </c>
      <c r="H182" s="70">
        <f t="shared" si="1468"/>
        <v>94.496191183174432</v>
      </c>
      <c r="I182" s="70">
        <f t="shared" si="1468"/>
        <v>119.99840250318553</v>
      </c>
      <c r="J182" s="70">
        <f t="shared" si="1468"/>
        <v>84.354417729523192</v>
      </c>
      <c r="K182" s="70">
        <f t="shared" si="1468"/>
        <v>95.185845862789293</v>
      </c>
      <c r="L182" s="70">
        <f t="shared" si="1468"/>
        <v>91.799404425918695</v>
      </c>
      <c r="M182" s="70">
        <f t="shared" si="1468"/>
        <v>82.875185513781602</v>
      </c>
      <c r="N182" s="70">
        <f t="shared" si="1468"/>
        <v>76.517439127113164</v>
      </c>
      <c r="O182" s="70">
        <f t="shared" si="1468"/>
        <v>79.606061760231569</v>
      </c>
      <c r="P182" s="70">
        <f t="shared" si="1468"/>
        <v>86.971870865444515</v>
      </c>
      <c r="Q182" s="70">
        <f t="shared" si="1468"/>
        <v>112.43395795402628</v>
      </c>
      <c r="R182" s="70">
        <f t="shared" si="1468"/>
        <v>107.80091162396269</v>
      </c>
      <c r="S182" s="70">
        <f t="shared" si="1468"/>
        <v>112.91475422015131</v>
      </c>
      <c r="T182" s="70">
        <f t="shared" si="1468"/>
        <v>101.04269431808731</v>
      </c>
      <c r="U182" s="70">
        <f t="shared" si="1468"/>
        <v>118.10790049045679</v>
      </c>
      <c r="V182" s="70">
        <f t="shared" si="1468"/>
        <v>183.18364989114269</v>
      </c>
      <c r="W182" s="70">
        <f t="shared" si="1468"/>
        <v>123.96273564392965</v>
      </c>
      <c r="X182" s="70">
        <f t="shared" si="1468"/>
        <v>105.99618510889725</v>
      </c>
      <c r="Y182" s="70">
        <f t="shared" si="1468"/>
        <v>114.34456496307449</v>
      </c>
      <c r="Z182" s="70">
        <f t="shared" si="1468"/>
        <v>115.5403650574043</v>
      </c>
      <c r="AA182" s="71">
        <f t="shared" si="1468"/>
        <v>191.66520398088645</v>
      </c>
      <c r="AB182" s="71">
        <f t="shared" si="1468"/>
        <v>193.39575420420277</v>
      </c>
      <c r="AC182" s="71">
        <f t="shared" si="1468"/>
        <v>211.59171531248163</v>
      </c>
      <c r="AD182" s="71">
        <f t="shared" si="1468"/>
        <v>211.59787854241156</v>
      </c>
      <c r="AE182" s="71">
        <f t="shared" si="1468"/>
        <v>211.59759332027079</v>
      </c>
      <c r="AI182" s="70">
        <f t="shared" ref="AI182:CD182" si="1469">AI148/AI8*90</f>
        <v>0</v>
      </c>
      <c r="AJ182" s="70">
        <f t="shared" si="1469"/>
        <v>86.163323591923486</v>
      </c>
      <c r="AK182" s="70">
        <f t="shared" si="1469"/>
        <v>85.042681469882652</v>
      </c>
      <c r="AL182" s="70">
        <f t="shared" si="1469"/>
        <v>91.51357514430272</v>
      </c>
      <c r="AM182" s="70">
        <f t="shared" si="1469"/>
        <v>88.412143787196626</v>
      </c>
      <c r="AN182" s="70">
        <f t="shared" si="1469"/>
        <v>76.859755305608232</v>
      </c>
      <c r="AO182" s="70">
        <f t="shared" si="1469"/>
        <v>76.178135248143789</v>
      </c>
      <c r="AP182" s="70">
        <f t="shared" si="1469"/>
        <v>84.707622694048027</v>
      </c>
      <c r="AQ182" s="70">
        <f t="shared" si="1469"/>
        <v>84.393012630246162</v>
      </c>
      <c r="AR182" s="70">
        <f t="shared" si="1469"/>
        <v>85.332659362277667</v>
      </c>
      <c r="AS182" s="70">
        <f t="shared" si="1469"/>
        <v>89.731665518947082</v>
      </c>
      <c r="AT182" s="70">
        <f t="shared" si="1469"/>
        <v>123.48154735437971</v>
      </c>
      <c r="AU182" s="70">
        <f t="shared" si="1469"/>
        <v>118.06690190165371</v>
      </c>
      <c r="AV182" s="70">
        <f t="shared" si="1469"/>
        <v>124.82198952879581</v>
      </c>
      <c r="AW182" s="70">
        <f t="shared" si="1469"/>
        <v>120.74332549999966</v>
      </c>
      <c r="AX182" s="70">
        <f t="shared" si="1469"/>
        <v>127.14185195609345</v>
      </c>
      <c r="AY182" s="70">
        <f t="shared" si="1469"/>
        <v>114.84111669206064</v>
      </c>
      <c r="AZ182" s="70">
        <f t="shared" si="1469"/>
        <v>103.90932138001985</v>
      </c>
      <c r="BA182" s="70">
        <f t="shared" si="1469"/>
        <v>99.07881248526013</v>
      </c>
      <c r="BB182" s="70">
        <f t="shared" si="1469"/>
        <v>94.484061621935851</v>
      </c>
      <c r="BC182" s="70">
        <f t="shared" si="1469"/>
        <v>91.180756561049691</v>
      </c>
      <c r="BD182" s="70">
        <f t="shared" si="1469"/>
        <v>99.07392580731252</v>
      </c>
      <c r="BE182" s="70">
        <f t="shared" si="1469"/>
        <v>90.489632413815116</v>
      </c>
      <c r="BF182" s="70">
        <f t="shared" si="1469"/>
        <v>92.878020446096642</v>
      </c>
      <c r="BG182" s="70">
        <f t="shared" si="1469"/>
        <v>84.492625776650854</v>
      </c>
      <c r="BH182" s="70">
        <f t="shared" si="1469"/>
        <v>90.348964431733123</v>
      </c>
      <c r="BI182" s="70">
        <f t="shared" si="1469"/>
        <v>82.631824280902393</v>
      </c>
      <c r="BJ182" s="70">
        <f t="shared" si="1469"/>
        <v>100.39851499506932</v>
      </c>
      <c r="BK182" s="70">
        <f t="shared" si="1469"/>
        <v>90.398353623474719</v>
      </c>
      <c r="BL182" s="70">
        <f t="shared" si="1469"/>
        <v>104.48144382308084</v>
      </c>
      <c r="BM182" s="70">
        <f t="shared" si="1469"/>
        <v>98.423104503073105</v>
      </c>
      <c r="BN182" s="70">
        <f t="shared" si="1469"/>
        <v>126.9023709073623</v>
      </c>
      <c r="BO182" s="70">
        <f t="shared" si="1469"/>
        <v>155.62206901792271</v>
      </c>
      <c r="BP182" s="70">
        <f t="shared" si="1469"/>
        <v>144.26428321065544</v>
      </c>
      <c r="BQ182" s="70">
        <f t="shared" si="1469"/>
        <v>129.45304627601598</v>
      </c>
      <c r="BR182" s="70">
        <f t="shared" si="1469"/>
        <v>141.5300270199599</v>
      </c>
      <c r="BS182" s="70">
        <f t="shared" si="1469"/>
        <v>142.66437437674395</v>
      </c>
      <c r="BT182" s="70">
        <f t="shared" si="1469"/>
        <v>119.57004573648267</v>
      </c>
      <c r="BU182" s="70">
        <f t="shared" si="1469"/>
        <v>107.54283310739069</v>
      </c>
      <c r="BV182" s="70">
        <f t="shared" si="1469"/>
        <v>145.60370518493673</v>
      </c>
      <c r="BW182" s="70">
        <f t="shared" si="1469"/>
        <v>136.73635468148262</v>
      </c>
      <c r="BX182" s="70">
        <f t="shared" si="1469"/>
        <v>104.43475475190434</v>
      </c>
      <c r="BY182" s="70">
        <f t="shared" si="1469"/>
        <v>101.30359084543488</v>
      </c>
      <c r="BZ182" s="70">
        <f t="shared" si="1469"/>
        <v>181.0903635382098</v>
      </c>
      <c r="CA182" s="70">
        <f t="shared" si="1469"/>
        <v>178.60231212338886</v>
      </c>
      <c r="CB182" s="70">
        <f t="shared" si="1469"/>
        <v>179.3847560118127</v>
      </c>
      <c r="CC182" s="70">
        <f t="shared" si="1469"/>
        <v>177.02698624922604</v>
      </c>
      <c r="CD182" s="70">
        <f t="shared" si="1469"/>
        <v>174.25576021205737</v>
      </c>
      <c r="CE182" s="115">
        <f>CE148/CE10*90</f>
        <v>190.16744933090877</v>
      </c>
      <c r="CF182" s="70">
        <f>CF148/CF8*90</f>
        <v>178.87476891953168</v>
      </c>
      <c r="CG182" s="70">
        <f>CG148/CG10*90</f>
        <v>187.31161371359269</v>
      </c>
      <c r="CH182" s="70">
        <f>CH148/CH8*90</f>
        <v>105.9114382691627</v>
      </c>
      <c r="CI182" s="70">
        <f>CI179+CI180+CI181</f>
        <v>105.9114382691627</v>
      </c>
      <c r="CJ182" s="70">
        <f>CJ148/CJ8*90</f>
        <v>176.70690676710822</v>
      </c>
      <c r="CK182" s="70">
        <f t="shared" ref="CK182:DB182" si="1470">CK179+CK180+CK181</f>
        <v>196.70690676710822</v>
      </c>
      <c r="CL182" s="70">
        <f>CL148/CL8*90</f>
        <v>170.84395462510375</v>
      </c>
      <c r="CM182" s="50">
        <f t="shared" si="1470"/>
        <v>170.84395462510372</v>
      </c>
      <c r="CN182" s="50">
        <f t="shared" si="1470"/>
        <v>170.84395462510372</v>
      </c>
      <c r="CO182" s="50">
        <f t="shared" si="1470"/>
        <v>170.84395462510372</v>
      </c>
      <c r="CP182" s="50">
        <f t="shared" si="1470"/>
        <v>170.84395462510372</v>
      </c>
      <c r="CQ182" s="50">
        <f t="shared" si="1470"/>
        <v>170.84395462510372</v>
      </c>
      <c r="CR182" s="50">
        <f t="shared" si="1470"/>
        <v>170.84395462510372</v>
      </c>
      <c r="CS182" s="50">
        <f t="shared" si="1470"/>
        <v>170.84395462510372</v>
      </c>
      <c r="CT182" s="50">
        <f t="shared" si="1470"/>
        <v>186.84395462510372</v>
      </c>
      <c r="CU182" s="50">
        <f t="shared" si="1470"/>
        <v>186.84395462510372</v>
      </c>
      <c r="CV182" s="50">
        <f t="shared" si="1470"/>
        <v>186.84395462510372</v>
      </c>
      <c r="CW182" s="50">
        <f t="shared" si="1470"/>
        <v>186.84395462510372</v>
      </c>
      <c r="CX182" s="50">
        <f t="shared" si="1470"/>
        <v>186.84395462510372</v>
      </c>
      <c r="CY182" s="50">
        <f t="shared" si="1470"/>
        <v>186.84395462510372</v>
      </c>
      <c r="CZ182" s="50">
        <f t="shared" si="1470"/>
        <v>186.84395462510372</v>
      </c>
      <c r="DA182" s="50">
        <f t="shared" si="1470"/>
        <v>186.84395462510372</v>
      </c>
      <c r="DB182" s="50">
        <f t="shared" si="1470"/>
        <v>186.84395462510372</v>
      </c>
      <c r="DE182" s="138"/>
      <c r="DF182" s="7">
        <v>196.70690676710822</v>
      </c>
    </row>
    <row r="183" spans="1:110" s="62" customFormat="1" outlineLevel="1" x14ac:dyDescent="0.2">
      <c r="A183" s="68" t="s">
        <v>468</v>
      </c>
      <c r="B183" s="67">
        <f t="shared" ref="B183:AE183" si="1471">B153/B8*365</f>
        <v>50.292870850552951</v>
      </c>
      <c r="C183" s="67">
        <f t="shared" si="1471"/>
        <v>38.661651304263806</v>
      </c>
      <c r="D183" s="67">
        <f t="shared" si="1471"/>
        <v>50.892237296407835</v>
      </c>
      <c r="E183" s="67">
        <f t="shared" si="1471"/>
        <v>48.811470155225543</v>
      </c>
      <c r="F183" s="67">
        <f t="shared" si="1471"/>
        <v>65.42461612639508</v>
      </c>
      <c r="G183" s="67">
        <f t="shared" si="1471"/>
        <v>49.987428789347994</v>
      </c>
      <c r="H183" s="67">
        <f t="shared" si="1471"/>
        <v>53.616807037384859</v>
      </c>
      <c r="I183" s="67">
        <f t="shared" si="1471"/>
        <v>58.190408473886706</v>
      </c>
      <c r="J183" s="67">
        <f t="shared" si="1471"/>
        <v>80.833337131217178</v>
      </c>
      <c r="K183" s="67">
        <f t="shared" si="1471"/>
        <v>65.72542330085615</v>
      </c>
      <c r="L183" s="67">
        <f t="shared" si="1471"/>
        <v>47.685926939053161</v>
      </c>
      <c r="M183" s="67">
        <f t="shared" si="1471"/>
        <v>39.976883694050805</v>
      </c>
      <c r="N183" s="67">
        <f t="shared" si="1471"/>
        <v>44.419332406119608</v>
      </c>
      <c r="O183" s="67">
        <f t="shared" si="1471"/>
        <v>49.769121676573185</v>
      </c>
      <c r="P183" s="67">
        <f t="shared" si="1471"/>
        <v>55.814388381802551</v>
      </c>
      <c r="Q183" s="67">
        <f t="shared" si="1471"/>
        <v>75.036447572093905</v>
      </c>
      <c r="R183" s="67">
        <f t="shared" si="1471"/>
        <v>84.672527106426799</v>
      </c>
      <c r="S183" s="67">
        <f t="shared" si="1471"/>
        <v>90.553651815170028</v>
      </c>
      <c r="T183" s="67">
        <f t="shared" si="1471"/>
        <v>63.231008042072133</v>
      </c>
      <c r="U183" s="67">
        <f t="shared" si="1471"/>
        <v>53.533023634955924</v>
      </c>
      <c r="V183" s="67">
        <f t="shared" si="1471"/>
        <v>73.710319005708058</v>
      </c>
      <c r="W183" s="67">
        <f t="shared" si="1471"/>
        <v>73.731811249038032</v>
      </c>
      <c r="X183" s="67">
        <f t="shared" si="1471"/>
        <v>55.10284511480576</v>
      </c>
      <c r="Y183" s="67">
        <f t="shared" si="1471"/>
        <v>65.09966284113338</v>
      </c>
      <c r="Z183" s="67">
        <f t="shared" si="1471"/>
        <v>63.64790874311737</v>
      </c>
      <c r="AA183" s="18">
        <f t="shared" si="1471"/>
        <v>49.303846608482388</v>
      </c>
      <c r="AB183" s="18">
        <f t="shared" si="1471"/>
        <v>49.749012350549854</v>
      </c>
      <c r="AC183" s="18">
        <f t="shared" si="1471"/>
        <v>49.768752190205994</v>
      </c>
      <c r="AD183" s="18">
        <f t="shared" si="1471"/>
        <v>49.770201851231803</v>
      </c>
      <c r="AE183" s="18">
        <f t="shared" si="1471"/>
        <v>49.770134763775083</v>
      </c>
      <c r="AI183" s="67">
        <f>AJ153/AI8*90</f>
        <v>0</v>
      </c>
      <c r="AJ183" s="67">
        <f>AJ153/AJ8*90</f>
        <v>0</v>
      </c>
      <c r="AK183" s="67">
        <f t="shared" ref="AK183:CE183" si="1472">+AJ183</f>
        <v>0</v>
      </c>
      <c r="AL183" s="67">
        <f>AL153/AL8*90</f>
        <v>53.12477731062495</v>
      </c>
      <c r="AM183" s="67">
        <f t="shared" ref="AM183" si="1473">+AL183</f>
        <v>53.12477731062495</v>
      </c>
      <c r="AN183" s="67">
        <f>AN153/AN8*90</f>
        <v>46.099955840714863</v>
      </c>
      <c r="AO183" s="67">
        <f t="shared" ref="AO183" si="1474">+AN183</f>
        <v>46.099955840714863</v>
      </c>
      <c r="AP183" s="67">
        <f>AP153/AP8*90</f>
        <v>52.95857988165681</v>
      </c>
      <c r="AQ183" s="67">
        <f t="shared" ref="AQ183" si="1475">+AP183</f>
        <v>52.95857988165681</v>
      </c>
      <c r="AR183" s="67">
        <f>AR153/AR8*90</f>
        <v>59.776223394081804</v>
      </c>
      <c r="AS183" s="67">
        <f t="shared" ref="AS183" si="1476">+AR183</f>
        <v>59.776223394081804</v>
      </c>
      <c r="AT183" s="67">
        <f>AT153/AT8*90</f>
        <v>79.244553134726544</v>
      </c>
      <c r="AU183" s="67">
        <f t="shared" ref="AU183" si="1477">+AT183</f>
        <v>79.244553134726544</v>
      </c>
      <c r="AV183" s="67">
        <f>AV153/AV8*90</f>
        <v>75.618606524365688</v>
      </c>
      <c r="AW183" s="67">
        <f t="shared" ref="AW183" si="1478">+AV183</f>
        <v>75.618606524365688</v>
      </c>
      <c r="AX183" s="67">
        <f>AX153/AX8*90</f>
        <v>84.852237545736003</v>
      </c>
      <c r="AY183" s="67">
        <f t="shared" ref="AY183" si="1479">+AX183</f>
        <v>84.852237545736003</v>
      </c>
      <c r="AZ183" s="67">
        <f>AZ153/AZ8*90</f>
        <v>74.415255171400233</v>
      </c>
      <c r="BA183" s="67">
        <f t="shared" ref="BA183" si="1480">+AZ183</f>
        <v>74.415255171400233</v>
      </c>
      <c r="BB183" s="67">
        <f>BB153/BB8*90</f>
        <v>74.212770080418565</v>
      </c>
      <c r="BC183" s="67">
        <f t="shared" ref="BC183" si="1481">+BB183</f>
        <v>74.212770080418565</v>
      </c>
      <c r="BD183" s="67">
        <f>BD153/BD8*90</f>
        <v>75.309136197847167</v>
      </c>
      <c r="BE183" s="67">
        <f t="shared" ref="BE183" si="1482">+BD183</f>
        <v>75.309136197847167</v>
      </c>
      <c r="BF183" s="67">
        <f>BF153/BF8*90</f>
        <v>74.484897769516735</v>
      </c>
      <c r="BG183" s="67">
        <f t="shared" ref="BG183" si="1483">+BF183</f>
        <v>74.484897769516735</v>
      </c>
      <c r="BH183" s="67">
        <f>BH153/BH8*90</f>
        <v>73.858955410100393</v>
      </c>
      <c r="BI183" s="67">
        <f t="shared" ref="BI183" si="1484">+BH183</f>
        <v>73.858955410100393</v>
      </c>
      <c r="BJ183" s="67">
        <f>BJ153/BJ8*90</f>
        <v>62.827890248854345</v>
      </c>
      <c r="BK183" s="67">
        <f t="shared" ref="BK183" si="1485">+BJ183</f>
        <v>62.827890248854345</v>
      </c>
      <c r="BL183" s="67">
        <f>BL153/BL8*90</f>
        <v>56.170745878422544</v>
      </c>
      <c r="BM183" s="67">
        <f t="shared" ref="BM183" si="1486">+BL183</f>
        <v>56.170745878422544</v>
      </c>
      <c r="BN183" s="67">
        <f>BN153/BN8*90</f>
        <v>57.519163348980925</v>
      </c>
      <c r="BO183" s="67">
        <f t="shared" ref="BO183" si="1487">+BN183</f>
        <v>57.519163348980925</v>
      </c>
      <c r="BP183" s="67">
        <f>BP153/BP8*90</f>
        <v>51.150368033648789</v>
      </c>
      <c r="BQ183" s="67">
        <f t="shared" ref="BQ183" si="1488">+BP183</f>
        <v>51.150368033648789</v>
      </c>
      <c r="BR183" s="67">
        <f>BR153/BR8*90</f>
        <v>56.949533687788723</v>
      </c>
      <c r="BS183" s="67">
        <f t="shared" ref="BS183" si="1489">+BR183</f>
        <v>56.949533687788723</v>
      </c>
      <c r="BT183" s="67">
        <f>BT153/BT8*90</f>
        <v>62.089154814861224</v>
      </c>
      <c r="BU183" s="67">
        <f t="shared" ref="BU183" si="1490">+BT183</f>
        <v>62.089154814861224</v>
      </c>
      <c r="BV183" s="67">
        <f>BV153/BV8*90</f>
        <v>61.665785094113247</v>
      </c>
      <c r="BW183" s="67">
        <f t="shared" ref="BW183" si="1491">+BV183</f>
        <v>61.665785094113247</v>
      </c>
      <c r="BX183" s="67">
        <f>BX153/BX8*90</f>
        <v>53.64526233359436</v>
      </c>
      <c r="BY183" s="67">
        <f t="shared" ref="BY183" si="1492">+BX183</f>
        <v>53.64526233359436</v>
      </c>
      <c r="BZ183" s="67">
        <f>BZ153/BZ8*90</f>
        <v>55.430391241938928</v>
      </c>
      <c r="CA183" s="67">
        <f t="shared" ref="CA183" si="1493">+BZ183</f>
        <v>55.430391241938928</v>
      </c>
      <c r="CB183" s="67">
        <f>CB153/CB8*90</f>
        <v>55.583251300801578</v>
      </c>
      <c r="CC183" s="67">
        <f t="shared" ref="CC183" si="1494">+CB183</f>
        <v>55.583251300801578</v>
      </c>
      <c r="CD183" s="67">
        <f>CD153/CD8*90</f>
        <v>60.618840481207101</v>
      </c>
      <c r="CE183" s="114">
        <f t="shared" si="1472"/>
        <v>60.618840481207101</v>
      </c>
      <c r="CF183" s="67">
        <f>CF153/CF8*90</f>
        <v>61.241032915160041</v>
      </c>
      <c r="CG183" s="67">
        <f t="shared" ref="CG183:CI183" si="1495">+CF183</f>
        <v>61.241032915160041</v>
      </c>
      <c r="CH183" s="67">
        <f>CH153/CH8*90</f>
        <v>58.343606188701251</v>
      </c>
      <c r="CI183" s="67">
        <f t="shared" si="1495"/>
        <v>58.343606188701251</v>
      </c>
      <c r="CJ183" s="67">
        <f>CJ153/CJ8*90</f>
        <v>68.087519573405558</v>
      </c>
      <c r="CK183" s="67">
        <f t="shared" ref="CK183" si="1496">+CJ183</f>
        <v>68.087519573405558</v>
      </c>
      <c r="CL183" s="67">
        <f>CL153/CL8*90</f>
        <v>43.947800424236839</v>
      </c>
      <c r="CM183" s="30">
        <f t="shared" ref="CM183" si="1497">+CL183</f>
        <v>43.947800424236839</v>
      </c>
      <c r="CN183" s="30">
        <f t="shared" ref="CN183" si="1498">+CM183</f>
        <v>43.947800424236839</v>
      </c>
      <c r="CO183" s="30">
        <f t="shared" ref="CO183" si="1499">+CN183</f>
        <v>43.947800424236839</v>
      </c>
      <c r="CP183" s="30">
        <f t="shared" ref="CP183" si="1500">+CO183</f>
        <v>43.947800424236839</v>
      </c>
      <c r="CQ183" s="30">
        <f t="shared" ref="CQ183" si="1501">+CP183</f>
        <v>43.947800424236839</v>
      </c>
      <c r="CR183" s="30">
        <f t="shared" ref="CR183" si="1502">+CQ183</f>
        <v>43.947800424236839</v>
      </c>
      <c r="CS183" s="30">
        <f t="shared" ref="CS183" si="1503">+CR183</f>
        <v>43.947800424236839</v>
      </c>
      <c r="CT183" s="30">
        <f t="shared" ref="CT183" si="1504">+CS183</f>
        <v>43.947800424236839</v>
      </c>
      <c r="CU183" s="30">
        <f t="shared" ref="CU183" si="1505">+CT183</f>
        <v>43.947800424236839</v>
      </c>
      <c r="CV183" s="30">
        <f t="shared" ref="CV183" si="1506">+CU183</f>
        <v>43.947800424236839</v>
      </c>
      <c r="CW183" s="30">
        <f t="shared" ref="CW183" si="1507">+CV183</f>
        <v>43.947800424236839</v>
      </c>
      <c r="CX183" s="30">
        <f t="shared" ref="CX183" si="1508">+CW183</f>
        <v>43.947800424236839</v>
      </c>
      <c r="CY183" s="30">
        <f t="shared" ref="CY183" si="1509">+CX183</f>
        <v>43.947800424236839</v>
      </c>
      <c r="CZ183" s="30">
        <f t="shared" ref="CZ183" si="1510">+CY183</f>
        <v>43.947800424236839</v>
      </c>
      <c r="DA183" s="30">
        <f t="shared" ref="DA183" si="1511">+CZ183</f>
        <v>43.947800424236839</v>
      </c>
      <c r="DB183" s="30">
        <f t="shared" ref="DB183" si="1512">+DA183</f>
        <v>43.947800424236839</v>
      </c>
      <c r="DE183" s="139"/>
      <c r="DF183" s="62">
        <v>68.087519573405558</v>
      </c>
    </row>
    <row r="184" spans="1:110" s="62" customFormat="1" outlineLevel="1" x14ac:dyDescent="0.2">
      <c r="A184" s="68" t="s">
        <v>466</v>
      </c>
      <c r="B184" s="67">
        <f>B185-B183</f>
        <v>14.531582658680939</v>
      </c>
      <c r="C184" s="67">
        <f t="shared" ref="C184:V184" si="1513">C185-C183</f>
        <v>10.603478456925743</v>
      </c>
      <c r="D184" s="67">
        <f t="shared" si="1513"/>
        <v>7.7983931147627672</v>
      </c>
      <c r="E184" s="67">
        <f t="shared" si="1513"/>
        <v>15.325198873391294</v>
      </c>
      <c r="F184" s="67">
        <f t="shared" si="1513"/>
        <v>19.414600722882483</v>
      </c>
      <c r="G184" s="67">
        <f t="shared" si="1513"/>
        <v>18.537194156806272</v>
      </c>
      <c r="H184" s="67">
        <f t="shared" si="1513"/>
        <v>7.7613996716794915</v>
      </c>
      <c r="I184" s="67">
        <f t="shared" si="1513"/>
        <v>10.38302057732534</v>
      </c>
      <c r="J184" s="67">
        <f t="shared" si="1513"/>
        <v>10.240668583324918</v>
      </c>
      <c r="K184" s="67">
        <f t="shared" si="1513"/>
        <v>7.6886203072663193</v>
      </c>
      <c r="L184" s="67">
        <f t="shared" si="1513"/>
        <v>28.110752898267549</v>
      </c>
      <c r="M184" s="67">
        <f t="shared" si="1513"/>
        <v>12.443260592938678</v>
      </c>
      <c r="N184" s="67">
        <f t="shared" si="1513"/>
        <v>9.6936032047640452</v>
      </c>
      <c r="O184" s="67">
        <f t="shared" si="1513"/>
        <v>14.434353708728118</v>
      </c>
      <c r="P184" s="67">
        <f t="shared" si="1513"/>
        <v>39.757898448882095</v>
      </c>
      <c r="Q184" s="67">
        <f t="shared" si="1513"/>
        <v>126.80009751174573</v>
      </c>
      <c r="R184" s="67">
        <f t="shared" si="1513"/>
        <v>160.34110182324793</v>
      </c>
      <c r="S184" s="67">
        <f t="shared" si="1513"/>
        <v>138.28750426600362</v>
      </c>
      <c r="T184" s="67">
        <f t="shared" si="1513"/>
        <v>93.35402231563053</v>
      </c>
      <c r="U184" s="67">
        <f t="shared" si="1513"/>
        <v>120.20278880055514</v>
      </c>
      <c r="V184" s="67">
        <f t="shared" si="1513"/>
        <v>83.981312518776477</v>
      </c>
      <c r="W184" s="67">
        <f t="shared" ref="W184" si="1514">W185-W183</f>
        <v>62.658850855094755</v>
      </c>
      <c r="X184" s="67">
        <f t="shared" ref="X184:Y184" si="1515">X185-X183</f>
        <v>96.256626565346565</v>
      </c>
      <c r="Y184" s="67">
        <f t="shared" si="1515"/>
        <v>93.048318105191186</v>
      </c>
      <c r="Z184" s="67">
        <f t="shared" ref="Z184" si="1516">Z185-Z183</f>
        <v>109.96709684887796</v>
      </c>
      <c r="AA184" s="18">
        <f t="shared" ref="AA184:AD184" si="1517">AA185-AA183</f>
        <v>143.10785861951376</v>
      </c>
      <c r="AB184" s="18">
        <f t="shared" si="1517"/>
        <v>144.39998328037305</v>
      </c>
      <c r="AC184" s="18">
        <f t="shared" si="1517"/>
        <v>144.45727954378862</v>
      </c>
      <c r="AD184" s="18">
        <f t="shared" si="1517"/>
        <v>144.46148728617385</v>
      </c>
      <c r="AE184" s="18">
        <f t="shared" ref="AE184" si="1518">AE185-AE183</f>
        <v>144.4612925601447</v>
      </c>
      <c r="AI184" s="67">
        <f t="shared" ref="AI184:AK184" si="1519">AI185-AI183</f>
        <v>0</v>
      </c>
      <c r="AJ184" s="67">
        <f t="shared" ref="AJ184:AM184" si="1520">AJ185-AJ183</f>
        <v>70.12519925611052</v>
      </c>
      <c r="AK184" s="67">
        <f t="shared" si="1519"/>
        <v>67.473638242123428</v>
      </c>
      <c r="AL184" s="67">
        <f t="shared" si="1520"/>
        <v>30.723651393144735</v>
      </c>
      <c r="AM184" s="67">
        <f t="shared" si="1520"/>
        <v>26.531183655887503</v>
      </c>
      <c r="AN184" s="67">
        <f t="shared" ref="AN184:AY184" si="1521">AN185-AN183</f>
        <v>17.584487102891131</v>
      </c>
      <c r="AO184" s="67">
        <f t="shared" si="1521"/>
        <v>17.205052610176388</v>
      </c>
      <c r="AP184" s="67">
        <f t="shared" si="1521"/>
        <v>19.666724678036893</v>
      </c>
      <c r="AQ184" s="67">
        <f t="shared" si="1521"/>
        <v>19.438933486238533</v>
      </c>
      <c r="AR184" s="67">
        <f t="shared" si="1521"/>
        <v>28.022077105931864</v>
      </c>
      <c r="AS184" s="67">
        <f t="shared" si="1521"/>
        <v>32.896458814472687</v>
      </c>
      <c r="AT184" s="67">
        <f t="shared" si="1521"/>
        <v>72.616273899510901</v>
      </c>
      <c r="AU184" s="67">
        <f t="shared" si="1521"/>
        <v>63.948574039026312</v>
      </c>
      <c r="AV184" s="67">
        <f t="shared" si="1521"/>
        <v>101.48892468787757</v>
      </c>
      <c r="AW184" s="67">
        <f t="shared" si="1521"/>
        <v>99.036571019617881</v>
      </c>
      <c r="AX184" s="67">
        <f t="shared" si="1521"/>
        <v>166.20180129468054</v>
      </c>
      <c r="AY184" s="67">
        <f t="shared" si="1521"/>
        <v>141.09025336548126</v>
      </c>
      <c r="AZ184" s="67">
        <f t="shared" ref="AZ184:BC184" si="1522">AZ185-AZ183</f>
        <v>130.7811294411581</v>
      </c>
      <c r="BA184" s="67">
        <f t="shared" si="1522"/>
        <v>122.61258198844904</v>
      </c>
      <c r="BB184" s="67">
        <f t="shared" si="1522"/>
        <v>153.77095242709044</v>
      </c>
      <c r="BC184" s="67">
        <f t="shared" si="1522"/>
        <v>151.97369657280188</v>
      </c>
      <c r="BD184" s="67">
        <f t="shared" ref="BD184:CE184" si="1523">BD185-BD183</f>
        <v>164.37505560003558</v>
      </c>
      <c r="BE184" s="67">
        <f t="shared" si="1523"/>
        <v>144.3921047275623</v>
      </c>
      <c r="BF184" s="67">
        <f t="shared" si="1523"/>
        <v>140.25557620817847</v>
      </c>
      <c r="BG184" s="67">
        <f t="shared" si="1523"/>
        <v>121.00115010105326</v>
      </c>
      <c r="BH184" s="67">
        <f t="shared" si="1523"/>
        <v>114.67109430485441</v>
      </c>
      <c r="BI184" s="67">
        <f t="shared" si="1523"/>
        <v>98.414146667739246</v>
      </c>
      <c r="BJ184" s="67">
        <f t="shared" si="1523"/>
        <v>102.58135622715935</v>
      </c>
      <c r="BK184" s="67">
        <f t="shared" si="1523"/>
        <v>85.610247587480416</v>
      </c>
      <c r="BL184" s="67">
        <f t="shared" si="1523"/>
        <v>120.81432929043504</v>
      </c>
      <c r="BM184" s="67">
        <f t="shared" si="1523"/>
        <v>112.67944224630156</v>
      </c>
      <c r="BN184" s="67">
        <f t="shared" si="1523"/>
        <v>155.81971596648643</v>
      </c>
      <c r="BO184" s="67">
        <f t="shared" si="1523"/>
        <v>226.60976612656739</v>
      </c>
      <c r="BP184" s="67">
        <f t="shared" si="1523"/>
        <v>128.62039957939012</v>
      </c>
      <c r="BQ184" s="67">
        <f t="shared" si="1523"/>
        <v>112.39658055079894</v>
      </c>
      <c r="BR184" s="67">
        <f t="shared" si="1523"/>
        <v>64.885034428658571</v>
      </c>
      <c r="BS184" s="67">
        <f t="shared" si="1523"/>
        <v>63.509860566799183</v>
      </c>
      <c r="BT184" s="67">
        <f t="shared" si="1523"/>
        <v>73.689931708539575</v>
      </c>
      <c r="BU184" s="67">
        <f t="shared" si="1523"/>
        <v>59.928689024609788</v>
      </c>
      <c r="BV184" s="67">
        <f t="shared" si="1523"/>
        <v>52.404886922193683</v>
      </c>
      <c r="BW184" s="67">
        <f t="shared" si="1523"/>
        <v>44.226893293923453</v>
      </c>
      <c r="BX184" s="67">
        <f t="shared" si="1523"/>
        <v>79.688545596924627</v>
      </c>
      <c r="BY184" s="67">
        <f t="shared" si="1523"/>
        <v>78.461248327757318</v>
      </c>
      <c r="BZ184" s="67">
        <f t="shared" si="1523"/>
        <v>96.828801834639677</v>
      </c>
      <c r="CA184" s="67">
        <f t="shared" si="1523"/>
        <v>94.453642884818066</v>
      </c>
      <c r="CB184" s="67">
        <f t="shared" si="1523"/>
        <v>100.41695963999439</v>
      </c>
      <c r="CC184" s="67">
        <f t="shared" si="1523"/>
        <v>98.419616616236709</v>
      </c>
      <c r="CD184" s="67">
        <f t="shared" si="1523"/>
        <v>86.643784408346349</v>
      </c>
      <c r="CE184" s="114">
        <f t="shared" si="1523"/>
        <v>98.998291512787759</v>
      </c>
      <c r="CF184" s="67">
        <f t="shared" ref="CF184:CG184" si="1524">CF185-CF183</f>
        <v>94.699043123394063</v>
      </c>
      <c r="CG184" s="67">
        <f t="shared" si="1524"/>
        <v>101.81806438708924</v>
      </c>
      <c r="CH184" s="67">
        <f t="shared" ref="CH184" si="1525">CH185-CH183</f>
        <v>100.80263623680321</v>
      </c>
      <c r="CI184" s="67">
        <f>CH184</f>
        <v>100.80263623680321</v>
      </c>
      <c r="CJ184" s="67">
        <f t="shared" ref="CJ184:CL184" si="1526">CJ185-CJ183</f>
        <v>106.71018663506709</v>
      </c>
      <c r="CK184" s="67">
        <f>CJ184-20</f>
        <v>86.710186635067089</v>
      </c>
      <c r="CL184" s="67">
        <f t="shared" si="1526"/>
        <v>127.56156045374897</v>
      </c>
      <c r="CM184" s="30">
        <f t="shared" ref="CM184:DB184" si="1527">CL184</f>
        <v>127.56156045374897</v>
      </c>
      <c r="CN184" s="30">
        <f t="shared" si="1527"/>
        <v>127.56156045374897</v>
      </c>
      <c r="CO184" s="30">
        <f t="shared" si="1527"/>
        <v>127.56156045374897</v>
      </c>
      <c r="CP184" s="30">
        <f t="shared" si="1527"/>
        <v>127.56156045374897</v>
      </c>
      <c r="CQ184" s="30">
        <f t="shared" si="1527"/>
        <v>127.56156045374897</v>
      </c>
      <c r="CR184" s="30">
        <f t="shared" si="1527"/>
        <v>127.56156045374897</v>
      </c>
      <c r="CS184" s="30">
        <f t="shared" si="1527"/>
        <v>127.56156045374897</v>
      </c>
      <c r="CT184" s="30">
        <f t="shared" si="1527"/>
        <v>127.56156045374897</v>
      </c>
      <c r="CU184" s="30">
        <f t="shared" si="1527"/>
        <v>127.56156045374897</v>
      </c>
      <c r="CV184" s="30">
        <f t="shared" si="1527"/>
        <v>127.56156045374897</v>
      </c>
      <c r="CW184" s="30">
        <f t="shared" si="1527"/>
        <v>127.56156045374897</v>
      </c>
      <c r="CX184" s="30">
        <f t="shared" si="1527"/>
        <v>127.56156045374897</v>
      </c>
      <c r="CY184" s="30">
        <f t="shared" si="1527"/>
        <v>127.56156045374897</v>
      </c>
      <c r="CZ184" s="30">
        <f t="shared" si="1527"/>
        <v>127.56156045374897</v>
      </c>
      <c r="DA184" s="30">
        <f t="shared" si="1527"/>
        <v>127.56156045374897</v>
      </c>
      <c r="DB184" s="30">
        <f t="shared" si="1527"/>
        <v>127.56156045374897</v>
      </c>
      <c r="DE184" s="139"/>
      <c r="DF184" s="62">
        <v>86.710186635067089</v>
      </c>
    </row>
    <row r="185" spans="1:110" s="7" customFormat="1" outlineLevel="1" x14ac:dyDescent="0.2">
      <c r="A185" s="69" t="s">
        <v>469</v>
      </c>
      <c r="B185" s="70">
        <f t="shared" ref="B185:AE185" si="1528">B156/B8*365</f>
        <v>64.824453509233891</v>
      </c>
      <c r="C185" s="70">
        <f t="shared" si="1528"/>
        <v>49.265129761189549</v>
      </c>
      <c r="D185" s="70">
        <f t="shared" si="1528"/>
        <v>58.690630411170602</v>
      </c>
      <c r="E185" s="70">
        <f t="shared" si="1528"/>
        <v>64.136669028616836</v>
      </c>
      <c r="F185" s="70">
        <f t="shared" si="1528"/>
        <v>84.839216849277562</v>
      </c>
      <c r="G185" s="70">
        <f t="shared" si="1528"/>
        <v>68.524622946154267</v>
      </c>
      <c r="H185" s="70">
        <f t="shared" si="1528"/>
        <v>61.378206709064351</v>
      </c>
      <c r="I185" s="70">
        <f t="shared" si="1528"/>
        <v>68.573429051212045</v>
      </c>
      <c r="J185" s="70">
        <f t="shared" si="1528"/>
        <v>91.074005714542096</v>
      </c>
      <c r="K185" s="70">
        <f t="shared" si="1528"/>
        <v>73.414043608122469</v>
      </c>
      <c r="L185" s="70">
        <f t="shared" si="1528"/>
        <v>75.79667983732071</v>
      </c>
      <c r="M185" s="70">
        <f t="shared" si="1528"/>
        <v>52.420144286989483</v>
      </c>
      <c r="N185" s="70">
        <f t="shared" si="1528"/>
        <v>54.112935610883653</v>
      </c>
      <c r="O185" s="70">
        <f t="shared" si="1528"/>
        <v>64.203475385301303</v>
      </c>
      <c r="P185" s="70">
        <f t="shared" si="1528"/>
        <v>95.572286830684646</v>
      </c>
      <c r="Q185" s="70">
        <f t="shared" si="1528"/>
        <v>201.83654508383964</v>
      </c>
      <c r="R185" s="70">
        <f t="shared" si="1528"/>
        <v>245.01362892967472</v>
      </c>
      <c r="S185" s="70">
        <f t="shared" si="1528"/>
        <v>228.84115608117364</v>
      </c>
      <c r="T185" s="70">
        <f t="shared" si="1528"/>
        <v>156.58503035770266</v>
      </c>
      <c r="U185" s="70">
        <f t="shared" si="1528"/>
        <v>173.73581243551106</v>
      </c>
      <c r="V185" s="70">
        <f t="shared" si="1528"/>
        <v>157.69163152448454</v>
      </c>
      <c r="W185" s="70">
        <f t="shared" si="1528"/>
        <v>136.39066210413279</v>
      </c>
      <c r="X185" s="70">
        <f t="shared" si="1528"/>
        <v>151.35947168015232</v>
      </c>
      <c r="Y185" s="70">
        <f t="shared" si="1528"/>
        <v>158.14798094632457</v>
      </c>
      <c r="Z185" s="70">
        <f t="shared" si="1528"/>
        <v>173.61500559199533</v>
      </c>
      <c r="AA185" s="71">
        <f t="shared" si="1528"/>
        <v>192.41170522799615</v>
      </c>
      <c r="AB185" s="71">
        <f t="shared" si="1528"/>
        <v>194.14899563092291</v>
      </c>
      <c r="AC185" s="71">
        <f t="shared" si="1528"/>
        <v>194.2260317339946</v>
      </c>
      <c r="AD185" s="71">
        <f t="shared" si="1528"/>
        <v>194.23168913740565</v>
      </c>
      <c r="AE185" s="71">
        <f t="shared" si="1528"/>
        <v>194.23142732391977</v>
      </c>
      <c r="AI185" s="70">
        <f t="shared" ref="AI185:CD185" si="1529">AI156/AI8*90</f>
        <v>0</v>
      </c>
      <c r="AJ185" s="70">
        <f t="shared" si="1529"/>
        <v>70.12519925611052</v>
      </c>
      <c r="AK185" s="70">
        <f>AK156/AK8*90</f>
        <v>67.473638242123428</v>
      </c>
      <c r="AL185" s="70">
        <f t="shared" si="1529"/>
        <v>83.848428703769684</v>
      </c>
      <c r="AM185" s="70">
        <f t="shared" si="1529"/>
        <v>79.655960966512453</v>
      </c>
      <c r="AN185" s="70">
        <f t="shared" si="1529"/>
        <v>63.684442943605994</v>
      </c>
      <c r="AO185" s="70">
        <f t="shared" si="1529"/>
        <v>63.305008450891251</v>
      </c>
      <c r="AP185" s="70">
        <f t="shared" si="1529"/>
        <v>72.625304559693703</v>
      </c>
      <c r="AQ185" s="70">
        <f t="shared" si="1529"/>
        <v>72.397513367895343</v>
      </c>
      <c r="AR185" s="70">
        <f t="shared" si="1529"/>
        <v>87.798300500013667</v>
      </c>
      <c r="AS185" s="70">
        <f t="shared" si="1529"/>
        <v>92.672682208554491</v>
      </c>
      <c r="AT185" s="70">
        <f t="shared" si="1529"/>
        <v>151.86082703423745</v>
      </c>
      <c r="AU185" s="70">
        <f t="shared" si="1529"/>
        <v>143.19312717375286</v>
      </c>
      <c r="AV185" s="70">
        <f t="shared" si="1529"/>
        <v>177.10753121224326</v>
      </c>
      <c r="AW185" s="70">
        <f t="shared" si="1529"/>
        <v>174.65517754398357</v>
      </c>
      <c r="AX185" s="70">
        <f t="shared" si="1529"/>
        <v>251.05403884041655</v>
      </c>
      <c r="AY185" s="70">
        <f t="shared" si="1529"/>
        <v>225.94249091121725</v>
      </c>
      <c r="AZ185" s="70">
        <f t="shared" si="1529"/>
        <v>205.19638461255832</v>
      </c>
      <c r="BA185" s="70">
        <f t="shared" si="1529"/>
        <v>197.02783715984927</v>
      </c>
      <c r="BB185" s="70">
        <f t="shared" si="1529"/>
        <v>227.98372250750899</v>
      </c>
      <c r="BC185" s="70">
        <f t="shared" si="1529"/>
        <v>226.18646665322044</v>
      </c>
      <c r="BD185" s="70">
        <f t="shared" si="1529"/>
        <v>239.68419179788273</v>
      </c>
      <c r="BE185" s="70">
        <f t="shared" si="1529"/>
        <v>219.70124092540945</v>
      </c>
      <c r="BF185" s="70">
        <f t="shared" si="1529"/>
        <v>214.74047397769519</v>
      </c>
      <c r="BG185" s="70">
        <f t="shared" si="1529"/>
        <v>195.48604787056999</v>
      </c>
      <c r="BH185" s="70">
        <f t="shared" si="1529"/>
        <v>188.5300497149548</v>
      </c>
      <c r="BI185" s="70">
        <f t="shared" si="1529"/>
        <v>172.27310207783964</v>
      </c>
      <c r="BJ185" s="70">
        <f t="shared" si="1529"/>
        <v>165.40924647601369</v>
      </c>
      <c r="BK185" s="70">
        <f t="shared" si="1529"/>
        <v>148.43813783633476</v>
      </c>
      <c r="BL185" s="70">
        <f t="shared" si="1529"/>
        <v>176.98507516885758</v>
      </c>
      <c r="BM185" s="70">
        <f t="shared" si="1529"/>
        <v>168.8501881247241</v>
      </c>
      <c r="BN185" s="70">
        <f t="shared" si="1529"/>
        <v>213.33887931546735</v>
      </c>
      <c r="BO185" s="70">
        <f t="shared" si="1529"/>
        <v>284.12892947554832</v>
      </c>
      <c r="BP185" s="70">
        <f t="shared" si="1529"/>
        <v>179.77076761303891</v>
      </c>
      <c r="BQ185" s="70">
        <f t="shared" si="1529"/>
        <v>163.54694858444773</v>
      </c>
      <c r="BR185" s="70">
        <f t="shared" si="1529"/>
        <v>121.8345681164473</v>
      </c>
      <c r="BS185" s="70">
        <f t="shared" si="1529"/>
        <v>120.45939425458791</v>
      </c>
      <c r="BT185" s="70">
        <f t="shared" si="1529"/>
        <v>135.77908652340079</v>
      </c>
      <c r="BU185" s="70">
        <f t="shared" si="1529"/>
        <v>122.01784383947101</v>
      </c>
      <c r="BV185" s="70">
        <f t="shared" si="1529"/>
        <v>114.07067201630693</v>
      </c>
      <c r="BW185" s="70">
        <f t="shared" si="1529"/>
        <v>105.8926783880367</v>
      </c>
      <c r="BX185" s="70">
        <f t="shared" si="1529"/>
        <v>133.33380793051899</v>
      </c>
      <c r="BY185" s="70">
        <f t="shared" si="1529"/>
        <v>132.10651066135168</v>
      </c>
      <c r="BZ185" s="70">
        <f t="shared" si="1529"/>
        <v>152.25919307657861</v>
      </c>
      <c r="CA185" s="70">
        <f t="shared" si="1529"/>
        <v>149.884034126757</v>
      </c>
      <c r="CB185" s="70">
        <f t="shared" si="1529"/>
        <v>156.00021094079597</v>
      </c>
      <c r="CC185" s="70">
        <f t="shared" si="1529"/>
        <v>154.00286791703829</v>
      </c>
      <c r="CD185" s="70">
        <f t="shared" si="1529"/>
        <v>147.26262488955345</v>
      </c>
      <c r="CE185" s="115">
        <f>CE156/CE10*90</f>
        <v>159.61713199399486</v>
      </c>
      <c r="CF185" s="70">
        <f>CF156/CF8*90</f>
        <v>155.94007603855411</v>
      </c>
      <c r="CG185" s="70">
        <f>CG156/CG10*90</f>
        <v>163.05909730224928</v>
      </c>
      <c r="CH185" s="70">
        <f>CH156/CH8*90</f>
        <v>159.14624242550445</v>
      </c>
      <c r="CI185" s="70">
        <f>CI183+CI184</f>
        <v>159.14624242550445</v>
      </c>
      <c r="CJ185" s="70">
        <f>CJ156/CJ8*90</f>
        <v>174.79770620847265</v>
      </c>
      <c r="CK185" s="70">
        <f t="shared" ref="CK185:DB185" si="1530">CK183+CK184</f>
        <v>154.79770620847265</v>
      </c>
      <c r="CL185" s="70">
        <f>CL156/CL8*90</f>
        <v>171.50936087798581</v>
      </c>
      <c r="CM185" s="50">
        <f t="shared" si="1530"/>
        <v>171.50936087798581</v>
      </c>
      <c r="CN185" s="50">
        <f t="shared" si="1530"/>
        <v>171.50936087798581</v>
      </c>
      <c r="CO185" s="50">
        <f t="shared" si="1530"/>
        <v>171.50936087798581</v>
      </c>
      <c r="CP185" s="50">
        <f t="shared" si="1530"/>
        <v>171.50936087798581</v>
      </c>
      <c r="CQ185" s="50">
        <f t="shared" si="1530"/>
        <v>171.50936087798581</v>
      </c>
      <c r="CR185" s="50">
        <f t="shared" si="1530"/>
        <v>171.50936087798581</v>
      </c>
      <c r="CS185" s="50">
        <f t="shared" si="1530"/>
        <v>171.50936087798581</v>
      </c>
      <c r="CT185" s="50">
        <f t="shared" si="1530"/>
        <v>171.50936087798581</v>
      </c>
      <c r="CU185" s="50">
        <f t="shared" si="1530"/>
        <v>171.50936087798581</v>
      </c>
      <c r="CV185" s="50">
        <f t="shared" si="1530"/>
        <v>171.50936087798581</v>
      </c>
      <c r="CW185" s="50">
        <f t="shared" si="1530"/>
        <v>171.50936087798581</v>
      </c>
      <c r="CX185" s="50">
        <f t="shared" si="1530"/>
        <v>171.50936087798581</v>
      </c>
      <c r="CY185" s="50">
        <f t="shared" si="1530"/>
        <v>171.50936087798581</v>
      </c>
      <c r="CZ185" s="50">
        <f t="shared" si="1530"/>
        <v>171.50936087798581</v>
      </c>
      <c r="DA185" s="50">
        <f t="shared" si="1530"/>
        <v>171.50936087798581</v>
      </c>
      <c r="DB185" s="50">
        <f t="shared" si="1530"/>
        <v>171.50936087798581</v>
      </c>
      <c r="DE185" s="138"/>
      <c r="DF185" s="7">
        <v>154.79770620847265</v>
      </c>
    </row>
    <row r="186" spans="1:110" s="7" customFormat="1" x14ac:dyDescent="0.2">
      <c r="A186" s="69" t="s">
        <v>470</v>
      </c>
      <c r="B186" s="70">
        <f>B182-B185</f>
        <v>52.747554738336007</v>
      </c>
      <c r="C186" s="70">
        <f t="shared" ref="C186:V186" si="1531">C182-C185</f>
        <v>44.660210991470159</v>
      </c>
      <c r="D186" s="70">
        <f t="shared" si="1531"/>
        <v>46.650357471495383</v>
      </c>
      <c r="E186" s="70">
        <f t="shared" si="1531"/>
        <v>27.209138831358487</v>
      </c>
      <c r="F186" s="70">
        <f t="shared" si="1531"/>
        <v>11.677500723777854</v>
      </c>
      <c r="G186" s="70">
        <f t="shared" si="1531"/>
        <v>21.365827618263623</v>
      </c>
      <c r="H186" s="70">
        <f t="shared" si="1531"/>
        <v>33.117984474110081</v>
      </c>
      <c r="I186" s="70">
        <f t="shared" si="1531"/>
        <v>51.424973451973486</v>
      </c>
      <c r="J186" s="70">
        <f t="shared" si="1531"/>
        <v>-6.7195879850189044</v>
      </c>
      <c r="K186" s="70">
        <f t="shared" si="1531"/>
        <v>21.771802254666824</v>
      </c>
      <c r="L186" s="70">
        <f t="shared" si="1531"/>
        <v>16.002724588597985</v>
      </c>
      <c r="M186" s="70">
        <f t="shared" si="1531"/>
        <v>30.455041226792119</v>
      </c>
      <c r="N186" s="70">
        <f t="shared" si="1531"/>
        <v>22.404503516229511</v>
      </c>
      <c r="O186" s="70">
        <f t="shared" si="1531"/>
        <v>15.402586374930266</v>
      </c>
      <c r="P186" s="70">
        <f t="shared" si="1531"/>
        <v>-8.6004159652401313</v>
      </c>
      <c r="Q186" s="70">
        <f t="shared" si="1531"/>
        <v>-89.402587129813355</v>
      </c>
      <c r="R186" s="70">
        <f t="shared" si="1531"/>
        <v>-137.21271730571203</v>
      </c>
      <c r="S186" s="70">
        <f t="shared" si="1531"/>
        <v>-115.92640186102233</v>
      </c>
      <c r="T186" s="70">
        <f t="shared" si="1531"/>
        <v>-55.54233603961535</v>
      </c>
      <c r="U186" s="70">
        <f t="shared" si="1531"/>
        <v>-55.627911945054279</v>
      </c>
      <c r="V186" s="70">
        <f t="shared" si="1531"/>
        <v>25.492018366658158</v>
      </c>
      <c r="W186" s="70">
        <f t="shared" ref="W186" si="1532">W182-W185</f>
        <v>-12.427926460203139</v>
      </c>
      <c r="X186" s="70">
        <f t="shared" ref="X186:Y186" si="1533">X182-X185</f>
        <v>-45.363286571255074</v>
      </c>
      <c r="Y186" s="70">
        <f t="shared" si="1533"/>
        <v>-43.803415983250076</v>
      </c>
      <c r="Z186" s="70">
        <f t="shared" ref="Z186" si="1534">Z182-Z185</f>
        <v>-58.074640534591026</v>
      </c>
      <c r="AA186" s="71">
        <f t="shared" ref="AA186:AD186" si="1535">AA182-AA185</f>
        <v>-0.74650124710970545</v>
      </c>
      <c r="AB186" s="71">
        <f t="shared" si="1535"/>
        <v>-0.7532414267201375</v>
      </c>
      <c r="AC186" s="71">
        <f t="shared" si="1535"/>
        <v>17.365683578487022</v>
      </c>
      <c r="AD186" s="71">
        <f t="shared" si="1535"/>
        <v>17.366189405005912</v>
      </c>
      <c r="AE186" s="71">
        <f t="shared" ref="AE186" si="1536">AE182-AE185</f>
        <v>17.366165996351015</v>
      </c>
      <c r="AI186" s="70">
        <f t="shared" ref="AI186:AK186" si="1537">AI182-AI185</f>
        <v>0</v>
      </c>
      <c r="AJ186" s="70">
        <f t="shared" ref="AJ186:AM186" si="1538">AJ182-AJ185</f>
        <v>16.038124335812967</v>
      </c>
      <c r="AK186" s="70">
        <f t="shared" si="1537"/>
        <v>17.569043227759224</v>
      </c>
      <c r="AL186" s="70">
        <f t="shared" si="1538"/>
        <v>7.6651464405330358</v>
      </c>
      <c r="AM186" s="70">
        <f t="shared" si="1538"/>
        <v>8.7561828206841739</v>
      </c>
      <c r="AN186" s="70">
        <f t="shared" ref="AN186:AY186" si="1539">AN182-AN185</f>
        <v>13.175312362002238</v>
      </c>
      <c r="AO186" s="70">
        <f t="shared" si="1539"/>
        <v>12.873126797252539</v>
      </c>
      <c r="AP186" s="70">
        <f t="shared" si="1539"/>
        <v>12.082318134354324</v>
      </c>
      <c r="AQ186" s="70">
        <f t="shared" si="1539"/>
        <v>11.995499262350819</v>
      </c>
      <c r="AR186" s="70">
        <f t="shared" si="1539"/>
        <v>-2.4656411377360001</v>
      </c>
      <c r="AS186" s="70">
        <f t="shared" si="1539"/>
        <v>-2.9410166896074088</v>
      </c>
      <c r="AT186" s="70">
        <f t="shared" si="1539"/>
        <v>-28.379279679857731</v>
      </c>
      <c r="AU186" s="70">
        <f t="shared" si="1539"/>
        <v>-25.126225272099148</v>
      </c>
      <c r="AV186" s="70">
        <f t="shared" si="1539"/>
        <v>-52.285541683447448</v>
      </c>
      <c r="AW186" s="70">
        <f t="shared" si="1539"/>
        <v>-53.911852043983913</v>
      </c>
      <c r="AX186" s="70">
        <f t="shared" si="1539"/>
        <v>-123.91218688432311</v>
      </c>
      <c r="AY186" s="70">
        <f t="shared" si="1539"/>
        <v>-111.10137421915661</v>
      </c>
      <c r="AZ186" s="70">
        <f t="shared" ref="AZ186:BC186" si="1540">AZ182-AZ185</f>
        <v>-101.28706323253847</v>
      </c>
      <c r="BA186" s="70">
        <f t="shared" si="1540"/>
        <v>-97.94902467458914</v>
      </c>
      <c r="BB186" s="70">
        <f t="shared" si="1540"/>
        <v>-133.49966088557312</v>
      </c>
      <c r="BC186" s="70">
        <f t="shared" si="1540"/>
        <v>-135.00571009217074</v>
      </c>
      <c r="BD186" s="70">
        <f t="shared" ref="BD186:CE186" si="1541">BD182-BD185</f>
        <v>-140.61026599057021</v>
      </c>
      <c r="BE186" s="70">
        <f t="shared" si="1541"/>
        <v>-129.21160851159433</v>
      </c>
      <c r="BF186" s="70">
        <f t="shared" si="1541"/>
        <v>-121.86245353159855</v>
      </c>
      <c r="BG186" s="70">
        <f t="shared" si="1541"/>
        <v>-110.99342209391914</v>
      </c>
      <c r="BH186" s="70">
        <f t="shared" si="1541"/>
        <v>-98.181085283221677</v>
      </c>
      <c r="BI186" s="70">
        <f t="shared" si="1541"/>
        <v>-89.641277796937246</v>
      </c>
      <c r="BJ186" s="70">
        <f t="shared" si="1541"/>
        <v>-65.010731480944372</v>
      </c>
      <c r="BK186" s="70">
        <f t="shared" si="1541"/>
        <v>-58.039784212860042</v>
      </c>
      <c r="BL186" s="70">
        <f t="shared" si="1541"/>
        <v>-72.503631345776739</v>
      </c>
      <c r="BM186" s="70">
        <f t="shared" si="1541"/>
        <v>-70.427083621650993</v>
      </c>
      <c r="BN186" s="70">
        <f t="shared" si="1541"/>
        <v>-86.436508408105055</v>
      </c>
      <c r="BO186" s="70">
        <f t="shared" si="1541"/>
        <v>-128.50686045762561</v>
      </c>
      <c r="BP186" s="70">
        <f t="shared" si="1541"/>
        <v>-35.506484402383478</v>
      </c>
      <c r="BQ186" s="70">
        <f t="shared" si="1541"/>
        <v>-34.093902308431751</v>
      </c>
      <c r="BR186" s="70">
        <f t="shared" si="1541"/>
        <v>19.695458903512602</v>
      </c>
      <c r="BS186" s="70">
        <f t="shared" si="1541"/>
        <v>22.204980122156044</v>
      </c>
      <c r="BT186" s="70">
        <f t="shared" si="1541"/>
        <v>-16.209040786918123</v>
      </c>
      <c r="BU186" s="70">
        <f t="shared" si="1541"/>
        <v>-14.475010732080321</v>
      </c>
      <c r="BV186" s="70">
        <f t="shared" si="1541"/>
        <v>31.5330331686298</v>
      </c>
      <c r="BW186" s="70">
        <f t="shared" si="1541"/>
        <v>30.843676293445924</v>
      </c>
      <c r="BX186" s="70">
        <f t="shared" si="1541"/>
        <v>-28.899053178614651</v>
      </c>
      <c r="BY186" s="70">
        <f t="shared" si="1541"/>
        <v>-30.802919815916795</v>
      </c>
      <c r="BZ186" s="70">
        <f t="shared" si="1541"/>
        <v>28.831170461631189</v>
      </c>
      <c r="CA186" s="70">
        <f t="shared" si="1541"/>
        <v>28.718277996631855</v>
      </c>
      <c r="CB186" s="70">
        <f t="shared" si="1541"/>
        <v>23.384545071016731</v>
      </c>
      <c r="CC186" s="70">
        <f t="shared" si="1541"/>
        <v>23.024118332187754</v>
      </c>
      <c r="CD186" s="70">
        <f t="shared" si="1541"/>
        <v>26.993135322503917</v>
      </c>
      <c r="CE186" s="115">
        <f t="shared" si="1541"/>
        <v>30.550317336913906</v>
      </c>
      <c r="CF186" s="70">
        <f t="shared" ref="CF186:CG186" si="1542">CF182-CF185</f>
        <v>22.934692880977565</v>
      </c>
      <c r="CG186" s="70">
        <f t="shared" si="1542"/>
        <v>24.252516411343407</v>
      </c>
      <c r="CH186" s="70">
        <f t="shared" ref="CH186:CI186" si="1543">CH182-CH185</f>
        <v>-53.234804156341752</v>
      </c>
      <c r="CI186" s="70">
        <f t="shared" si="1543"/>
        <v>-53.234804156341752</v>
      </c>
      <c r="CJ186" s="70">
        <f t="shared" ref="CJ186:DB186" si="1544">CJ182-CJ185</f>
        <v>1.9092005586355754</v>
      </c>
      <c r="CK186" s="70">
        <f t="shared" si="1544"/>
        <v>41.909200558635575</v>
      </c>
      <c r="CL186" s="70">
        <f t="shared" ref="CL186" si="1545">CL182-CL185</f>
        <v>-0.66540625288206456</v>
      </c>
      <c r="CM186" s="50">
        <f t="shared" si="1544"/>
        <v>-0.66540625288209299</v>
      </c>
      <c r="CN186" s="50">
        <f t="shared" si="1544"/>
        <v>-0.66540625288209299</v>
      </c>
      <c r="CO186" s="50">
        <f t="shared" si="1544"/>
        <v>-0.66540625288209299</v>
      </c>
      <c r="CP186" s="50">
        <f t="shared" si="1544"/>
        <v>-0.66540625288209299</v>
      </c>
      <c r="CQ186" s="50">
        <f t="shared" si="1544"/>
        <v>-0.66540625288209299</v>
      </c>
      <c r="CR186" s="50">
        <f t="shared" si="1544"/>
        <v>-0.66540625288209299</v>
      </c>
      <c r="CS186" s="50">
        <f t="shared" si="1544"/>
        <v>-0.66540625288209299</v>
      </c>
      <c r="CT186" s="50">
        <f t="shared" si="1544"/>
        <v>15.334593747117907</v>
      </c>
      <c r="CU186" s="50">
        <f t="shared" si="1544"/>
        <v>15.334593747117907</v>
      </c>
      <c r="CV186" s="50">
        <f t="shared" si="1544"/>
        <v>15.334593747117907</v>
      </c>
      <c r="CW186" s="50">
        <f t="shared" si="1544"/>
        <v>15.334593747117907</v>
      </c>
      <c r="CX186" s="50">
        <f t="shared" si="1544"/>
        <v>15.334593747117907</v>
      </c>
      <c r="CY186" s="50">
        <f t="shared" si="1544"/>
        <v>15.334593747117907</v>
      </c>
      <c r="CZ186" s="50">
        <f t="shared" si="1544"/>
        <v>15.334593747117907</v>
      </c>
      <c r="DA186" s="50">
        <f t="shared" si="1544"/>
        <v>15.334593747117907</v>
      </c>
      <c r="DB186" s="50">
        <f t="shared" si="1544"/>
        <v>15.334593747117907</v>
      </c>
      <c r="DE186" s="138"/>
      <c r="DF186" s="7">
        <v>41.909200558635575</v>
      </c>
    </row>
    <row r="187" spans="1:110" s="7" customFormat="1" x14ac:dyDescent="0.2">
      <c r="A187" s="69" t="s">
        <v>86</v>
      </c>
      <c r="AA187" s="77"/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46">C10/B10-1</f>
        <v>1.0593458846896122</v>
      </c>
      <c r="D188" s="86">
        <f t="shared" si="1546"/>
        <v>9.0609017857121499E-2</v>
      </c>
      <c r="E188" s="86">
        <f t="shared" si="1546"/>
        <v>0.13320106024669554</v>
      </c>
      <c r="F188" s="86">
        <f t="shared" si="1546"/>
        <v>0.28010042798374779</v>
      </c>
      <c r="G188" s="86">
        <f t="shared" si="1546"/>
        <v>0.24666257042664852</v>
      </c>
      <c r="H188" s="86">
        <f t="shared" si="1546"/>
        <v>0.37031460836826979</v>
      </c>
      <c r="I188" s="86">
        <f t="shared" si="1546"/>
        <v>0.20547180625913075</v>
      </c>
      <c r="J188" s="86">
        <f t="shared" si="1546"/>
        <v>0.10264449750362137</v>
      </c>
      <c r="K188" s="86">
        <f t="shared" si="1546"/>
        <v>0.34727097899334902</v>
      </c>
      <c r="L188" s="86">
        <f t="shared" si="1546"/>
        <v>0.30465969031468187</v>
      </c>
      <c r="M188" s="86">
        <f t="shared" si="1546"/>
        <v>0.34870641169853767</v>
      </c>
      <c r="N188" s="86">
        <f t="shared" si="1546"/>
        <v>0.10756176412339147</v>
      </c>
      <c r="O188" s="86">
        <f t="shared" si="1546"/>
        <v>9.4186802061139163E-2</v>
      </c>
      <c r="P188" s="86">
        <f t="shared" si="1546"/>
        <v>-0.13585830686369282</v>
      </c>
      <c r="Q188" s="86">
        <f t="shared" si="1546"/>
        <v>-0.2701825881976907</v>
      </c>
      <c r="R188" s="86">
        <f t="shared" si="1546"/>
        <v>0.1145369143683006</v>
      </c>
      <c r="S188" s="86">
        <f t="shared" si="1546"/>
        <v>0.28258050572725302</v>
      </c>
      <c r="T188" s="86">
        <f t="shared" si="1546"/>
        <v>0.45326123310789246</v>
      </c>
      <c r="U188" s="86">
        <f t="shared" si="1546"/>
        <v>4.9763795020809631E-2</v>
      </c>
      <c r="V188" s="86">
        <f t="shared" si="1546"/>
        <v>-0.21858301187378149</v>
      </c>
      <c r="W188" s="86">
        <f t="shared" si="1546"/>
        <v>0.49052736633799077</v>
      </c>
      <c r="X188" s="86">
        <f t="shared" si="1546"/>
        <v>0.26132423706432673</v>
      </c>
      <c r="Y188" s="86">
        <f t="shared" si="1546"/>
        <v>2.6461692687122396E-2</v>
      </c>
      <c r="Z188" s="86">
        <f>Z10/Y10-1</f>
        <v>7.0615405786936369E-2</v>
      </c>
      <c r="AA188" s="87">
        <f t="shared" ref="AA188:AE188" si="1547">AA10/Z10-1</f>
        <v>9.5912378342125404E-2</v>
      </c>
      <c r="AB188" s="87">
        <f t="shared" si="1547"/>
        <v>0.10440161498729195</v>
      </c>
      <c r="AC188" s="87">
        <f t="shared" si="1547"/>
        <v>0.10590819403234564</v>
      </c>
      <c r="AD188" s="87">
        <f t="shared" si="1547"/>
        <v>0.10616006108762055</v>
      </c>
      <c r="AE188" s="87">
        <f t="shared" si="1547"/>
        <v>0.10619705867907969</v>
      </c>
      <c r="AN188" s="86">
        <f t="shared" ref="AN188:CI188" si="1548">+(AN10+AM10)/(AJ10+AI10)-1</f>
        <v>0.16893508660241907</v>
      </c>
      <c r="AO188" s="86">
        <f t="shared" si="1548"/>
        <v>0.26764990066333016</v>
      </c>
      <c r="AP188" s="86">
        <f t="shared" si="1548"/>
        <v>0.2436041418656365</v>
      </c>
      <c r="AQ188" s="86">
        <f t="shared" si="1548"/>
        <v>0.14511202469991913</v>
      </c>
      <c r="AR188" s="86">
        <f t="shared" si="1548"/>
        <v>6.774838727851451E-3</v>
      </c>
      <c r="AS188" s="86">
        <f t="shared" si="1548"/>
        <v>-0.12933725575838551</v>
      </c>
      <c r="AT188" s="86">
        <f t="shared" si="1548"/>
        <v>-0.27303513857657613</v>
      </c>
      <c r="AU188" s="86">
        <f t="shared" si="1548"/>
        <v>-0.30751004479304844</v>
      </c>
      <c r="AV188" s="86">
        <f t="shared" si="1548"/>
        <v>-0.31473113315332713</v>
      </c>
      <c r="AW188" s="86">
        <f t="shared" si="1548"/>
        <v>-0.322070576662978</v>
      </c>
      <c r="AX188" s="86">
        <f t="shared" si="1548"/>
        <v>-0.20990322861153554</v>
      </c>
      <c r="AY188" s="86">
        <f t="shared" si="1548"/>
        <v>-0.13463580525384322</v>
      </c>
      <c r="AZ188" s="86">
        <f t="shared" si="1548"/>
        <v>-3.9442792299264395E-2</v>
      </c>
      <c r="BA188" s="86">
        <f t="shared" si="1548"/>
        <v>0.12862013929193261</v>
      </c>
      <c r="BB188" s="86">
        <f t="shared" si="1548"/>
        <v>0.29108361372283897</v>
      </c>
      <c r="BC188" s="86">
        <f t="shared" si="1548"/>
        <v>0.34974255329387427</v>
      </c>
      <c r="BD188" s="86">
        <f t="shared" si="1548"/>
        <v>0.23946695382958683</v>
      </c>
      <c r="BE188" s="86">
        <f t="shared" si="1548"/>
        <v>0.22962158270606614</v>
      </c>
      <c r="BF188" s="86">
        <f t="shared" si="1548"/>
        <v>0.31963514805365612</v>
      </c>
      <c r="BG188" s="86">
        <f t="shared" si="1548"/>
        <v>0.45977277858984866</v>
      </c>
      <c r="BH188" s="86">
        <f t="shared" si="1548"/>
        <v>0.55516370204398924</v>
      </c>
      <c r="BI188" s="86">
        <f t="shared" si="1548"/>
        <v>0.56944655002064914</v>
      </c>
      <c r="BJ188" s="86">
        <f t="shared" si="1548"/>
        <v>0.3680378359672396</v>
      </c>
      <c r="BK188" s="86">
        <f t="shared" si="1548"/>
        <v>0.21125407557261533</v>
      </c>
      <c r="BL188" s="86">
        <f t="shared" si="1548"/>
        <v>0.1310722253463148</v>
      </c>
      <c r="BM188" s="86">
        <f t="shared" si="1548"/>
        <v>9.4663597816275757E-3</v>
      </c>
      <c r="BN188" s="86">
        <f t="shared" si="1548"/>
        <v>-2.2577642265454223E-2</v>
      </c>
      <c r="BO188" s="86">
        <f t="shared" si="1548"/>
        <v>-0.24473233188829524</v>
      </c>
      <c r="BP188" s="86">
        <f t="shared" si="1548"/>
        <v>-0.35176333345248112</v>
      </c>
      <c r="BQ188" s="86">
        <f t="shared" si="1548"/>
        <v>-0.2440647654118121</v>
      </c>
      <c r="BR188" s="86">
        <f t="shared" si="1548"/>
        <v>-7.7154806517733321E-2</v>
      </c>
      <c r="BS188" s="86">
        <f t="shared" si="1548"/>
        <v>0.28823333110858984</v>
      </c>
      <c r="BT188" s="86">
        <f t="shared" si="1548"/>
        <v>0.54173914351167229</v>
      </c>
      <c r="BU188" s="86">
        <f t="shared" si="1548"/>
        <v>0.53925865139504836</v>
      </c>
      <c r="BV188" s="86">
        <f t="shared" si="1548"/>
        <v>0.46727989978873374</v>
      </c>
      <c r="BW188" s="86">
        <f t="shared" si="1548"/>
        <v>0.47217501830590902</v>
      </c>
      <c r="BX188" s="86">
        <f t="shared" si="1548"/>
        <v>0.45748471842892435</v>
      </c>
      <c r="BY188" s="86">
        <f t="shared" si="1548"/>
        <v>0.26516711188244035</v>
      </c>
      <c r="BZ188" s="86">
        <f t="shared" si="1548"/>
        <v>9.4721739440675634E-2</v>
      </c>
      <c r="CA188" s="86">
        <f t="shared" si="1548"/>
        <v>-1.369448419867203E-2</v>
      </c>
      <c r="CB188" s="86">
        <f t="shared" si="1548"/>
        <v>-1.9673674441846756E-2</v>
      </c>
      <c r="CC188" s="86">
        <f t="shared" si="1548"/>
        <v>2.4265599153640238E-2</v>
      </c>
      <c r="CD188" s="86">
        <f t="shared" si="1548"/>
        <v>7.4604663722644293E-2</v>
      </c>
      <c r="CE188" s="86">
        <f t="shared" si="1548"/>
        <v>0.11399809226128887</v>
      </c>
      <c r="CF188" s="86">
        <f t="shared" si="1548"/>
        <v>5.4327617790622229E-2</v>
      </c>
      <c r="CG188" s="86">
        <f t="shared" si="1548"/>
        <v>3.1837836891538185E-2</v>
      </c>
      <c r="CH188" s="86">
        <f t="shared" si="1548"/>
        <v>8.6120805252816623E-2</v>
      </c>
      <c r="CI188" s="86">
        <f t="shared" si="1548"/>
        <v>7.8372128280630449E-2</v>
      </c>
      <c r="CJ188" s="86">
        <f>+(CJ10+CI10)/(CF10+CE10)-1</f>
        <v>7.5403771483578241E-2</v>
      </c>
      <c r="CL188" s="86">
        <f>+(CL10+CK10)/(CH10+CG10)-1</f>
        <v>0.11486435275861928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</row>
    <row r="189" spans="1:110" s="86" customFormat="1" x14ac:dyDescent="0.2">
      <c r="A189" s="86" t="s">
        <v>441</v>
      </c>
      <c r="C189" s="86">
        <f t="shared" ref="C189" si="1549">C186/B186-1</f>
        <v>-0.15332168072974395</v>
      </c>
      <c r="D189" s="86">
        <f t="shared" ref="D189" si="1550">D186/C186-1</f>
        <v>4.4561958751277109E-2</v>
      </c>
      <c r="E189" s="86">
        <f>E186/D186-1</f>
        <v>-0.41674318684515976</v>
      </c>
      <c r="F189" s="86">
        <f t="shared" ref="F189" si="1551">F186/E186-1</f>
        <v>-0.57082431766199249</v>
      </c>
      <c r="G189" s="86">
        <f t="shared" ref="G189" si="1552">G186/F186-1</f>
        <v>0.8296575717403547</v>
      </c>
      <c r="H189" s="86">
        <f t="shared" ref="H189" si="1553">H186/G186-1</f>
        <v>0.55004454149019955</v>
      </c>
      <c r="I189" s="86">
        <f t="shared" ref="I189" si="1554">I186/H186-1</f>
        <v>0.55278089136658837</v>
      </c>
      <c r="J189" s="86">
        <f t="shared" ref="J189" si="1555">J186/I186-1</f>
        <v>-1.1306677968690528</v>
      </c>
      <c r="K189" s="86">
        <f>K186/J186-1</f>
        <v>-4.2400501791488292</v>
      </c>
      <c r="L189" s="86">
        <f t="shared" ref="L189" si="1556">L186/K186-1</f>
        <v>-0.26497933421346531</v>
      </c>
      <c r="M189" s="86">
        <f t="shared" ref="M189" si="1557">M186/L186-1</f>
        <v>0.90311600116466884</v>
      </c>
      <c r="N189" s="86">
        <f t="shared" ref="N189" si="1558">N186/M186-1</f>
        <v>-0.26434171113452087</v>
      </c>
      <c r="O189" s="86">
        <f t="shared" ref="O189" si="1559">O186/N186-1</f>
        <v>-0.31252275401805507</v>
      </c>
      <c r="P189" s="86">
        <f t="shared" ref="P189" si="1560">P186/O186-1</f>
        <v>-1.5583747921218243</v>
      </c>
      <c r="Q189" s="86">
        <f t="shared" ref="Q189" si="1561">Q186/P186-1</f>
        <v>9.3951468732613979</v>
      </c>
      <c r="R189" s="86">
        <f t="shared" ref="R189" si="1562">R186/Q186-1</f>
        <v>0.53477345243351793</v>
      </c>
      <c r="S189" s="86">
        <f t="shared" ref="S189" si="1563">S186/R186-1</f>
        <v>-0.15513369214358952</v>
      </c>
      <c r="T189" s="86">
        <f t="shared" ref="T189" si="1564">T186/S186-1</f>
        <v>-0.52088277434676233</v>
      </c>
      <c r="U189" s="86">
        <f t="shared" ref="U189" si="1565">U186/T186-1</f>
        <v>1.5407329172811846E-3</v>
      </c>
      <c r="V189" s="86">
        <f t="shared" ref="V189" si="1566">V186/U186-1</f>
        <v>-1.4582594865656211</v>
      </c>
      <c r="W189" s="86">
        <f t="shared" ref="W189:Z189" si="1567">W186/V186-1</f>
        <v>-1.4875222621233488</v>
      </c>
      <c r="X189" s="86">
        <f t="shared" si="1567"/>
        <v>2.650109027963591</v>
      </c>
      <c r="Y189" s="86">
        <f t="shared" si="1567"/>
        <v>-3.4386189932574807E-2</v>
      </c>
      <c r="Z189" s="86">
        <f t="shared" si="1567"/>
        <v>0.32580163512357352</v>
      </c>
      <c r="AA189" s="87">
        <f t="shared" ref="AA189" si="1568">AA186/Z186-1</f>
        <v>-0.9871458309472434</v>
      </c>
      <c r="AB189" s="87">
        <f t="shared" ref="AB189" si="1569">AB186/AA186-1</f>
        <v>9.0290265910855094E-3</v>
      </c>
      <c r="AC189" s="87">
        <f t="shared" ref="AC189" si="1570">AC186/AB186-1</f>
        <v>-24.054605020999652</v>
      </c>
      <c r="AD189" s="87">
        <f t="shared" ref="AD189" si="1571">AD186/AC186-1</f>
        <v>2.9127935943451533E-5</v>
      </c>
      <c r="AE189" s="87">
        <f t="shared" ref="AE189" si="1572">AE186/AD186-1</f>
        <v>-1.347944235230436E-6</v>
      </c>
      <c r="AN189" s="86">
        <f t="shared" ref="AN189:CI189" si="1573">+AN186/AJ186-1</f>
        <v>-0.17850042273447764</v>
      </c>
      <c r="AO189" s="86">
        <f t="shared" si="1573"/>
        <v>-0.26728356061456437</v>
      </c>
      <c r="AP189" s="86">
        <f t="shared" si="1573"/>
        <v>0.57626709784218</v>
      </c>
      <c r="AQ189" s="86">
        <f t="shared" si="1573"/>
        <v>0.36994618636954613</v>
      </c>
      <c r="AR189" s="86">
        <f t="shared" si="1573"/>
        <v>-1.1871410005311858</v>
      </c>
      <c r="AS189" s="86">
        <f t="shared" si="1573"/>
        <v>-1.2284617199789487</v>
      </c>
      <c r="AT189" s="86">
        <f t="shared" si="1573"/>
        <v>-3.3488273826498043</v>
      </c>
      <c r="AU189" s="86">
        <f t="shared" si="1573"/>
        <v>-3.0946377239137135</v>
      </c>
      <c r="AV189" s="86">
        <f t="shared" si="1573"/>
        <v>20.205657580590604</v>
      </c>
      <c r="AW189" s="86">
        <f t="shared" si="1573"/>
        <v>17.331025537696121</v>
      </c>
      <c r="AX189" s="86">
        <f t="shared" si="1573"/>
        <v>3.3662907685521741</v>
      </c>
      <c r="AY189" s="86">
        <f t="shared" si="1573"/>
        <v>3.4217296078502741</v>
      </c>
      <c r="AZ189" s="86">
        <f t="shared" si="1573"/>
        <v>0.9371906644051069</v>
      </c>
      <c r="BA189" s="86">
        <f t="shared" si="1573"/>
        <v>0.81683657602186543</v>
      </c>
      <c r="BB189" s="86">
        <f t="shared" si="1573"/>
        <v>7.7373132072959816E-2</v>
      </c>
      <c r="BC189" s="86">
        <f t="shared" si="1573"/>
        <v>0.21515787757819149</v>
      </c>
      <c r="BD189" s="86">
        <f t="shared" si="1573"/>
        <v>0.38823519512805027</v>
      </c>
      <c r="BE189" s="86">
        <f t="shared" si="1573"/>
        <v>0.31917197686109922</v>
      </c>
      <c r="BF189" s="86">
        <f t="shared" si="1573"/>
        <v>-8.7170313967682711E-2</v>
      </c>
      <c r="BG189" s="86">
        <f t="shared" si="1573"/>
        <v>-0.17786127699234355</v>
      </c>
      <c r="BH189" s="86">
        <f t="shared" si="1573"/>
        <v>-0.30175023429792802</v>
      </c>
      <c r="BI189" s="86">
        <f t="shared" si="1573"/>
        <v>-0.30624439375434587</v>
      </c>
      <c r="BJ189" s="86">
        <f t="shared" si="1573"/>
        <v>-0.46652369456776699</v>
      </c>
      <c r="BK189" s="86">
        <f t="shared" si="1573"/>
        <v>-0.47708807316753776</v>
      </c>
      <c r="BL189" s="86">
        <f t="shared" si="1573"/>
        <v>-0.26153157569376551</v>
      </c>
      <c r="BM189" s="86">
        <f t="shared" si="1573"/>
        <v>-0.21434538471006426</v>
      </c>
      <c r="BN189" s="86">
        <f t="shared" si="1573"/>
        <v>0.32957292494764356</v>
      </c>
      <c r="BO189" s="86">
        <f t="shared" si="1573"/>
        <v>1.2141167855884616</v>
      </c>
      <c r="BP189" s="86">
        <f t="shared" si="1573"/>
        <v>-0.51027991642170778</v>
      </c>
      <c r="BQ189" s="86">
        <f t="shared" si="1573"/>
        <v>-0.5158978541324909</v>
      </c>
      <c r="BR189" s="86">
        <f t="shared" si="1573"/>
        <v>-1.2278604176203141</v>
      </c>
      <c r="BS189" s="86">
        <f t="shared" si="1573"/>
        <v>-1.1727921765661531</v>
      </c>
      <c r="BT189" s="86">
        <f t="shared" si="1573"/>
        <v>-0.54349068741285911</v>
      </c>
      <c r="BU189" s="86">
        <f t="shared" si="1573"/>
        <v>-0.57543696227168128</v>
      </c>
      <c r="BV189" s="86">
        <f t="shared" si="1573"/>
        <v>0.60103063975859006</v>
      </c>
      <c r="BW189" s="86">
        <f t="shared" si="1573"/>
        <v>0.38904318417606776</v>
      </c>
      <c r="BX189" s="86">
        <f t="shared" si="1573"/>
        <v>0.78289718426387656</v>
      </c>
      <c r="BY189" s="86">
        <f t="shared" si="1573"/>
        <v>1.1280066996875973</v>
      </c>
      <c r="BZ189" s="86">
        <f t="shared" si="1573"/>
        <v>-8.568356531228094E-2</v>
      </c>
      <c r="CA189" s="86">
        <f t="shared" si="1573"/>
        <v>-6.8908721405097295E-2</v>
      </c>
      <c r="CB189" s="86">
        <f t="shared" si="1573"/>
        <v>-1.8091803190397024</v>
      </c>
      <c r="CC189" s="86">
        <f t="shared" si="1573"/>
        <v>-1.7474654503463825</v>
      </c>
      <c r="CD189" s="86">
        <f t="shared" si="1573"/>
        <v>-6.375166563471113E-2</v>
      </c>
      <c r="CE189" s="86">
        <f t="shared" si="1573"/>
        <v>6.3793495574383519E-2</v>
      </c>
      <c r="CF189" s="86">
        <f t="shared" si="1573"/>
        <v>-1.9237158074831284E-2</v>
      </c>
      <c r="CG189" s="86">
        <f t="shared" si="1573"/>
        <v>5.3352665297865087E-2</v>
      </c>
      <c r="CH189" s="86">
        <f t="shared" si="1573"/>
        <v>-2.9721608297929141</v>
      </c>
      <c r="CI189" s="86">
        <f t="shared" si="1573"/>
        <v>-2.7425286804473945</v>
      </c>
      <c r="CJ189" s="86">
        <f>+CJ186/CF186-1</f>
        <v>-0.91675491062628967</v>
      </c>
      <c r="CL189" s="86">
        <f>+CL186/CH186-1</f>
        <v>-0.987500540982026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574">IF(E189&gt;E188,"RF",0)</f>
        <v>0</v>
      </c>
      <c r="F190" s="103">
        <f t="shared" si="1574"/>
        <v>0</v>
      </c>
      <c r="G190" s="103" t="str">
        <f t="shared" si="1574"/>
        <v>RF</v>
      </c>
      <c r="H190" s="103" t="str">
        <f t="shared" si="1574"/>
        <v>RF</v>
      </c>
      <c r="I190" s="103" t="str">
        <f t="shared" si="1574"/>
        <v>RF</v>
      </c>
      <c r="J190" s="103">
        <f t="shared" si="1574"/>
        <v>0</v>
      </c>
      <c r="K190" s="103">
        <f t="shared" si="1574"/>
        <v>0</v>
      </c>
      <c r="L190" s="103">
        <f t="shared" si="1574"/>
        <v>0</v>
      </c>
      <c r="M190" s="103" t="str">
        <f t="shared" si="1574"/>
        <v>RF</v>
      </c>
      <c r="N190" s="103">
        <f t="shared" si="1574"/>
        <v>0</v>
      </c>
      <c r="O190" s="103">
        <f t="shared" si="1574"/>
        <v>0</v>
      </c>
      <c r="P190" s="103">
        <f t="shared" si="1574"/>
        <v>0</v>
      </c>
      <c r="Q190" s="103" t="str">
        <f t="shared" si="1574"/>
        <v>RF</v>
      </c>
      <c r="R190" s="103" t="str">
        <f t="shared" si="1574"/>
        <v>RF</v>
      </c>
      <c r="S190" s="103">
        <f t="shared" si="1574"/>
        <v>0</v>
      </c>
      <c r="T190" s="103">
        <f t="shared" si="1574"/>
        <v>0</v>
      </c>
      <c r="U190" s="103">
        <f t="shared" si="1574"/>
        <v>0</v>
      </c>
      <c r="V190" s="103">
        <f>IF(V189&gt;V188,"RF",0)</f>
        <v>0</v>
      </c>
      <c r="W190" s="103">
        <f t="shared" ref="W190" si="1575">IF(W189&gt;W188,"RF",0)</f>
        <v>0</v>
      </c>
      <c r="X190" s="103" t="str">
        <f t="shared" ref="X190:Y190" si="1576">IF(X189&gt;X188,"RF",0)</f>
        <v>RF</v>
      </c>
      <c r="Y190" s="103">
        <f t="shared" si="1576"/>
        <v>0</v>
      </c>
      <c r="Z190" s="103" t="str">
        <f t="shared" ref="Z190" si="1577">IF(Z189&gt;Z188,"RF",0)</f>
        <v>RF</v>
      </c>
      <c r="AA190" s="73">
        <f t="shared" ref="AA190:AD190" si="1578">IF(AA189&gt;AA188,"RF",0)</f>
        <v>0</v>
      </c>
      <c r="AB190" s="73">
        <f t="shared" si="1578"/>
        <v>0</v>
      </c>
      <c r="AC190" s="73">
        <f t="shared" si="1578"/>
        <v>0</v>
      </c>
      <c r="AD190" s="73">
        <f t="shared" si="1578"/>
        <v>0</v>
      </c>
      <c r="AE190" s="73">
        <f t="shared" ref="AE190" si="1579">IF(AE189&gt;AE188,"RF",0)</f>
        <v>0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</row>
    <row r="191" spans="1:110" x14ac:dyDescent="0.2">
      <c r="A191" s="153" t="s">
        <v>494</v>
      </c>
      <c r="CL191" s="2"/>
    </row>
    <row r="192" spans="1:110" x14ac:dyDescent="0.2">
      <c r="A192" s="152" t="s">
        <v>495</v>
      </c>
      <c r="CL192" s="2"/>
    </row>
    <row r="193" spans="1:110" s="23" customFormat="1" x14ac:dyDescent="0.2">
      <c r="A193" s="23" t="s">
        <v>22</v>
      </c>
      <c r="C193" s="23">
        <f t="shared" ref="C193:AE193" si="1580">C48</f>
        <v>3279.9000000000037</v>
      </c>
      <c r="D193" s="23">
        <f t="shared" si="1580"/>
        <v>4091.0399999999991</v>
      </c>
      <c r="E193" s="23">
        <f t="shared" si="1580"/>
        <v>5168.9900000000152</v>
      </c>
      <c r="F193" s="23">
        <f t="shared" si="1580"/>
        <v>7628.2299999999941</v>
      </c>
      <c r="G193" s="23">
        <f t="shared" si="1580"/>
        <v>9398.2299999999886</v>
      </c>
      <c r="H193" s="23">
        <f t="shared" si="1580"/>
        <v>12074.830000000002</v>
      </c>
      <c r="I193" s="23">
        <f t="shared" si="1580"/>
        <v>19521.37999999999</v>
      </c>
      <c r="J193" s="23">
        <f t="shared" si="1580"/>
        <v>14968.720000000018</v>
      </c>
      <c r="K193" s="23">
        <f t="shared" si="1580"/>
        <v>24503.140000000003</v>
      </c>
      <c r="L193" s="23">
        <f t="shared" si="1580"/>
        <v>19294</v>
      </c>
      <c r="M193" s="23">
        <f t="shared" si="1580"/>
        <v>19724</v>
      </c>
      <c r="N193" s="23">
        <f t="shared" si="1580"/>
        <v>20879</v>
      </c>
      <c r="O193" s="23">
        <f t="shared" si="1580"/>
        <v>22493</v>
      </c>
      <c r="P193" s="23">
        <f t="shared" si="1580"/>
        <v>23566</v>
      </c>
      <c r="Q193" s="23">
        <f t="shared" si="1580"/>
        <v>29745</v>
      </c>
      <c r="R193" s="23">
        <f t="shared" si="1580"/>
        <v>29901</v>
      </c>
      <c r="S193" s="23">
        <f t="shared" si="1580"/>
        <v>36075</v>
      </c>
      <c r="T193" s="23">
        <f t="shared" si="1580"/>
        <v>39588</v>
      </c>
      <c r="U193" s="23">
        <f t="shared" si="1580"/>
        <v>39354</v>
      </c>
      <c r="V193" s="23">
        <f t="shared" si="1580"/>
        <v>49128</v>
      </c>
      <c r="W193" s="23">
        <f t="shared" si="1580"/>
        <v>60705</v>
      </c>
      <c r="X193" s="23">
        <f t="shared" si="1580"/>
        <v>66702</v>
      </c>
      <c r="Y193" s="23">
        <f t="shared" si="1580"/>
        <v>69621</v>
      </c>
      <c r="Z193" s="23">
        <f t="shared" si="1580"/>
        <v>69648</v>
      </c>
      <c r="AA193" s="24">
        <f t="shared" si="1580"/>
        <v>80775</v>
      </c>
      <c r="AB193" s="24">
        <f t="shared" si="1580"/>
        <v>84107.805933827462</v>
      </c>
      <c r="AC193" s="24">
        <f t="shared" si="1580"/>
        <v>100806.59220358724</v>
      </c>
      <c r="AD193" s="24">
        <f t="shared" si="1580"/>
        <v>118541.69911862945</v>
      </c>
      <c r="AE193" s="24">
        <f t="shared" si="1580"/>
        <v>140543.40114610555</v>
      </c>
      <c r="AI193" s="23">
        <f t="shared" ref="AI193:BN193" si="1581">AI48</f>
        <v>4503</v>
      </c>
      <c r="AJ193" s="23">
        <f t="shared" si="1581"/>
        <v>5409</v>
      </c>
      <c r="AK193" s="23">
        <f t="shared" si="1581"/>
        <v>5502</v>
      </c>
      <c r="AL193" s="23">
        <f t="shared" si="1581"/>
        <v>5589</v>
      </c>
      <c r="AM193" s="23">
        <f t="shared" si="1581"/>
        <v>5237</v>
      </c>
      <c r="AN193" s="23">
        <f t="shared" si="1581"/>
        <v>5873</v>
      </c>
      <c r="AO193" s="23">
        <f t="shared" si="1581"/>
        <v>5502</v>
      </c>
      <c r="AP193" s="23">
        <f t="shared" si="1581"/>
        <v>5881</v>
      </c>
      <c r="AQ193" s="23">
        <f t="shared" si="1581"/>
        <v>5957</v>
      </c>
      <c r="AR193" s="23">
        <f t="shared" si="1581"/>
        <v>5972</v>
      </c>
      <c r="AS193" s="23">
        <f t="shared" si="1581"/>
        <v>5256</v>
      </c>
      <c r="AT193" s="23">
        <f t="shared" si="1581"/>
        <v>6381</v>
      </c>
      <c r="AU193" s="23">
        <f t="shared" si="1581"/>
        <v>6024</v>
      </c>
      <c r="AV193" s="23">
        <f t="shared" si="1581"/>
        <v>9345</v>
      </c>
      <c r="AW193" s="23">
        <f t="shared" si="1581"/>
        <v>7245</v>
      </c>
      <c r="AX193" s="23">
        <f t="shared" si="1581"/>
        <v>7167</v>
      </c>
      <c r="AY193" s="23">
        <f t="shared" si="1581"/>
        <v>7113</v>
      </c>
      <c r="AZ193" s="23">
        <f t="shared" si="1581"/>
        <v>7209</v>
      </c>
      <c r="BA193" s="23">
        <f t="shared" si="1581"/>
        <v>7533</v>
      </c>
      <c r="BB193" s="23">
        <f t="shared" si="1581"/>
        <v>8046</v>
      </c>
      <c r="BC193" s="23">
        <f t="shared" si="1581"/>
        <v>9108</v>
      </c>
      <c r="BD193" s="23">
        <f t="shared" si="1581"/>
        <v>8109</v>
      </c>
      <c r="BE193" s="23">
        <f t="shared" si="1581"/>
        <v>9420</v>
      </c>
      <c r="BF193" s="23">
        <f t="shared" si="1581"/>
        <v>9438</v>
      </c>
      <c r="BG193" s="23">
        <f t="shared" si="1581"/>
        <v>9459</v>
      </c>
      <c r="BH193" s="23">
        <f t="shared" si="1581"/>
        <v>9516</v>
      </c>
      <c r="BI193" s="23">
        <f t="shared" si="1581"/>
        <v>10251</v>
      </c>
      <c r="BJ193" s="23">
        <f t="shared" si="1581"/>
        <v>10362</v>
      </c>
      <c r="BK193" s="23">
        <f t="shared" si="1581"/>
        <v>10104</v>
      </c>
      <c r="BL193" s="23">
        <f t="shared" si="1581"/>
        <v>11262</v>
      </c>
      <c r="BM193" s="23">
        <f t="shared" si="1581"/>
        <v>11640</v>
      </c>
      <c r="BN193" s="23">
        <f t="shared" si="1581"/>
        <v>6348</v>
      </c>
      <c r="BO193" s="23">
        <f t="shared" ref="BO193:CT193" si="1582">BO48</f>
        <v>13233</v>
      </c>
      <c r="BP193" s="23">
        <f t="shared" si="1582"/>
        <v>9567</v>
      </c>
      <c r="BQ193" s="23">
        <f t="shared" si="1582"/>
        <v>13101</v>
      </c>
      <c r="BR193" s="23">
        <f t="shared" si="1582"/>
        <v>13227</v>
      </c>
      <c r="BS193" s="23">
        <f t="shared" si="1582"/>
        <v>12273</v>
      </c>
      <c r="BT193" s="23">
        <f t="shared" si="1582"/>
        <v>13680</v>
      </c>
      <c r="BU193" s="23">
        <f t="shared" si="1582"/>
        <v>18549</v>
      </c>
      <c r="BV193" s="23">
        <f t="shared" si="1582"/>
        <v>16203</v>
      </c>
      <c r="BW193" s="23">
        <f t="shared" si="1582"/>
        <v>17955</v>
      </c>
      <c r="BX193" s="23">
        <f t="shared" si="1582"/>
        <v>13656</v>
      </c>
      <c r="BY193" s="23">
        <f t="shared" si="1582"/>
        <v>15792</v>
      </c>
      <c r="BZ193" s="23">
        <f t="shared" si="1582"/>
        <v>19299</v>
      </c>
      <c r="CA193" s="23">
        <f t="shared" si="1582"/>
        <v>16011</v>
      </c>
      <c r="CB193" s="23">
        <f t="shared" si="1582"/>
        <v>17394</v>
      </c>
      <c r="CC193" s="23">
        <f t="shared" si="1582"/>
        <v>17265</v>
      </c>
      <c r="CD193" s="23">
        <f t="shared" si="1582"/>
        <v>18951</v>
      </c>
      <c r="CE193" s="23">
        <f t="shared" si="1582"/>
        <v>15138</v>
      </c>
      <c r="CF193" s="23">
        <f t="shared" si="1582"/>
        <v>16563</v>
      </c>
      <c r="CG193" s="23">
        <f t="shared" si="1582"/>
        <v>18540</v>
      </c>
      <c r="CH193" s="23">
        <f t="shared" si="1582"/>
        <v>19407</v>
      </c>
      <c r="CI193" s="23">
        <f t="shared" si="1582"/>
        <v>26994</v>
      </c>
      <c r="CJ193" s="23">
        <f t="shared" si="1582"/>
        <v>18165</v>
      </c>
      <c r="CK193" s="23">
        <f t="shared" si="1582"/>
        <v>18645</v>
      </c>
      <c r="CL193" s="23">
        <f t="shared" ref="CL193" si="1583">CL48</f>
        <v>16971</v>
      </c>
      <c r="CM193" s="24">
        <f t="shared" si="1582"/>
        <v>18462.512476791082</v>
      </c>
      <c r="CN193" s="24">
        <f t="shared" si="1582"/>
        <v>19850.449703870017</v>
      </c>
      <c r="CO193" s="24">
        <f t="shared" si="1582"/>
        <v>20889.620133894947</v>
      </c>
      <c r="CP193" s="24">
        <f t="shared" si="1582"/>
        <v>24905.223619271459</v>
      </c>
      <c r="CQ193" s="24">
        <f t="shared" si="1582"/>
        <v>21610.068529184551</v>
      </c>
      <c r="CR193" s="24">
        <f t="shared" si="1582"/>
        <v>23680.181400441594</v>
      </c>
      <c r="CS193" s="24">
        <f t="shared" si="1582"/>
        <v>25366.078009445351</v>
      </c>
      <c r="CT193" s="24">
        <f t="shared" si="1582"/>
        <v>30150.264264515674</v>
      </c>
      <c r="CU193" s="24">
        <f t="shared" ref="CU193:DB193" si="1584">CU48</f>
        <v>25415.491721445527</v>
      </c>
      <c r="CV193" s="24">
        <f t="shared" si="1584"/>
        <v>27968.053797175737</v>
      </c>
      <c r="CW193" s="24">
        <f t="shared" si="1584"/>
        <v>29935.712190837519</v>
      </c>
      <c r="CX193" s="24">
        <f t="shared" si="1584"/>
        <v>35222.441409170875</v>
      </c>
      <c r="CY193" s="24">
        <f t="shared" si="1584"/>
        <v>30381.366641955363</v>
      </c>
      <c r="CZ193" s="24">
        <f t="shared" si="1584"/>
        <v>33286.803427976876</v>
      </c>
      <c r="DA193" s="24">
        <f t="shared" si="1584"/>
        <v>35505.1259478231</v>
      </c>
      <c r="DB193" s="24">
        <f t="shared" si="1584"/>
        <v>41370.105128350253</v>
      </c>
      <c r="DE193" s="123"/>
      <c r="DF193" s="23">
        <v>19457.16600624736</v>
      </c>
    </row>
    <row r="194" spans="1:110" s="23" customFormat="1" x14ac:dyDescent="0.2">
      <c r="A194" s="23" t="s">
        <v>88</v>
      </c>
      <c r="C194" s="23">
        <f t="shared" ref="C194:AE194" si="1585">C32</f>
        <v>3435.84</v>
      </c>
      <c r="D194" s="23">
        <f t="shared" si="1585"/>
        <v>3453.17</v>
      </c>
      <c r="E194" s="23">
        <f t="shared" si="1585"/>
        <v>3335.18</v>
      </c>
      <c r="F194" s="23">
        <f t="shared" si="1585"/>
        <v>3788.43</v>
      </c>
      <c r="G194" s="23">
        <f t="shared" si="1585"/>
        <v>4947.75</v>
      </c>
      <c r="H194" s="23">
        <f t="shared" si="1585"/>
        <v>6896.46</v>
      </c>
      <c r="I194" s="23">
        <f t="shared" si="1585"/>
        <v>6784.91</v>
      </c>
      <c r="J194" s="23">
        <f t="shared" si="1585"/>
        <v>7712.58</v>
      </c>
      <c r="K194" s="23">
        <f t="shared" si="1585"/>
        <v>14000.62</v>
      </c>
      <c r="L194" s="23">
        <f t="shared" si="1585"/>
        <v>16820</v>
      </c>
      <c r="M194" s="23">
        <f t="shared" si="1585"/>
        <v>14827</v>
      </c>
      <c r="N194" s="23">
        <f t="shared" si="1585"/>
        <v>13393</v>
      </c>
      <c r="O194" s="23">
        <f t="shared" si="1585"/>
        <v>13159</v>
      </c>
      <c r="P194" s="23">
        <f t="shared" si="1585"/>
        <v>11661</v>
      </c>
      <c r="Q194" s="23">
        <f t="shared" si="1585"/>
        <v>11565</v>
      </c>
      <c r="R194" s="23">
        <f t="shared" si="1585"/>
        <v>11646</v>
      </c>
      <c r="S194" s="23">
        <f t="shared" si="1585"/>
        <v>16706</v>
      </c>
      <c r="T194" s="23">
        <f t="shared" si="1585"/>
        <v>20934</v>
      </c>
      <c r="U194" s="23">
        <f t="shared" si="1585"/>
        <v>22203</v>
      </c>
      <c r="V194" s="23">
        <f t="shared" si="1585"/>
        <v>26572</v>
      </c>
      <c r="W194" s="23">
        <f t="shared" si="1585"/>
        <v>29782</v>
      </c>
      <c r="X194" s="23">
        <f t="shared" si="1585"/>
        <v>40303</v>
      </c>
      <c r="Y194" s="23">
        <f t="shared" si="1585"/>
        <v>50832</v>
      </c>
      <c r="Z194" s="23">
        <f t="shared" si="1585"/>
        <v>53136</v>
      </c>
      <c r="AA194" s="24">
        <f t="shared" si="1585"/>
        <v>57688</v>
      </c>
      <c r="AB194" s="24">
        <f t="shared" si="1585"/>
        <v>64151.441105685182</v>
      </c>
      <c r="AC194" s="24">
        <f t="shared" si="1585"/>
        <v>65193.762853362256</v>
      </c>
      <c r="AD194" s="24">
        <f t="shared" si="1585"/>
        <v>66167.533596943278</v>
      </c>
      <c r="AE194" s="24">
        <f t="shared" si="1585"/>
        <v>67077.261771729594</v>
      </c>
      <c r="AI194" s="23">
        <f t="shared" ref="AI194:BN194" si="1586">AI32</f>
        <v>2463</v>
      </c>
      <c r="AJ194" s="23">
        <f t="shared" si="1586"/>
        <v>2306</v>
      </c>
      <c r="AK194" s="23">
        <f t="shared" si="1586"/>
        <v>2457</v>
      </c>
      <c r="AL194" s="23">
        <f t="shared" si="1586"/>
        <v>2239</v>
      </c>
      <c r="AM194" s="23">
        <f t="shared" si="1586"/>
        <v>2719</v>
      </c>
      <c r="AN194" s="23">
        <f t="shared" si="1586"/>
        <v>2796</v>
      </c>
      <c r="AO194" s="23">
        <f t="shared" si="1586"/>
        <v>2776</v>
      </c>
      <c r="AP194" s="23">
        <f t="shared" si="1586"/>
        <v>2910</v>
      </c>
      <c r="AQ194" s="23">
        <f t="shared" si="1586"/>
        <v>2782</v>
      </c>
      <c r="AR194" s="23">
        <f t="shared" si="1586"/>
        <v>3024</v>
      </c>
      <c r="AS194" s="23">
        <f t="shared" si="1586"/>
        <v>2954</v>
      </c>
      <c r="AT194" s="23">
        <f t="shared" si="1586"/>
        <v>2787</v>
      </c>
      <c r="AU194" s="23">
        <f t="shared" si="1586"/>
        <v>2751</v>
      </c>
      <c r="AV194" s="23">
        <f t="shared" si="1586"/>
        <v>2842</v>
      </c>
      <c r="AW194" s="23">
        <f t="shared" si="1586"/>
        <v>2886</v>
      </c>
      <c r="AX194" s="23">
        <f t="shared" si="1586"/>
        <v>3132</v>
      </c>
      <c r="AY194" s="23">
        <f t="shared" si="1586"/>
        <v>2725</v>
      </c>
      <c r="AZ194" s="23">
        <f t="shared" si="1586"/>
        <v>2774</v>
      </c>
      <c r="BA194" s="23">
        <f t="shared" si="1586"/>
        <v>2793</v>
      </c>
      <c r="BB194" s="23">
        <f t="shared" si="1586"/>
        <v>3354</v>
      </c>
      <c r="BC194" s="23">
        <f t="shared" si="1586"/>
        <v>3037</v>
      </c>
      <c r="BD194" s="23">
        <f t="shared" si="1586"/>
        <v>4287</v>
      </c>
      <c r="BE194" s="23">
        <f t="shared" si="1586"/>
        <v>4530</v>
      </c>
      <c r="BF194" s="23">
        <f t="shared" si="1586"/>
        <v>4852</v>
      </c>
      <c r="BG194" s="23">
        <f t="shared" si="1586"/>
        <v>5173</v>
      </c>
      <c r="BH194" s="23">
        <f t="shared" si="1586"/>
        <v>5229</v>
      </c>
      <c r="BI194" s="23">
        <f t="shared" si="1586"/>
        <v>5237</v>
      </c>
      <c r="BJ194" s="23">
        <f t="shared" si="1586"/>
        <v>5295</v>
      </c>
      <c r="BK194" s="23">
        <f t="shared" si="1586"/>
        <v>5011</v>
      </c>
      <c r="BL194" s="23">
        <f t="shared" si="1586"/>
        <v>5315</v>
      </c>
      <c r="BM194" s="23">
        <f t="shared" si="1586"/>
        <v>5545</v>
      </c>
      <c r="BN194" s="23">
        <f t="shared" si="1586"/>
        <v>6332</v>
      </c>
      <c r="BO194" s="23">
        <f t="shared" ref="BO194:CT194" si="1587">BO32</f>
        <v>6308</v>
      </c>
      <c r="BP194" s="23">
        <f t="shared" si="1587"/>
        <v>6626</v>
      </c>
      <c r="BQ194" s="23">
        <f t="shared" si="1587"/>
        <v>6665</v>
      </c>
      <c r="BR194" s="23">
        <f t="shared" si="1587"/>
        <v>6973</v>
      </c>
      <c r="BS194" s="23">
        <f t="shared" si="1587"/>
        <v>6883</v>
      </c>
      <c r="BT194" s="23">
        <f t="shared" si="1587"/>
        <v>7230</v>
      </c>
      <c r="BU194" s="23">
        <f t="shared" si="1587"/>
        <v>7683</v>
      </c>
      <c r="BV194" s="23">
        <f t="shared" si="1587"/>
        <v>8001</v>
      </c>
      <c r="BW194" s="23">
        <f t="shared" si="1587"/>
        <v>8942</v>
      </c>
      <c r="BX194" s="23">
        <f t="shared" si="1587"/>
        <v>9726</v>
      </c>
      <c r="BY194" s="23">
        <f t="shared" si="1587"/>
        <v>10183</v>
      </c>
      <c r="BZ194" s="23">
        <f t="shared" si="1587"/>
        <v>11452</v>
      </c>
      <c r="CA194" s="23">
        <f t="shared" si="1587"/>
        <v>11775</v>
      </c>
      <c r="CB194" s="23">
        <f t="shared" si="1587"/>
        <v>12585</v>
      </c>
      <c r="CC194" s="23">
        <f t="shared" si="1587"/>
        <v>12903</v>
      </c>
      <c r="CD194" s="23">
        <f t="shared" si="1587"/>
        <v>13569</v>
      </c>
      <c r="CE194" s="23">
        <f t="shared" si="1587"/>
        <v>13596</v>
      </c>
      <c r="CF194" s="23">
        <f t="shared" si="1587"/>
        <v>12880</v>
      </c>
      <c r="CG194" s="23">
        <f t="shared" si="1587"/>
        <v>13181</v>
      </c>
      <c r="CH194" s="23">
        <f t="shared" si="1587"/>
        <v>13479</v>
      </c>
      <c r="CI194" s="23">
        <f t="shared" si="1587"/>
        <v>13842</v>
      </c>
      <c r="CJ194" s="23">
        <f t="shared" si="1587"/>
        <v>14416</v>
      </c>
      <c r="CK194" s="23">
        <f t="shared" si="1587"/>
        <v>14622</v>
      </c>
      <c r="CL194" s="23">
        <f t="shared" ref="CL194" si="1588">CL32</f>
        <v>14808</v>
      </c>
      <c r="CM194" s="24">
        <f t="shared" si="1587"/>
        <v>15936.21540168022</v>
      </c>
      <c r="CN194" s="24">
        <f t="shared" si="1587"/>
        <v>16004.745854774825</v>
      </c>
      <c r="CO194" s="24">
        <f t="shared" si="1587"/>
        <v>16072.120630719786</v>
      </c>
      <c r="CP194" s="24">
        <f t="shared" si="1587"/>
        <v>16138.359218510344</v>
      </c>
      <c r="CQ194" s="24">
        <f t="shared" si="1587"/>
        <v>16203.480778485129</v>
      </c>
      <c r="CR194" s="24">
        <f t="shared" si="1587"/>
        <v>16267.504147868529</v>
      </c>
      <c r="CS194" s="24">
        <f t="shared" si="1587"/>
        <v>16330.447846219582</v>
      </c>
      <c r="CT194" s="24">
        <f t="shared" si="1587"/>
        <v>16392.330080789012</v>
      </c>
      <c r="CU194" s="24">
        <f t="shared" ref="CU194:DB194" si="1589">CU32</f>
        <v>16453.168751785874</v>
      </c>
      <c r="CV194" s="24">
        <f t="shared" si="1589"/>
        <v>16512.981457555448</v>
      </c>
      <c r="CW194" s="24">
        <f t="shared" si="1589"/>
        <v>16571.785499669739</v>
      </c>
      <c r="CX194" s="24">
        <f t="shared" si="1589"/>
        <v>16629.597887932214</v>
      </c>
      <c r="CY194" s="24">
        <f t="shared" si="1589"/>
        <v>16686.435345298069</v>
      </c>
      <c r="CZ194" s="24">
        <f t="shared" si="1589"/>
        <v>16742.314312711569</v>
      </c>
      <c r="DA194" s="24">
        <f t="shared" si="1589"/>
        <v>16797.250953861789</v>
      </c>
      <c r="DB194" s="24">
        <f t="shared" si="1589"/>
        <v>16851.261159858168</v>
      </c>
      <c r="DE194" s="123"/>
      <c r="DF194" s="23">
        <v>14712.105676384548</v>
      </c>
    </row>
    <row r="195" spans="1:110" s="22" customFormat="1" x14ac:dyDescent="0.2">
      <c r="A195" s="22" t="s">
        <v>89</v>
      </c>
      <c r="C195" s="22">
        <f t="shared" ref="C195:W195" si="1590">C193+C194</f>
        <v>6715.7400000000034</v>
      </c>
      <c r="D195" s="22">
        <f t="shared" si="1590"/>
        <v>7544.2099999999991</v>
      </c>
      <c r="E195" s="22">
        <f t="shared" si="1590"/>
        <v>8504.1700000000146</v>
      </c>
      <c r="F195" s="22">
        <f t="shared" si="1590"/>
        <v>11416.659999999994</v>
      </c>
      <c r="G195" s="22">
        <f t="shared" si="1590"/>
        <v>14345.979999999989</v>
      </c>
      <c r="H195" s="22">
        <f t="shared" si="1590"/>
        <v>18971.29</v>
      </c>
      <c r="I195" s="22">
        <f t="shared" si="1590"/>
        <v>26306.28999999999</v>
      </c>
      <c r="J195" s="22">
        <f t="shared" si="1590"/>
        <v>22681.300000000017</v>
      </c>
      <c r="K195" s="22">
        <f t="shared" si="1590"/>
        <v>38503.760000000002</v>
      </c>
      <c r="L195" s="22">
        <f t="shared" si="1590"/>
        <v>36114</v>
      </c>
      <c r="M195" s="22">
        <f t="shared" si="1590"/>
        <v>34551</v>
      </c>
      <c r="N195" s="22">
        <f t="shared" si="1590"/>
        <v>34272</v>
      </c>
      <c r="O195" s="22">
        <f t="shared" si="1590"/>
        <v>35652</v>
      </c>
      <c r="P195" s="22">
        <f t="shared" si="1590"/>
        <v>35227</v>
      </c>
      <c r="Q195" s="22">
        <f t="shared" si="1590"/>
        <v>41310</v>
      </c>
      <c r="R195" s="22">
        <f t="shared" si="1590"/>
        <v>41547</v>
      </c>
      <c r="S195" s="22">
        <f t="shared" si="1590"/>
        <v>52781</v>
      </c>
      <c r="T195" s="22">
        <f t="shared" si="1590"/>
        <v>60522</v>
      </c>
      <c r="U195" s="22">
        <f t="shared" si="1590"/>
        <v>61557</v>
      </c>
      <c r="V195" s="22">
        <f t="shared" si="1590"/>
        <v>75700</v>
      </c>
      <c r="W195" s="22">
        <f t="shared" si="1590"/>
        <v>90487</v>
      </c>
      <c r="X195" s="22">
        <f t="shared" ref="X195:Y195" si="1591">X193+X194</f>
        <v>107005</v>
      </c>
      <c r="Y195" s="22">
        <f t="shared" si="1591"/>
        <v>120453</v>
      </c>
      <c r="Z195" s="22">
        <f t="shared" ref="Z195" si="1592">Z193+Z194</f>
        <v>122784</v>
      </c>
      <c r="AA195" s="21">
        <f t="shared" ref="AA195:AD195" si="1593">AA193+AA194</f>
        <v>138463</v>
      </c>
      <c r="AB195" s="21">
        <f t="shared" si="1593"/>
        <v>148259.24703951264</v>
      </c>
      <c r="AC195" s="21">
        <f t="shared" si="1593"/>
        <v>166000.35505694948</v>
      </c>
      <c r="AD195" s="21">
        <f t="shared" si="1593"/>
        <v>184709.23271557273</v>
      </c>
      <c r="AE195" s="21">
        <f t="shared" ref="AE195" si="1594">AE193+AE194</f>
        <v>207620.66291783514</v>
      </c>
      <c r="AI195" s="22">
        <f t="shared" ref="AI195" si="1595">AI193+AI194</f>
        <v>6966</v>
      </c>
      <c r="AJ195" s="22">
        <f t="shared" ref="AJ195:AL195" si="1596">AJ193+AJ194</f>
        <v>7715</v>
      </c>
      <c r="AK195" s="22">
        <f t="shared" si="1596"/>
        <v>7959</v>
      </c>
      <c r="AL195" s="22">
        <f t="shared" si="1596"/>
        <v>7828</v>
      </c>
      <c r="AM195" s="22">
        <f t="shared" ref="AM195" si="1597">AM193+AM194</f>
        <v>7956</v>
      </c>
      <c r="AN195" s="22">
        <f t="shared" ref="AN195:CD195" si="1598">AN193+AN194</f>
        <v>8669</v>
      </c>
      <c r="AO195" s="22">
        <f t="shared" si="1598"/>
        <v>8278</v>
      </c>
      <c r="AP195" s="22">
        <f t="shared" si="1598"/>
        <v>8791</v>
      </c>
      <c r="AQ195" s="22">
        <f t="shared" si="1598"/>
        <v>8739</v>
      </c>
      <c r="AR195" s="22">
        <f t="shared" si="1598"/>
        <v>8996</v>
      </c>
      <c r="AS195" s="22">
        <f t="shared" si="1598"/>
        <v>8210</v>
      </c>
      <c r="AT195" s="22">
        <f t="shared" si="1598"/>
        <v>9168</v>
      </c>
      <c r="AU195" s="22">
        <f t="shared" si="1598"/>
        <v>8775</v>
      </c>
      <c r="AV195" s="22">
        <f t="shared" si="1598"/>
        <v>12187</v>
      </c>
      <c r="AW195" s="22">
        <f t="shared" si="1598"/>
        <v>10131</v>
      </c>
      <c r="AX195" s="22">
        <f t="shared" si="1598"/>
        <v>10299</v>
      </c>
      <c r="AY195" s="22">
        <f t="shared" si="1598"/>
        <v>9838</v>
      </c>
      <c r="AZ195" s="22">
        <f t="shared" si="1598"/>
        <v>9983</v>
      </c>
      <c r="BA195" s="22">
        <f t="shared" si="1598"/>
        <v>10326</v>
      </c>
      <c r="BB195" s="22">
        <f t="shared" si="1598"/>
        <v>11400</v>
      </c>
      <c r="BC195" s="22">
        <f t="shared" si="1598"/>
        <v>12145</v>
      </c>
      <c r="BD195" s="22">
        <f t="shared" si="1598"/>
        <v>12396</v>
      </c>
      <c r="BE195" s="22">
        <f t="shared" si="1598"/>
        <v>13950</v>
      </c>
      <c r="BF195" s="22">
        <f t="shared" si="1598"/>
        <v>14290</v>
      </c>
      <c r="BG195" s="22">
        <f t="shared" si="1598"/>
        <v>14632</v>
      </c>
      <c r="BH195" s="22">
        <f t="shared" si="1598"/>
        <v>14745</v>
      </c>
      <c r="BI195" s="22">
        <f t="shared" si="1598"/>
        <v>15488</v>
      </c>
      <c r="BJ195" s="22">
        <f t="shared" si="1598"/>
        <v>15657</v>
      </c>
      <c r="BK195" s="22">
        <f t="shared" si="1598"/>
        <v>15115</v>
      </c>
      <c r="BL195" s="22">
        <f t="shared" si="1598"/>
        <v>16577</v>
      </c>
      <c r="BM195" s="22">
        <f t="shared" si="1598"/>
        <v>17185</v>
      </c>
      <c r="BN195" s="22">
        <f t="shared" si="1598"/>
        <v>12680</v>
      </c>
      <c r="BO195" s="22">
        <f t="shared" si="1598"/>
        <v>19541</v>
      </c>
      <c r="BP195" s="22">
        <f t="shared" si="1598"/>
        <v>16193</v>
      </c>
      <c r="BQ195" s="22">
        <f t="shared" si="1598"/>
        <v>19766</v>
      </c>
      <c r="BR195" s="22">
        <f t="shared" si="1598"/>
        <v>20200</v>
      </c>
      <c r="BS195" s="22">
        <f t="shared" si="1598"/>
        <v>19156</v>
      </c>
      <c r="BT195" s="22">
        <f t="shared" si="1598"/>
        <v>20910</v>
      </c>
      <c r="BU195" s="22">
        <f t="shared" si="1598"/>
        <v>26232</v>
      </c>
      <c r="BV195" s="22">
        <f t="shared" si="1598"/>
        <v>24204</v>
      </c>
      <c r="BW195" s="22">
        <f t="shared" si="1598"/>
        <v>26897</v>
      </c>
      <c r="BX195" s="22">
        <f t="shared" si="1598"/>
        <v>23382</v>
      </c>
      <c r="BY195" s="22">
        <f t="shared" si="1598"/>
        <v>25975</v>
      </c>
      <c r="BZ195" s="22">
        <f t="shared" si="1598"/>
        <v>30751</v>
      </c>
      <c r="CA195" s="22">
        <f t="shared" si="1598"/>
        <v>27786</v>
      </c>
      <c r="CB195" s="22">
        <f t="shared" si="1598"/>
        <v>29979</v>
      </c>
      <c r="CC195" s="22">
        <f t="shared" si="1598"/>
        <v>30168</v>
      </c>
      <c r="CD195" s="22">
        <f t="shared" si="1598"/>
        <v>32520</v>
      </c>
      <c r="CE195" s="22">
        <f t="shared" ref="CE195:CF195" si="1599">CE193+CE194</f>
        <v>28734</v>
      </c>
      <c r="CF195" s="22">
        <f t="shared" si="1599"/>
        <v>29443</v>
      </c>
      <c r="CG195" s="22">
        <f t="shared" ref="CG195:CH195" si="1600">CG193+CG194</f>
        <v>31721</v>
      </c>
      <c r="CH195" s="22">
        <f t="shared" si="1600"/>
        <v>32886</v>
      </c>
      <c r="CI195" s="22">
        <f t="shared" ref="CI195:CJ195" si="1601">CI193+CI194</f>
        <v>40836</v>
      </c>
      <c r="CJ195" s="22">
        <f t="shared" si="1601"/>
        <v>32581</v>
      </c>
      <c r="CK195" s="22">
        <f t="shared" ref="CK195:DB195" si="1602">CK193+CK194</f>
        <v>33267</v>
      </c>
      <c r="CL195" s="22">
        <f t="shared" si="1602"/>
        <v>31779</v>
      </c>
      <c r="CM195" s="21">
        <f t="shared" si="1602"/>
        <v>34398.727878471298</v>
      </c>
      <c r="CN195" s="21">
        <f t="shared" si="1602"/>
        <v>35855.195558644846</v>
      </c>
      <c r="CO195" s="21">
        <f t="shared" si="1602"/>
        <v>36961.740764614733</v>
      </c>
      <c r="CP195" s="21">
        <f t="shared" si="1602"/>
        <v>41043.582837781803</v>
      </c>
      <c r="CQ195" s="21">
        <f t="shared" si="1602"/>
        <v>37813.54930766968</v>
      </c>
      <c r="CR195" s="21">
        <f t="shared" si="1602"/>
        <v>39947.685548310124</v>
      </c>
      <c r="CS195" s="21">
        <f t="shared" si="1602"/>
        <v>41696.525855664935</v>
      </c>
      <c r="CT195" s="21">
        <f t="shared" si="1602"/>
        <v>46542.594345304686</v>
      </c>
      <c r="CU195" s="21">
        <f t="shared" si="1602"/>
        <v>41868.660473231401</v>
      </c>
      <c r="CV195" s="21">
        <f t="shared" si="1602"/>
        <v>44481.035254731185</v>
      </c>
      <c r="CW195" s="21">
        <f t="shared" si="1602"/>
        <v>46507.497690507254</v>
      </c>
      <c r="CX195" s="21">
        <f t="shared" si="1602"/>
        <v>51852.039297103089</v>
      </c>
      <c r="CY195" s="21">
        <f t="shared" si="1602"/>
        <v>47067.801987253435</v>
      </c>
      <c r="CZ195" s="21">
        <f t="shared" si="1602"/>
        <v>50029.117740688445</v>
      </c>
      <c r="DA195" s="21">
        <f t="shared" si="1602"/>
        <v>52302.376901684889</v>
      </c>
      <c r="DB195" s="21">
        <f t="shared" si="1602"/>
        <v>58221.366288208417</v>
      </c>
      <c r="DE195" s="126"/>
      <c r="DF195" s="22">
        <v>34169.271682631908</v>
      </c>
    </row>
    <row r="196" spans="1:110" s="23" customFormat="1" x14ac:dyDescent="0.2">
      <c r="A196" s="23" t="s">
        <v>65</v>
      </c>
      <c r="C196" s="23">
        <f t="shared" ref="C196:AA196" si="1603">B148-C148+B163+B164-C163-C164</f>
        <v>-3680.5200000000009</v>
      </c>
      <c r="D196" s="23">
        <f t="shared" si="1603"/>
        <v>-3440.5399999999968</v>
      </c>
      <c r="E196" s="23">
        <f>D148-E148+D163+D164-E163-E164</f>
        <v>936.36999999999705</v>
      </c>
      <c r="F196" s="23">
        <f t="shared" si="1603"/>
        <v>-17.839999999998799</v>
      </c>
      <c r="G196" s="23">
        <f t="shared" si="1603"/>
        <v>-2206.1500000000024</v>
      </c>
      <c r="H196" s="23">
        <f t="shared" si="1603"/>
        <v>-6762.3199999999961</v>
      </c>
      <c r="I196" s="23">
        <f t="shared" si="1603"/>
        <v>-15026.739999999998</v>
      </c>
      <c r="J196" s="23">
        <f>I148-J148+I163+I164-J163-J164</f>
        <v>12763.379999999997</v>
      </c>
      <c r="K196" s="23">
        <f>J148-K148+J163+J164-K163-K164</f>
        <v>-18083.370000000003</v>
      </c>
      <c r="L196" s="23">
        <f t="shared" si="1603"/>
        <v>-13899.39</v>
      </c>
      <c r="M196" s="23">
        <f t="shared" si="1603"/>
        <v>-13681</v>
      </c>
      <c r="N196" s="23">
        <f t="shared" si="1603"/>
        <v>-1906</v>
      </c>
      <c r="O196" s="23">
        <f t="shared" si="1603"/>
        <v>-11392</v>
      </c>
      <c r="P196" s="23">
        <f t="shared" si="1603"/>
        <v>13210</v>
      </c>
      <c r="Q196" s="23">
        <f t="shared" si="1603"/>
        <v>2355</v>
      </c>
      <c r="R196" s="23">
        <f t="shared" si="1603"/>
        <v>-6466</v>
      </c>
      <c r="S196" s="23">
        <f t="shared" si="1603"/>
        <v>-32387</v>
      </c>
      <c r="T196" s="23">
        <f t="shared" si="1603"/>
        <v>-19224</v>
      </c>
      <c r="U196" s="23">
        <f t="shared" si="1603"/>
        <v>-34411</v>
      </c>
      <c r="V196" s="23">
        <f t="shared" si="1603"/>
        <v>-72434</v>
      </c>
      <c r="W196" s="23">
        <f t="shared" si="1603"/>
        <v>15500</v>
      </c>
      <c r="X196" s="23">
        <f t="shared" si="1603"/>
        <v>-5051</v>
      </c>
      <c r="Y196" s="23">
        <f t="shared" si="1603"/>
        <v>-17682</v>
      </c>
      <c r="Z196" s="23">
        <f t="shared" si="1603"/>
        <v>-14026</v>
      </c>
      <c r="AA196" s="24">
        <f t="shared" si="1603"/>
        <v>-264086</v>
      </c>
      <c r="AB196" s="24">
        <f t="shared" ref="AB196" si="1604">AA148-AB148+AA163+AA164-AB163-AB164</f>
        <v>-1164.4903649536427</v>
      </c>
      <c r="AC196" s="24">
        <f t="shared" ref="AC196" si="1605">AB148-AC148+AB163+AB164-AC163-AC164</f>
        <v>-129891.69903368037</v>
      </c>
      <c r="AD196" s="24">
        <f t="shared" ref="AD196" si="1606">AC148-AD148+AC163+AC164-AD163-AD164</f>
        <v>-79489.508894163882</v>
      </c>
      <c r="AE196" s="24">
        <f t="shared" ref="AE196" si="1607">AD148-AE148+AD163+AD164-AE163-AE164</f>
        <v>-87933.402375906822</v>
      </c>
      <c r="AI196" s="23">
        <f>AH148-AI148+AH163+AH164-AI163-AJ164</f>
        <v>0</v>
      </c>
      <c r="AJ196" s="23">
        <f t="shared" ref="AJ196:AL196" si="1608">AI148-AJ148+AI163+AI164-AJ163-AK164</f>
        <v>-74419</v>
      </c>
      <c r="AK196" s="23">
        <f t="shared" si="1608"/>
        <v>-2229.6354720155941</v>
      </c>
      <c r="AL196" s="23">
        <f t="shared" si="1608"/>
        <v>2622.6354720155941</v>
      </c>
      <c r="AM196" s="23">
        <f t="shared" ref="AM196" si="1609">AL148-AM148+AL163+AL164-AM163-AM164</f>
        <v>-10168.769507589255</v>
      </c>
      <c r="AN196" s="23">
        <f t="shared" ref="AN196" si="1610">AM148-AN148+AM163+AM164-AN163-AN164</f>
        <v>-2377.2304924107448</v>
      </c>
      <c r="AO196" s="23">
        <f t="shared" ref="AO196" si="1611">AN148-AO148+AN163+AN164-AO163-AO164</f>
        <v>-1281.1636491155223</v>
      </c>
      <c r="AP196" s="23">
        <f t="shared" ref="AP196" si="1612">AO148-AP148+AO163+AO164-AP163-AP164</f>
        <v>2432.1636491155223</v>
      </c>
      <c r="AQ196" s="23">
        <f t="shared" ref="AQ196" si="1613">AP148-AQ148+AP163+AP164-AQ163-AQ164</f>
        <v>-774.94268476621073</v>
      </c>
      <c r="AR196" s="23">
        <f t="shared" ref="AR196" si="1614">AQ148-AR148+AQ163+AQ164-AR163-AR164</f>
        <v>-5516.0573152337893</v>
      </c>
      <c r="AS196" s="23">
        <f t="shared" ref="AS196" si="1615">AR148-AS148+AR163+AR164-AS163-AS164</f>
        <v>10853.853192710187</v>
      </c>
      <c r="AT196" s="23">
        <f t="shared" ref="AT196" si="1616">AS148-AT148+AS163+AS164-AT163-AT164</f>
        <v>1262.1468072898133</v>
      </c>
      <c r="AU196" s="23">
        <f t="shared" ref="AU196" si="1617">AT148-AU148+AT163+AT164-AU163-AU164</f>
        <v>-7937.7298799466662</v>
      </c>
      <c r="AV196" s="23">
        <f t="shared" ref="AV196" si="1618">AU148-AV148+AU163+AU164-AV163-AV164</f>
        <v>-4229.2701200533338</v>
      </c>
      <c r="AW196" s="23">
        <f t="shared" ref="AW196" si="1619">AV148-AW148+AV163+AV164-AW163-AW164</f>
        <v>6028.1026446502801</v>
      </c>
      <c r="AX196" s="23">
        <f t="shared" ref="AX196" si="1620">AW148-AX148+AW163+AW164-AX163-AX164</f>
        <v>15881.89735534972</v>
      </c>
      <c r="AY196" s="23">
        <f t="shared" ref="AY196" si="1621">AX148-AY148+AX163+AX164-AY163-AY164</f>
        <v>-825.36254182693665</v>
      </c>
      <c r="AZ196" s="23">
        <f t="shared" ref="AZ196" si="1622">AY148-AZ148+AY163+AY164-AZ163-AZ164</f>
        <v>3026.3625418269366</v>
      </c>
      <c r="BA196" s="23">
        <f t="shared" ref="BA196" si="1623">AZ148-BA148+AZ163+AZ164-BA163-BA164</f>
        <v>1588.3761742048373</v>
      </c>
      <c r="BB196" s="23">
        <f t="shared" ref="BB196" si="1624">BA148-BB148+BA163+BA164-BB163-BB164</f>
        <v>-10255.376174204837</v>
      </c>
      <c r="BC196" s="23">
        <f t="shared" ref="BC196" si="1625">BB148-BC148+BB163+BB164-BC163-BC164</f>
        <v>5792.1982581360498</v>
      </c>
      <c r="BD196" s="23">
        <f t="shared" ref="BD196" si="1626">BC148-BD148+BC163+BC164-BD163-BD164</f>
        <v>-18531.19825813605</v>
      </c>
      <c r="BE196" s="23">
        <f t="shared" ref="BE196" si="1627">BD148-BE148+BD163+BD164-BE163-BE164</f>
        <v>866.07721732942446</v>
      </c>
      <c r="BF196" s="23">
        <f t="shared" ref="BF196" si="1628">BE148-BF148+BE163+BE164-BF163-BF164</f>
        <v>-20514.077217329424</v>
      </c>
      <c r="BG196" s="23">
        <f t="shared" ref="BG196" si="1629">BF148-BG148+BF163+BF164-BG163-BG164</f>
        <v>220.9935563816689</v>
      </c>
      <c r="BH196" s="23">
        <f t="shared" ref="BH196" si="1630">BG148-BH148+BG163+BG164-BH163-BH164</f>
        <v>-21946.993556381669</v>
      </c>
      <c r="BI196" s="23">
        <f t="shared" ref="BI196" si="1631">BH148-BI148+BH163+BH164-BI163-BI164</f>
        <v>-378.90554798420635</v>
      </c>
      <c r="BJ196" s="23">
        <f t="shared" ref="BJ196" si="1632">BI148-BJ148+BI163+BI164-BJ163-BJ164</f>
        <v>2880.9055479842064</v>
      </c>
      <c r="BK196" s="23">
        <f t="shared" ref="BK196" si="1633">BJ148-BK148+BJ163+BJ164-BK163-BK164</f>
        <v>-1780.5354138871189</v>
      </c>
      <c r="BL196" s="23">
        <f t="shared" ref="BL196" si="1634">BK148-BL148+BK163+BK164-BL163-BL164</f>
        <v>-14254.464586112881</v>
      </c>
      <c r="BM196" s="23">
        <f t="shared" ref="BM196" si="1635">BL148-BM148+BL163+BL164-BM163-BM164</f>
        <v>6755.5981431718683</v>
      </c>
      <c r="BN196" s="23">
        <f t="shared" ref="BN196" si="1636">BM148-BN148+BM163+BM164-BN163-BN164</f>
        <v>-25131.598143171868</v>
      </c>
      <c r="BO196" s="23">
        <f t="shared" ref="BO196" si="1637">BN148-BO148+BN163+BN164-BO163-BO164</f>
        <v>39044.224401000887</v>
      </c>
      <c r="BP196" s="23">
        <f t="shared" ref="BP196" si="1638">BO148-BP148+BO163+BO164-BP163-BP164</f>
        <v>-32348.224401000887</v>
      </c>
      <c r="BQ196" s="23">
        <f t="shared" ref="BQ196" si="1639">BP148-BQ148+BP163+BP164-BQ163-BQ164</f>
        <v>7544.2898313665937</v>
      </c>
      <c r="BR196" s="23">
        <f t="shared" ref="BR196" si="1640">BQ148-BR148+BQ163+BQ164-BR163-BR164</f>
        <v>-86674.289831366594</v>
      </c>
      <c r="BS196" s="23">
        <f t="shared" ref="BS196" si="1641">BR148-BS148+BR163+BR164-BS163-BS164</f>
        <v>18807.357308463339</v>
      </c>
      <c r="BT196" s="23">
        <f t="shared" ref="BT196" si="1642">BS148-BT148+BS163+BS164-BT163-BT164</f>
        <v>-501.357308463339</v>
      </c>
      <c r="BU196" s="23">
        <f t="shared" ref="BU196" si="1643">BT148-BU148+BT163+BT164-BU163-BU164</f>
        <v>3739.2236545329215</v>
      </c>
      <c r="BV196" s="23">
        <f t="shared" ref="BV196" si="1644">BU148-BV148+BU163+BU164-BV163-BV164</f>
        <v>-114875.22365453292</v>
      </c>
      <c r="BW196" s="23">
        <f t="shared" ref="BW196" si="1645">BV148-BW148+BV163+BV164-BW163-BW164</f>
        <v>7733.4292828299804</v>
      </c>
      <c r="BX196" s="23">
        <f t="shared" ref="BX196" si="1646">BW148-BX148+BW163+BW164-BX163-BX164</f>
        <v>79443.57071717002</v>
      </c>
      <c r="BY196" s="23">
        <f t="shared" ref="BY196" si="1647">BX148-BY148+BX163+BX164-BY163-BY164</f>
        <v>22657.274297398399</v>
      </c>
      <c r="BZ196" s="23">
        <f t="shared" ref="BZ196" si="1648">BY148-BZ148+BY163+BY164-BZ163-BZ164</f>
        <v>-204263.2742973984</v>
      </c>
      <c r="CA196" s="23">
        <f t="shared" ref="CA196" si="1649">BZ148-CA148+BZ163+BZ164-CA163-CA164</f>
        <v>22134.448825520929</v>
      </c>
      <c r="CB196" s="23">
        <f t="shared" ref="CB196" si="1650">CA148-CB148+CA163+CA164-CB163-CB164</f>
        <v>-45756.448825520929</v>
      </c>
      <c r="CC196" s="23">
        <f t="shared" ref="CC196" si="1651">CB148-CC148+CB163+CB164-CC163-CC164</f>
        <v>22119.589915467426</v>
      </c>
      <c r="CD196" s="23">
        <f t="shared" ref="CD196" si="1652">CC148-CD148+CC163+CC164-CD163-CD164</f>
        <v>-17925.589915467426</v>
      </c>
      <c r="CE196" s="23">
        <f t="shared" ref="CE196" si="1653">CD148-CE148+CD163+CD164-CE163-CE164</f>
        <v>23011.976936496038</v>
      </c>
      <c r="CF196" s="23">
        <f t="shared" ref="CF196" si="1654">CE148-CF148+CE163+CE164-CF163-CF164</f>
        <v>-17644.976936496038</v>
      </c>
      <c r="CG196" s="23">
        <f t="shared" ref="CG196" si="1655">CF148-CG148+CF163+CF164-CG163-CG164</f>
        <v>13359.500792552717</v>
      </c>
      <c r="CH196" s="23">
        <f t="shared" ref="CH196:CL196" si="1656">CG148-CH148+CG163+CG164-CH163-CH164</f>
        <v>166701.49920744728</v>
      </c>
      <c r="CI196" s="23">
        <f t="shared" si="1656"/>
        <v>52374.38301785948</v>
      </c>
      <c r="CJ196" s="23">
        <f t="shared" si="1656"/>
        <v>-263778.38301785948</v>
      </c>
      <c r="CK196" s="23">
        <f t="shared" ref="CK196" si="1657">CJ148-CK148+CJ163+CJ164-CK163-CK164</f>
        <v>-22263.923746008892</v>
      </c>
      <c r="CL196" s="23">
        <f t="shared" si="1656"/>
        <v>-30418.076253991108</v>
      </c>
      <c r="CM196" s="24">
        <f t="shared" ref="CM196" si="1658">CL148-CM148+CL163+CL164-CM163-CM164</f>
        <v>111112.56113513518</v>
      </c>
      <c r="CN196" s="24">
        <f t="shared" ref="CN196" si="1659">CM148-CN148+CM163+CM164-CN163-CN164</f>
        <v>-28136.520303897851</v>
      </c>
      <c r="CO196" s="24">
        <f t="shared" ref="CO196" si="1660">CN148-CO148+CN163+CN164-CO163-CO164</f>
        <v>-22357.038419756107</v>
      </c>
      <c r="CP196" s="24">
        <f t="shared" ref="CP196" si="1661">CO148-CP148+CO163+CO164-CP163-CP164</f>
        <v>-61783.492776434869</v>
      </c>
      <c r="CQ196" s="24">
        <f t="shared" ref="CQ196" si="1662">CP148-CQ148+CP163+CP164-CQ163-CQ164</f>
        <v>59554.209167071967</v>
      </c>
      <c r="CR196" s="24">
        <f t="shared" ref="CR196" si="1663">CQ148-CR148+CQ163+CQ164-CR163-CR164</f>
        <v>-32295.884719153051</v>
      </c>
      <c r="CS196" s="24">
        <f t="shared" ref="CS196" si="1664">CR148-CS148+CR163+CR164-CS163-CS164</f>
        <v>-24813.487695730291</v>
      </c>
      <c r="CT196" s="24">
        <f t="shared" ref="CT196" si="1665">CS148-CT148+CS163+CS164-CT163-CT164</f>
        <v>-132336.535785869</v>
      </c>
      <c r="CU196" s="24">
        <f t="shared" ref="CU196" si="1666">CT148-CU148+CT163+CT164-CU163-CU164</f>
        <v>72355.606537248008</v>
      </c>
      <c r="CV196" s="24">
        <f t="shared" ref="CV196" si="1667">CU148-CV148+CU163+CU164-CV163-CV164</f>
        <v>-39341.246544544236</v>
      </c>
      <c r="CW196" s="24">
        <f t="shared" ref="CW196" si="1668">CV148-CW148+CV163+CV164-CW163-CW164</f>
        <v>-30001.207831001258</v>
      </c>
      <c r="CX196" s="24">
        <f t="shared" ref="CX196" si="1669">CW148-CX148+CW163+CW164-CX163-CX164</f>
        <v>-82502.661055866396</v>
      </c>
      <c r="CY196" s="24">
        <f t="shared" ref="CY196" si="1670">CX148-CY148+CX163+CX164-CY163-CY164</f>
        <v>80065.369156303583</v>
      </c>
      <c r="CZ196" s="24">
        <f t="shared" ref="CZ196" si="1671">CY148-CZ148+CY163+CY164-CZ163-CZ164</f>
        <v>-43569.878161377506</v>
      </c>
      <c r="DA196" s="24">
        <f t="shared" ref="DA196" si="1672">CZ148-DA148+CZ163+CZ164-DA163-DA164</f>
        <v>-33175.227054557297</v>
      </c>
      <c r="DB196" s="24">
        <f t="shared" ref="DB196" si="1673">DA148-DB148+DA163+DA164-DB163-DB164</f>
        <v>-91253.666316275601</v>
      </c>
      <c r="DE196" s="123"/>
      <c r="DF196" s="23">
        <v>-26591.014507361571</v>
      </c>
    </row>
    <row r="197" spans="1:110" s="23" customFormat="1" x14ac:dyDescent="0.2">
      <c r="A197" s="23" t="s">
        <v>73</v>
      </c>
      <c r="C197" s="23">
        <f t="shared" ref="C197:AA197" si="1674">B156-C156</f>
        <v>-2736.2299999999996</v>
      </c>
      <c r="D197" s="23">
        <f t="shared" si="1674"/>
        <v>-2753.0800000000008</v>
      </c>
      <c r="E197" s="23">
        <f>D156-E156</f>
        <v>-2652.1999999999989</v>
      </c>
      <c r="F197" s="23">
        <f t="shared" si="1674"/>
        <v>-4017.17</v>
      </c>
      <c r="G197" s="23">
        <f t="shared" si="1674"/>
        <v>60.409999999999854</v>
      </c>
      <c r="H197" s="23">
        <f t="shared" si="1674"/>
        <v>-3179.0600000000013</v>
      </c>
      <c r="I197" s="23">
        <f t="shared" si="1674"/>
        <v>-6615.0599999999977</v>
      </c>
      <c r="J197" s="23">
        <f>I156-J156</f>
        <v>-12005.320000000003</v>
      </c>
      <c r="K197" s="23">
        <f>J156-K156</f>
        <v>-3713.5799999999945</v>
      </c>
      <c r="L197" s="23">
        <f t="shared" si="1674"/>
        <v>-14806.410000000003</v>
      </c>
      <c r="M197" s="23">
        <f t="shared" si="1674"/>
        <v>4459</v>
      </c>
      <c r="N197" s="23">
        <f t="shared" si="1674"/>
        <v>-7613</v>
      </c>
      <c r="O197" s="23">
        <f t="shared" si="1674"/>
        <v>-17965</v>
      </c>
      <c r="P197" s="23">
        <f t="shared" si="1674"/>
        <v>-23213</v>
      </c>
      <c r="Q197" s="23">
        <f t="shared" si="1674"/>
        <v>-60463</v>
      </c>
      <c r="R197" s="23">
        <f t="shared" si="1674"/>
        <v>-59453</v>
      </c>
      <c r="S197" s="23">
        <f t="shared" si="1674"/>
        <v>-48412</v>
      </c>
      <c r="T197" s="23">
        <f t="shared" si="1674"/>
        <v>1836</v>
      </c>
      <c r="U197" s="23">
        <f t="shared" si="1674"/>
        <v>-45935</v>
      </c>
      <c r="V197" s="23">
        <f t="shared" si="1674"/>
        <v>81183</v>
      </c>
      <c r="W197" s="23">
        <f t="shared" si="1674"/>
        <v>-61764</v>
      </c>
      <c r="X197" s="23">
        <f t="shared" si="1674"/>
        <v>-109528</v>
      </c>
      <c r="Y197" s="23">
        <f t="shared" si="1674"/>
        <v>-29075</v>
      </c>
      <c r="Z197" s="23">
        <f t="shared" si="1674"/>
        <v>-76177</v>
      </c>
      <c r="AA197" s="24">
        <f t="shared" si="1674"/>
        <v>-110380</v>
      </c>
      <c r="AB197" s="24">
        <f t="shared" ref="AB197" si="1675">AA156-AB156</f>
        <v>-1169.0258439641912</v>
      </c>
      <c r="AC197" s="24">
        <f t="shared" ref="AC197" si="1676">AB156-AC156</f>
        <v>-66047.980497308075</v>
      </c>
      <c r="AD197" s="24">
        <f t="shared" ref="AD197" si="1677">AC156-AD156</f>
        <v>-72965.672848755494</v>
      </c>
      <c r="AE197" s="24">
        <f t="shared" ref="AE197" si="1678">AD156-AE156</f>
        <v>-80716.561965191038</v>
      </c>
      <c r="AI197" s="23">
        <f t="shared" ref="AI197" si="1679">AH156-AI156</f>
        <v>0</v>
      </c>
      <c r="AJ197" s="23">
        <f t="shared" ref="AJ197" si="1680">AI156-AJ156</f>
        <v>-70387</v>
      </c>
      <c r="AK197" s="23">
        <f t="shared" ref="AK197" si="1681">AJ156-AK156</f>
        <v>0</v>
      </c>
      <c r="AL197" s="23">
        <f t="shared" ref="AL197" si="1682">AK156-AL156</f>
        <v>-8056</v>
      </c>
      <c r="AM197" s="23">
        <f t="shared" ref="AM197" si="1683">AL156-AM156</f>
        <v>-7853.6129124207073</v>
      </c>
      <c r="AN197" s="23">
        <f t="shared" ref="AN197" si="1684">AM156-AN156</f>
        <v>4574.6129124207073</v>
      </c>
      <c r="AO197" s="23">
        <f t="shared" ref="AO197" si="1685">AN156-AO156</f>
        <v>-1304.6287502922351</v>
      </c>
      <c r="AP197" s="23">
        <f t="shared" ref="AP197" si="1686">AO156-AP156</f>
        <v>-434.37124970776495</v>
      </c>
      <c r="AQ197" s="23">
        <f t="shared" ref="AQ197" si="1687">AP156-AQ156</f>
        <v>-713.1755424063158</v>
      </c>
      <c r="AR197" s="23">
        <f t="shared" ref="AR197" si="1688">AQ156-AR156</f>
        <v>-22936.824457593684</v>
      </c>
      <c r="AS197" s="23">
        <f t="shared" ref="AS197" si="1689">AR156-AS156</f>
        <v>10805.548648870186</v>
      </c>
      <c r="AT197" s="23">
        <f t="shared" ref="AT197" si="1690">AS156-AT156</f>
        <v>-17539.548648870186</v>
      </c>
      <c r="AU197" s="23">
        <f t="shared" ref="AU197" si="1691">AT156-AU156</f>
        <v>-8052.1270935230423</v>
      </c>
      <c r="AV197" s="23">
        <f t="shared" ref="AV197" si="1692">AU156-AV156</f>
        <v>-24688.872906476958</v>
      </c>
      <c r="AW197" s="23">
        <f t="shared" ref="AW197" si="1693">AV156-AW156</f>
        <v>5866.3234528124449</v>
      </c>
      <c r="AX197" s="23">
        <f t="shared" ref="AX197" si="1694">AW156-AX156</f>
        <v>-37679.323452812445</v>
      </c>
      <c r="AY197" s="23">
        <f t="shared" ref="AY197" si="1695">AX156-AY156</f>
        <v>-976.74353441537824</v>
      </c>
      <c r="AZ197" s="23">
        <f t="shared" ref="AZ197" si="1696">AY156-AZ156</f>
        <v>-6785.2564655846218</v>
      </c>
      <c r="BA197" s="23">
        <f t="shared" ref="BA197" si="1697">AZ156-BA156</f>
        <v>1854.593526104989</v>
      </c>
      <c r="BB197" s="23">
        <f t="shared" ref="BB197" si="1698">BA156-BB156</f>
        <v>-50995.593526104989</v>
      </c>
      <c r="BC197" s="23">
        <f t="shared" ref="BC197" si="1699">BB156-BC156</f>
        <v>7765.9540957486897</v>
      </c>
      <c r="BD197" s="23">
        <f t="shared" ref="BD197" si="1700">BC156-BD156</f>
        <v>-41892.95409574869</v>
      </c>
      <c r="BE197" s="23">
        <f t="shared" ref="BE197" si="1701">BD156-BE156</f>
        <v>1137.1679565875093</v>
      </c>
      <c r="BF197" s="23">
        <f t="shared" ref="BF197" si="1702">BE156-BF156</f>
        <v>-39789.167956587509</v>
      </c>
      <c r="BG197" s="23">
        <f t="shared" ref="BG197" si="1703">BF156-BG156</f>
        <v>301.25003097893205</v>
      </c>
      <c r="BH197" s="23">
        <f t="shared" ref="BH197" si="1704">BG156-BH156</f>
        <v>-19615.250030978932</v>
      </c>
      <c r="BI197" s="23">
        <f t="shared" ref="BI197" si="1705">BH156-BI156</f>
        <v>-498.13762148813112</v>
      </c>
      <c r="BJ197" s="23">
        <f t="shared" ref="BJ197" si="1706">BI156-BJ156</f>
        <v>42744.137621488131</v>
      </c>
      <c r="BK197" s="23">
        <f t="shared" ref="BK197" si="1707">BJ156-BK156</f>
        <v>-1974.890016822319</v>
      </c>
      <c r="BL197" s="23">
        <f t="shared" ref="BL197" si="1708">BK156-BL156</f>
        <v>-37797.109983177681</v>
      </c>
      <c r="BM197" s="23">
        <f t="shared" ref="BM197" si="1709">BL156-BM156</f>
        <v>7443.247948289616</v>
      </c>
      <c r="BN197" s="23">
        <f t="shared" ref="BN197" si="1710">BM156-BN156</f>
        <v>-41550.247948289616</v>
      </c>
      <c r="BO197" s="23">
        <f t="shared" ref="BO197" si="1711">BN156-BO156</f>
        <v>40396.347521804273</v>
      </c>
      <c r="BP197" s="23">
        <f t="shared" ref="BP197" si="1712">BO156-BP156</f>
        <v>62188.652478195727</v>
      </c>
      <c r="BQ197" s="23">
        <f t="shared" ref="BQ197" si="1713">BP156-BQ156</f>
        <v>5981.7513728239282</v>
      </c>
      <c r="BR197" s="23">
        <f t="shared" ref="BR197" si="1714">BQ156-BR156</f>
        <v>17493.248627176072</v>
      </c>
      <c r="BS197" s="23">
        <f t="shared" ref="BS197" si="1715">BR156-BS156</f>
        <v>20341.107888085069</v>
      </c>
      <c r="BT197" s="23">
        <f t="shared" ref="BT197" si="1716">BS156-BT156</f>
        <v>-76329.107888085069</v>
      </c>
      <c r="BU197" s="23">
        <f t="shared" ref="BU197" si="1717">BT156-BU156</f>
        <v>4487.6661341185682</v>
      </c>
      <c r="BV197" s="23">
        <f t="shared" ref="BV197" si="1718">BU156-BV156</f>
        <v>-10263.666134118568</v>
      </c>
      <c r="BW197" s="23">
        <f t="shared" ref="BW197" si="1719">BV156-BW156</f>
        <v>9375.9400358649436</v>
      </c>
      <c r="BX197" s="23">
        <f t="shared" ref="BX197" si="1720">BW156-BX156</f>
        <v>-89231.940035864944</v>
      </c>
      <c r="BY197" s="23">
        <f t="shared" ref="BY197" si="1721">BX156-BY156</f>
        <v>21523.075306708459</v>
      </c>
      <c r="BZ197" s="23">
        <f t="shared" ref="BZ197" si="1722">BY156-BZ156</f>
        <v>-51195.075306708459</v>
      </c>
      <c r="CA197" s="23">
        <f t="shared" ref="CA197" si="1723">BZ156-CA156</f>
        <v>19337.815824604419</v>
      </c>
      <c r="CB197" s="23">
        <f t="shared" ref="CB197" si="1724">CA156-CB156</f>
        <v>-58804.815824604419</v>
      </c>
      <c r="CC197" s="23">
        <f t="shared" ref="CC197" si="1725">CB156-CC156</f>
        <v>19089.75886341976</v>
      </c>
      <c r="CD197" s="23">
        <f t="shared" ref="CD197" si="1726">CC156-CD156</f>
        <v>-8697.75886341976</v>
      </c>
      <c r="CE197" s="23">
        <f t="shared" ref="CE197" si="1727">CD156-CE156</f>
        <v>22260.585310043243</v>
      </c>
      <c r="CF197" s="23">
        <f t="shared" ref="CF197" si="1728">CE156-CF156</f>
        <v>-36000.585310043243</v>
      </c>
      <c r="CG197" s="23">
        <f t="shared" ref="CG197" si="1729">CF156-CG156</f>
        <v>12276.105275804468</v>
      </c>
      <c r="CH197" s="23">
        <f t="shared" ref="CH197:CL197" si="1730">CG156-CH156</f>
        <v>-74713.105275804468</v>
      </c>
      <c r="CI197" s="23">
        <f t="shared" si="1730"/>
        <v>78699.585170994396</v>
      </c>
      <c r="CJ197" s="23">
        <f t="shared" si="1730"/>
        <v>-119893.5851709944</v>
      </c>
      <c r="CK197" s="23">
        <f t="shared" ref="CK197" si="1731">CJ156-CK156</f>
        <v>95076.15152049507</v>
      </c>
      <c r="CL197" s="23">
        <f t="shared" si="1730"/>
        <v>-164262.15152049507</v>
      </c>
      <c r="CM197" s="24">
        <f t="shared" ref="CM197" si="1732">CL156-CM156</f>
        <v>111545.32443141507</v>
      </c>
      <c r="CN197" s="24">
        <f t="shared" ref="CN197" si="1733">CM156-CN156</f>
        <v>-28246.10695322149</v>
      </c>
      <c r="CO197" s="24">
        <f t="shared" ref="CO197" si="1734">CN156-CO156</f>
        <v>-22444.115034161834</v>
      </c>
      <c r="CP197" s="24">
        <f t="shared" ref="CP197" si="1735">CO156-CP156</f>
        <v>-62024.128287995933</v>
      </c>
      <c r="CQ197" s="24">
        <f t="shared" ref="CQ197" si="1736">CP156-CQ156</f>
        <v>59786.162022835459</v>
      </c>
      <c r="CR197" s="24">
        <f t="shared" ref="CR197" si="1737">CQ156-CR156</f>
        <v>-32421.671339356457</v>
      </c>
      <c r="CS197" s="24">
        <f t="shared" ref="CS197" si="1738">CR156-CS156</f>
        <v>-24910.131735051516</v>
      </c>
      <c r="CT197" s="24">
        <f t="shared" ref="CT197" si="1739">CS156-CT156</f>
        <v>-68502.339445735561</v>
      </c>
      <c r="CU197" s="24">
        <f t="shared" ref="CU197" si="1740">CT156-CU156</f>
        <v>66417.261709333747</v>
      </c>
      <c r="CV197" s="24">
        <f t="shared" ref="CV197" si="1741">CU156-CV156</f>
        <v>-36112.445085721207</v>
      </c>
      <c r="CW197" s="24">
        <f t="shared" ref="CW197" si="1742">CV156-CW156</f>
        <v>-27538.958865363849</v>
      </c>
      <c r="CX197" s="24">
        <f t="shared" ref="CX197" si="1743">CW156-CX156</f>
        <v>-75731.530607004184</v>
      </c>
      <c r="CY197" s="24">
        <f t="shared" ref="CY197" si="1744">CX156-CY156</f>
        <v>73494.271302544279</v>
      </c>
      <c r="CZ197" s="24">
        <f t="shared" ref="CZ197" si="1745">CY156-CZ156</f>
        <v>-39994.025881025591</v>
      </c>
      <c r="DA197" s="24">
        <f t="shared" ref="DA197" si="1746">CZ156-DA156</f>
        <v>-30452.481058462407</v>
      </c>
      <c r="DB197" s="24">
        <f t="shared" ref="DB197" si="1747">DA156-DB156</f>
        <v>-83764.32632824732</v>
      </c>
      <c r="DE197" s="123"/>
      <c r="DF197" s="23">
        <v>-20925.691523222486</v>
      </c>
    </row>
    <row r="198" spans="1:110" s="22" customFormat="1" x14ac:dyDescent="0.2">
      <c r="A198" s="22" t="s">
        <v>90</v>
      </c>
      <c r="C198" s="22">
        <f t="shared" ref="C198:W198" si="1748">C196-C197</f>
        <v>-944.29000000000133</v>
      </c>
      <c r="D198" s="22">
        <f t="shared" si="1748"/>
        <v>-687.45999999999594</v>
      </c>
      <c r="E198" s="22">
        <f t="shared" si="1748"/>
        <v>3588.5699999999961</v>
      </c>
      <c r="F198" s="22">
        <f t="shared" si="1748"/>
        <v>3999.3300000000013</v>
      </c>
      <c r="G198" s="22">
        <f t="shared" si="1748"/>
        <v>-2266.5600000000022</v>
      </c>
      <c r="H198" s="22">
        <f t="shared" si="1748"/>
        <v>-3583.2599999999948</v>
      </c>
      <c r="I198" s="22">
        <f t="shared" si="1748"/>
        <v>-8411.68</v>
      </c>
      <c r="J198" s="22">
        <f>J196-J197</f>
        <v>24768.7</v>
      </c>
      <c r="K198" s="22">
        <f t="shared" si="1748"/>
        <v>-14369.790000000008</v>
      </c>
      <c r="L198" s="22">
        <f t="shared" si="1748"/>
        <v>907.02000000000407</v>
      </c>
      <c r="M198" s="22">
        <f t="shared" si="1748"/>
        <v>-18140</v>
      </c>
      <c r="N198" s="22">
        <f t="shared" si="1748"/>
        <v>5707</v>
      </c>
      <c r="O198" s="22">
        <f t="shared" si="1748"/>
        <v>6573</v>
      </c>
      <c r="P198" s="22">
        <f t="shared" si="1748"/>
        <v>36423</v>
      </c>
      <c r="Q198" s="22">
        <f t="shared" si="1748"/>
        <v>62818</v>
      </c>
      <c r="R198" s="22">
        <f t="shared" si="1748"/>
        <v>52987</v>
      </c>
      <c r="S198" s="22">
        <f t="shared" si="1748"/>
        <v>16025</v>
      </c>
      <c r="T198" s="22">
        <f t="shared" si="1748"/>
        <v>-21060</v>
      </c>
      <c r="U198" s="22">
        <f t="shared" si="1748"/>
        <v>11524</v>
      </c>
      <c r="V198" s="22">
        <f t="shared" si="1748"/>
        <v>-153617</v>
      </c>
      <c r="W198" s="22">
        <f t="shared" si="1748"/>
        <v>77264</v>
      </c>
      <c r="X198" s="22">
        <f t="shared" ref="X198:Y198" si="1749">X196-X197</f>
        <v>104477</v>
      </c>
      <c r="Y198" s="22">
        <f t="shared" si="1749"/>
        <v>11393</v>
      </c>
      <c r="Z198" s="22">
        <f t="shared" ref="Z198" si="1750">Z196-Z197</f>
        <v>62151</v>
      </c>
      <c r="AA198" s="21">
        <f t="shared" ref="AA198:AD198" si="1751">AA196-AA197</f>
        <v>-153706</v>
      </c>
      <c r="AB198" s="21">
        <f t="shared" si="1751"/>
        <v>4.5354790105484426</v>
      </c>
      <c r="AC198" s="21">
        <f t="shared" si="1751"/>
        <v>-63843.718536372297</v>
      </c>
      <c r="AD198" s="21">
        <f t="shared" si="1751"/>
        <v>-6523.8360454083886</v>
      </c>
      <c r="AE198" s="21">
        <f t="shared" ref="AE198" si="1752">AE196-AE197</f>
        <v>-7216.8404107157839</v>
      </c>
      <c r="AI198" s="22">
        <f t="shared" ref="AI198" si="1753">AI196-AI197</f>
        <v>0</v>
      </c>
      <c r="AJ198" s="22">
        <f t="shared" ref="AJ198:AL198" si="1754">AJ196-AJ197</f>
        <v>-4032</v>
      </c>
      <c r="AK198" s="22">
        <f t="shared" si="1754"/>
        <v>-2229.6354720155941</v>
      </c>
      <c r="AL198" s="22">
        <f t="shared" si="1754"/>
        <v>10678.635472015594</v>
      </c>
      <c r="AM198" s="22">
        <f t="shared" ref="AM198" si="1755">AM196-AM197</f>
        <v>-2315.1565951685479</v>
      </c>
      <c r="AN198" s="22">
        <f t="shared" ref="AN198:CD198" si="1756">AN196-AN197</f>
        <v>-6951.8434048314521</v>
      </c>
      <c r="AO198" s="22">
        <f t="shared" si="1756"/>
        <v>23.465101176712778</v>
      </c>
      <c r="AP198" s="22">
        <f t="shared" si="1756"/>
        <v>2866.5348988232872</v>
      </c>
      <c r="AQ198" s="22">
        <f t="shared" si="1756"/>
        <v>-61.767142359894933</v>
      </c>
      <c r="AR198" s="22">
        <f t="shared" si="1756"/>
        <v>17420.767142359895</v>
      </c>
      <c r="AS198" s="22">
        <f t="shared" si="1756"/>
        <v>48.304543840000406</v>
      </c>
      <c r="AT198" s="22">
        <f t="shared" si="1756"/>
        <v>18801.69545616</v>
      </c>
      <c r="AU198" s="22">
        <f t="shared" si="1756"/>
        <v>114.39721357637609</v>
      </c>
      <c r="AV198" s="22">
        <f t="shared" si="1756"/>
        <v>20459.602786423624</v>
      </c>
      <c r="AW198" s="22">
        <f t="shared" si="1756"/>
        <v>161.77919183783524</v>
      </c>
      <c r="AX198" s="22">
        <f t="shared" si="1756"/>
        <v>53561.220808162165</v>
      </c>
      <c r="AY198" s="22">
        <f t="shared" si="1756"/>
        <v>151.38099258844159</v>
      </c>
      <c r="AZ198" s="22">
        <f t="shared" si="1756"/>
        <v>9811.6190074115584</v>
      </c>
      <c r="BA198" s="22">
        <f t="shared" si="1756"/>
        <v>-266.2173519001517</v>
      </c>
      <c r="BB198" s="22">
        <f t="shared" si="1756"/>
        <v>40740.217351900152</v>
      </c>
      <c r="BC198" s="22">
        <f t="shared" si="1756"/>
        <v>-1973.7558376126399</v>
      </c>
      <c r="BD198" s="22">
        <f t="shared" si="1756"/>
        <v>23361.75583761264</v>
      </c>
      <c r="BE198" s="22">
        <f t="shared" si="1756"/>
        <v>-271.0907392580848</v>
      </c>
      <c r="BF198" s="22">
        <f t="shared" si="1756"/>
        <v>19275.090739258085</v>
      </c>
      <c r="BG198" s="22">
        <f t="shared" si="1756"/>
        <v>-80.25647459726315</v>
      </c>
      <c r="BH198" s="22">
        <f t="shared" si="1756"/>
        <v>-2331.7435254027369</v>
      </c>
      <c r="BI198" s="22">
        <f t="shared" si="1756"/>
        <v>119.23207350392477</v>
      </c>
      <c r="BJ198" s="22">
        <f t="shared" si="1756"/>
        <v>-39863.232073503925</v>
      </c>
      <c r="BK198" s="22">
        <f t="shared" si="1756"/>
        <v>194.35460293520009</v>
      </c>
      <c r="BL198" s="22">
        <f t="shared" si="1756"/>
        <v>23542.6453970648</v>
      </c>
      <c r="BM198" s="22">
        <f t="shared" si="1756"/>
        <v>-687.64980511774775</v>
      </c>
      <c r="BN198" s="22">
        <f t="shared" si="1756"/>
        <v>16418.649805117748</v>
      </c>
      <c r="BO198" s="22">
        <f t="shared" si="1756"/>
        <v>-1352.123120803386</v>
      </c>
      <c r="BP198" s="22">
        <f t="shared" si="1756"/>
        <v>-94536.876879196614</v>
      </c>
      <c r="BQ198" s="22">
        <f t="shared" si="1756"/>
        <v>1562.5384585426655</v>
      </c>
      <c r="BR198" s="22">
        <f t="shared" si="1756"/>
        <v>-104167.53845854267</v>
      </c>
      <c r="BS198" s="22">
        <f t="shared" si="1756"/>
        <v>-1533.7505796217301</v>
      </c>
      <c r="BT198" s="22">
        <f t="shared" si="1756"/>
        <v>75827.75057962173</v>
      </c>
      <c r="BU198" s="22">
        <f t="shared" si="1756"/>
        <v>-748.44247958564665</v>
      </c>
      <c r="BV198" s="22">
        <f t="shared" si="1756"/>
        <v>-104611.55752041435</v>
      </c>
      <c r="BW198" s="22">
        <f t="shared" si="1756"/>
        <v>-1642.5107530349633</v>
      </c>
      <c r="BX198" s="22">
        <f t="shared" si="1756"/>
        <v>168675.51075303496</v>
      </c>
      <c r="BY198" s="22">
        <f t="shared" si="1756"/>
        <v>1134.1989906899398</v>
      </c>
      <c r="BZ198" s="22">
        <f t="shared" si="1756"/>
        <v>-153068.19899068994</v>
      </c>
      <c r="CA198" s="22">
        <f t="shared" si="1756"/>
        <v>2796.6330009165104</v>
      </c>
      <c r="CB198" s="22">
        <f t="shared" si="1756"/>
        <v>13048.36699908349</v>
      </c>
      <c r="CC198" s="22">
        <f t="shared" si="1756"/>
        <v>3029.8310520476662</v>
      </c>
      <c r="CD198" s="22">
        <f t="shared" si="1756"/>
        <v>-9227.8310520476662</v>
      </c>
      <c r="CE198" s="22">
        <f t="shared" ref="CE198:CF198" si="1757">CE196-CE197</f>
        <v>751.3916264527943</v>
      </c>
      <c r="CF198" s="22">
        <f t="shared" si="1757"/>
        <v>18355.608373547206</v>
      </c>
      <c r="CG198" s="22">
        <f t="shared" ref="CG198:CH198" si="1758">CG196-CG197</f>
        <v>1083.3955167482491</v>
      </c>
      <c r="CH198" s="22">
        <f t="shared" si="1758"/>
        <v>241414.60448325175</v>
      </c>
      <c r="CI198" s="22">
        <f t="shared" ref="CI198:CJ198" si="1759">CI196-CI197</f>
        <v>-26325.202153134916</v>
      </c>
      <c r="CJ198" s="22">
        <f t="shared" si="1759"/>
        <v>-143884.79784686508</v>
      </c>
      <c r="CK198" s="22">
        <f t="shared" ref="CK198:DB198" si="1760">CK196-CK197</f>
        <v>-117340.07526650396</v>
      </c>
      <c r="CL198" s="22">
        <f t="shared" si="1760"/>
        <v>133844.07526650396</v>
      </c>
      <c r="CM198" s="21">
        <f t="shared" si="1760"/>
        <v>-432.76329627988162</v>
      </c>
      <c r="CN198" s="21">
        <f t="shared" si="1760"/>
        <v>109.58664932363899</v>
      </c>
      <c r="CO198" s="21">
        <f t="shared" si="1760"/>
        <v>87.076614405727014</v>
      </c>
      <c r="CP198" s="21">
        <f t="shared" si="1760"/>
        <v>240.63551156106405</v>
      </c>
      <c r="CQ198" s="21">
        <f t="shared" si="1760"/>
        <v>-231.95285576349124</v>
      </c>
      <c r="CR198" s="21">
        <f t="shared" si="1760"/>
        <v>125.78662020340562</v>
      </c>
      <c r="CS198" s="21">
        <f t="shared" si="1760"/>
        <v>96.644039321225137</v>
      </c>
      <c r="CT198" s="21">
        <f t="shared" si="1760"/>
        <v>-63834.196340133436</v>
      </c>
      <c r="CU198" s="21">
        <f t="shared" si="1760"/>
        <v>5938.3448279142613</v>
      </c>
      <c r="CV198" s="21">
        <f t="shared" si="1760"/>
        <v>-3228.801458823029</v>
      </c>
      <c r="CW198" s="21">
        <f t="shared" si="1760"/>
        <v>-2462.2489656374091</v>
      </c>
      <c r="CX198" s="21">
        <f t="shared" si="1760"/>
        <v>-6771.1304488622118</v>
      </c>
      <c r="CY198" s="21">
        <f t="shared" si="1760"/>
        <v>6571.0978537593037</v>
      </c>
      <c r="CZ198" s="21">
        <f t="shared" si="1760"/>
        <v>-3575.8522803519154</v>
      </c>
      <c r="DA198" s="21">
        <f t="shared" si="1760"/>
        <v>-2722.7459960948909</v>
      </c>
      <c r="DB198" s="21">
        <f t="shared" si="1760"/>
        <v>-7489.3399880282814</v>
      </c>
      <c r="DE198" s="126"/>
      <c r="DF198" s="22">
        <v>-5665.3229841390857</v>
      </c>
    </row>
    <row r="199" spans="1:110" s="22" customFormat="1" x14ac:dyDescent="0.2">
      <c r="A199" s="22" t="s">
        <v>91</v>
      </c>
      <c r="C199" s="22">
        <f t="shared" ref="C199:W199" si="1761">C195+C198</f>
        <v>5771.4500000000025</v>
      </c>
      <c r="D199" s="22">
        <f>D195+D198</f>
        <v>6856.7500000000036</v>
      </c>
      <c r="E199" s="22">
        <f t="shared" si="1761"/>
        <v>12092.740000000011</v>
      </c>
      <c r="F199" s="22">
        <f t="shared" si="1761"/>
        <v>15415.989999999996</v>
      </c>
      <c r="G199" s="22">
        <f t="shared" si="1761"/>
        <v>12079.419999999987</v>
      </c>
      <c r="H199" s="22">
        <f t="shared" si="1761"/>
        <v>15388.030000000006</v>
      </c>
      <c r="I199" s="22">
        <f t="shared" si="1761"/>
        <v>17894.60999999999</v>
      </c>
      <c r="J199" s="22">
        <f>J195+J198</f>
        <v>47450.000000000015</v>
      </c>
      <c r="K199" s="22">
        <f t="shared" si="1761"/>
        <v>24133.969999999994</v>
      </c>
      <c r="L199" s="22">
        <f t="shared" si="1761"/>
        <v>37021.020000000004</v>
      </c>
      <c r="M199" s="22">
        <f t="shared" si="1761"/>
        <v>16411</v>
      </c>
      <c r="N199" s="22">
        <f t="shared" si="1761"/>
        <v>39979</v>
      </c>
      <c r="O199" s="22">
        <f t="shared" si="1761"/>
        <v>42225</v>
      </c>
      <c r="P199" s="22">
        <f t="shared" si="1761"/>
        <v>71650</v>
      </c>
      <c r="Q199" s="22">
        <f t="shared" si="1761"/>
        <v>104128</v>
      </c>
      <c r="R199" s="22">
        <f t="shared" si="1761"/>
        <v>94534</v>
      </c>
      <c r="S199" s="22">
        <f t="shared" si="1761"/>
        <v>68806</v>
      </c>
      <c r="T199" s="22">
        <f t="shared" si="1761"/>
        <v>39462</v>
      </c>
      <c r="U199" s="22">
        <f t="shared" si="1761"/>
        <v>73081</v>
      </c>
      <c r="V199" s="22">
        <f t="shared" si="1761"/>
        <v>-77917</v>
      </c>
      <c r="W199" s="22">
        <f t="shared" si="1761"/>
        <v>167751</v>
      </c>
      <c r="X199" s="22">
        <f t="shared" ref="X199:Y199" si="1762">X195+X198</f>
        <v>211482</v>
      </c>
      <c r="Y199" s="22">
        <f t="shared" si="1762"/>
        <v>131846</v>
      </c>
      <c r="Z199" s="22">
        <f t="shared" ref="Z199" si="1763">Z195+Z198</f>
        <v>184935</v>
      </c>
      <c r="AA199" s="21">
        <f t="shared" ref="AA199:AD199" si="1764">AA195+AA198</f>
        <v>-15243</v>
      </c>
      <c r="AB199" s="21">
        <f t="shared" si="1764"/>
        <v>148263.78251852319</v>
      </c>
      <c r="AC199" s="21">
        <f t="shared" si="1764"/>
        <v>102156.63652057719</v>
      </c>
      <c r="AD199" s="21">
        <f t="shared" si="1764"/>
        <v>178185.39667016434</v>
      </c>
      <c r="AE199" s="21">
        <f t="shared" ref="AE199" si="1765">AE195+AE198</f>
        <v>200403.82250711936</v>
      </c>
      <c r="AI199" s="22">
        <f t="shared" ref="AI199" si="1766">AI195+AI198</f>
        <v>6966</v>
      </c>
      <c r="AJ199" s="22">
        <f t="shared" ref="AJ199:AL199" si="1767">AJ195+AJ198</f>
        <v>3683</v>
      </c>
      <c r="AK199" s="22">
        <f t="shared" si="1767"/>
        <v>5729.3645279844059</v>
      </c>
      <c r="AL199" s="22">
        <f t="shared" si="1767"/>
        <v>18506.635472015594</v>
      </c>
      <c r="AM199" s="22">
        <f t="shared" ref="AM199" si="1768">AM195+AM198</f>
        <v>5640.8434048314521</v>
      </c>
      <c r="AN199" s="22">
        <f t="shared" ref="AN199:CD199" si="1769">AN195+AN198</f>
        <v>1717.1565951685479</v>
      </c>
      <c r="AO199" s="22">
        <f t="shared" si="1769"/>
        <v>8301.4651011767128</v>
      </c>
      <c r="AP199" s="22">
        <f t="shared" si="1769"/>
        <v>11657.534898823287</v>
      </c>
      <c r="AQ199" s="22">
        <f t="shared" si="1769"/>
        <v>8677.2328576401051</v>
      </c>
      <c r="AR199" s="22">
        <f t="shared" si="1769"/>
        <v>26416.767142359895</v>
      </c>
      <c r="AS199" s="22">
        <f t="shared" si="1769"/>
        <v>8258.3045438400004</v>
      </c>
      <c r="AT199" s="22">
        <f t="shared" si="1769"/>
        <v>27969.69545616</v>
      </c>
      <c r="AU199" s="22">
        <f t="shared" si="1769"/>
        <v>8889.3972135763761</v>
      </c>
      <c r="AV199" s="22">
        <f t="shared" si="1769"/>
        <v>32646.602786423624</v>
      </c>
      <c r="AW199" s="22">
        <f t="shared" si="1769"/>
        <v>10292.779191837835</v>
      </c>
      <c r="AX199" s="22">
        <f t="shared" si="1769"/>
        <v>63860.220808162165</v>
      </c>
      <c r="AY199" s="22">
        <f t="shared" si="1769"/>
        <v>9989.3809925884416</v>
      </c>
      <c r="AZ199" s="22">
        <f t="shared" si="1769"/>
        <v>19794.619007411558</v>
      </c>
      <c r="BA199" s="22">
        <f t="shared" si="1769"/>
        <v>10059.782648099848</v>
      </c>
      <c r="BB199" s="22">
        <f t="shared" si="1769"/>
        <v>52140.217351900152</v>
      </c>
      <c r="BC199" s="22">
        <f t="shared" si="1769"/>
        <v>10171.24416238736</v>
      </c>
      <c r="BD199" s="22">
        <f t="shared" si="1769"/>
        <v>35757.75583761264</v>
      </c>
      <c r="BE199" s="22">
        <f t="shared" si="1769"/>
        <v>13678.909260741915</v>
      </c>
      <c r="BF199" s="22">
        <f t="shared" si="1769"/>
        <v>33565.090739258085</v>
      </c>
      <c r="BG199" s="22">
        <f t="shared" si="1769"/>
        <v>14551.743525402737</v>
      </c>
      <c r="BH199" s="22">
        <f t="shared" si="1769"/>
        <v>12413.256474597263</v>
      </c>
      <c r="BI199" s="22">
        <f t="shared" si="1769"/>
        <v>15607.232073503925</v>
      </c>
      <c r="BJ199" s="22">
        <f t="shared" si="1769"/>
        <v>-24206.232073503925</v>
      </c>
      <c r="BK199" s="22">
        <f t="shared" si="1769"/>
        <v>15309.3546029352</v>
      </c>
      <c r="BL199" s="22">
        <f t="shared" si="1769"/>
        <v>40119.6453970648</v>
      </c>
      <c r="BM199" s="22">
        <f t="shared" si="1769"/>
        <v>16497.350194882252</v>
      </c>
      <c r="BN199" s="22">
        <f t="shared" si="1769"/>
        <v>29098.649805117748</v>
      </c>
      <c r="BO199" s="22">
        <f t="shared" si="1769"/>
        <v>18188.876879196614</v>
      </c>
      <c r="BP199" s="22">
        <f t="shared" si="1769"/>
        <v>-78343.876879196614</v>
      </c>
      <c r="BQ199" s="22">
        <f t="shared" si="1769"/>
        <v>21328.538458542665</v>
      </c>
      <c r="BR199" s="22">
        <f t="shared" si="1769"/>
        <v>-83967.538458542665</v>
      </c>
      <c r="BS199" s="22">
        <f t="shared" si="1769"/>
        <v>17622.24942037827</v>
      </c>
      <c r="BT199" s="22">
        <f t="shared" si="1769"/>
        <v>96737.75057962173</v>
      </c>
      <c r="BU199" s="22">
        <f t="shared" si="1769"/>
        <v>25483.557520414353</v>
      </c>
      <c r="BV199" s="22">
        <f t="shared" si="1769"/>
        <v>-80407.557520414353</v>
      </c>
      <c r="BW199" s="22">
        <f t="shared" si="1769"/>
        <v>25254.489246965037</v>
      </c>
      <c r="BX199" s="22">
        <f t="shared" si="1769"/>
        <v>192057.51075303496</v>
      </c>
      <c r="BY199" s="22">
        <f t="shared" si="1769"/>
        <v>27109.19899068994</v>
      </c>
      <c r="BZ199" s="22">
        <f t="shared" si="1769"/>
        <v>-122317.19899068994</v>
      </c>
      <c r="CA199" s="22">
        <f t="shared" si="1769"/>
        <v>30582.63300091651</v>
      </c>
      <c r="CB199" s="22">
        <f t="shared" si="1769"/>
        <v>43027.36699908349</v>
      </c>
      <c r="CC199" s="22">
        <f t="shared" si="1769"/>
        <v>33197.831052047666</v>
      </c>
      <c r="CD199" s="22">
        <f t="shared" si="1769"/>
        <v>23292.168947952334</v>
      </c>
      <c r="CE199" s="22">
        <f t="shared" ref="CE199:CF199" si="1770">CE195+CE198</f>
        <v>29485.391626452794</v>
      </c>
      <c r="CF199" s="22">
        <f t="shared" si="1770"/>
        <v>47798.608373547206</v>
      </c>
      <c r="CG199" s="22">
        <f t="shared" ref="CG199:CH199" si="1771">CG195+CG198</f>
        <v>32804.395516748249</v>
      </c>
      <c r="CH199" s="22">
        <f t="shared" si="1771"/>
        <v>274300.60448325175</v>
      </c>
      <c r="CI199" s="22">
        <f t="shared" ref="CI199:CJ199" si="1772">CI195+CI198</f>
        <v>14510.797846865084</v>
      </c>
      <c r="CJ199" s="22">
        <f t="shared" si="1772"/>
        <v>-111303.79784686508</v>
      </c>
      <c r="CK199" s="22">
        <f t="shared" ref="CK199:DB199" si="1773">CK195+CK198</f>
        <v>-84073.075266503962</v>
      </c>
      <c r="CL199" s="22">
        <f t="shared" si="1773"/>
        <v>165623.07526650396</v>
      </c>
      <c r="CM199" s="21">
        <f t="shared" si="1773"/>
        <v>33965.964582191416</v>
      </c>
      <c r="CN199" s="21">
        <f t="shared" si="1773"/>
        <v>35964.782207968485</v>
      </c>
      <c r="CO199" s="21">
        <f t="shared" si="1773"/>
        <v>37048.81737902046</v>
      </c>
      <c r="CP199" s="21">
        <f t="shared" si="1773"/>
        <v>41284.218349342867</v>
      </c>
      <c r="CQ199" s="21">
        <f t="shared" si="1773"/>
        <v>37581.596451906189</v>
      </c>
      <c r="CR199" s="21">
        <f t="shared" si="1773"/>
        <v>40073.47216851353</v>
      </c>
      <c r="CS199" s="21">
        <f t="shared" si="1773"/>
        <v>41793.16989498616</v>
      </c>
      <c r="CT199" s="21">
        <f t="shared" si="1773"/>
        <v>-17291.60199482875</v>
      </c>
      <c r="CU199" s="21">
        <f t="shared" si="1773"/>
        <v>47807.005301145662</v>
      </c>
      <c r="CV199" s="21">
        <f t="shared" si="1773"/>
        <v>41252.233795908156</v>
      </c>
      <c r="CW199" s="21">
        <f t="shared" si="1773"/>
        <v>44045.248724869845</v>
      </c>
      <c r="CX199" s="21">
        <f t="shared" si="1773"/>
        <v>45080.908848240877</v>
      </c>
      <c r="CY199" s="21">
        <f t="shared" si="1773"/>
        <v>53638.899841012739</v>
      </c>
      <c r="CZ199" s="21">
        <f t="shared" si="1773"/>
        <v>46453.26546033653</v>
      </c>
      <c r="DA199" s="21">
        <f t="shared" si="1773"/>
        <v>49579.630905589998</v>
      </c>
      <c r="DB199" s="21">
        <f t="shared" si="1773"/>
        <v>50732.026300180136</v>
      </c>
      <c r="DE199" s="126"/>
      <c r="DF199" s="22">
        <v>28503.948698492823</v>
      </c>
    </row>
    <row r="200" spans="1:110" s="23" customFormat="1" x14ac:dyDescent="0.2">
      <c r="AA200" s="24"/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74">C202+C203</f>
        <v>-22894.009999999995</v>
      </c>
      <c r="D201" s="22">
        <f>D202+D203</f>
        <v>-7771.2400000000016</v>
      </c>
      <c r="E201" s="22">
        <f t="shared" si="1774"/>
        <v>-12251.099999999997</v>
      </c>
      <c r="F201" s="22">
        <f t="shared" si="1774"/>
        <v>-5081.0900000000074</v>
      </c>
      <c r="G201" s="22">
        <f t="shared" si="1774"/>
        <v>-19300.939999999991</v>
      </c>
      <c r="H201" s="22">
        <f t="shared" si="1774"/>
        <v>-34018.079999999994</v>
      </c>
      <c r="I201" s="22">
        <f t="shared" si="1774"/>
        <v>-28032.740000000005</v>
      </c>
      <c r="J201" s="22">
        <f t="shared" si="1774"/>
        <v>-74744.689999999988</v>
      </c>
      <c r="K201" s="22">
        <f t="shared" si="1774"/>
        <v>-11412.670000000006</v>
      </c>
      <c r="L201" s="22">
        <f t="shared" si="1774"/>
        <v>-28140.810000000005</v>
      </c>
      <c r="M201" s="22">
        <f t="shared" si="1774"/>
        <v>2758</v>
      </c>
      <c r="N201" s="22">
        <f t="shared" si="1774"/>
        <v>-35211</v>
      </c>
      <c r="O201" s="22">
        <f t="shared" si="1774"/>
        <v>-75519</v>
      </c>
      <c r="P201" s="22">
        <f t="shared" si="1774"/>
        <v>-100240</v>
      </c>
      <c r="Q201" s="22">
        <f t="shared" si="1774"/>
        <v>-118327</v>
      </c>
      <c r="R201" s="22">
        <f t="shared" si="1774"/>
        <v>-105529</v>
      </c>
      <c r="S201" s="22">
        <f t="shared" si="1774"/>
        <v>-83870</v>
      </c>
      <c r="T201" s="22">
        <f t="shared" si="1774"/>
        <v>-147217</v>
      </c>
      <c r="U201" s="22">
        <f t="shared" si="1774"/>
        <v>-125370</v>
      </c>
      <c r="V201" s="22">
        <f t="shared" si="1774"/>
        <v>-60549</v>
      </c>
      <c r="W201" s="22">
        <f t="shared" si="1774"/>
        <v>-236639</v>
      </c>
      <c r="X201" s="22">
        <f t="shared" ref="X201:Y201" si="1775">X202+X203</f>
        <v>-89497</v>
      </c>
      <c r="Y201" s="22">
        <f t="shared" si="1775"/>
        <v>-153530</v>
      </c>
      <c r="Z201" s="22">
        <f t="shared" ref="Z201" si="1776">Z202+Z203</f>
        <v>-200217</v>
      </c>
      <c r="AA201" s="21">
        <f t="shared" ref="AA201:AD201" si="1777">AA202+AA203</f>
        <v>11084</v>
      </c>
      <c r="AB201" s="21">
        <f t="shared" si="1777"/>
        <v>-80000</v>
      </c>
      <c r="AC201" s="21">
        <f t="shared" si="1777"/>
        <v>-80000.000000000233</v>
      </c>
      <c r="AD201" s="21">
        <f t="shared" si="1777"/>
        <v>-80000</v>
      </c>
      <c r="AE201" s="21">
        <f t="shared" ref="AE201" si="1778">AE202+AE203</f>
        <v>-80000.000000000233</v>
      </c>
      <c r="AI201" s="22">
        <f t="shared" ref="AI201" si="1779">AI202+AI203</f>
        <v>-2463</v>
      </c>
      <c r="AJ201" s="22">
        <f t="shared" ref="AJ201:AL201" si="1780">AJ202+AJ203</f>
        <v>-155155</v>
      </c>
      <c r="AK201" s="22">
        <f t="shared" si="1780"/>
        <v>-2457</v>
      </c>
      <c r="AL201" s="22">
        <f t="shared" si="1780"/>
        <v>-46808</v>
      </c>
      <c r="AM201" s="22">
        <f t="shared" ref="AM201" si="1781">AM202+AM203</f>
        <v>-2719</v>
      </c>
      <c r="AN201" s="22">
        <f t="shared" ref="AN201:CD201" si="1782">AN202+AN203</f>
        <v>20373</v>
      </c>
      <c r="AO201" s="22">
        <f t="shared" si="1782"/>
        <v>-2776</v>
      </c>
      <c r="AP201" s="22">
        <f t="shared" si="1782"/>
        <v>-88439</v>
      </c>
      <c r="AQ201" s="22">
        <f t="shared" si="1782"/>
        <v>-2782</v>
      </c>
      <c r="AR201" s="22">
        <f t="shared" si="1782"/>
        <v>-45792</v>
      </c>
      <c r="AS201" s="22">
        <f t="shared" si="1782"/>
        <v>-2954</v>
      </c>
      <c r="AT201" s="22">
        <f t="shared" si="1782"/>
        <v>-48598</v>
      </c>
      <c r="AU201" s="22">
        <f t="shared" si="1782"/>
        <v>-2751</v>
      </c>
      <c r="AV201" s="22">
        <f t="shared" si="1782"/>
        <v>-54045</v>
      </c>
      <c r="AW201" s="22">
        <f t="shared" si="1782"/>
        <v>-2886</v>
      </c>
      <c r="AX201" s="22">
        <f t="shared" si="1782"/>
        <v>-58691</v>
      </c>
      <c r="AY201" s="22">
        <f t="shared" si="1782"/>
        <v>-2725</v>
      </c>
      <c r="AZ201" s="22">
        <f t="shared" si="1782"/>
        <v>-56158</v>
      </c>
      <c r="BA201" s="22">
        <f t="shared" si="1782"/>
        <v>-2793</v>
      </c>
      <c r="BB201" s="22">
        <f t="shared" si="1782"/>
        <v>-43853</v>
      </c>
      <c r="BC201" s="22">
        <f t="shared" si="1782"/>
        <v>-3037</v>
      </c>
      <c r="BD201" s="22">
        <f t="shared" si="1782"/>
        <v>-35953</v>
      </c>
      <c r="BE201" s="22">
        <f t="shared" si="1782"/>
        <v>-4530</v>
      </c>
      <c r="BF201" s="22">
        <f t="shared" si="1782"/>
        <v>-40350</v>
      </c>
      <c r="BG201" s="22">
        <f t="shared" si="1782"/>
        <v>-5173</v>
      </c>
      <c r="BH201" s="22">
        <f t="shared" si="1782"/>
        <v>-69720</v>
      </c>
      <c r="BI201" s="22">
        <f t="shared" si="1782"/>
        <v>-5237</v>
      </c>
      <c r="BJ201" s="22">
        <f t="shared" si="1782"/>
        <v>-67087</v>
      </c>
      <c r="BK201" s="22">
        <f t="shared" si="1782"/>
        <v>-5011</v>
      </c>
      <c r="BL201" s="22">
        <f t="shared" si="1782"/>
        <v>-28432</v>
      </c>
      <c r="BM201" s="22">
        <f t="shared" si="1782"/>
        <v>-5545</v>
      </c>
      <c r="BN201" s="22">
        <f t="shared" si="1782"/>
        <v>-86382</v>
      </c>
      <c r="BO201" s="22">
        <f t="shared" si="1782"/>
        <v>-6308</v>
      </c>
      <c r="BP201" s="22">
        <f t="shared" si="1782"/>
        <v>-46685</v>
      </c>
      <c r="BQ201" s="22">
        <f t="shared" si="1782"/>
        <v>-6665</v>
      </c>
      <c r="BR201" s="22">
        <f t="shared" si="1782"/>
        <v>-891</v>
      </c>
      <c r="BS201" s="22">
        <f t="shared" si="1782"/>
        <v>-6883</v>
      </c>
      <c r="BT201" s="22">
        <f t="shared" si="1782"/>
        <v>-129745</v>
      </c>
      <c r="BU201" s="22">
        <f t="shared" si="1782"/>
        <v>-7683</v>
      </c>
      <c r="BV201" s="22">
        <f t="shared" si="1782"/>
        <v>15987</v>
      </c>
      <c r="BW201" s="22">
        <f t="shared" si="1782"/>
        <v>-8942</v>
      </c>
      <c r="BX201" s="22">
        <f t="shared" si="1782"/>
        <v>-245127</v>
      </c>
      <c r="BY201" s="22">
        <f t="shared" si="1782"/>
        <v>-10183</v>
      </c>
      <c r="BZ201" s="22">
        <f t="shared" si="1782"/>
        <v>264133</v>
      </c>
      <c r="CA201" s="22">
        <f t="shared" si="1782"/>
        <v>-11775</v>
      </c>
      <c r="CB201" s="22">
        <f t="shared" si="1782"/>
        <v>-72748</v>
      </c>
      <c r="CC201" s="22">
        <f t="shared" si="1782"/>
        <v>-12903</v>
      </c>
      <c r="CD201" s="22">
        <f t="shared" si="1782"/>
        <v>-54358</v>
      </c>
      <c r="CE201" s="22">
        <f t="shared" ref="CE201:CF201" si="1783">CE202+CE203</f>
        <v>-13596</v>
      </c>
      <c r="CF201" s="22">
        <f t="shared" si="1783"/>
        <v>-60843</v>
      </c>
      <c r="CG201" s="22">
        <f t="shared" ref="CG201:CH201" si="1784">CG202+CG203</f>
        <v>-13181</v>
      </c>
      <c r="CH201" s="22">
        <f t="shared" si="1784"/>
        <v>-312051</v>
      </c>
      <c r="CI201" s="22">
        <f t="shared" ref="CI201:CJ201" si="1785">CI202+CI203</f>
        <v>0</v>
      </c>
      <c r="CJ201" s="22">
        <f t="shared" si="1785"/>
        <v>98811</v>
      </c>
      <c r="CK201" s="22">
        <f t="shared" ref="CK201:DB201" si="1786">CK202+CK203</f>
        <v>-20000</v>
      </c>
      <c r="CL201" s="22">
        <f t="shared" si="1786"/>
        <v>-67727</v>
      </c>
      <c r="CM201" s="21">
        <f t="shared" si="1786"/>
        <v>-20000</v>
      </c>
      <c r="CN201" s="21">
        <f t="shared" si="1786"/>
        <v>-19999.999999999767</v>
      </c>
      <c r="CO201" s="21">
        <f t="shared" si="1786"/>
        <v>-20000</v>
      </c>
      <c r="CP201" s="21">
        <f t="shared" si="1786"/>
        <v>-20000</v>
      </c>
      <c r="CQ201" s="21">
        <f t="shared" si="1786"/>
        <v>-20000</v>
      </c>
      <c r="CR201" s="21">
        <f t="shared" si="1786"/>
        <v>-20000</v>
      </c>
      <c r="CS201" s="21">
        <f t="shared" si="1786"/>
        <v>-20000.000000000233</v>
      </c>
      <c r="CT201" s="21">
        <f t="shared" si="1786"/>
        <v>-20000</v>
      </c>
      <c r="CU201" s="21">
        <f t="shared" si="1786"/>
        <v>-19999.999999999767</v>
      </c>
      <c r="CV201" s="21">
        <f t="shared" si="1786"/>
        <v>-20000</v>
      </c>
      <c r="CW201" s="21">
        <f t="shared" si="1786"/>
        <v>-20000</v>
      </c>
      <c r="CX201" s="21">
        <f t="shared" si="1786"/>
        <v>-20000.000000000233</v>
      </c>
      <c r="CY201" s="21">
        <f t="shared" si="1786"/>
        <v>-20000.000000000233</v>
      </c>
      <c r="CZ201" s="21">
        <f t="shared" si="1786"/>
        <v>-19999.999999999767</v>
      </c>
      <c r="DA201" s="21">
        <f t="shared" si="1786"/>
        <v>-20000.000000000233</v>
      </c>
      <c r="DB201" s="21">
        <f t="shared" si="1786"/>
        <v>-20000</v>
      </c>
      <c r="DE201" s="126"/>
      <c r="DF201" s="22">
        <v>-20000</v>
      </c>
    </row>
    <row r="202" spans="1:110" s="23" customFormat="1" x14ac:dyDescent="0.2">
      <c r="A202" s="23" t="s">
        <v>93</v>
      </c>
      <c r="C202" s="23">
        <f t="shared" ref="C202:AA202" si="1787">B140-C140</f>
        <v>-301.17000000000007</v>
      </c>
      <c r="D202" s="23">
        <f t="shared" si="1787"/>
        <v>-3354.9799999999996</v>
      </c>
      <c r="E202" s="23">
        <f>D140-E140</f>
        <v>-7818.76</v>
      </c>
      <c r="F202" s="23">
        <f t="shared" si="1787"/>
        <v>-1412.0600000000013</v>
      </c>
      <c r="G202" s="23">
        <f t="shared" si="1787"/>
        <v>15708.990000000002</v>
      </c>
      <c r="H202" s="23">
        <f t="shared" si="1787"/>
        <v>1837.78</v>
      </c>
      <c r="I202" s="23">
        <f t="shared" si="1787"/>
        <v>-1448.89</v>
      </c>
      <c r="J202" s="23">
        <f>I140-J140</f>
        <v>-87.149999999999636</v>
      </c>
      <c r="K202" s="23">
        <f>J140-K140</f>
        <v>-1077.2900000000004</v>
      </c>
      <c r="L202" s="23">
        <f t="shared" si="1787"/>
        <v>-2271.7399999999998</v>
      </c>
      <c r="M202" s="23">
        <f t="shared" si="1787"/>
        <v>-4512</v>
      </c>
      <c r="N202" s="23">
        <f t="shared" si="1787"/>
        <v>-2556</v>
      </c>
      <c r="O202" s="23">
        <f t="shared" si="1787"/>
        <v>-12888</v>
      </c>
      <c r="P202" s="23">
        <f t="shared" si="1787"/>
        <v>1430</v>
      </c>
      <c r="Q202" s="23">
        <f t="shared" si="1787"/>
        <v>-16075</v>
      </c>
      <c r="R202" s="23">
        <f t="shared" si="1787"/>
        <v>15873</v>
      </c>
      <c r="S202" s="23">
        <f t="shared" si="1787"/>
        <v>380</v>
      </c>
      <c r="T202" s="23">
        <f t="shared" si="1787"/>
        <v>-139353</v>
      </c>
      <c r="U202" s="23">
        <f t="shared" si="1787"/>
        <v>-39240</v>
      </c>
      <c r="V202" s="23">
        <f t="shared" si="1787"/>
        <v>-8530</v>
      </c>
      <c r="W202" s="23">
        <f t="shared" si="1787"/>
        <v>-73764</v>
      </c>
      <c r="X202" s="23">
        <f t="shared" si="1787"/>
        <v>169059</v>
      </c>
      <c r="Y202" s="23">
        <f t="shared" si="1787"/>
        <v>-2415</v>
      </c>
      <c r="Z202" s="23">
        <f t="shared" si="1787"/>
        <v>-4170</v>
      </c>
      <c r="AA202" s="24">
        <f t="shared" si="1787"/>
        <v>-27229</v>
      </c>
      <c r="AB202" s="24">
        <f t="shared" ref="AB202" si="1788">AA140-AB140</f>
        <v>0</v>
      </c>
      <c r="AC202" s="24">
        <f t="shared" ref="AC202" si="1789">AB140-AC140</f>
        <v>0</v>
      </c>
      <c r="AD202" s="24">
        <f t="shared" ref="AD202" si="1790">AC140-AD140</f>
        <v>0</v>
      </c>
      <c r="AE202" s="24">
        <f t="shared" ref="AE202" si="1791">AD140-AE140</f>
        <v>0</v>
      </c>
      <c r="AI202" s="23">
        <f t="shared" ref="AI202" si="1792">AH140-AI140</f>
        <v>0</v>
      </c>
      <c r="AJ202" s="23">
        <f t="shared" ref="AJ202" si="1793">AI140-AJ140</f>
        <v>-28788</v>
      </c>
      <c r="AK202" s="23">
        <f t="shared" ref="AK202" si="1794">AJ140-AK140</f>
        <v>0</v>
      </c>
      <c r="AL202" s="23">
        <f t="shared" ref="AL202" si="1795">AK140-AL140</f>
        <v>14809</v>
      </c>
      <c r="AM202" s="23">
        <f t="shared" ref="AM202" si="1796">AL140-AM140</f>
        <v>0</v>
      </c>
      <c r="AN202" s="23">
        <f t="shared" ref="AN202" si="1797">AM140-AN140</f>
        <v>-17231</v>
      </c>
      <c r="AO202" s="23">
        <f t="shared" ref="AO202" si="1798">AN140-AO140</f>
        <v>0</v>
      </c>
      <c r="AP202" s="23">
        <f t="shared" ref="AP202" si="1799">AO140-AP140</f>
        <v>4343</v>
      </c>
      <c r="AQ202" s="23">
        <f t="shared" ref="AQ202" si="1800">AP140-AQ140</f>
        <v>0</v>
      </c>
      <c r="AR202" s="23">
        <f t="shared" ref="AR202" si="1801">AQ140-AR140</f>
        <v>398</v>
      </c>
      <c r="AS202" s="23">
        <f t="shared" ref="AS202" si="1802">AR140-AS140</f>
        <v>0</v>
      </c>
      <c r="AT202" s="23">
        <f t="shared" ref="AT202" si="1803">AS140-AT140</f>
        <v>1032</v>
      </c>
      <c r="AU202" s="23">
        <f t="shared" ref="AU202" si="1804">AT140-AU140</f>
        <v>0</v>
      </c>
      <c r="AV202" s="23">
        <f t="shared" ref="AV202" si="1805">AU140-AV140</f>
        <v>-2002</v>
      </c>
      <c r="AW202" s="23">
        <f t="shared" ref="AW202" si="1806">AV140-AW140</f>
        <v>0</v>
      </c>
      <c r="AX202" s="23">
        <f t="shared" ref="AX202" si="1807">AW140-AX140</f>
        <v>-14073</v>
      </c>
      <c r="AY202" s="23">
        <f t="shared" ref="AY202" si="1808">AX140-AY140</f>
        <v>0</v>
      </c>
      <c r="AZ202" s="23">
        <f t="shared" ref="AZ202" si="1809">AY140-AZ140</f>
        <v>2809</v>
      </c>
      <c r="BA202" s="23">
        <f t="shared" ref="BA202" si="1810">AZ140-BA140</f>
        <v>0</v>
      </c>
      <c r="BB202" s="23">
        <f t="shared" ref="BB202" si="1811">BA140-BB140</f>
        <v>13064</v>
      </c>
      <c r="BC202" s="23">
        <f t="shared" ref="BC202" si="1812">BB140-BC140</f>
        <v>0</v>
      </c>
      <c r="BD202" s="23">
        <f t="shared" ref="BD202" si="1813">BC140-BD140</f>
        <v>3015</v>
      </c>
      <c r="BE202" s="23">
        <f t="shared" ref="BE202" si="1814">BD140-BE140</f>
        <v>0</v>
      </c>
      <c r="BF202" s="23">
        <f t="shared" ref="BF202" si="1815">BE140-BF140</f>
        <v>-2635</v>
      </c>
      <c r="BG202" s="23">
        <f t="shared" ref="BG202" si="1816">BF140-BG140</f>
        <v>0</v>
      </c>
      <c r="BH202" s="23">
        <f t="shared" ref="BH202" si="1817">BG140-BH140</f>
        <v>-136</v>
      </c>
      <c r="BI202" s="23">
        <f t="shared" ref="BI202" si="1818">BH140-BI140</f>
        <v>0</v>
      </c>
      <c r="BJ202" s="23">
        <f t="shared" ref="BJ202" si="1819">BI140-BJ140</f>
        <v>-139217</v>
      </c>
      <c r="BK202" s="23">
        <f t="shared" ref="BK202" si="1820">BJ140-BK140</f>
        <v>0</v>
      </c>
      <c r="BL202" s="23">
        <f t="shared" ref="BL202" si="1821">BK140-BL140</f>
        <v>15550</v>
      </c>
      <c r="BM202" s="23">
        <f t="shared" ref="BM202" si="1822">BL140-BM140</f>
        <v>0</v>
      </c>
      <c r="BN202" s="23">
        <f t="shared" ref="BN202" si="1823">BM140-BN140</f>
        <v>-54790</v>
      </c>
      <c r="BO202" s="23">
        <f t="shared" ref="BO202" si="1824">BN140-BO140</f>
        <v>0</v>
      </c>
      <c r="BP202" s="23">
        <f t="shared" ref="BP202" si="1825">BO140-BP140</f>
        <v>-24555</v>
      </c>
      <c r="BQ202" s="23">
        <f t="shared" ref="BQ202" si="1826">BP140-BQ140</f>
        <v>0</v>
      </c>
      <c r="BR202" s="23">
        <f t="shared" ref="BR202" si="1827">BQ140-BR140</f>
        <v>16025</v>
      </c>
      <c r="BS202" s="23">
        <f t="shared" ref="BS202" si="1828">BR140-BS140</f>
        <v>0</v>
      </c>
      <c r="BT202" s="23">
        <f t="shared" ref="BT202" si="1829">BS140-BT140</f>
        <v>-36311</v>
      </c>
      <c r="BU202" s="23">
        <f t="shared" ref="BU202" si="1830">BT140-BU140</f>
        <v>0</v>
      </c>
      <c r="BV202" s="23">
        <f t="shared" ref="BV202" si="1831">BU140-BV140</f>
        <v>-37453</v>
      </c>
      <c r="BW202" s="23">
        <f t="shared" ref="BW202" si="1832">BV140-BW140</f>
        <v>0</v>
      </c>
      <c r="BX202" s="23">
        <f t="shared" ref="BX202" si="1833">BW140-BX140</f>
        <v>11038</v>
      </c>
      <c r="BY202" s="23">
        <f t="shared" ref="BY202" si="1834">BX140-BY140</f>
        <v>0</v>
      </c>
      <c r="BZ202" s="23">
        <f t="shared" ref="BZ202" si="1835">BY140-BZ140</f>
        <v>158021</v>
      </c>
      <c r="CA202" s="23">
        <f t="shared" ref="CA202" si="1836">BZ140-CA140</f>
        <v>0</v>
      </c>
      <c r="CB202" s="23">
        <f t="shared" ref="CB202" si="1837">CA140-CB140</f>
        <v>5738</v>
      </c>
      <c r="CC202" s="23">
        <f t="shared" ref="CC202" si="1838">CB140-CC140</f>
        <v>0</v>
      </c>
      <c r="CD202" s="23">
        <f t="shared" ref="CD202" si="1839">CC140-CD140</f>
        <v>-8153</v>
      </c>
      <c r="CE202" s="23">
        <f t="shared" ref="CE202" si="1840">CD140-CE140</f>
        <v>0</v>
      </c>
      <c r="CF202" s="23">
        <f t="shared" ref="CF202" si="1841">CE140-CF140</f>
        <v>-620</v>
      </c>
      <c r="CG202" s="23">
        <f t="shared" ref="CG202" si="1842">CF140-CG140</f>
        <v>0</v>
      </c>
      <c r="CH202" s="23">
        <f t="shared" ref="CH202:CL202" si="1843">CG140-CH140</f>
        <v>-3550</v>
      </c>
      <c r="CI202" s="23">
        <f t="shared" si="1843"/>
        <v>0</v>
      </c>
      <c r="CJ202" s="23">
        <f t="shared" si="1843"/>
        <v>-20292</v>
      </c>
      <c r="CK202" s="23">
        <f t="shared" ref="CK202" si="1844">CJ140-CK140</f>
        <v>0</v>
      </c>
      <c r="CL202" s="23">
        <f t="shared" si="1843"/>
        <v>-6937</v>
      </c>
      <c r="CM202" s="24">
        <f t="shared" ref="CM202" si="1845">CL140-CM140</f>
        <v>0</v>
      </c>
      <c r="CN202" s="24">
        <f t="shared" ref="CN202" si="1846">CM140-CN140</f>
        <v>0</v>
      </c>
      <c r="CO202" s="24">
        <f t="shared" ref="CO202" si="1847">CN140-CO140</f>
        <v>0</v>
      </c>
      <c r="CP202" s="24">
        <f t="shared" ref="CP202" si="1848">CO140-CP140</f>
        <v>0</v>
      </c>
      <c r="CQ202" s="24">
        <f t="shared" ref="CQ202" si="1849">CP140-CQ140</f>
        <v>0</v>
      </c>
      <c r="CR202" s="24">
        <f t="shared" ref="CR202" si="1850">CQ140-CR140</f>
        <v>0</v>
      </c>
      <c r="CS202" s="24">
        <f t="shared" ref="CS202" si="1851">CR140-CS140</f>
        <v>0</v>
      </c>
      <c r="CT202" s="24">
        <f t="shared" ref="CT202" si="1852">CS140-CT140</f>
        <v>0</v>
      </c>
      <c r="CU202" s="24">
        <f t="shared" ref="CU202" si="1853">CT140-CU140</f>
        <v>0</v>
      </c>
      <c r="CV202" s="24">
        <f t="shared" ref="CV202" si="1854">CU140-CV140</f>
        <v>0</v>
      </c>
      <c r="CW202" s="24">
        <f t="shared" ref="CW202" si="1855">CV140-CW140</f>
        <v>0</v>
      </c>
      <c r="CX202" s="24">
        <f t="shared" ref="CX202" si="1856">CW140-CX140</f>
        <v>0</v>
      </c>
      <c r="CY202" s="24">
        <f t="shared" ref="CY202" si="1857">CX140-CY140</f>
        <v>0</v>
      </c>
      <c r="CZ202" s="24">
        <f t="shared" ref="CZ202" si="1858">CY140-CZ140</f>
        <v>0</v>
      </c>
      <c r="DA202" s="24">
        <f t="shared" ref="DA202" si="1859">CZ140-DA140</f>
        <v>0</v>
      </c>
      <c r="DB202" s="24">
        <f t="shared" ref="DB202" si="1860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61">B138-C32-C138</f>
        <v>-22592.839999999997</v>
      </c>
      <c r="D203" s="23">
        <f t="shared" si="1861"/>
        <v>-4416.260000000002</v>
      </c>
      <c r="E203" s="23">
        <f t="shared" si="1861"/>
        <v>-4432.3399999999965</v>
      </c>
      <c r="F203" s="23">
        <f t="shared" si="1861"/>
        <v>-3669.0300000000061</v>
      </c>
      <c r="G203" s="23">
        <f t="shared" si="1861"/>
        <v>-35009.929999999993</v>
      </c>
      <c r="H203" s="23">
        <f t="shared" si="1861"/>
        <v>-35855.859999999993</v>
      </c>
      <c r="I203" s="23">
        <f t="shared" si="1861"/>
        <v>-26583.850000000006</v>
      </c>
      <c r="J203" s="23">
        <f t="shared" si="1861"/>
        <v>-74657.539999999994</v>
      </c>
      <c r="K203" s="23">
        <f t="shared" si="1861"/>
        <v>-10335.380000000005</v>
      </c>
      <c r="L203" s="23">
        <f t="shared" si="1861"/>
        <v>-25869.070000000007</v>
      </c>
      <c r="M203" s="23">
        <f t="shared" si="1861"/>
        <v>7270</v>
      </c>
      <c r="N203" s="23">
        <f t="shared" si="1861"/>
        <v>-32655</v>
      </c>
      <c r="O203" s="23">
        <f t="shared" si="1861"/>
        <v>-62631</v>
      </c>
      <c r="P203" s="23">
        <f t="shared" si="1861"/>
        <v>-101670</v>
      </c>
      <c r="Q203" s="23">
        <f t="shared" si="1861"/>
        <v>-102252</v>
      </c>
      <c r="R203" s="23">
        <f t="shared" si="1861"/>
        <v>-121402</v>
      </c>
      <c r="S203" s="23">
        <f t="shared" si="1861"/>
        <v>-84250</v>
      </c>
      <c r="T203" s="23">
        <f t="shared" si="1861"/>
        <v>-7864</v>
      </c>
      <c r="U203" s="23">
        <f t="shared" si="1861"/>
        <v>-86130</v>
      </c>
      <c r="V203" s="23">
        <f t="shared" si="1861"/>
        <v>-52019</v>
      </c>
      <c r="W203" s="23">
        <f t="shared" si="1861"/>
        <v>-162875</v>
      </c>
      <c r="X203" s="23">
        <f t="shared" si="1861"/>
        <v>-258556</v>
      </c>
      <c r="Y203" s="23">
        <f t="shared" si="1861"/>
        <v>-151115</v>
      </c>
      <c r="Z203" s="23">
        <f t="shared" si="1861"/>
        <v>-196047</v>
      </c>
      <c r="AA203" s="24">
        <f t="shared" si="1861"/>
        <v>38313</v>
      </c>
      <c r="AB203" s="24">
        <f t="shared" si="1861"/>
        <v>-80000</v>
      </c>
      <c r="AC203" s="24">
        <f t="shared" si="1861"/>
        <v>-80000.000000000233</v>
      </c>
      <c r="AD203" s="24">
        <f t="shared" si="1861"/>
        <v>-80000</v>
      </c>
      <c r="AE203" s="24">
        <f t="shared" si="1861"/>
        <v>-80000.000000000233</v>
      </c>
      <c r="AI203" s="23">
        <f t="shared" ref="AI203:BN203" si="1862">AH138-AI32-AI138</f>
        <v>-2463</v>
      </c>
      <c r="AJ203" s="23">
        <f t="shared" si="1862"/>
        <v>-126367</v>
      </c>
      <c r="AK203" s="23">
        <f t="shared" si="1862"/>
        <v>-2457</v>
      </c>
      <c r="AL203" s="23">
        <f t="shared" si="1862"/>
        <v>-61617</v>
      </c>
      <c r="AM203" s="23">
        <f t="shared" si="1862"/>
        <v>-2719</v>
      </c>
      <c r="AN203" s="23">
        <f t="shared" si="1862"/>
        <v>37604</v>
      </c>
      <c r="AO203" s="23">
        <f t="shared" si="1862"/>
        <v>-2776</v>
      </c>
      <c r="AP203" s="23">
        <f t="shared" si="1862"/>
        <v>-92782</v>
      </c>
      <c r="AQ203" s="23">
        <f t="shared" si="1862"/>
        <v>-2782</v>
      </c>
      <c r="AR203" s="23">
        <f t="shared" si="1862"/>
        <v>-46190</v>
      </c>
      <c r="AS203" s="23">
        <f t="shared" si="1862"/>
        <v>-2954</v>
      </c>
      <c r="AT203" s="23">
        <f t="shared" si="1862"/>
        <v>-49630</v>
      </c>
      <c r="AU203" s="23">
        <f t="shared" si="1862"/>
        <v>-2751</v>
      </c>
      <c r="AV203" s="23">
        <f t="shared" si="1862"/>
        <v>-52043</v>
      </c>
      <c r="AW203" s="23">
        <f t="shared" si="1862"/>
        <v>-2886</v>
      </c>
      <c r="AX203" s="23">
        <f t="shared" si="1862"/>
        <v>-44618</v>
      </c>
      <c r="AY203" s="23">
        <f t="shared" si="1862"/>
        <v>-2725</v>
      </c>
      <c r="AZ203" s="23">
        <f t="shared" si="1862"/>
        <v>-58967</v>
      </c>
      <c r="BA203" s="23">
        <f t="shared" si="1862"/>
        <v>-2793</v>
      </c>
      <c r="BB203" s="23">
        <f t="shared" si="1862"/>
        <v>-56917</v>
      </c>
      <c r="BC203" s="23">
        <f t="shared" si="1862"/>
        <v>-3037</v>
      </c>
      <c r="BD203" s="23">
        <f t="shared" si="1862"/>
        <v>-38968</v>
      </c>
      <c r="BE203" s="23">
        <f t="shared" si="1862"/>
        <v>-4530</v>
      </c>
      <c r="BF203" s="23">
        <f t="shared" si="1862"/>
        <v>-37715</v>
      </c>
      <c r="BG203" s="23">
        <f t="shared" si="1862"/>
        <v>-5173</v>
      </c>
      <c r="BH203" s="23">
        <f t="shared" si="1862"/>
        <v>-69584</v>
      </c>
      <c r="BI203" s="23">
        <f t="shared" si="1862"/>
        <v>-5237</v>
      </c>
      <c r="BJ203" s="23">
        <f t="shared" si="1862"/>
        <v>72130</v>
      </c>
      <c r="BK203" s="23">
        <f t="shared" si="1862"/>
        <v>-5011</v>
      </c>
      <c r="BL203" s="23">
        <f t="shared" si="1862"/>
        <v>-43982</v>
      </c>
      <c r="BM203" s="23">
        <f t="shared" si="1862"/>
        <v>-5545</v>
      </c>
      <c r="BN203" s="23">
        <f t="shared" si="1862"/>
        <v>-31592</v>
      </c>
      <c r="BO203" s="23">
        <f t="shared" ref="BO203:CT203" si="1863">BN138-BO32-BO138</f>
        <v>-6308</v>
      </c>
      <c r="BP203" s="23">
        <f t="shared" si="1863"/>
        <v>-22130</v>
      </c>
      <c r="BQ203" s="23">
        <f t="shared" si="1863"/>
        <v>-6665</v>
      </c>
      <c r="BR203" s="23">
        <f t="shared" si="1863"/>
        <v>-16916</v>
      </c>
      <c r="BS203" s="23">
        <f t="shared" si="1863"/>
        <v>-6883</v>
      </c>
      <c r="BT203" s="23">
        <f t="shared" si="1863"/>
        <v>-93434</v>
      </c>
      <c r="BU203" s="23">
        <f t="shared" si="1863"/>
        <v>-7683</v>
      </c>
      <c r="BV203" s="23">
        <f t="shared" si="1863"/>
        <v>53440</v>
      </c>
      <c r="BW203" s="23">
        <f t="shared" si="1863"/>
        <v>-8942</v>
      </c>
      <c r="BX203" s="23">
        <f t="shared" si="1863"/>
        <v>-256165</v>
      </c>
      <c r="BY203" s="23">
        <f t="shared" si="1863"/>
        <v>-10183</v>
      </c>
      <c r="BZ203" s="23">
        <f t="shared" si="1863"/>
        <v>106112</v>
      </c>
      <c r="CA203" s="23">
        <f t="shared" si="1863"/>
        <v>-11775</v>
      </c>
      <c r="CB203" s="23">
        <f t="shared" si="1863"/>
        <v>-78486</v>
      </c>
      <c r="CC203" s="23">
        <f t="shared" si="1863"/>
        <v>-12903</v>
      </c>
      <c r="CD203" s="23">
        <f t="shared" si="1863"/>
        <v>-46205</v>
      </c>
      <c r="CE203" s="23">
        <f t="shared" si="1863"/>
        <v>-13596</v>
      </c>
      <c r="CF203" s="23">
        <f t="shared" si="1863"/>
        <v>-60223</v>
      </c>
      <c r="CG203" s="23">
        <f t="shared" si="1863"/>
        <v>-13181</v>
      </c>
      <c r="CH203" s="23">
        <f t="shared" si="1863"/>
        <v>-308501</v>
      </c>
      <c r="CI203" s="23">
        <f t="shared" si="1863"/>
        <v>0</v>
      </c>
      <c r="CJ203" s="23">
        <f t="shared" si="1863"/>
        <v>119103</v>
      </c>
      <c r="CK203" s="23">
        <f t="shared" si="1863"/>
        <v>-20000</v>
      </c>
      <c r="CL203" s="23">
        <f t="shared" si="1863"/>
        <v>-60790</v>
      </c>
      <c r="CM203" s="24">
        <f t="shared" si="1863"/>
        <v>-20000</v>
      </c>
      <c r="CN203" s="24">
        <f t="shared" si="1863"/>
        <v>-19999.999999999767</v>
      </c>
      <c r="CO203" s="24">
        <f t="shared" si="1863"/>
        <v>-20000</v>
      </c>
      <c r="CP203" s="24">
        <f t="shared" si="1863"/>
        <v>-20000</v>
      </c>
      <c r="CQ203" s="24">
        <f t="shared" si="1863"/>
        <v>-20000</v>
      </c>
      <c r="CR203" s="24">
        <f t="shared" si="1863"/>
        <v>-20000</v>
      </c>
      <c r="CS203" s="24">
        <f t="shared" si="1863"/>
        <v>-20000.000000000233</v>
      </c>
      <c r="CT203" s="24">
        <f t="shared" si="1863"/>
        <v>-20000</v>
      </c>
      <c r="CU203" s="24">
        <f t="shared" ref="CU203:DB203" si="1864">CT138-CU32-CU138</f>
        <v>-19999.999999999767</v>
      </c>
      <c r="CV203" s="24">
        <f t="shared" si="1864"/>
        <v>-20000</v>
      </c>
      <c r="CW203" s="24">
        <f t="shared" si="1864"/>
        <v>-20000</v>
      </c>
      <c r="CX203" s="24">
        <f t="shared" si="1864"/>
        <v>-20000.000000000233</v>
      </c>
      <c r="CY203" s="24">
        <f t="shared" si="1864"/>
        <v>-20000.000000000233</v>
      </c>
      <c r="CZ203" s="24">
        <f t="shared" si="1864"/>
        <v>-19999.999999999767</v>
      </c>
      <c r="DA203" s="24">
        <f t="shared" si="1864"/>
        <v>-20000.000000000233</v>
      </c>
      <c r="DB203" s="24">
        <f t="shared" si="1864"/>
        <v>-20000</v>
      </c>
      <c r="DE203" s="123"/>
      <c r="DF203" s="23">
        <v>-20000</v>
      </c>
    </row>
    <row r="204" spans="1:110" s="23" customFormat="1" x14ac:dyDescent="0.2">
      <c r="AA204" s="24"/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65">C206+C207</f>
        <v>18745.109999999993</v>
      </c>
      <c r="D205" s="22">
        <f t="shared" si="1865"/>
        <v>-698.94999999999868</v>
      </c>
      <c r="E205" s="22">
        <f t="shared" si="1865"/>
        <v>547.22999999997921</v>
      </c>
      <c r="F205" s="22">
        <f t="shared" si="1865"/>
        <v>-3751.8999999999937</v>
      </c>
      <c r="G205" s="22">
        <f t="shared" si="1865"/>
        <v>5519.0400000000109</v>
      </c>
      <c r="H205" s="22">
        <f t="shared" si="1865"/>
        <v>18389.660000000003</v>
      </c>
      <c r="I205" s="22">
        <f t="shared" si="1865"/>
        <v>15481.199999999997</v>
      </c>
      <c r="J205" s="22">
        <f t="shared" si="1865"/>
        <v>42388.169999999991</v>
      </c>
      <c r="K205" s="22">
        <f t="shared" si="1865"/>
        <v>-15973.150000000012</v>
      </c>
      <c r="L205" s="22">
        <f t="shared" si="1865"/>
        <v>13579.970000000016</v>
      </c>
      <c r="M205" s="22">
        <f t="shared" si="1865"/>
        <v>3911</v>
      </c>
      <c r="N205" s="22">
        <f t="shared" si="1865"/>
        <v>6653</v>
      </c>
      <c r="O205" s="22">
        <f t="shared" si="1865"/>
        <v>25688</v>
      </c>
      <c r="P205" s="22">
        <f t="shared" si="1865"/>
        <v>20430</v>
      </c>
      <c r="Q205" s="22">
        <f t="shared" si="1865"/>
        <v>4171</v>
      </c>
      <c r="R205" s="22">
        <f t="shared" si="1865"/>
        <v>17747</v>
      </c>
      <c r="S205" s="22">
        <f t="shared" si="1865"/>
        <v>16639</v>
      </c>
      <c r="T205" s="22">
        <f t="shared" si="1865"/>
        <v>128001</v>
      </c>
      <c r="U205" s="22">
        <f t="shared" si="1865"/>
        <v>74020</v>
      </c>
      <c r="V205" s="22">
        <f t="shared" si="1865"/>
        <v>204474</v>
      </c>
      <c r="W205" s="22">
        <f t="shared" si="1865"/>
        <v>43341</v>
      </c>
      <c r="X205" s="22">
        <f t="shared" ref="X205:Y205" si="1866">X206+X207</f>
        <v>-79144</v>
      </c>
      <c r="Y205" s="22">
        <f t="shared" si="1866"/>
        <v>37942</v>
      </c>
      <c r="Z205" s="22">
        <f t="shared" ref="Z205" si="1867">Z206+Z207</f>
        <v>37098</v>
      </c>
      <c r="AA205" s="21">
        <f t="shared" ref="AA205:AD205" si="1868">AA206+AA207</f>
        <v>22356</v>
      </c>
      <c r="AB205" s="21">
        <f t="shared" si="1868"/>
        <v>0</v>
      </c>
      <c r="AC205" s="21">
        <f t="shared" si="1868"/>
        <v>0</v>
      </c>
      <c r="AD205" s="21">
        <f t="shared" si="1868"/>
        <v>2.3283064365386963E-10</v>
      </c>
      <c r="AE205" s="21">
        <f t="shared" ref="AE205" si="1869">AE206+AE207</f>
        <v>0</v>
      </c>
      <c r="AI205" s="22">
        <f t="shared" ref="AI205" si="1870">AI206+AI207</f>
        <v>-4503</v>
      </c>
      <c r="AJ205" s="22">
        <f t="shared" ref="AJ205:AL205" si="1871">AJ206+AJ207</f>
        <v>223525</v>
      </c>
      <c r="AK205" s="22">
        <f t="shared" si="1871"/>
        <v>0</v>
      </c>
      <c r="AL205" s="22">
        <f t="shared" si="1871"/>
        <v>32301</v>
      </c>
      <c r="AM205" s="22">
        <f t="shared" ref="AM205" si="1872">AM206+AM207</f>
        <v>0</v>
      </c>
      <c r="AN205" s="22">
        <f t="shared" ref="AN205:CD205" si="1873">AN206+AN207</f>
        <v>-25957</v>
      </c>
      <c r="AO205" s="22">
        <f t="shared" si="1873"/>
        <v>0</v>
      </c>
      <c r="AP205" s="22">
        <f t="shared" si="1873"/>
        <v>64595</v>
      </c>
      <c r="AQ205" s="22">
        <f t="shared" si="1873"/>
        <v>0</v>
      </c>
      <c r="AR205" s="22">
        <f t="shared" si="1873"/>
        <v>8128</v>
      </c>
      <c r="AS205" s="22">
        <f t="shared" si="1873"/>
        <v>0</v>
      </c>
      <c r="AT205" s="22">
        <f t="shared" si="1873"/>
        <v>12516</v>
      </c>
      <c r="AU205" s="22">
        <f t="shared" si="1873"/>
        <v>0</v>
      </c>
      <c r="AV205" s="22">
        <f t="shared" si="1873"/>
        <v>12173</v>
      </c>
      <c r="AW205" s="22">
        <f t="shared" si="1873"/>
        <v>0</v>
      </c>
      <c r="AX205" s="22">
        <f t="shared" si="1873"/>
        <v>-19517</v>
      </c>
      <c r="AY205" s="22">
        <f t="shared" si="1873"/>
        <v>0</v>
      </c>
      <c r="AZ205" s="22">
        <f t="shared" si="1873"/>
        <v>24582</v>
      </c>
      <c r="BA205" s="22">
        <f t="shared" si="1873"/>
        <v>0</v>
      </c>
      <c r="BB205" s="22">
        <f t="shared" si="1873"/>
        <v>-4285</v>
      </c>
      <c r="BC205" s="22">
        <f t="shared" si="1873"/>
        <v>0</v>
      </c>
      <c r="BD205" s="22">
        <f t="shared" si="1873"/>
        <v>-7235</v>
      </c>
      <c r="BE205" s="22">
        <f t="shared" si="1873"/>
        <v>0</v>
      </c>
      <c r="BF205" s="22">
        <f t="shared" si="1873"/>
        <v>-493</v>
      </c>
      <c r="BG205" s="22">
        <f t="shared" si="1873"/>
        <v>0</v>
      </c>
      <c r="BH205" s="22">
        <f t="shared" si="1873"/>
        <v>46730</v>
      </c>
      <c r="BI205" s="22">
        <f t="shared" si="1873"/>
        <v>0</v>
      </c>
      <c r="BJ205" s="22">
        <f t="shared" si="1873"/>
        <v>102367</v>
      </c>
      <c r="BK205" s="22">
        <f t="shared" si="1873"/>
        <v>0</v>
      </c>
      <c r="BL205" s="22">
        <f t="shared" si="1873"/>
        <v>-22678</v>
      </c>
      <c r="BM205" s="22">
        <f t="shared" si="1873"/>
        <v>0</v>
      </c>
      <c r="BN205" s="22">
        <f t="shared" si="1873"/>
        <v>68754</v>
      </c>
      <c r="BO205" s="22">
        <f t="shared" si="1873"/>
        <v>0</v>
      </c>
      <c r="BP205" s="22">
        <f t="shared" si="1873"/>
        <v>143104</v>
      </c>
      <c r="BQ205" s="22">
        <f t="shared" si="1873"/>
        <v>0</v>
      </c>
      <c r="BR205" s="22">
        <f t="shared" si="1873"/>
        <v>106247</v>
      </c>
      <c r="BS205" s="22">
        <f t="shared" si="1873"/>
        <v>0</v>
      </c>
      <c r="BT205" s="22">
        <f t="shared" si="1873"/>
        <v>24306</v>
      </c>
      <c r="BU205" s="22">
        <f t="shared" si="1873"/>
        <v>0</v>
      </c>
      <c r="BV205" s="22">
        <f t="shared" si="1873"/>
        <v>19035</v>
      </c>
      <c r="BW205" s="22">
        <f t="shared" si="1873"/>
        <v>0</v>
      </c>
      <c r="BX205" s="22">
        <f t="shared" si="1873"/>
        <v>10724</v>
      </c>
      <c r="BY205" s="22">
        <f t="shared" si="1873"/>
        <v>0</v>
      </c>
      <c r="BZ205" s="22">
        <f t="shared" si="1873"/>
        <v>-89868</v>
      </c>
      <c r="CA205" s="22">
        <f t="shared" si="1873"/>
        <v>0</v>
      </c>
      <c r="CB205" s="22">
        <f t="shared" si="1873"/>
        <v>-3290</v>
      </c>
      <c r="CC205" s="22">
        <f t="shared" si="1873"/>
        <v>0</v>
      </c>
      <c r="CD205" s="22">
        <f t="shared" si="1873"/>
        <v>41232</v>
      </c>
      <c r="CE205" s="22">
        <f t="shared" ref="CE205:CF205" si="1874">CE206+CE207</f>
        <v>0</v>
      </c>
      <c r="CF205" s="22">
        <f t="shared" si="1874"/>
        <v>8550</v>
      </c>
      <c r="CG205" s="22">
        <f t="shared" ref="CG205:CH205" si="1875">CG206+CG207</f>
        <v>0</v>
      </c>
      <c r="CH205" s="22">
        <f t="shared" si="1875"/>
        <v>28548</v>
      </c>
      <c r="CI205" s="22">
        <f t="shared" ref="CI205:CJ205" si="1876">CI206+CI207</f>
        <v>0</v>
      </c>
      <c r="CJ205" s="22">
        <f t="shared" si="1876"/>
        <v>-3358</v>
      </c>
      <c r="CK205" s="22">
        <f t="shared" ref="CK205:DB205" si="1877">CK206+CK207</f>
        <v>0</v>
      </c>
      <c r="CL205" s="22">
        <f t="shared" si="1877"/>
        <v>25714</v>
      </c>
      <c r="CM205" s="21">
        <f t="shared" si="1877"/>
        <v>0</v>
      </c>
      <c r="CN205" s="21">
        <f t="shared" si="1877"/>
        <v>0</v>
      </c>
      <c r="CO205" s="21">
        <f t="shared" si="1877"/>
        <v>0</v>
      </c>
      <c r="CP205" s="21">
        <f t="shared" si="1877"/>
        <v>0</v>
      </c>
      <c r="CQ205" s="21">
        <f t="shared" si="1877"/>
        <v>0</v>
      </c>
      <c r="CR205" s="21">
        <f t="shared" si="1877"/>
        <v>0</v>
      </c>
      <c r="CS205" s="21">
        <f t="shared" si="1877"/>
        <v>0</v>
      </c>
      <c r="CT205" s="21">
        <f t="shared" si="1877"/>
        <v>2.3283064365386963E-10</v>
      </c>
      <c r="CU205" s="21">
        <f t="shared" si="1877"/>
        <v>0</v>
      </c>
      <c r="CV205" s="21">
        <f t="shared" si="1877"/>
        <v>0</v>
      </c>
      <c r="CW205" s="21">
        <f t="shared" si="1877"/>
        <v>0</v>
      </c>
      <c r="CX205" s="21">
        <f t="shared" si="1877"/>
        <v>0</v>
      </c>
      <c r="CY205" s="21">
        <f t="shared" si="1877"/>
        <v>0</v>
      </c>
      <c r="CZ205" s="21">
        <f t="shared" si="1877"/>
        <v>0</v>
      </c>
      <c r="DA205" s="21">
        <f t="shared" si="1877"/>
        <v>0</v>
      </c>
      <c r="DB205" s="21">
        <f t="shared" si="1877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8">C128-B128</f>
        <v>8813.5499999999993</v>
      </c>
      <c r="D206" s="23">
        <f t="shared" si="1878"/>
        <v>833.15000000000146</v>
      </c>
      <c r="E206" s="23">
        <f>E128-D128</f>
        <v>1234.2799999999988</v>
      </c>
      <c r="F206" s="23">
        <f t="shared" si="1878"/>
        <v>-2199.6800000000003</v>
      </c>
      <c r="G206" s="23">
        <f t="shared" si="1878"/>
        <v>4525.7099999999991</v>
      </c>
      <c r="H206" s="23">
        <f t="shared" si="1878"/>
        <v>10308.680000000004</v>
      </c>
      <c r="I206" s="23">
        <f t="shared" si="1878"/>
        <v>17044.609999999993</v>
      </c>
      <c r="J206" s="23">
        <f>J128-I128</f>
        <v>25560.510000000009</v>
      </c>
      <c r="K206" s="23">
        <f>K128-J128</f>
        <v>-11651.080000000002</v>
      </c>
      <c r="L206" s="23">
        <f t="shared" si="1878"/>
        <v>19546.479999999996</v>
      </c>
      <c r="M206" s="23">
        <f t="shared" si="1878"/>
        <v>8295</v>
      </c>
      <c r="N206" s="23">
        <f t="shared" si="1878"/>
        <v>14772</v>
      </c>
      <c r="O206" s="23">
        <f t="shared" si="1878"/>
        <v>31539</v>
      </c>
      <c r="P206" s="23">
        <f t="shared" si="1878"/>
        <v>22105</v>
      </c>
      <c r="Q206" s="23">
        <f t="shared" si="1878"/>
        <v>20541</v>
      </c>
      <c r="R206" s="23">
        <f t="shared" si="1878"/>
        <v>15934</v>
      </c>
      <c r="S206" s="23">
        <f t="shared" si="1878"/>
        <v>22295</v>
      </c>
      <c r="T206" s="23">
        <f t="shared" si="1878"/>
        <v>69242</v>
      </c>
      <c r="U206" s="23">
        <f t="shared" si="1878"/>
        <v>47419</v>
      </c>
      <c r="V206" s="23">
        <f t="shared" si="1878"/>
        <v>-84483</v>
      </c>
      <c r="W206" s="23">
        <f t="shared" si="1878"/>
        <v>14494</v>
      </c>
      <c r="X206" s="23">
        <f t="shared" si="1878"/>
        <v>47661</v>
      </c>
      <c r="Y206" s="23">
        <f t="shared" si="1878"/>
        <v>10656</v>
      </c>
      <c r="Z206" s="23">
        <f t="shared" si="1878"/>
        <v>22908</v>
      </c>
      <c r="AA206" s="24">
        <f t="shared" si="1878"/>
        <v>26891</v>
      </c>
      <c r="AB206" s="24">
        <f t="shared" ref="AB206" si="1879">AB128-AA128</f>
        <v>0</v>
      </c>
      <c r="AC206" s="24">
        <f t="shared" ref="AC206" si="1880">AC128-AB128</f>
        <v>0</v>
      </c>
      <c r="AD206" s="24">
        <f t="shared" ref="AD206" si="1881">AD128-AC128</f>
        <v>0</v>
      </c>
      <c r="AE206" s="24">
        <f t="shared" ref="AE206" si="1882">AE128-AD128</f>
        <v>0</v>
      </c>
      <c r="AI206" s="23">
        <f t="shared" ref="AI206" si="1883">AI128-AH128</f>
        <v>0</v>
      </c>
      <c r="AJ206" s="23">
        <f t="shared" ref="AJ206" si="1884">AJ128-AI128</f>
        <v>56531</v>
      </c>
      <c r="AK206" s="23">
        <f t="shared" ref="AK206" si="1885">AK128-AJ128</f>
        <v>0</v>
      </c>
      <c r="AL206" s="23">
        <f t="shared" ref="AL206" si="1886">AL128-AK128</f>
        <v>32791</v>
      </c>
      <c r="AM206" s="23">
        <f t="shared" ref="AM206" si="1887">AM128-AL128</f>
        <v>0</v>
      </c>
      <c r="AN206" s="23">
        <f t="shared" ref="AN206" si="1888">AN128-AM128</f>
        <v>-21897</v>
      </c>
      <c r="AO206" s="23">
        <f t="shared" ref="AO206" si="1889">AO128-AN128</f>
        <v>0</v>
      </c>
      <c r="AP206" s="23">
        <f t="shared" ref="AP206" si="1890">AP128-AO128</f>
        <v>66386</v>
      </c>
      <c r="AQ206" s="23">
        <f t="shared" ref="AQ206" si="1891">AQ128-AP128</f>
        <v>0</v>
      </c>
      <c r="AR206" s="23">
        <f t="shared" ref="AR206" si="1892">AR128-AQ128</f>
        <v>6603</v>
      </c>
      <c r="AS206" s="23">
        <f t="shared" ref="AS206" si="1893">AS128-AR128</f>
        <v>0</v>
      </c>
      <c r="AT206" s="23">
        <f t="shared" ref="AT206" si="1894">AT128-AS128</f>
        <v>15716</v>
      </c>
      <c r="AU206" s="23">
        <f t="shared" ref="AU206" si="1895">AU128-AT128</f>
        <v>0</v>
      </c>
      <c r="AV206" s="23">
        <f t="shared" ref="AV206" si="1896">AV128-AU128</f>
        <v>14450</v>
      </c>
      <c r="AW206" s="23">
        <f t="shared" ref="AW206" si="1897">AW128-AV128</f>
        <v>0</v>
      </c>
      <c r="AX206" s="23">
        <f t="shared" ref="AX206" si="1898">AX128-AW128</f>
        <v>-5388</v>
      </c>
      <c r="AY206" s="23">
        <f t="shared" ref="AY206" si="1899">AY128-AX128</f>
        <v>0</v>
      </c>
      <c r="AZ206" s="23">
        <f t="shared" ref="AZ206" si="1900">AZ128-AY128</f>
        <v>15990</v>
      </c>
      <c r="BA206" s="23">
        <f t="shared" ref="BA206" si="1901">BA128-AZ128</f>
        <v>0</v>
      </c>
      <c r="BB206" s="23">
        <f t="shared" ref="BB206" si="1902">BB128-BA128</f>
        <v>2494</v>
      </c>
      <c r="BC206" s="23">
        <f t="shared" ref="BC206" si="1903">BC128-BB128</f>
        <v>0</v>
      </c>
      <c r="BD206" s="23">
        <f t="shared" ref="BD206" si="1904">BD128-BC128</f>
        <v>-2424</v>
      </c>
      <c r="BE206" s="23">
        <f t="shared" ref="BE206" si="1905">BE128-BD128</f>
        <v>0</v>
      </c>
      <c r="BF206" s="23">
        <f t="shared" ref="BF206" si="1906">BF128-BE128</f>
        <v>352</v>
      </c>
      <c r="BG206" s="23">
        <f t="shared" ref="BG206" si="1907">BG128-BF128</f>
        <v>0</v>
      </c>
      <c r="BH206" s="23">
        <f t="shared" ref="BH206" si="1908">BH128-BG128</f>
        <v>52512</v>
      </c>
      <c r="BI206" s="23">
        <f t="shared" ref="BI206" si="1909">BI128-BH128</f>
        <v>0</v>
      </c>
      <c r="BJ206" s="23">
        <f t="shared" ref="BJ206" si="1910">BJ128-BI128</f>
        <v>37826</v>
      </c>
      <c r="BK206" s="23">
        <f t="shared" ref="BK206" si="1911">BK128-BJ128</f>
        <v>0</v>
      </c>
      <c r="BL206" s="23">
        <f t="shared" ref="BL206" si="1912">BL128-BK128</f>
        <v>-19752</v>
      </c>
      <c r="BM206" s="23">
        <f t="shared" ref="BM206" si="1913">BM128-BL128</f>
        <v>0</v>
      </c>
      <c r="BN206" s="23">
        <f t="shared" ref="BN206" si="1914">BN128-BM128</f>
        <v>39227</v>
      </c>
      <c r="BO206" s="23">
        <f t="shared" ref="BO206" si="1915">BO128-BN128</f>
        <v>0</v>
      </c>
      <c r="BP206" s="23">
        <f t="shared" ref="BP206" si="1916">BP128-BO128</f>
        <v>-36176</v>
      </c>
      <c r="BQ206" s="23">
        <f t="shared" ref="BQ206" si="1917">BQ128-BP128</f>
        <v>0</v>
      </c>
      <c r="BR206" s="23">
        <f t="shared" ref="BR206" si="1918">BR128-BQ128</f>
        <v>-3430</v>
      </c>
      <c r="BS206" s="23">
        <f t="shared" ref="BS206" si="1919">BS128-BR128</f>
        <v>0</v>
      </c>
      <c r="BT206" s="23">
        <f t="shared" ref="BT206" si="1920">BT128-BS128</f>
        <v>4080</v>
      </c>
      <c r="BU206" s="23">
        <f t="shared" ref="BU206" si="1921">BU128-BT128</f>
        <v>0</v>
      </c>
      <c r="BV206" s="23">
        <f t="shared" ref="BV206" si="1922">BV128-BU128</f>
        <v>10414</v>
      </c>
      <c r="BW206" s="23">
        <f t="shared" ref="BW206" si="1923">BW128-BV128</f>
        <v>0</v>
      </c>
      <c r="BX206" s="23">
        <f t="shared" ref="BX206" si="1924">BX128-BW128</f>
        <v>28554</v>
      </c>
      <c r="BY206" s="23">
        <f t="shared" ref="BY206" si="1925">BY128-BX128</f>
        <v>0</v>
      </c>
      <c r="BZ206" s="23">
        <f t="shared" ref="BZ206" si="1926">BZ128-BY128</f>
        <v>19107</v>
      </c>
      <c r="CA206" s="23">
        <f t="shared" ref="CA206" si="1927">CA128-BZ128</f>
        <v>0</v>
      </c>
      <c r="CB206" s="23">
        <f t="shared" ref="CB206" si="1928">CB128-CA128</f>
        <v>-18279</v>
      </c>
      <c r="CC206" s="23">
        <f t="shared" ref="CC206" si="1929">CC128-CB128</f>
        <v>0</v>
      </c>
      <c r="CD206" s="23">
        <f t="shared" ref="CD206" si="1930">CD128-CC128</f>
        <v>28935</v>
      </c>
      <c r="CE206" s="23">
        <f t="shared" ref="CE206" si="1931">CE128-CD128</f>
        <v>0</v>
      </c>
      <c r="CF206" s="23">
        <f t="shared" ref="CF206" si="1932">CF128-CE128</f>
        <v>11715</v>
      </c>
      <c r="CG206" s="23">
        <f t="shared" ref="CG206" si="1933">CG128-CF128</f>
        <v>0</v>
      </c>
      <c r="CH206" s="23">
        <f t="shared" ref="CH206:CL206" si="1934">CH128-CG128</f>
        <v>11193</v>
      </c>
      <c r="CI206" s="23">
        <f t="shared" si="1934"/>
        <v>0</v>
      </c>
      <c r="CJ206" s="23">
        <f t="shared" si="1934"/>
        <v>700</v>
      </c>
      <c r="CK206" s="23">
        <f t="shared" ref="CK206" si="1935">CK128-CJ128</f>
        <v>0</v>
      </c>
      <c r="CL206" s="23">
        <f t="shared" si="1934"/>
        <v>26191</v>
      </c>
      <c r="CM206" s="24">
        <f t="shared" ref="CM206" si="1936">CM128-CL128</f>
        <v>0</v>
      </c>
      <c r="CN206" s="24">
        <f t="shared" ref="CN206" si="1937">CN128-CM128</f>
        <v>0</v>
      </c>
      <c r="CO206" s="24">
        <f t="shared" ref="CO206" si="1938">CO128-CN128</f>
        <v>0</v>
      </c>
      <c r="CP206" s="24">
        <f t="shared" ref="CP206" si="1939">CP128-CO128</f>
        <v>0</v>
      </c>
      <c r="CQ206" s="24">
        <f t="shared" ref="CQ206" si="1940">CQ128-CP128</f>
        <v>0</v>
      </c>
      <c r="CR206" s="24">
        <f t="shared" ref="CR206" si="1941">CR128-CQ128</f>
        <v>0</v>
      </c>
      <c r="CS206" s="24">
        <f t="shared" ref="CS206" si="1942">CS128-CR128</f>
        <v>0</v>
      </c>
      <c r="CT206" s="24">
        <f t="shared" ref="CT206" si="1943">CT128-CS128</f>
        <v>0</v>
      </c>
      <c r="CU206" s="24">
        <f t="shared" ref="CU206" si="1944">CU128-CT128</f>
        <v>0</v>
      </c>
      <c r="CV206" s="24">
        <f t="shared" ref="CV206" si="1945">CV128-CU128</f>
        <v>0</v>
      </c>
      <c r="CW206" s="24">
        <f t="shared" ref="CW206" si="1946">CW128-CV128</f>
        <v>0</v>
      </c>
      <c r="CX206" s="24">
        <f t="shared" ref="CX206" si="1947">CX128-CW128</f>
        <v>0</v>
      </c>
      <c r="CY206" s="24">
        <f t="shared" ref="CY206" si="1948">CY128-CX128</f>
        <v>0</v>
      </c>
      <c r="CZ206" s="24">
        <f t="shared" ref="CZ206" si="1949">CZ128-CY128</f>
        <v>0</v>
      </c>
      <c r="DA206" s="24">
        <f t="shared" ref="DA206" si="1950">DA128-CZ128</f>
        <v>0</v>
      </c>
      <c r="DB206" s="24">
        <f t="shared" ref="DB206" si="1951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52">C120-C48-B120+C122-B122</f>
        <v>9931.559999999994</v>
      </c>
      <c r="D207" s="23">
        <f t="shared" si="1952"/>
        <v>-1532.1000000000001</v>
      </c>
      <c r="E207" s="23">
        <f t="shared" si="1952"/>
        <v>-687.05000000001962</v>
      </c>
      <c r="F207" s="23">
        <f t="shared" si="1952"/>
        <v>-1552.2199999999934</v>
      </c>
      <c r="G207" s="23">
        <f t="shared" si="1952"/>
        <v>993.33000000001198</v>
      </c>
      <c r="H207" s="23">
        <f t="shared" si="1952"/>
        <v>8080.9800000000014</v>
      </c>
      <c r="I207" s="23">
        <f t="shared" si="1952"/>
        <v>-1563.4099999999962</v>
      </c>
      <c r="J207" s="23">
        <f t="shared" si="1952"/>
        <v>16827.659999999982</v>
      </c>
      <c r="K207" s="23">
        <f t="shared" si="1952"/>
        <v>-4322.0700000000115</v>
      </c>
      <c r="L207" s="23">
        <f t="shared" si="1952"/>
        <v>-5966.5099999999811</v>
      </c>
      <c r="M207" s="23">
        <f t="shared" si="1952"/>
        <v>-4384</v>
      </c>
      <c r="N207" s="23">
        <f t="shared" si="1952"/>
        <v>-8119</v>
      </c>
      <c r="O207" s="23">
        <f t="shared" si="1952"/>
        <v>-5851</v>
      </c>
      <c r="P207" s="23">
        <f t="shared" si="1952"/>
        <v>-1675</v>
      </c>
      <c r="Q207" s="23">
        <f t="shared" si="1952"/>
        <v>-16370</v>
      </c>
      <c r="R207" s="23">
        <f t="shared" si="1952"/>
        <v>1813</v>
      </c>
      <c r="S207" s="23">
        <f t="shared" si="1952"/>
        <v>-5656</v>
      </c>
      <c r="T207" s="23">
        <f t="shared" si="1952"/>
        <v>58759</v>
      </c>
      <c r="U207" s="23">
        <f t="shared" si="1952"/>
        <v>26601</v>
      </c>
      <c r="V207" s="23">
        <f t="shared" si="1952"/>
        <v>288957</v>
      </c>
      <c r="W207" s="23">
        <f t="shared" si="1952"/>
        <v>28847</v>
      </c>
      <c r="X207" s="23">
        <f t="shared" si="1952"/>
        <v>-126805</v>
      </c>
      <c r="Y207" s="23">
        <f t="shared" si="1952"/>
        <v>27286</v>
      </c>
      <c r="Z207" s="23">
        <f t="shared" si="1952"/>
        <v>14190</v>
      </c>
      <c r="AA207" s="24">
        <f t="shared" si="1952"/>
        <v>-4535</v>
      </c>
      <c r="AB207" s="24">
        <f t="shared" si="1952"/>
        <v>0</v>
      </c>
      <c r="AC207" s="24">
        <f t="shared" si="1952"/>
        <v>0</v>
      </c>
      <c r="AD207" s="24">
        <f t="shared" si="1952"/>
        <v>2.3283064365386963E-10</v>
      </c>
      <c r="AE207" s="24">
        <f t="shared" si="1952"/>
        <v>0</v>
      </c>
      <c r="AI207" s="23">
        <f t="shared" ref="AI207:BN207" si="1953">AI120-AI48-AH120+AI122-AH122</f>
        <v>-4503</v>
      </c>
      <c r="AJ207" s="23">
        <f t="shared" si="1953"/>
        <v>166994</v>
      </c>
      <c r="AK207" s="23">
        <f t="shared" si="1953"/>
        <v>0</v>
      </c>
      <c r="AL207" s="23">
        <f t="shared" si="1953"/>
        <v>-490</v>
      </c>
      <c r="AM207" s="23">
        <f t="shared" si="1953"/>
        <v>0</v>
      </c>
      <c r="AN207" s="23">
        <f t="shared" si="1953"/>
        <v>-4060</v>
      </c>
      <c r="AO207" s="23">
        <f t="shared" si="1953"/>
        <v>0</v>
      </c>
      <c r="AP207" s="23">
        <f t="shared" si="1953"/>
        <v>-1791</v>
      </c>
      <c r="AQ207" s="23">
        <f t="shared" si="1953"/>
        <v>0</v>
      </c>
      <c r="AR207" s="23">
        <f t="shared" si="1953"/>
        <v>1525</v>
      </c>
      <c r="AS207" s="23">
        <f t="shared" si="1953"/>
        <v>0</v>
      </c>
      <c r="AT207" s="23">
        <f t="shared" si="1953"/>
        <v>-3200</v>
      </c>
      <c r="AU207" s="23">
        <f t="shared" si="1953"/>
        <v>0</v>
      </c>
      <c r="AV207" s="23">
        <f t="shared" si="1953"/>
        <v>-2277</v>
      </c>
      <c r="AW207" s="23">
        <f t="shared" si="1953"/>
        <v>0</v>
      </c>
      <c r="AX207" s="23">
        <f t="shared" si="1953"/>
        <v>-14129</v>
      </c>
      <c r="AY207" s="23">
        <f t="shared" si="1953"/>
        <v>0</v>
      </c>
      <c r="AZ207" s="23">
        <f t="shared" si="1953"/>
        <v>8592</v>
      </c>
      <c r="BA207" s="23">
        <f t="shared" si="1953"/>
        <v>0</v>
      </c>
      <c r="BB207" s="23">
        <f t="shared" si="1953"/>
        <v>-6779</v>
      </c>
      <c r="BC207" s="23">
        <f t="shared" si="1953"/>
        <v>0</v>
      </c>
      <c r="BD207" s="23">
        <f t="shared" si="1953"/>
        <v>-4811</v>
      </c>
      <c r="BE207" s="23">
        <f t="shared" si="1953"/>
        <v>0</v>
      </c>
      <c r="BF207" s="23">
        <f t="shared" si="1953"/>
        <v>-845</v>
      </c>
      <c r="BG207" s="23">
        <f t="shared" si="1953"/>
        <v>0</v>
      </c>
      <c r="BH207" s="23">
        <f t="shared" si="1953"/>
        <v>-5782</v>
      </c>
      <c r="BI207" s="23">
        <f t="shared" si="1953"/>
        <v>0</v>
      </c>
      <c r="BJ207" s="23">
        <f t="shared" si="1953"/>
        <v>64541</v>
      </c>
      <c r="BK207" s="23">
        <f t="shared" si="1953"/>
        <v>0</v>
      </c>
      <c r="BL207" s="23">
        <f t="shared" si="1953"/>
        <v>-2926</v>
      </c>
      <c r="BM207" s="23">
        <f t="shared" si="1953"/>
        <v>0</v>
      </c>
      <c r="BN207" s="23">
        <f t="shared" si="1953"/>
        <v>29527</v>
      </c>
      <c r="BO207" s="23">
        <f t="shared" ref="BO207:CT207" si="1954">BO120-BO48-BN120+BO122-BN122</f>
        <v>0</v>
      </c>
      <c r="BP207" s="23">
        <f t="shared" si="1954"/>
        <v>179280</v>
      </c>
      <c r="BQ207" s="23">
        <f t="shared" si="1954"/>
        <v>0</v>
      </c>
      <c r="BR207" s="23">
        <f t="shared" si="1954"/>
        <v>109677</v>
      </c>
      <c r="BS207" s="23">
        <f t="shared" si="1954"/>
        <v>0</v>
      </c>
      <c r="BT207" s="23">
        <f t="shared" si="1954"/>
        <v>20226</v>
      </c>
      <c r="BU207" s="23">
        <f t="shared" si="1954"/>
        <v>0</v>
      </c>
      <c r="BV207" s="23">
        <f t="shared" si="1954"/>
        <v>8621</v>
      </c>
      <c r="BW207" s="23">
        <f t="shared" si="1954"/>
        <v>0</v>
      </c>
      <c r="BX207" s="23">
        <f t="shared" si="1954"/>
        <v>-17830</v>
      </c>
      <c r="BY207" s="23">
        <f t="shared" si="1954"/>
        <v>0</v>
      </c>
      <c r="BZ207" s="23">
        <f t="shared" si="1954"/>
        <v>-108975</v>
      </c>
      <c r="CA207" s="23">
        <f t="shared" si="1954"/>
        <v>0</v>
      </c>
      <c r="CB207" s="23">
        <f t="shared" si="1954"/>
        <v>14989</v>
      </c>
      <c r="CC207" s="23">
        <f t="shared" si="1954"/>
        <v>0</v>
      </c>
      <c r="CD207" s="23">
        <f t="shared" si="1954"/>
        <v>12297</v>
      </c>
      <c r="CE207" s="23">
        <f t="shared" si="1954"/>
        <v>0</v>
      </c>
      <c r="CF207" s="23">
        <f t="shared" si="1954"/>
        <v>-3165</v>
      </c>
      <c r="CG207" s="23">
        <f t="shared" si="1954"/>
        <v>0</v>
      </c>
      <c r="CH207" s="23">
        <f t="shared" si="1954"/>
        <v>17355</v>
      </c>
      <c r="CI207" s="23">
        <f t="shared" si="1954"/>
        <v>0</v>
      </c>
      <c r="CJ207" s="23">
        <f t="shared" si="1954"/>
        <v>-4058</v>
      </c>
      <c r="CK207" s="23">
        <f t="shared" si="1954"/>
        <v>0</v>
      </c>
      <c r="CL207" s="23">
        <f t="shared" si="1954"/>
        <v>-477</v>
      </c>
      <c r="CM207" s="24">
        <f t="shared" si="1954"/>
        <v>0</v>
      </c>
      <c r="CN207" s="24">
        <f t="shared" si="1954"/>
        <v>0</v>
      </c>
      <c r="CO207" s="24">
        <f t="shared" si="1954"/>
        <v>0</v>
      </c>
      <c r="CP207" s="24">
        <f t="shared" si="1954"/>
        <v>0</v>
      </c>
      <c r="CQ207" s="24">
        <f t="shared" si="1954"/>
        <v>0</v>
      </c>
      <c r="CR207" s="24">
        <f t="shared" si="1954"/>
        <v>0</v>
      </c>
      <c r="CS207" s="24">
        <f t="shared" si="1954"/>
        <v>0</v>
      </c>
      <c r="CT207" s="24">
        <f t="shared" si="1954"/>
        <v>2.3283064365386963E-10</v>
      </c>
      <c r="CU207" s="24">
        <f t="shared" ref="CU207:DB207" si="1955">CU120-CU48-CT120+CU122-CT122</f>
        <v>0</v>
      </c>
      <c r="CV207" s="24">
        <f t="shared" si="1955"/>
        <v>0</v>
      </c>
      <c r="CW207" s="24">
        <f t="shared" si="1955"/>
        <v>0</v>
      </c>
      <c r="CX207" s="24">
        <f t="shared" si="1955"/>
        <v>0</v>
      </c>
      <c r="CY207" s="24">
        <f t="shared" si="1955"/>
        <v>0</v>
      </c>
      <c r="CZ207" s="24">
        <f t="shared" si="1955"/>
        <v>0</v>
      </c>
      <c r="DA207" s="24">
        <f t="shared" si="1955"/>
        <v>0</v>
      </c>
      <c r="DB207" s="24">
        <f t="shared" si="1955"/>
        <v>0</v>
      </c>
      <c r="DE207" s="123"/>
      <c r="DF207" s="23">
        <v>0</v>
      </c>
    </row>
    <row r="208" spans="1:110" s="23" customFormat="1" x14ac:dyDescent="0.2">
      <c r="AA208" s="24"/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6">B161</f>
        <v>141.01</v>
      </c>
      <c r="D209" s="23">
        <f t="shared" ref="D209" si="1957">C161</f>
        <v>1763.56</v>
      </c>
      <c r="E209" s="23">
        <f>D161</f>
        <v>150.12</v>
      </c>
      <c r="F209" s="23">
        <f t="shared" ref="F209" si="1958">E161</f>
        <v>538.99</v>
      </c>
      <c r="G209" s="23">
        <f t="shared" ref="G209" si="1959">F161</f>
        <v>7121.99</v>
      </c>
      <c r="H209" s="23">
        <f t="shared" ref="H209" si="1960">G161</f>
        <v>5419.51</v>
      </c>
      <c r="I209" s="23">
        <f t="shared" ref="I209" si="1961">H161</f>
        <v>5179.12</v>
      </c>
      <c r="J209" s="23">
        <f>I161</f>
        <v>10522.189999999999</v>
      </c>
      <c r="K209" s="23">
        <f>J161</f>
        <v>25615.67</v>
      </c>
      <c r="L209" s="23">
        <f t="shared" ref="L209" si="1962">K161</f>
        <v>22363.82</v>
      </c>
      <c r="M209" s="23">
        <f t="shared" ref="M209" si="1963">L161</f>
        <v>44824</v>
      </c>
      <c r="N209" s="23">
        <f t="shared" ref="N209" si="1964">M161</f>
        <v>67904</v>
      </c>
      <c r="O209" s="23">
        <f t="shared" ref="O209" si="1965">N161</f>
        <v>79325</v>
      </c>
      <c r="P209" s="23">
        <f t="shared" ref="P209" si="1966">O161</f>
        <v>71719</v>
      </c>
      <c r="Q209" s="23">
        <f t="shared" ref="Q209" si="1967">P161</f>
        <v>63559</v>
      </c>
      <c r="R209" s="23">
        <f t="shared" ref="R209" si="1968">Q161</f>
        <v>53531</v>
      </c>
      <c r="S209" s="23">
        <f t="shared" ref="S209" si="1969">R161</f>
        <v>60283</v>
      </c>
      <c r="T209" s="23">
        <f t="shared" ref="T209" si="1970">S161</f>
        <v>61858</v>
      </c>
      <c r="U209" s="23">
        <f t="shared" ref="U209" si="1971">T161</f>
        <v>82104</v>
      </c>
      <c r="V209" s="23">
        <f t="shared" ref="V209" si="1972">U161</f>
        <v>103835</v>
      </c>
      <c r="W209" s="23">
        <f t="shared" ref="W209:Z209" si="1973">V161</f>
        <v>169843</v>
      </c>
      <c r="X209" s="23">
        <f t="shared" si="1973"/>
        <v>144296</v>
      </c>
      <c r="Y209" s="23">
        <f t="shared" si="1973"/>
        <v>187137</v>
      </c>
      <c r="Z209" s="23">
        <f t="shared" si="1973"/>
        <v>203395</v>
      </c>
      <c r="AA209" s="24">
        <f t="shared" ref="AA209" si="1974">Z161</f>
        <v>225211</v>
      </c>
      <c r="AB209" s="24">
        <f t="shared" ref="AB209" si="1975">AA161</f>
        <v>243408</v>
      </c>
      <c r="AC209" s="24">
        <f t="shared" ref="AC209" si="1976">AB161</f>
        <v>311671.78251852345</v>
      </c>
      <c r="AD209" s="24">
        <f t="shared" ref="AD209" si="1977">AC161</f>
        <v>333828.41903910058</v>
      </c>
      <c r="AE209" s="24">
        <f t="shared" ref="AE209" si="1978">AD161</f>
        <v>432013.81570926512</v>
      </c>
      <c r="AI209" s="23">
        <f t="shared" ref="AI209" si="1979">AH161</f>
        <v>0</v>
      </c>
      <c r="AJ209" s="23">
        <f t="shared" ref="AJ209" si="1980">AI161</f>
        <v>0</v>
      </c>
      <c r="AK209" s="23">
        <f t="shared" ref="AK209" si="1981">AJ161</f>
        <v>72053</v>
      </c>
      <c r="AL209" s="23">
        <f t="shared" ref="AL209" si="1982">AK161</f>
        <v>75325.364527984406</v>
      </c>
      <c r="AM209" s="23">
        <f t="shared" ref="AM209" si="1983">AL161</f>
        <v>79325</v>
      </c>
      <c r="AN209" s="23">
        <f t="shared" ref="AN209" si="1984">AM161</f>
        <v>82246.843404831452</v>
      </c>
      <c r="AO209" s="23">
        <f t="shared" ref="AO209" si="1985">AN161</f>
        <v>78380</v>
      </c>
      <c r="AP209" s="23">
        <f t="shared" ref="AP209" si="1986">AO161</f>
        <v>83905.465101176713</v>
      </c>
      <c r="AQ209" s="23">
        <f t="shared" ref="AQ209" si="1987">AP161</f>
        <v>71719</v>
      </c>
      <c r="AR209" s="23">
        <f t="shared" ref="AR209" si="1988">AQ161</f>
        <v>77614.232857640105</v>
      </c>
      <c r="AS209" s="23">
        <f t="shared" ref="AS209" si="1989">AR161</f>
        <v>66367</v>
      </c>
      <c r="AT209" s="23">
        <f t="shared" ref="AT209" si="1990">AS161</f>
        <v>71671.30454384</v>
      </c>
      <c r="AU209" s="23">
        <f t="shared" ref="AU209" si="1991">AT161</f>
        <v>63559</v>
      </c>
      <c r="AV209" s="23">
        <f t="shared" ref="AV209" si="1992">AU161</f>
        <v>69697.397213576376</v>
      </c>
      <c r="AW209" s="23">
        <f t="shared" ref="AW209" si="1993">AV161</f>
        <v>60472</v>
      </c>
      <c r="AX209" s="23">
        <f t="shared" ref="AX209" si="1994">AW161</f>
        <v>67878.779191837835</v>
      </c>
      <c r="AY209" s="23">
        <f t="shared" ref="AY209" si="1995">AX161</f>
        <v>53531</v>
      </c>
      <c r="AZ209" s="23">
        <f t="shared" ref="AZ209" si="1996">AY161</f>
        <v>60795.380992588442</v>
      </c>
      <c r="BA209" s="23">
        <f t="shared" ref="BA209" si="1997">AZ161</f>
        <v>49014</v>
      </c>
      <c r="BB209" s="23">
        <f t="shared" ref="BB209" si="1998">BA161</f>
        <v>56280.782648099848</v>
      </c>
      <c r="BC209" s="23">
        <f t="shared" ref="BC209" si="1999">BB161</f>
        <v>60283</v>
      </c>
      <c r="BD209" s="23">
        <f t="shared" ref="BD209" si="2000">BC161</f>
        <v>67417.24416238736</v>
      </c>
      <c r="BE209" s="23">
        <f t="shared" ref="BE209" si="2001">BD161</f>
        <v>59987</v>
      </c>
      <c r="BF209" s="23">
        <f t="shared" ref="BF209" si="2002">BE161</f>
        <v>69135.909260741915</v>
      </c>
      <c r="BG209" s="23">
        <f t="shared" ref="BG209" si="2003">BF161</f>
        <v>61858</v>
      </c>
      <c r="BH209" s="23">
        <f t="shared" ref="BH209" si="2004">BG161</f>
        <v>71236.743525402737</v>
      </c>
      <c r="BI209" s="23">
        <f t="shared" ref="BI209" si="2005">BH161</f>
        <v>60660</v>
      </c>
      <c r="BJ209" s="23">
        <f t="shared" ref="BJ209" si="2006">BI161</f>
        <v>71030.232073503925</v>
      </c>
      <c r="BK209" s="23">
        <f t="shared" ref="BK209" si="2007">BJ161</f>
        <v>82104</v>
      </c>
      <c r="BL209" s="23">
        <f t="shared" ref="BL209" si="2008">BK161</f>
        <v>92402.3546029352</v>
      </c>
      <c r="BM209" s="23">
        <f t="shared" ref="BM209" si="2009">BL161</f>
        <v>81412</v>
      </c>
      <c r="BN209" s="23">
        <f t="shared" ref="BN209" si="2010">BM161</f>
        <v>92364.350194882252</v>
      </c>
      <c r="BO209" s="23">
        <f t="shared" ref="BO209" si="2011">BN161</f>
        <v>103835</v>
      </c>
      <c r="BP209" s="23">
        <f t="shared" ref="BP209" si="2012">BO161</f>
        <v>115715.87687919661</v>
      </c>
      <c r="BQ209" s="23">
        <f t="shared" ref="BQ209" si="2013">BP161</f>
        <v>133791</v>
      </c>
      <c r="BR209" s="23">
        <f t="shared" ref="BR209" si="2014">BQ161</f>
        <v>148454.53845854267</v>
      </c>
      <c r="BS209" s="23">
        <f t="shared" ref="BS209" si="2015">BR161</f>
        <v>169843</v>
      </c>
      <c r="BT209" s="23">
        <f t="shared" ref="BT209" si="2016">BS161</f>
        <v>180582.24942037827</v>
      </c>
      <c r="BU209" s="23">
        <f t="shared" ref="BU209" si="2017">BT161</f>
        <v>171881</v>
      </c>
      <c r="BV209" s="23">
        <f t="shared" ref="BV209" si="2018">BU161</f>
        <v>189681.55752041435</v>
      </c>
      <c r="BW209" s="23">
        <f t="shared" ref="BW209" si="2019">BV161</f>
        <v>144296</v>
      </c>
      <c r="BX209" s="23">
        <f t="shared" ref="BX209" si="2020">BW161</f>
        <v>160608.48924696504</v>
      </c>
      <c r="BY209" s="23">
        <f t="shared" ref="BY209" si="2021">BX161</f>
        <v>118263</v>
      </c>
      <c r="BZ209" s="23">
        <f t="shared" ref="BZ209" si="2022">BY161</f>
        <v>135189.19899068994</v>
      </c>
      <c r="CA209" s="23">
        <f t="shared" ref="CA209" si="2023">BZ161</f>
        <v>187137</v>
      </c>
      <c r="CB209" s="23">
        <f t="shared" ref="CB209" si="2024">CA161</f>
        <v>205944.63300091651</v>
      </c>
      <c r="CC209" s="23">
        <f t="shared" ref="CC209" si="2025">CB161</f>
        <v>172934</v>
      </c>
      <c r="CD209" s="23">
        <f t="shared" ref="CD209" si="2026">CC161</f>
        <v>193228.83105204767</v>
      </c>
      <c r="CE209" s="23">
        <f t="shared" ref="CE209" si="2027">CD161</f>
        <v>203395</v>
      </c>
      <c r="CF209" s="23">
        <f t="shared" ref="CF209" si="2028">CE161</f>
        <v>219284.39162645279</v>
      </c>
      <c r="CG209" s="23">
        <f t="shared" ref="CG209" si="2029">CF161</f>
        <v>214790</v>
      </c>
      <c r="CH209" s="23">
        <f t="shared" ref="CH209:CL209" si="2030">CG161</f>
        <v>234413.39551674825</v>
      </c>
      <c r="CI209" s="23">
        <f t="shared" si="2030"/>
        <v>225211</v>
      </c>
      <c r="CJ209" s="23">
        <f t="shared" si="2030"/>
        <v>239721.79784686508</v>
      </c>
      <c r="CK209" s="23">
        <f t="shared" ref="CK209" si="2031">CJ161</f>
        <v>223871</v>
      </c>
      <c r="CL209" s="23">
        <f t="shared" si="2030"/>
        <v>119797.92473349604</v>
      </c>
      <c r="CM209" s="24">
        <f t="shared" ref="CM209" si="2032">CL161</f>
        <v>243408</v>
      </c>
      <c r="CN209" s="24">
        <f t="shared" ref="CN209" si="2033">CM161</f>
        <v>257373.96458219143</v>
      </c>
      <c r="CO209" s="24">
        <f t="shared" ref="CO209" si="2034">CN161</f>
        <v>273338.74679016013</v>
      </c>
      <c r="CP209" s="24">
        <f t="shared" ref="CP209" si="2035">CO161</f>
        <v>290387.56416918058</v>
      </c>
      <c r="CQ209" s="24">
        <f t="shared" ref="CQ209" si="2036">CP161</f>
        <v>311671.78251852345</v>
      </c>
      <c r="CR209" s="24">
        <f t="shared" ref="CR209" si="2037">CQ161</f>
        <v>329253.37897042965</v>
      </c>
      <c r="CS209" s="24">
        <f t="shared" ref="CS209" si="2038">CR161</f>
        <v>349326.85113894317</v>
      </c>
      <c r="CT209" s="24">
        <f t="shared" ref="CT209" si="2039">CS161</f>
        <v>371120.02103392908</v>
      </c>
      <c r="CU209" s="24">
        <f t="shared" ref="CU209" si="2040">CT161</f>
        <v>333828.41903910058</v>
      </c>
      <c r="CV209" s="24">
        <f t="shared" ref="CV209" si="2041">CU161</f>
        <v>361635.42434024648</v>
      </c>
      <c r="CW209" s="24">
        <f t="shared" ref="CW209" si="2042">CV161</f>
        <v>382887.65813615464</v>
      </c>
      <c r="CX209" s="24">
        <f t="shared" ref="CX209" si="2043">CW161</f>
        <v>406932.9068610245</v>
      </c>
      <c r="CY209" s="24">
        <f t="shared" ref="CY209" si="2044">CX161</f>
        <v>432013.81570926512</v>
      </c>
      <c r="CZ209" s="24">
        <f t="shared" ref="CZ209" si="2045">CY161</f>
        <v>465652.71555027761</v>
      </c>
      <c r="DA209" s="24">
        <f t="shared" ref="DA209" si="2046">CZ161</f>
        <v>492105.98101061437</v>
      </c>
      <c r="DB209" s="24">
        <f t="shared" ref="DB209" si="2047">DA161</f>
        <v>521685.61191620416</v>
      </c>
      <c r="DE209" s="123"/>
      <c r="DF209" s="23">
        <v>119797.92473349604</v>
      </c>
    </row>
    <row r="210" spans="1:110" s="23" customFormat="1" x14ac:dyDescent="0.2">
      <c r="A210" s="23" t="s">
        <v>443</v>
      </c>
      <c r="C210" s="23">
        <f t="shared" ref="C210:W210" si="2048">C209+C205+C201+C199</f>
        <v>1763.5599999999995</v>
      </c>
      <c r="D210" s="23">
        <f t="shared" si="2048"/>
        <v>150.12000000000353</v>
      </c>
      <c r="E210" s="23">
        <f t="shared" si="2048"/>
        <v>538.98999999999251</v>
      </c>
      <c r="F210" s="23">
        <f t="shared" si="2048"/>
        <v>7121.9899999999961</v>
      </c>
      <c r="G210" s="23">
        <f t="shared" si="2048"/>
        <v>5419.5100000000057</v>
      </c>
      <c r="H210" s="23">
        <f t="shared" si="2048"/>
        <v>5179.1200000000172</v>
      </c>
      <c r="I210" s="23">
        <f t="shared" si="2048"/>
        <v>10522.189999999981</v>
      </c>
      <c r="J210" s="23">
        <f>J209+J205+J201+J199</f>
        <v>25615.670000000013</v>
      </c>
      <c r="K210" s="23">
        <f>K209+K205+K201+K199</f>
        <v>22363.819999999974</v>
      </c>
      <c r="L210" s="23">
        <f>L209+L205+L201+L199</f>
        <v>44824.000000000015</v>
      </c>
      <c r="M210" s="23">
        <f>M209+M205+M201+M199</f>
        <v>67904</v>
      </c>
      <c r="N210" s="23">
        <f t="shared" si="2048"/>
        <v>79325</v>
      </c>
      <c r="O210" s="23">
        <f t="shared" si="2048"/>
        <v>71719</v>
      </c>
      <c r="P210" s="23">
        <f t="shared" si="2048"/>
        <v>63559</v>
      </c>
      <c r="Q210" s="23">
        <f t="shared" si="2048"/>
        <v>53531</v>
      </c>
      <c r="R210" s="23">
        <f t="shared" si="2048"/>
        <v>60283</v>
      </c>
      <c r="S210" s="23">
        <f t="shared" si="2048"/>
        <v>61858</v>
      </c>
      <c r="T210" s="23">
        <f t="shared" si="2048"/>
        <v>82104</v>
      </c>
      <c r="U210" s="23">
        <f t="shared" si="2048"/>
        <v>103835</v>
      </c>
      <c r="V210" s="23">
        <f t="shared" si="2048"/>
        <v>169843</v>
      </c>
      <c r="W210" s="23">
        <f t="shared" si="2048"/>
        <v>144296</v>
      </c>
      <c r="X210" s="23">
        <f t="shared" ref="X210:Y210" si="2049">X209+X205+X201+X199</f>
        <v>187137</v>
      </c>
      <c r="Y210" s="23">
        <f t="shared" si="2049"/>
        <v>203395</v>
      </c>
      <c r="Z210" s="23">
        <f t="shared" ref="Z210" si="2050">Z209+Z205+Z201+Z199</f>
        <v>225211</v>
      </c>
      <c r="AA210" s="24">
        <f t="shared" ref="AA210:AD210" si="2051">AA209+AA205+AA201+AA199</f>
        <v>243408</v>
      </c>
      <c r="AB210" s="24">
        <f t="shared" si="2051"/>
        <v>311671.78251852316</v>
      </c>
      <c r="AC210" s="24">
        <f t="shared" si="2051"/>
        <v>333828.41903910041</v>
      </c>
      <c r="AD210" s="24">
        <f t="shared" si="2051"/>
        <v>432013.81570926518</v>
      </c>
      <c r="AE210" s="24">
        <f t="shared" ref="AE210" si="2052">AE209+AE205+AE201+AE199</f>
        <v>552417.63821638422</v>
      </c>
      <c r="AI210" s="23">
        <f t="shared" ref="AI210" si="2053">AI209+AI205+AI201+AI199</f>
        <v>0</v>
      </c>
      <c r="AJ210" s="23">
        <f t="shared" ref="AJ210:AL210" si="2054">AJ209+AJ205+AJ201+AJ199</f>
        <v>72053</v>
      </c>
      <c r="AK210" s="23">
        <f t="shared" si="2054"/>
        <v>75325.364527984406</v>
      </c>
      <c r="AL210" s="23">
        <f t="shared" si="2054"/>
        <v>79325</v>
      </c>
      <c r="AM210" s="23">
        <f t="shared" ref="AM210" si="2055">AM209+AM205+AM201+AM199</f>
        <v>82246.843404831452</v>
      </c>
      <c r="AN210" s="23">
        <f t="shared" ref="AN210:CD210" si="2056">AN209+AN205+AN201+AN199</f>
        <v>78380</v>
      </c>
      <c r="AO210" s="23">
        <f t="shared" si="2056"/>
        <v>83905.465101176713</v>
      </c>
      <c r="AP210" s="23">
        <f t="shared" si="2056"/>
        <v>71718.999999999985</v>
      </c>
      <c r="AQ210" s="23">
        <f t="shared" si="2056"/>
        <v>77614.232857640105</v>
      </c>
      <c r="AR210" s="23">
        <f t="shared" si="2056"/>
        <v>66367</v>
      </c>
      <c r="AS210" s="23">
        <f t="shared" si="2056"/>
        <v>71671.30454384</v>
      </c>
      <c r="AT210" s="23">
        <f t="shared" si="2056"/>
        <v>63559</v>
      </c>
      <c r="AU210" s="23">
        <f t="shared" si="2056"/>
        <v>69697.397213576376</v>
      </c>
      <c r="AV210" s="23">
        <f t="shared" si="2056"/>
        <v>60472</v>
      </c>
      <c r="AW210" s="23">
        <f t="shared" si="2056"/>
        <v>67878.779191837835</v>
      </c>
      <c r="AX210" s="23">
        <f t="shared" si="2056"/>
        <v>53531</v>
      </c>
      <c r="AY210" s="23">
        <f t="shared" si="2056"/>
        <v>60795.380992588442</v>
      </c>
      <c r="AZ210" s="23">
        <f t="shared" si="2056"/>
        <v>49014</v>
      </c>
      <c r="BA210" s="23">
        <f t="shared" si="2056"/>
        <v>56280.782648099848</v>
      </c>
      <c r="BB210" s="23">
        <f t="shared" si="2056"/>
        <v>60283</v>
      </c>
      <c r="BC210" s="23">
        <f t="shared" si="2056"/>
        <v>67417.24416238736</v>
      </c>
      <c r="BD210" s="23">
        <f t="shared" si="2056"/>
        <v>59987</v>
      </c>
      <c r="BE210" s="23">
        <f t="shared" si="2056"/>
        <v>69135.909260741915</v>
      </c>
      <c r="BF210" s="23">
        <f t="shared" si="2056"/>
        <v>61858</v>
      </c>
      <c r="BG210" s="23">
        <f t="shared" si="2056"/>
        <v>71236.743525402737</v>
      </c>
      <c r="BH210" s="23">
        <f t="shared" si="2056"/>
        <v>60660</v>
      </c>
      <c r="BI210" s="23">
        <f t="shared" si="2056"/>
        <v>71030.232073503925</v>
      </c>
      <c r="BJ210" s="23">
        <f t="shared" si="2056"/>
        <v>82104</v>
      </c>
      <c r="BK210" s="23">
        <f t="shared" si="2056"/>
        <v>92402.3546029352</v>
      </c>
      <c r="BL210" s="23">
        <f t="shared" si="2056"/>
        <v>81412</v>
      </c>
      <c r="BM210" s="23">
        <f t="shared" si="2056"/>
        <v>92364.350194882252</v>
      </c>
      <c r="BN210" s="23">
        <f t="shared" si="2056"/>
        <v>103835</v>
      </c>
      <c r="BO210" s="23">
        <f t="shared" si="2056"/>
        <v>115715.87687919661</v>
      </c>
      <c r="BP210" s="23">
        <f t="shared" si="2056"/>
        <v>133791</v>
      </c>
      <c r="BQ210" s="23">
        <f t="shared" si="2056"/>
        <v>148454.53845854267</v>
      </c>
      <c r="BR210" s="23">
        <f t="shared" si="2056"/>
        <v>169843</v>
      </c>
      <c r="BS210" s="23">
        <f t="shared" si="2056"/>
        <v>180582.24942037827</v>
      </c>
      <c r="BT210" s="23">
        <f t="shared" si="2056"/>
        <v>171881</v>
      </c>
      <c r="BU210" s="23">
        <f t="shared" si="2056"/>
        <v>189681.55752041435</v>
      </c>
      <c r="BV210" s="23">
        <f t="shared" si="2056"/>
        <v>144296</v>
      </c>
      <c r="BW210" s="23">
        <f t="shared" si="2056"/>
        <v>160608.48924696504</v>
      </c>
      <c r="BX210" s="23">
        <f t="shared" si="2056"/>
        <v>118263</v>
      </c>
      <c r="BY210" s="23">
        <f t="shared" si="2056"/>
        <v>135189.19899068994</v>
      </c>
      <c r="BZ210" s="23">
        <f t="shared" si="2056"/>
        <v>187137</v>
      </c>
      <c r="CA210" s="23">
        <f t="shared" si="2056"/>
        <v>205944.63300091651</v>
      </c>
      <c r="CB210" s="23">
        <f t="shared" si="2056"/>
        <v>172934</v>
      </c>
      <c r="CC210" s="23">
        <f t="shared" si="2056"/>
        <v>193228.83105204767</v>
      </c>
      <c r="CD210" s="23">
        <f t="shared" si="2056"/>
        <v>203395</v>
      </c>
      <c r="CE210" s="23">
        <f t="shared" ref="CE210:CF210" si="2057">CE209+CE205+CE201+CE199</f>
        <v>219284.39162645279</v>
      </c>
      <c r="CF210" s="23">
        <f t="shared" si="2057"/>
        <v>214790</v>
      </c>
      <c r="CG210" s="23">
        <f t="shared" ref="CG210:CH210" si="2058">CG209+CG205+CG201+CG199</f>
        <v>234413.39551674825</v>
      </c>
      <c r="CH210" s="23">
        <f t="shared" si="2058"/>
        <v>225211</v>
      </c>
      <c r="CI210" s="23">
        <f t="shared" ref="CI210:CJ210" si="2059">CI209+CI205+CI201+CI199</f>
        <v>239721.79784686508</v>
      </c>
      <c r="CJ210" s="23">
        <f t="shared" si="2059"/>
        <v>223871</v>
      </c>
      <c r="CK210" s="23">
        <f t="shared" ref="CK210:DB210" si="2060">CK209+CK205+CK201+CK199</f>
        <v>119797.92473349604</v>
      </c>
      <c r="CL210" s="23">
        <f t="shared" si="2060"/>
        <v>243408</v>
      </c>
      <c r="CM210" s="24">
        <f t="shared" si="2060"/>
        <v>257373.96458219143</v>
      </c>
      <c r="CN210" s="24">
        <f t="shared" si="2060"/>
        <v>273338.74679016013</v>
      </c>
      <c r="CO210" s="24">
        <f t="shared" si="2060"/>
        <v>290387.56416918058</v>
      </c>
      <c r="CP210" s="24">
        <f t="shared" si="2060"/>
        <v>311671.78251852345</v>
      </c>
      <c r="CQ210" s="24">
        <f t="shared" si="2060"/>
        <v>329253.37897042965</v>
      </c>
      <c r="CR210" s="24">
        <f t="shared" si="2060"/>
        <v>349326.85113894317</v>
      </c>
      <c r="CS210" s="24">
        <f t="shared" si="2060"/>
        <v>371120.02103392908</v>
      </c>
      <c r="CT210" s="24">
        <f t="shared" si="2060"/>
        <v>333828.41903910058</v>
      </c>
      <c r="CU210" s="24">
        <f t="shared" si="2060"/>
        <v>361635.42434024648</v>
      </c>
      <c r="CV210" s="24">
        <f t="shared" si="2060"/>
        <v>382887.65813615464</v>
      </c>
      <c r="CW210" s="24">
        <f t="shared" si="2060"/>
        <v>406932.9068610245</v>
      </c>
      <c r="CX210" s="24">
        <f t="shared" si="2060"/>
        <v>432013.81570926512</v>
      </c>
      <c r="CY210" s="24">
        <f t="shared" si="2060"/>
        <v>465652.71555027761</v>
      </c>
      <c r="CZ210" s="24">
        <f t="shared" si="2060"/>
        <v>492105.98101061437</v>
      </c>
      <c r="DA210" s="24">
        <f t="shared" si="2060"/>
        <v>521685.61191620416</v>
      </c>
      <c r="DB210" s="24">
        <f t="shared" si="2060"/>
        <v>552417.63821638434</v>
      </c>
      <c r="DE210" s="123"/>
      <c r="DF210" s="23">
        <v>128301.87343198886</v>
      </c>
    </row>
    <row r="211" spans="1:110" s="28" customFormat="1" x14ac:dyDescent="0.2">
      <c r="A211" s="28" t="s">
        <v>444</v>
      </c>
      <c r="C211" s="28">
        <f t="shared" ref="C211:W211" si="2061">C210-C161</f>
        <v>0</v>
      </c>
      <c r="D211" s="28">
        <f t="shared" si="2061"/>
        <v>3.5242919693700969E-12</v>
      </c>
      <c r="E211" s="28">
        <f t="shared" si="2061"/>
        <v>-7.503331289626658E-12</v>
      </c>
      <c r="F211" s="28">
        <f t="shared" si="2061"/>
        <v>0</v>
      </c>
      <c r="G211" s="28">
        <f t="shared" si="2061"/>
        <v>0</v>
      </c>
      <c r="H211" s="28">
        <f t="shared" si="2061"/>
        <v>1.7280399333685637E-11</v>
      </c>
      <c r="I211" s="28">
        <f t="shared" si="2061"/>
        <v>-1.8189894035458565E-11</v>
      </c>
      <c r="J211" s="28">
        <f>J210-J161</f>
        <v>0</v>
      </c>
      <c r="K211" s="28">
        <f t="shared" si="2061"/>
        <v>0</v>
      </c>
      <c r="L211" s="28">
        <f t="shared" si="2061"/>
        <v>0</v>
      </c>
      <c r="M211" s="28">
        <f t="shared" si="2061"/>
        <v>0</v>
      </c>
      <c r="N211" s="28">
        <f t="shared" si="2061"/>
        <v>0</v>
      </c>
      <c r="O211" s="28">
        <f t="shared" si="2061"/>
        <v>0</v>
      </c>
      <c r="P211" s="28">
        <f t="shared" si="2061"/>
        <v>0</v>
      </c>
      <c r="Q211" s="28">
        <f t="shared" si="2061"/>
        <v>0</v>
      </c>
      <c r="R211" s="28">
        <f t="shared" si="2061"/>
        <v>0</v>
      </c>
      <c r="S211" s="28">
        <f t="shared" si="2061"/>
        <v>0</v>
      </c>
      <c r="T211" s="28">
        <f t="shared" si="2061"/>
        <v>0</v>
      </c>
      <c r="U211" s="28">
        <f t="shared" si="2061"/>
        <v>0</v>
      </c>
      <c r="V211" s="28">
        <f t="shared" si="2061"/>
        <v>0</v>
      </c>
      <c r="W211" s="28">
        <f t="shared" si="2061"/>
        <v>0</v>
      </c>
      <c r="X211" s="28">
        <f t="shared" ref="X211:Y211" si="2062">X210-X161</f>
        <v>0</v>
      </c>
      <c r="Y211" s="28">
        <f t="shared" si="2062"/>
        <v>0</v>
      </c>
      <c r="Z211" s="28">
        <f t="shared" ref="Z211" si="2063">Z210-Z161</f>
        <v>0</v>
      </c>
      <c r="AA211" s="30">
        <f t="shared" ref="AA211:AD211" si="2064">AA210-AA161</f>
        <v>0</v>
      </c>
      <c r="AB211" s="30">
        <f t="shared" si="2064"/>
        <v>0</v>
      </c>
      <c r="AC211" s="30">
        <f t="shared" si="2064"/>
        <v>0</v>
      </c>
      <c r="AD211" s="30">
        <f t="shared" si="2064"/>
        <v>0</v>
      </c>
      <c r="AE211" s="30">
        <f t="shared" ref="AE211" si="2065">AE210-AE161</f>
        <v>0</v>
      </c>
      <c r="AI211" s="28">
        <f t="shared" ref="AI211" si="2066">AI210-AI161</f>
        <v>0</v>
      </c>
      <c r="AJ211" s="28">
        <f t="shared" ref="AJ211:AL211" si="2067">AJ210-AJ161</f>
        <v>0</v>
      </c>
      <c r="AK211" s="28">
        <f t="shared" si="2067"/>
        <v>0</v>
      </c>
      <c r="AL211" s="28">
        <f t="shared" si="2067"/>
        <v>0</v>
      </c>
      <c r="AM211" s="28">
        <f t="shared" ref="AM211" si="2068">AM210-AM161</f>
        <v>0</v>
      </c>
      <c r="AN211" s="28">
        <f t="shared" ref="AN211:CD211" si="2069">AN210-AN161</f>
        <v>0</v>
      </c>
      <c r="AO211" s="28">
        <f t="shared" si="2069"/>
        <v>0</v>
      </c>
      <c r="AP211" s="28">
        <f t="shared" si="2069"/>
        <v>0</v>
      </c>
      <c r="AQ211" s="28">
        <f t="shared" si="2069"/>
        <v>0</v>
      </c>
      <c r="AR211" s="28">
        <f t="shared" si="2069"/>
        <v>0</v>
      </c>
      <c r="AS211" s="28">
        <f t="shared" si="2069"/>
        <v>0</v>
      </c>
      <c r="AT211" s="28">
        <f t="shared" si="2069"/>
        <v>0</v>
      </c>
      <c r="AU211" s="28">
        <f t="shared" si="2069"/>
        <v>0</v>
      </c>
      <c r="AV211" s="28">
        <f t="shared" si="2069"/>
        <v>0</v>
      </c>
      <c r="AW211" s="28">
        <f t="shared" si="2069"/>
        <v>0</v>
      </c>
      <c r="AX211" s="28">
        <f t="shared" si="2069"/>
        <v>0</v>
      </c>
      <c r="AY211" s="28">
        <f t="shared" si="2069"/>
        <v>0</v>
      </c>
      <c r="AZ211" s="28">
        <f t="shared" si="2069"/>
        <v>0</v>
      </c>
      <c r="BA211" s="28">
        <f t="shared" si="2069"/>
        <v>0</v>
      </c>
      <c r="BB211" s="28">
        <f t="shared" si="2069"/>
        <v>0</v>
      </c>
      <c r="BC211" s="28">
        <f t="shared" si="2069"/>
        <v>0</v>
      </c>
      <c r="BD211" s="28">
        <f t="shared" si="2069"/>
        <v>0</v>
      </c>
      <c r="BE211" s="28">
        <f t="shared" si="2069"/>
        <v>0</v>
      </c>
      <c r="BF211" s="28">
        <f t="shared" si="2069"/>
        <v>0</v>
      </c>
      <c r="BG211" s="28">
        <f t="shared" si="2069"/>
        <v>0</v>
      </c>
      <c r="BH211" s="28">
        <f t="shared" si="2069"/>
        <v>0</v>
      </c>
      <c r="BI211" s="28">
        <f t="shared" si="2069"/>
        <v>0</v>
      </c>
      <c r="BJ211" s="28">
        <f t="shared" si="2069"/>
        <v>0</v>
      </c>
      <c r="BK211" s="28">
        <f t="shared" si="2069"/>
        <v>0</v>
      </c>
      <c r="BL211" s="28">
        <f t="shared" si="2069"/>
        <v>0</v>
      </c>
      <c r="BM211" s="28">
        <f t="shared" si="2069"/>
        <v>0</v>
      </c>
      <c r="BN211" s="28">
        <f t="shared" si="2069"/>
        <v>0</v>
      </c>
      <c r="BO211" s="28">
        <f t="shared" si="2069"/>
        <v>0</v>
      </c>
      <c r="BP211" s="28">
        <f t="shared" si="2069"/>
        <v>0</v>
      </c>
      <c r="BQ211" s="28">
        <f t="shared" si="2069"/>
        <v>0</v>
      </c>
      <c r="BR211" s="28">
        <f t="shared" si="2069"/>
        <v>0</v>
      </c>
      <c r="BS211" s="28">
        <f t="shared" si="2069"/>
        <v>0</v>
      </c>
      <c r="BT211" s="28">
        <f t="shared" si="2069"/>
        <v>0</v>
      </c>
      <c r="BU211" s="28">
        <f t="shared" si="2069"/>
        <v>0</v>
      </c>
      <c r="BV211" s="28">
        <f t="shared" si="2069"/>
        <v>0</v>
      </c>
      <c r="BW211" s="28">
        <f t="shared" si="2069"/>
        <v>0</v>
      </c>
      <c r="BX211" s="28">
        <f t="shared" si="2069"/>
        <v>0</v>
      </c>
      <c r="BY211" s="28">
        <f t="shared" si="2069"/>
        <v>0</v>
      </c>
      <c r="BZ211" s="28">
        <f t="shared" si="2069"/>
        <v>0</v>
      </c>
      <c r="CA211" s="28">
        <f t="shared" si="2069"/>
        <v>0</v>
      </c>
      <c r="CB211" s="28">
        <f t="shared" si="2069"/>
        <v>0</v>
      </c>
      <c r="CC211" s="28">
        <f t="shared" si="2069"/>
        <v>0</v>
      </c>
      <c r="CD211" s="28">
        <f t="shared" si="2069"/>
        <v>0</v>
      </c>
      <c r="CE211" s="28">
        <f t="shared" ref="CE211:CF211" si="2070">CE210-CE161</f>
        <v>0</v>
      </c>
      <c r="CF211" s="28">
        <f t="shared" si="2070"/>
        <v>0</v>
      </c>
      <c r="CG211" s="28">
        <f t="shared" ref="CG211:CH211" si="2071">CG210-CG161</f>
        <v>0</v>
      </c>
      <c r="CH211" s="28">
        <f t="shared" si="2071"/>
        <v>0</v>
      </c>
      <c r="CI211" s="28">
        <f t="shared" ref="CI211:CJ211" si="2072">CI210-CI161</f>
        <v>0</v>
      </c>
      <c r="CJ211" s="28">
        <f t="shared" si="2072"/>
        <v>0</v>
      </c>
      <c r="CK211" s="28">
        <f t="shared" ref="CK211:DB211" si="2073">CK210-CK161</f>
        <v>0</v>
      </c>
      <c r="CL211" s="28">
        <f t="shared" si="2073"/>
        <v>0</v>
      </c>
      <c r="CM211" s="30">
        <f t="shared" si="2073"/>
        <v>0</v>
      </c>
      <c r="CN211" s="30">
        <f t="shared" si="2073"/>
        <v>0</v>
      </c>
      <c r="CO211" s="30">
        <f t="shared" si="2073"/>
        <v>0</v>
      </c>
      <c r="CP211" s="30">
        <f t="shared" si="2073"/>
        <v>0</v>
      </c>
      <c r="CQ211" s="30">
        <f t="shared" si="2073"/>
        <v>0</v>
      </c>
      <c r="CR211" s="30">
        <f t="shared" si="2073"/>
        <v>0</v>
      </c>
      <c r="CS211" s="30">
        <f t="shared" si="2073"/>
        <v>0</v>
      </c>
      <c r="CT211" s="30">
        <f t="shared" si="2073"/>
        <v>0</v>
      </c>
      <c r="CU211" s="30">
        <f t="shared" si="2073"/>
        <v>0</v>
      </c>
      <c r="CV211" s="30">
        <f t="shared" si="2073"/>
        <v>0</v>
      </c>
      <c r="CW211" s="30">
        <f t="shared" si="2073"/>
        <v>0</v>
      </c>
      <c r="CX211" s="30">
        <f t="shared" si="2073"/>
        <v>0</v>
      </c>
      <c r="CY211" s="30">
        <f t="shared" si="2073"/>
        <v>0</v>
      </c>
      <c r="CZ211" s="30">
        <f t="shared" si="2073"/>
        <v>0</v>
      </c>
      <c r="DA211" s="30">
        <f t="shared" si="2073"/>
        <v>0</v>
      </c>
      <c r="DB211" s="30">
        <f t="shared" si="2073"/>
        <v>0</v>
      </c>
      <c r="DE211" s="139"/>
      <c r="DF211" s="28">
        <v>0</v>
      </c>
    </row>
    <row r="212" spans="1:110" s="23" customFormat="1" x14ac:dyDescent="0.2">
      <c r="AA212" s="24"/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74">C199+C201</f>
        <v>-17122.55999999999</v>
      </c>
      <c r="D213" s="22">
        <f t="shared" si="2074"/>
        <v>-914.48999999999796</v>
      </c>
      <c r="E213" s="22">
        <f t="shared" si="2074"/>
        <v>-158.35999999998603</v>
      </c>
      <c r="F213" s="22">
        <f t="shared" si="2074"/>
        <v>10334.899999999989</v>
      </c>
      <c r="G213" s="22">
        <f t="shared" si="2074"/>
        <v>-7221.5200000000041</v>
      </c>
      <c r="H213" s="22">
        <f t="shared" si="2074"/>
        <v>-18630.049999999988</v>
      </c>
      <c r="I213" s="22">
        <f t="shared" si="2074"/>
        <v>-10138.130000000016</v>
      </c>
      <c r="J213" s="22">
        <f>J199+J201</f>
        <v>-27294.689999999973</v>
      </c>
      <c r="K213" s="22">
        <f t="shared" si="2074"/>
        <v>12721.299999999988</v>
      </c>
      <c r="L213" s="22">
        <f t="shared" si="2074"/>
        <v>8880.2099999999991</v>
      </c>
      <c r="M213" s="22">
        <f t="shared" si="2074"/>
        <v>19169</v>
      </c>
      <c r="N213" s="22">
        <f t="shared" si="2074"/>
        <v>4768</v>
      </c>
      <c r="O213" s="22">
        <f t="shared" si="2074"/>
        <v>-33294</v>
      </c>
      <c r="P213" s="22">
        <f t="shared" si="2074"/>
        <v>-28590</v>
      </c>
      <c r="Q213" s="22">
        <f t="shared" si="2074"/>
        <v>-14199</v>
      </c>
      <c r="R213" s="22">
        <f t="shared" si="2074"/>
        <v>-10995</v>
      </c>
      <c r="S213" s="22">
        <f t="shared" si="2074"/>
        <v>-15064</v>
      </c>
      <c r="T213" s="22">
        <f t="shared" si="2074"/>
        <v>-107755</v>
      </c>
      <c r="U213" s="22">
        <f t="shared" si="2074"/>
        <v>-52289</v>
      </c>
      <c r="V213" s="22">
        <f t="shared" si="2074"/>
        <v>-138466</v>
      </c>
      <c r="W213" s="22">
        <f t="shared" si="2074"/>
        <v>-68888</v>
      </c>
      <c r="X213" s="22">
        <f t="shared" ref="X213:Y213" si="2075">X199+X201</f>
        <v>121985</v>
      </c>
      <c r="Y213" s="22">
        <f t="shared" si="2075"/>
        <v>-21684</v>
      </c>
      <c r="Z213" s="22">
        <f t="shared" ref="Z213" si="2076">Z199+Z201</f>
        <v>-15282</v>
      </c>
      <c r="AA213" s="21">
        <f t="shared" ref="AA213:AD213" si="2077">AA199+AA201</f>
        <v>-4159</v>
      </c>
      <c r="AB213" s="21">
        <f t="shared" si="2077"/>
        <v>68263.782518523192</v>
      </c>
      <c r="AC213" s="21">
        <f t="shared" si="2077"/>
        <v>22156.636520576954</v>
      </c>
      <c r="AD213" s="21">
        <f t="shared" si="2077"/>
        <v>98185.396670164337</v>
      </c>
      <c r="AE213" s="21">
        <f t="shared" ref="AE213" si="2078">AE199+AE201</f>
        <v>120403.82250711913</v>
      </c>
      <c r="AI213" s="22">
        <f t="shared" ref="AI213" si="2079">AI199+AI201</f>
        <v>4503</v>
      </c>
      <c r="AJ213" s="22">
        <f t="shared" ref="AJ213:AL213" si="2080">AJ199+AJ201</f>
        <v>-151472</v>
      </c>
      <c r="AK213" s="22">
        <f t="shared" si="2080"/>
        <v>3272.3645279844059</v>
      </c>
      <c r="AL213" s="22">
        <f t="shared" si="2080"/>
        <v>-28301.364527984406</v>
      </c>
      <c r="AM213" s="22">
        <f t="shared" ref="AM213" si="2081">AM199+AM201</f>
        <v>2921.8434048314521</v>
      </c>
      <c r="AN213" s="22">
        <f t="shared" ref="AN213:CD213" si="2082">AN199+AN201</f>
        <v>22090.156595168548</v>
      </c>
      <c r="AO213" s="22">
        <f t="shared" si="2082"/>
        <v>5525.4651011767128</v>
      </c>
      <c r="AP213" s="22">
        <f t="shared" si="2082"/>
        <v>-76781.465101176713</v>
      </c>
      <c r="AQ213" s="22">
        <f t="shared" si="2082"/>
        <v>5895.2328576401051</v>
      </c>
      <c r="AR213" s="22">
        <f t="shared" si="2082"/>
        <v>-19375.232857640105</v>
      </c>
      <c r="AS213" s="22">
        <f t="shared" si="2082"/>
        <v>5304.3045438400004</v>
      </c>
      <c r="AT213" s="22">
        <f t="shared" si="2082"/>
        <v>-20628.30454384</v>
      </c>
      <c r="AU213" s="22">
        <f t="shared" si="2082"/>
        <v>6138.3972135763761</v>
      </c>
      <c r="AV213" s="22">
        <f t="shared" si="2082"/>
        <v>-21398.397213576376</v>
      </c>
      <c r="AW213" s="22">
        <f t="shared" si="2082"/>
        <v>7406.7791918378352</v>
      </c>
      <c r="AX213" s="22">
        <f t="shared" si="2082"/>
        <v>5169.2208081621648</v>
      </c>
      <c r="AY213" s="22">
        <f t="shared" si="2082"/>
        <v>7264.3809925884416</v>
      </c>
      <c r="AZ213" s="22">
        <f t="shared" si="2082"/>
        <v>-36363.380992588442</v>
      </c>
      <c r="BA213" s="22">
        <f t="shared" si="2082"/>
        <v>7266.7826480998483</v>
      </c>
      <c r="BB213" s="22">
        <f t="shared" si="2082"/>
        <v>8287.2173519001517</v>
      </c>
      <c r="BC213" s="22">
        <f t="shared" si="2082"/>
        <v>7134.2441623873601</v>
      </c>
      <c r="BD213" s="22">
        <f t="shared" si="2082"/>
        <v>-195.24416238736012</v>
      </c>
      <c r="BE213" s="22">
        <f t="shared" si="2082"/>
        <v>9148.9092607419152</v>
      </c>
      <c r="BF213" s="22">
        <f t="shared" si="2082"/>
        <v>-6784.9092607419152</v>
      </c>
      <c r="BG213" s="22">
        <f t="shared" si="2082"/>
        <v>9378.7435254027369</v>
      </c>
      <c r="BH213" s="22">
        <f t="shared" si="2082"/>
        <v>-57306.743525402737</v>
      </c>
      <c r="BI213" s="22">
        <f t="shared" si="2082"/>
        <v>10370.232073503925</v>
      </c>
      <c r="BJ213" s="22">
        <f t="shared" si="2082"/>
        <v>-91293.232073503925</v>
      </c>
      <c r="BK213" s="22">
        <f t="shared" si="2082"/>
        <v>10298.3546029352</v>
      </c>
      <c r="BL213" s="22">
        <f t="shared" si="2082"/>
        <v>11687.6453970648</v>
      </c>
      <c r="BM213" s="22">
        <f t="shared" si="2082"/>
        <v>10952.350194882252</v>
      </c>
      <c r="BN213" s="22">
        <f t="shared" si="2082"/>
        <v>-57283.350194882252</v>
      </c>
      <c r="BO213" s="22">
        <f t="shared" si="2082"/>
        <v>11880.876879196614</v>
      </c>
      <c r="BP213" s="22">
        <f t="shared" si="2082"/>
        <v>-125028.87687919661</v>
      </c>
      <c r="BQ213" s="22">
        <f t="shared" si="2082"/>
        <v>14663.538458542665</v>
      </c>
      <c r="BR213" s="22">
        <f t="shared" si="2082"/>
        <v>-84858.538458542665</v>
      </c>
      <c r="BS213" s="22">
        <f t="shared" si="2082"/>
        <v>10739.24942037827</v>
      </c>
      <c r="BT213" s="22">
        <f t="shared" si="2082"/>
        <v>-33007.24942037827</v>
      </c>
      <c r="BU213" s="22">
        <f t="shared" si="2082"/>
        <v>17800.557520414353</v>
      </c>
      <c r="BV213" s="22">
        <f t="shared" si="2082"/>
        <v>-64420.557520414353</v>
      </c>
      <c r="BW213" s="22">
        <f t="shared" si="2082"/>
        <v>16312.489246965037</v>
      </c>
      <c r="BX213" s="22">
        <f t="shared" si="2082"/>
        <v>-53069.489246965037</v>
      </c>
      <c r="BY213" s="22">
        <f t="shared" si="2082"/>
        <v>16926.19899068994</v>
      </c>
      <c r="BZ213" s="22">
        <f t="shared" si="2082"/>
        <v>141815.80100931006</v>
      </c>
      <c r="CA213" s="22">
        <f t="shared" si="2082"/>
        <v>18807.63300091651</v>
      </c>
      <c r="CB213" s="22">
        <f t="shared" si="2082"/>
        <v>-29720.63300091651</v>
      </c>
      <c r="CC213" s="22">
        <f t="shared" si="2082"/>
        <v>20294.831052047666</v>
      </c>
      <c r="CD213" s="22">
        <f t="shared" si="2082"/>
        <v>-31065.831052047666</v>
      </c>
      <c r="CE213" s="22">
        <f t="shared" ref="CE213:CF213" si="2083">CE199+CE201</f>
        <v>15889.391626452794</v>
      </c>
      <c r="CF213" s="22">
        <f t="shared" si="2083"/>
        <v>-13044.391626452794</v>
      </c>
      <c r="CG213" s="22">
        <f t="shared" ref="CG213:CH213" si="2084">CG199+CG201</f>
        <v>19623.395516748249</v>
      </c>
      <c r="CH213" s="22">
        <f t="shared" si="2084"/>
        <v>-37750.395516748249</v>
      </c>
      <c r="CI213" s="22">
        <f t="shared" ref="CI213:CJ213" si="2085">CI199+CI201</f>
        <v>14510.797846865084</v>
      </c>
      <c r="CJ213" s="22">
        <f t="shared" si="2085"/>
        <v>-12492.797846865084</v>
      </c>
      <c r="CK213" s="22">
        <f t="shared" ref="CK213:DB213" si="2086">CK199+CK201</f>
        <v>-104073.07526650396</v>
      </c>
      <c r="CL213" s="22">
        <f t="shared" si="2086"/>
        <v>97896.075266503962</v>
      </c>
      <c r="CM213" s="21">
        <f t="shared" si="2086"/>
        <v>13965.964582191416</v>
      </c>
      <c r="CN213" s="21">
        <f t="shared" si="2086"/>
        <v>15964.782207968718</v>
      </c>
      <c r="CO213" s="21">
        <f t="shared" si="2086"/>
        <v>17048.81737902046</v>
      </c>
      <c r="CP213" s="21">
        <f t="shared" si="2086"/>
        <v>21284.218349342867</v>
      </c>
      <c r="CQ213" s="21">
        <f t="shared" si="2086"/>
        <v>17581.596451906189</v>
      </c>
      <c r="CR213" s="21">
        <f t="shared" si="2086"/>
        <v>20073.47216851353</v>
      </c>
      <c r="CS213" s="21">
        <f t="shared" si="2086"/>
        <v>21793.169894985927</v>
      </c>
      <c r="CT213" s="21">
        <f t="shared" si="2086"/>
        <v>-37291.60199482875</v>
      </c>
      <c r="CU213" s="21">
        <f t="shared" si="2086"/>
        <v>27807.005301145895</v>
      </c>
      <c r="CV213" s="21">
        <f t="shared" si="2086"/>
        <v>21252.233795908156</v>
      </c>
      <c r="CW213" s="21">
        <f t="shared" si="2086"/>
        <v>24045.248724869845</v>
      </c>
      <c r="CX213" s="21">
        <f t="shared" si="2086"/>
        <v>25080.908848240644</v>
      </c>
      <c r="CY213" s="21">
        <f t="shared" si="2086"/>
        <v>33638.899841012506</v>
      </c>
      <c r="CZ213" s="21">
        <f t="shared" si="2086"/>
        <v>26453.265460336763</v>
      </c>
      <c r="DA213" s="21">
        <f t="shared" si="2086"/>
        <v>29579.630905589765</v>
      </c>
      <c r="DB213" s="21">
        <f t="shared" si="2086"/>
        <v>30732.026300180136</v>
      </c>
      <c r="DE213" s="126"/>
      <c r="DF213" s="22">
        <v>8503.9486984928226</v>
      </c>
    </row>
    <row r="214" spans="1:110" x14ac:dyDescent="0.2">
      <c r="A214" s="152" t="s">
        <v>496</v>
      </c>
      <c r="CL214" s="2"/>
    </row>
    <row r="215" spans="1:110" x14ac:dyDescent="0.2">
      <c r="CL215" s="2"/>
    </row>
    <row r="216" spans="1:110" s="7" customFormat="1" hidden="1" outlineLevel="1" x14ac:dyDescent="0.2">
      <c r="A216" s="61" t="s">
        <v>97</v>
      </c>
      <c r="AA216" s="77"/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A217" s="63"/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A218" s="63"/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A219" s="63"/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A220" s="63"/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A221" s="63"/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A222" s="63"/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A223" s="63"/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A224" s="72"/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A225" s="50"/>
      <c r="AB225" s="50"/>
      <c r="AC225" s="50"/>
      <c r="AD225" s="50"/>
      <c r="AE225" s="50"/>
      <c r="AL225" s="66">
        <f t="shared" ref="AL225:BQ225" si="2087">SUM(AI10:AL10)</f>
        <v>360296</v>
      </c>
      <c r="AM225" s="66">
        <f t="shared" si="2087"/>
        <v>365923</v>
      </c>
      <c r="AN225" s="66">
        <f t="shared" si="2087"/>
        <v>391078</v>
      </c>
      <c r="AO225" s="66">
        <f t="shared" si="2087"/>
        <v>415230</v>
      </c>
      <c r="AP225" s="66">
        <f t="shared" si="2087"/>
        <v>434460</v>
      </c>
      <c r="AQ225" s="66">
        <f t="shared" si="2087"/>
        <v>441597</v>
      </c>
      <c r="AR225" s="66">
        <f t="shared" si="2087"/>
        <v>435903</v>
      </c>
      <c r="AS225" s="66">
        <f t="shared" si="2087"/>
        <v>411393</v>
      </c>
      <c r="AT225" s="66">
        <f t="shared" si="2087"/>
        <v>375435</v>
      </c>
      <c r="AU225" s="66">
        <f t="shared" si="2087"/>
        <v>347410</v>
      </c>
      <c r="AV225" s="66">
        <f t="shared" si="2087"/>
        <v>307945</v>
      </c>
      <c r="AW225" s="66">
        <f t="shared" si="2087"/>
        <v>281925</v>
      </c>
      <c r="AX225" s="66">
        <f t="shared" si="2087"/>
        <v>274151</v>
      </c>
      <c r="AY225" s="66">
        <f t="shared" si="2087"/>
        <v>262526</v>
      </c>
      <c r="AZ225" s="66">
        <f t="shared" si="2087"/>
        <v>268355</v>
      </c>
      <c r="BA225" s="66">
        <f t="shared" si="2087"/>
        <v>280255</v>
      </c>
      <c r="BB225" s="66">
        <f t="shared" si="2087"/>
        <v>305382</v>
      </c>
      <c r="BC225" s="66">
        <f t="shared" si="2087"/>
        <v>323863</v>
      </c>
      <c r="BD225" s="66">
        <f t="shared" si="2087"/>
        <v>339183</v>
      </c>
      <c r="BE225" s="66">
        <f t="shared" si="2087"/>
        <v>359585</v>
      </c>
      <c r="BF225" s="66">
        <f t="shared" si="2087"/>
        <v>391677</v>
      </c>
      <c r="BG225" s="66">
        <f t="shared" si="2087"/>
        <v>436962</v>
      </c>
      <c r="BH225" s="66">
        <f t="shared" si="2087"/>
        <v>488804</v>
      </c>
      <c r="BI225" s="66">
        <f t="shared" si="2087"/>
        <v>545892</v>
      </c>
      <c r="BJ225" s="66">
        <f t="shared" si="2087"/>
        <v>568567</v>
      </c>
      <c r="BK225" s="66">
        <f t="shared" si="2087"/>
        <v>597791</v>
      </c>
      <c r="BL225" s="66">
        <f t="shared" si="2087"/>
        <v>604229</v>
      </c>
      <c r="BM225" s="66">
        <f t="shared" si="2087"/>
        <v>600633</v>
      </c>
      <c r="BN225" s="66">
        <f t="shared" si="2087"/>
        <v>597535</v>
      </c>
      <c r="BO225" s="66">
        <f t="shared" si="2087"/>
        <v>527808</v>
      </c>
      <c r="BP225" s="66">
        <f t="shared" si="2087"/>
        <v>489283</v>
      </c>
      <c r="BQ225" s="66">
        <f t="shared" si="2087"/>
        <v>453841</v>
      </c>
      <c r="BR225" s="66">
        <f t="shared" ref="BR225:CW225" si="2088">SUM(BO10:BR10)</f>
        <v>466924</v>
      </c>
      <c r="BS225" s="66">
        <f t="shared" si="2088"/>
        <v>518620</v>
      </c>
      <c r="BT225" s="66">
        <f t="shared" si="2088"/>
        <v>574995</v>
      </c>
      <c r="BU225" s="66">
        <f t="shared" si="2088"/>
        <v>642162</v>
      </c>
      <c r="BV225" s="66">
        <f t="shared" si="2088"/>
        <v>699962</v>
      </c>
      <c r="BW225" s="66">
        <f t="shared" si="2088"/>
        <v>778868</v>
      </c>
      <c r="BX225" s="66">
        <f t="shared" si="2088"/>
        <v>840666</v>
      </c>
      <c r="BY225" s="66">
        <f t="shared" si="2088"/>
        <v>872376</v>
      </c>
      <c r="BZ225" s="66">
        <f t="shared" si="2088"/>
        <v>877835</v>
      </c>
      <c r="CA225" s="66">
        <f t="shared" si="2088"/>
        <v>866539</v>
      </c>
      <c r="CB225" s="66">
        <f t="shared" si="2088"/>
        <v>869016</v>
      </c>
      <c r="CC225" s="66">
        <f t="shared" si="2088"/>
        <v>877365</v>
      </c>
      <c r="CD225" s="66">
        <f t="shared" si="2088"/>
        <v>901064</v>
      </c>
      <c r="CE225" s="66">
        <f t="shared" si="2088"/>
        <v>925289</v>
      </c>
      <c r="CF225" s="66">
        <f t="shared" si="2088"/>
        <v>924938</v>
      </c>
      <c r="CG225" s="66">
        <f t="shared" si="2088"/>
        <v>939838</v>
      </c>
      <c r="CH225" s="66">
        <f t="shared" si="2088"/>
        <v>964693</v>
      </c>
      <c r="CI225" s="66">
        <f t="shared" si="2088"/>
        <v>976541</v>
      </c>
      <c r="CJ225" s="66">
        <f t="shared" si="2088"/>
        <v>999629</v>
      </c>
      <c r="CK225" s="66">
        <f t="shared" si="2088"/>
        <v>1024548</v>
      </c>
      <c r="CL225" s="66">
        <f t="shared" si="2088"/>
        <v>1057219</v>
      </c>
      <c r="CM225" s="50">
        <f t="shared" si="2088"/>
        <v>1080343.2899597108</v>
      </c>
      <c r="CN225" s="50">
        <f t="shared" si="2088"/>
        <v>1107298.8007753342</v>
      </c>
      <c r="CO225" s="50">
        <f t="shared" si="2088"/>
        <v>1135749.921528596</v>
      </c>
      <c r="CP225" s="50">
        <f t="shared" si="2088"/>
        <v>1167594.3709952498</v>
      </c>
      <c r="CQ225" s="50">
        <f t="shared" si="2088"/>
        <v>1195368.5806263951</v>
      </c>
      <c r="CR225" s="50">
        <f t="shared" si="2088"/>
        <v>1225333.928938417</v>
      </c>
      <c r="CS225" s="50">
        <f t="shared" si="2088"/>
        <v>1256593.3261696575</v>
      </c>
      <c r="CT225" s="50">
        <f t="shared" si="2088"/>
        <v>1291252.1821896893</v>
      </c>
      <c r="CU225" s="50">
        <f t="shared" si="2088"/>
        <v>1322431.3507528394</v>
      </c>
      <c r="CV225" s="50">
        <f t="shared" si="2088"/>
        <v>1355547.2628002658</v>
      </c>
      <c r="CW225" s="50">
        <f t="shared" si="2088"/>
        <v>1390042.6589791528</v>
      </c>
      <c r="CX225" s="50">
        <f t="shared" ref="CX225:DB225" si="2089">SUM(CU10:CX10)</f>
        <v>1428331.59273047</v>
      </c>
      <c r="CY225" s="50">
        <f t="shared" si="2089"/>
        <v>1462906.846597912</v>
      </c>
      <c r="CZ225" s="50">
        <f t="shared" si="2089"/>
        <v>1499518.9704635222</v>
      </c>
      <c r="DA225" s="50">
        <f t="shared" si="2089"/>
        <v>1537659.972963141</v>
      </c>
      <c r="DB225" s="50">
        <f t="shared" si="2089"/>
        <v>1580016.2066968512</v>
      </c>
      <c r="DE225" s="138"/>
      <c r="DF225" s="66">
        <v>1040231.28</v>
      </c>
    </row>
    <row r="226" spans="1:110" s="66" customFormat="1" x14ac:dyDescent="0.2">
      <c r="A226" s="66" t="s">
        <v>472</v>
      </c>
      <c r="AA226" s="50"/>
      <c r="AB226" s="50"/>
      <c r="AC226" s="50"/>
      <c r="AD226" s="50"/>
      <c r="AE226" s="50"/>
      <c r="AL226" s="66">
        <f t="shared" ref="AL226:BQ226" si="2090">SUM(AI28:AL28)</f>
        <v>30786</v>
      </c>
      <c r="AM226" s="66">
        <f t="shared" si="2090"/>
        <v>31832</v>
      </c>
      <c r="AN226" s="66">
        <f t="shared" si="2090"/>
        <v>32920</v>
      </c>
      <c r="AO226" s="66">
        <f t="shared" si="2090"/>
        <v>33198</v>
      </c>
      <c r="AP226" s="66">
        <f t="shared" si="2090"/>
        <v>34799</v>
      </c>
      <c r="AQ226" s="66">
        <f t="shared" si="2090"/>
        <v>35931</v>
      </c>
      <c r="AR226" s="66">
        <f t="shared" si="2090"/>
        <v>36884</v>
      </c>
      <c r="AS226" s="66">
        <f t="shared" si="2090"/>
        <v>36922</v>
      </c>
      <c r="AT226" s="66">
        <f t="shared" si="2090"/>
        <v>37364</v>
      </c>
      <c r="AU226" s="66">
        <f t="shared" si="2090"/>
        <v>38334</v>
      </c>
      <c r="AV226" s="66">
        <f t="shared" si="2090"/>
        <v>37817</v>
      </c>
      <c r="AW226" s="66">
        <f t="shared" si="2090"/>
        <v>40376</v>
      </c>
      <c r="AX226" s="66">
        <f t="shared" si="2090"/>
        <v>41756</v>
      </c>
      <c r="AY226" s="66">
        <f t="shared" si="2090"/>
        <v>43020</v>
      </c>
      <c r="AZ226" s="66">
        <f t="shared" si="2090"/>
        <v>44883</v>
      </c>
      <c r="BA226" s="66">
        <f t="shared" si="2090"/>
        <v>45209</v>
      </c>
      <c r="BB226" s="66">
        <f t="shared" si="2090"/>
        <v>46194</v>
      </c>
      <c r="BC226" s="66">
        <f t="shared" si="2090"/>
        <v>47525</v>
      </c>
      <c r="BD226" s="66">
        <f t="shared" si="2090"/>
        <v>51926</v>
      </c>
      <c r="BE226" s="66">
        <f t="shared" si="2090"/>
        <v>57932</v>
      </c>
      <c r="BF226" s="66">
        <f t="shared" si="2090"/>
        <v>64176</v>
      </c>
      <c r="BG226" s="66">
        <f t="shared" si="2090"/>
        <v>72283</v>
      </c>
      <c r="BH226" s="66">
        <f t="shared" si="2090"/>
        <v>77826</v>
      </c>
      <c r="BI226" s="66">
        <f t="shared" si="2090"/>
        <v>81563</v>
      </c>
      <c r="BJ226" s="66">
        <f t="shared" si="2090"/>
        <v>84239</v>
      </c>
      <c r="BK226" s="66">
        <f t="shared" si="2090"/>
        <v>85193</v>
      </c>
      <c r="BL226" s="66">
        <f t="shared" si="2090"/>
        <v>86696</v>
      </c>
      <c r="BM226" s="66">
        <f t="shared" si="2090"/>
        <v>88128</v>
      </c>
      <c r="BN226" s="66">
        <f t="shared" si="2090"/>
        <v>89009</v>
      </c>
      <c r="BO226" s="66">
        <f t="shared" si="2090"/>
        <v>84269</v>
      </c>
      <c r="BP226" s="66">
        <f t="shared" si="2090"/>
        <v>80603</v>
      </c>
      <c r="BQ226" s="66">
        <f t="shared" si="2090"/>
        <v>79420</v>
      </c>
      <c r="BR226" s="66">
        <f t="shared" ref="BR226:CW226" si="2091">SUM(BO28:BR28)</f>
        <v>80737</v>
      </c>
      <c r="BS226" s="66">
        <f t="shared" si="2091"/>
        <v>87230</v>
      </c>
      <c r="BT226" s="66">
        <f t="shared" si="2091"/>
        <v>94305</v>
      </c>
      <c r="BU226" s="66">
        <f t="shared" si="2091"/>
        <v>102445</v>
      </c>
      <c r="BV226" s="66">
        <f t="shared" si="2091"/>
        <v>110460</v>
      </c>
      <c r="BW226" s="66">
        <f t="shared" si="2091"/>
        <v>124849</v>
      </c>
      <c r="BX226" s="66">
        <f t="shared" si="2091"/>
        <v>129869</v>
      </c>
      <c r="BY226" s="66">
        <f t="shared" si="2091"/>
        <v>135172</v>
      </c>
      <c r="BZ226" s="66">
        <f t="shared" si="2091"/>
        <v>142162</v>
      </c>
      <c r="CA226" s="66">
        <f t="shared" si="2091"/>
        <v>142498</v>
      </c>
      <c r="CB226" s="66">
        <f t="shared" si="2091"/>
        <v>152426</v>
      </c>
      <c r="CC226" s="66">
        <f t="shared" si="2091"/>
        <v>158073</v>
      </c>
      <c r="CD226" s="66">
        <f t="shared" si="2091"/>
        <v>162233</v>
      </c>
      <c r="CE226" s="66">
        <f t="shared" si="2091"/>
        <v>162905</v>
      </c>
      <c r="CF226" s="66">
        <f t="shared" si="2091"/>
        <v>160995</v>
      </c>
      <c r="CG226" s="66">
        <f t="shared" si="2091"/>
        <v>164128</v>
      </c>
      <c r="CH226" s="66">
        <f t="shared" si="2091"/>
        <v>165444</v>
      </c>
      <c r="CI226" s="66">
        <f t="shared" si="2091"/>
        <v>169584</v>
      </c>
      <c r="CJ226" s="66">
        <f t="shared" si="2091"/>
        <v>176411</v>
      </c>
      <c r="CK226" s="66">
        <f t="shared" si="2091"/>
        <v>178640</v>
      </c>
      <c r="CL226" s="66">
        <f t="shared" si="2091"/>
        <v>178949</v>
      </c>
      <c r="CM226" s="50">
        <f t="shared" si="2091"/>
        <v>181401.75933616178</v>
      </c>
      <c r="CN226" s="50">
        <f t="shared" si="2091"/>
        <v>182967.4189009417</v>
      </c>
      <c r="CO226" s="50">
        <f t="shared" si="2091"/>
        <v>185527.39647130526</v>
      </c>
      <c r="CP226" s="50">
        <f t="shared" si="2091"/>
        <v>194692.3283757868</v>
      </c>
      <c r="CQ226" s="50">
        <f t="shared" si="2091"/>
        <v>198499.70016599371</v>
      </c>
      <c r="CR226" s="50">
        <f t="shared" si="2091"/>
        <v>202812.14634889795</v>
      </c>
      <c r="CS226" s="50">
        <f t="shared" si="2091"/>
        <v>207977.09835651796</v>
      </c>
      <c r="CT226" s="50">
        <f t="shared" si="2091"/>
        <v>214362.23099756252</v>
      </c>
      <c r="CU226" s="50">
        <f t="shared" si="2091"/>
        <v>219280.05686593414</v>
      </c>
      <c r="CV226" s="50">
        <f t="shared" si="2091"/>
        <v>224670.62904608645</v>
      </c>
      <c r="CW226" s="50">
        <f t="shared" si="2091"/>
        <v>230448.67600906413</v>
      </c>
      <c r="CX226" s="50">
        <f t="shared" ref="CX226:DB226" si="2092">SUM(CU28:CX28)</f>
        <v>236883.97632592908</v>
      </c>
      <c r="CY226" s="50">
        <f t="shared" si="2092"/>
        <v>242555.2034538585</v>
      </c>
      <c r="CZ226" s="50">
        <f t="shared" si="2092"/>
        <v>248617.96737002378</v>
      </c>
      <c r="DA226" s="50">
        <f t="shared" si="2092"/>
        <v>254960.77383551828</v>
      </c>
      <c r="DB226" s="50">
        <f t="shared" si="2092"/>
        <v>261991.8203335891</v>
      </c>
      <c r="DE226" s="138"/>
      <c r="DF226" s="66">
        <v>183137.39683009067</v>
      </c>
    </row>
    <row r="227" spans="1:110" s="66" customFormat="1" x14ac:dyDescent="0.2">
      <c r="A227" s="66" t="s">
        <v>473</v>
      </c>
      <c r="AA227" s="50"/>
      <c r="AB227" s="50"/>
      <c r="AC227" s="50"/>
      <c r="AD227" s="50"/>
      <c r="AE227" s="50"/>
      <c r="AL227" s="66">
        <f t="shared" ref="AL227:BQ227" si="2093">SUM(AI41:AL41)</f>
        <v>21003</v>
      </c>
      <c r="AM227" s="66">
        <f t="shared" si="2093"/>
        <v>21737</v>
      </c>
      <c r="AN227" s="66">
        <f t="shared" si="2093"/>
        <v>22177</v>
      </c>
      <c r="AO227" s="66">
        <f t="shared" si="2093"/>
        <v>22171</v>
      </c>
      <c r="AP227" s="66">
        <f t="shared" si="2093"/>
        <v>22458</v>
      </c>
      <c r="AQ227" s="66">
        <f t="shared" si="2093"/>
        <v>23132</v>
      </c>
      <c r="AR227" s="66">
        <f t="shared" si="2093"/>
        <v>23207</v>
      </c>
      <c r="AS227" s="66">
        <f t="shared" si="2093"/>
        <v>22902</v>
      </c>
      <c r="AT227" s="66">
        <f t="shared" si="2093"/>
        <v>23522</v>
      </c>
      <c r="AU227" s="66">
        <f t="shared" si="2093"/>
        <v>23527</v>
      </c>
      <c r="AV227" s="66">
        <f t="shared" si="2093"/>
        <v>22528</v>
      </c>
      <c r="AW227" s="66">
        <f t="shared" si="2093"/>
        <v>24663</v>
      </c>
      <c r="AX227" s="66">
        <f t="shared" si="2093"/>
        <v>25060</v>
      </c>
      <c r="AY227" s="66">
        <f t="shared" si="2093"/>
        <v>26233</v>
      </c>
      <c r="AZ227" s="66">
        <f t="shared" si="2093"/>
        <v>28505</v>
      </c>
      <c r="BA227" s="66">
        <f t="shared" si="2093"/>
        <v>28776</v>
      </c>
      <c r="BB227" s="66">
        <f t="shared" si="2093"/>
        <v>29941</v>
      </c>
      <c r="BC227" s="66">
        <f t="shared" si="2093"/>
        <v>30830</v>
      </c>
      <c r="BD227" s="66">
        <f t="shared" si="2093"/>
        <v>31716</v>
      </c>
      <c r="BE227" s="66">
        <f t="shared" si="2093"/>
        <v>33517</v>
      </c>
      <c r="BF227" s="66">
        <f t="shared" si="2093"/>
        <v>34934</v>
      </c>
      <c r="BG227" s="66">
        <f t="shared" si="2093"/>
        <v>36431</v>
      </c>
      <c r="BH227" s="66">
        <f t="shared" si="2093"/>
        <v>37896</v>
      </c>
      <c r="BI227" s="66">
        <f t="shared" si="2093"/>
        <v>38850</v>
      </c>
      <c r="BJ227" s="66">
        <f t="shared" si="2093"/>
        <v>39734</v>
      </c>
      <c r="BK227" s="66">
        <f t="shared" si="2093"/>
        <v>40375</v>
      </c>
      <c r="BL227" s="66">
        <f t="shared" si="2093"/>
        <v>42125</v>
      </c>
      <c r="BM227" s="66">
        <f t="shared" si="2093"/>
        <v>43734</v>
      </c>
      <c r="BN227" s="66">
        <f t="shared" si="2093"/>
        <v>44217</v>
      </c>
      <c r="BO227" s="66">
        <f t="shared" si="2093"/>
        <v>42061</v>
      </c>
      <c r="BP227" s="66">
        <f t="shared" si="2093"/>
        <v>41260</v>
      </c>
      <c r="BQ227" s="66">
        <f t="shared" si="2093"/>
        <v>44239</v>
      </c>
      <c r="BR227" s="66">
        <f t="shared" ref="BR227:CW227" si="2094">SUM(BO41:BR41)</f>
        <v>47581</v>
      </c>
      <c r="BS227" s="66">
        <f t="shared" si="2094"/>
        <v>53464</v>
      </c>
      <c r="BT227" s="66">
        <f t="shared" si="2094"/>
        <v>58407</v>
      </c>
      <c r="BU227" s="66">
        <f t="shared" si="2094"/>
        <v>61037</v>
      </c>
      <c r="BV227" s="66">
        <f t="shared" si="2094"/>
        <v>64729</v>
      </c>
      <c r="BW227" s="66">
        <f t="shared" si="2094"/>
        <v>70350</v>
      </c>
      <c r="BX227" s="66">
        <f t="shared" si="2094"/>
        <v>70311</v>
      </c>
      <c r="BY227" s="66">
        <f t="shared" si="2094"/>
        <v>70316</v>
      </c>
      <c r="BZ227" s="66">
        <f t="shared" si="2094"/>
        <v>73646</v>
      </c>
      <c r="CA227" s="66">
        <f t="shared" si="2094"/>
        <v>72364</v>
      </c>
      <c r="CB227" s="66">
        <f t="shared" si="2094"/>
        <v>76783</v>
      </c>
      <c r="CC227" s="66">
        <f t="shared" si="2094"/>
        <v>78696</v>
      </c>
      <c r="CD227" s="66">
        <f t="shared" si="2094"/>
        <v>78633</v>
      </c>
      <c r="CE227" s="66">
        <f t="shared" si="2094"/>
        <v>77899</v>
      </c>
      <c r="CF227" s="66">
        <f t="shared" si="2094"/>
        <v>77180</v>
      </c>
      <c r="CG227" s="66">
        <f t="shared" si="2094"/>
        <v>79496</v>
      </c>
      <c r="CH227" s="66">
        <f t="shared" si="2094"/>
        <v>80787</v>
      </c>
      <c r="CI227" s="66">
        <f t="shared" si="2094"/>
        <v>94020</v>
      </c>
      <c r="CJ227" s="66">
        <f t="shared" si="2094"/>
        <v>97065</v>
      </c>
      <c r="CK227" s="66">
        <f t="shared" si="2094"/>
        <v>97428</v>
      </c>
      <c r="CL227" s="66">
        <f t="shared" si="2094"/>
        <v>95610</v>
      </c>
      <c r="CM227" s="50">
        <f t="shared" si="2094"/>
        <v>87036.512476791075</v>
      </c>
      <c r="CN227" s="50">
        <f t="shared" si="2094"/>
        <v>88385.962180661096</v>
      </c>
      <c r="CO227" s="50">
        <f t="shared" si="2094"/>
        <v>90753.582314556043</v>
      </c>
      <c r="CP227" s="50">
        <f t="shared" si="2094"/>
        <v>98687.805933827505</v>
      </c>
      <c r="CQ227" s="50">
        <f t="shared" si="2094"/>
        <v>101835.36198622099</v>
      </c>
      <c r="CR227" s="50">
        <f t="shared" si="2094"/>
        <v>105665.09368279256</v>
      </c>
      <c r="CS227" s="50">
        <f t="shared" si="2094"/>
        <v>110141.55155834295</v>
      </c>
      <c r="CT227" s="50">
        <f t="shared" si="2094"/>
        <v>115386.59220358716</v>
      </c>
      <c r="CU227" s="50">
        <f t="shared" si="2094"/>
        <v>119192.01539584814</v>
      </c>
      <c r="CV227" s="50">
        <f t="shared" si="2094"/>
        <v>123479.88779258227</v>
      </c>
      <c r="CW227" s="50">
        <f t="shared" si="2094"/>
        <v>128049.52197397445</v>
      </c>
      <c r="CX227" s="50">
        <f t="shared" ref="CX227:DB227" si="2095">SUM(CU41:CX41)</f>
        <v>133121.69911862968</v>
      </c>
      <c r="CY227" s="50">
        <f t="shared" si="2095"/>
        <v>138087.57403913949</v>
      </c>
      <c r="CZ227" s="50">
        <f t="shared" si="2095"/>
        <v>143406.32366994064</v>
      </c>
      <c r="DA227" s="50">
        <f t="shared" si="2095"/>
        <v>148975.73742692621</v>
      </c>
      <c r="DB227" s="50">
        <f t="shared" si="2095"/>
        <v>155123.40114610561</v>
      </c>
      <c r="DE227" s="138"/>
      <c r="DF227" s="66">
        <v>97973.166006247367</v>
      </c>
    </row>
    <row r="228" spans="1:110" s="93" customFormat="1" x14ac:dyDescent="0.2">
      <c r="AA228" s="30"/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A229" s="63"/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A230" s="63"/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96">B8-B237</f>
        <v>28008.25</v>
      </c>
      <c r="C231" s="64">
        <f t="shared" si="2096"/>
        <v>57126.48</v>
      </c>
      <c r="D231" s="64">
        <f t="shared" si="2096"/>
        <v>65073.72</v>
      </c>
      <c r="E231" s="64">
        <f t="shared" si="2096"/>
        <v>74641.710000000006</v>
      </c>
      <c r="F231" s="64">
        <f t="shared" si="2096"/>
        <v>73710.460000000006</v>
      </c>
      <c r="G231" s="64">
        <f t="shared" si="2096"/>
        <v>90937.94</v>
      </c>
      <c r="H231" s="64">
        <f t="shared" si="2096"/>
        <v>120431.1</v>
      </c>
      <c r="I231" s="64">
        <f t="shared" si="2096"/>
        <v>143004.98000000001</v>
      </c>
      <c r="J231" s="64">
        <f t="shared" si="2096"/>
        <v>155788.51</v>
      </c>
      <c r="K231" s="64">
        <f t="shared" si="2096"/>
        <v>211727.07</v>
      </c>
      <c r="L231" s="64">
        <f t="shared" si="2096"/>
        <v>276372</v>
      </c>
      <c r="M231" s="64">
        <f t="shared" si="2096"/>
        <v>368571</v>
      </c>
      <c r="N231" s="64">
        <f t="shared" si="2096"/>
        <v>408392</v>
      </c>
      <c r="O231" s="64">
        <f t="shared" si="2096"/>
        <v>446339</v>
      </c>
      <c r="P231" s="64">
        <f t="shared" si="2096"/>
        <v>388494</v>
      </c>
      <c r="Q231" s="64">
        <f t="shared" si="2096"/>
        <v>293298</v>
      </c>
      <c r="R231" s="64">
        <f t="shared" si="2096"/>
        <v>330180</v>
      </c>
      <c r="S231" s="64">
        <f t="shared" si="2096"/>
        <v>430731</v>
      </c>
      <c r="T231" s="64">
        <f t="shared" si="2096"/>
        <v>625212</v>
      </c>
      <c r="U231" s="64">
        <f t="shared" si="2096"/>
        <v>659997</v>
      </c>
      <c r="V231" s="64">
        <f t="shared" si="2096"/>
        <v>539238</v>
      </c>
      <c r="W231" s="64">
        <f t="shared" si="2096"/>
        <v>788743</v>
      </c>
      <c r="X231" s="64">
        <f t="shared" si="2096"/>
        <v>974864</v>
      </c>
      <c r="Y231" s="64">
        <f t="shared" si="2096"/>
        <v>1000122</v>
      </c>
      <c r="Z231" s="64">
        <f t="shared" si="2096"/>
        <v>1071174</v>
      </c>
      <c r="AA231" s="30"/>
      <c r="AB231" s="30"/>
      <c r="AC231" s="30"/>
      <c r="AD231" s="30"/>
      <c r="AE231" s="30"/>
      <c r="AI231" s="64">
        <f t="shared" ref="AI231:BN231" si="2097">AI8-AI237</f>
        <v>91876</v>
      </c>
      <c r="AJ231" s="64">
        <f t="shared" si="2097"/>
        <v>90336</v>
      </c>
      <c r="AK231" s="64">
        <f t="shared" si="2097"/>
        <v>93886</v>
      </c>
      <c r="AL231" s="64">
        <f t="shared" si="2097"/>
        <v>84198</v>
      </c>
      <c r="AM231" s="64">
        <f t="shared" si="2097"/>
        <v>97503</v>
      </c>
      <c r="AN231" s="64">
        <f t="shared" si="2097"/>
        <v>115491</v>
      </c>
      <c r="AO231" s="64">
        <f t="shared" si="2097"/>
        <v>118038</v>
      </c>
      <c r="AP231" s="64">
        <f t="shared" si="2097"/>
        <v>103428</v>
      </c>
      <c r="AQ231" s="64">
        <f t="shared" si="2097"/>
        <v>104640</v>
      </c>
      <c r="AR231" s="64">
        <f t="shared" si="2097"/>
        <v>109797</v>
      </c>
      <c r="AS231" s="64">
        <f t="shared" si="2097"/>
        <v>93528</v>
      </c>
      <c r="AT231" s="64">
        <f t="shared" si="2097"/>
        <v>67470</v>
      </c>
      <c r="AU231" s="64">
        <f t="shared" si="2097"/>
        <v>76615</v>
      </c>
      <c r="AV231" s="64">
        <f t="shared" si="2097"/>
        <v>74490</v>
      </c>
      <c r="AW231" s="64">
        <f t="shared" si="2097"/>
        <v>72513</v>
      </c>
      <c r="AX231" s="64">
        <f t="shared" si="2097"/>
        <v>63954</v>
      </c>
      <c r="AY231" s="64">
        <f t="shared" si="2097"/>
        <v>71451</v>
      </c>
      <c r="AZ231" s="64">
        <f t="shared" si="2097"/>
        <v>81651</v>
      </c>
      <c r="BA231" s="64">
        <f t="shared" si="2097"/>
        <v>84189</v>
      </c>
      <c r="BB231" s="64">
        <f t="shared" si="2097"/>
        <v>92889</v>
      </c>
      <c r="BC231" s="64">
        <f t="shared" si="2097"/>
        <v>90537</v>
      </c>
      <c r="BD231" s="64">
        <f t="shared" si="2097"/>
        <v>101169</v>
      </c>
      <c r="BE231" s="64">
        <f t="shared" si="2097"/>
        <v>109905</v>
      </c>
      <c r="BF231" s="64">
        <f t="shared" si="2097"/>
        <v>129120</v>
      </c>
      <c r="BG231" s="64">
        <f t="shared" si="2097"/>
        <v>141699</v>
      </c>
      <c r="BH231" s="64">
        <f t="shared" si="2097"/>
        <v>156291</v>
      </c>
      <c r="BI231" s="64">
        <f t="shared" si="2097"/>
        <v>171300</v>
      </c>
      <c r="BJ231" s="64">
        <f t="shared" si="2097"/>
        <v>155151</v>
      </c>
      <c r="BK231" s="64">
        <f t="shared" si="2097"/>
        <v>174087</v>
      </c>
      <c r="BL231" s="64">
        <f t="shared" si="2097"/>
        <v>165228</v>
      </c>
      <c r="BM231" s="64">
        <f t="shared" si="2097"/>
        <v>169221</v>
      </c>
      <c r="BN231" s="64">
        <f t="shared" si="2097"/>
        <v>151461</v>
      </c>
      <c r="BO231" s="64">
        <f t="shared" ref="BO231:CT231" si="2098">BO8-BO237</f>
        <v>100929</v>
      </c>
      <c r="BP231" s="64">
        <f t="shared" si="2098"/>
        <v>128385</v>
      </c>
      <c r="BQ231" s="64">
        <f t="shared" si="2098"/>
        <v>137829</v>
      </c>
      <c r="BR231" s="64">
        <f t="shared" si="2098"/>
        <v>172095</v>
      </c>
      <c r="BS231" s="64">
        <f t="shared" si="2098"/>
        <v>158862</v>
      </c>
      <c r="BT231" s="64">
        <f t="shared" si="2098"/>
        <v>191532</v>
      </c>
      <c r="BU231" s="64">
        <f t="shared" si="2098"/>
        <v>209823</v>
      </c>
      <c r="BV231" s="64">
        <f t="shared" si="2098"/>
        <v>232539</v>
      </c>
      <c r="BW231" s="64">
        <f t="shared" si="2098"/>
        <v>242529</v>
      </c>
      <c r="BX231" s="64">
        <f t="shared" si="2098"/>
        <v>252846</v>
      </c>
      <c r="BY231" s="64">
        <f t="shared" si="2098"/>
        <v>240532</v>
      </c>
      <c r="BZ231" s="64">
        <f t="shared" si="2098"/>
        <v>238957</v>
      </c>
      <c r="CA231" s="64">
        <f t="shared" si="2098"/>
        <v>231132</v>
      </c>
      <c r="CB231" s="64">
        <f t="shared" si="2098"/>
        <v>255996</v>
      </c>
      <c r="CC231" s="64">
        <f t="shared" si="2098"/>
        <v>248160</v>
      </c>
      <c r="CD231" s="64">
        <f t="shared" si="2098"/>
        <v>264834</v>
      </c>
      <c r="CE231" s="64">
        <f t="shared" si="2098"/>
        <v>257823</v>
      </c>
      <c r="CF231" s="64">
        <f t="shared" si="2098"/>
        <v>258027</v>
      </c>
      <c r="CG231" s="64">
        <f t="shared" si="2098"/>
        <v>267186</v>
      </c>
      <c r="CH231" s="64">
        <f t="shared" si="2098"/>
        <v>288138</v>
      </c>
      <c r="CI231" s="64">
        <f t="shared" si="2098"/>
        <v>273252</v>
      </c>
      <c r="CJ231" s="64">
        <f t="shared" si="2098"/>
        <v>283548</v>
      </c>
      <c r="CK231" s="64">
        <f t="shared" si="2098"/>
        <v>293829</v>
      </c>
      <c r="CL231" s="64">
        <f t="shared" ref="CL231" si="2099">CL8-CL237</f>
        <v>325290</v>
      </c>
      <c r="CM231" s="30">
        <f t="shared" si="2098"/>
        <v>266756.28995971073</v>
      </c>
      <c r="CN231" s="30">
        <f t="shared" si="2098"/>
        <v>281578.51081562339</v>
      </c>
      <c r="CO231" s="30">
        <f t="shared" si="2098"/>
        <v>293356.12075326167</v>
      </c>
      <c r="CP231" s="30">
        <f t="shared" si="2098"/>
        <v>325903.44946665404</v>
      </c>
      <c r="CQ231" s="30">
        <f t="shared" si="2098"/>
        <v>294530.49959085608</v>
      </c>
      <c r="CR231" s="30">
        <f t="shared" si="2098"/>
        <v>311543.85912764521</v>
      </c>
      <c r="CS231" s="30">
        <f t="shared" si="2098"/>
        <v>324615.51798450231</v>
      </c>
      <c r="CT231" s="30">
        <f t="shared" si="2098"/>
        <v>360562.30548668554</v>
      </c>
      <c r="CU231" s="30">
        <f t="shared" ref="CU231:DB231" si="2100">CU8-CU237</f>
        <v>325709.6681540063</v>
      </c>
      <c r="CV231" s="30">
        <f t="shared" si="2100"/>
        <v>344659.77117507166</v>
      </c>
      <c r="CW231" s="30">
        <f t="shared" si="2100"/>
        <v>359110.9141633893</v>
      </c>
      <c r="CX231" s="30">
        <f t="shared" si="2100"/>
        <v>398851.23923800292</v>
      </c>
      <c r="CY231" s="30">
        <f t="shared" si="2100"/>
        <v>360284.92202144809</v>
      </c>
      <c r="CZ231" s="30">
        <f t="shared" si="2100"/>
        <v>381271.89504068182</v>
      </c>
      <c r="DA231" s="30">
        <f t="shared" si="2100"/>
        <v>397251.91666300833</v>
      </c>
      <c r="DB231" s="30">
        <f t="shared" si="2100"/>
        <v>441207.472971713</v>
      </c>
      <c r="DE231" s="139"/>
      <c r="DF231" s="64">
        <v>277071.28000000003</v>
      </c>
    </row>
    <row r="232" spans="1:110" s="64" customFormat="1" hidden="1" outlineLevel="1" x14ac:dyDescent="0.2">
      <c r="A232" s="64" t="s">
        <v>475</v>
      </c>
      <c r="B232" s="64">
        <f t="shared" ref="B232:Z232" si="2101">B28-B238</f>
        <v>4579.1299999999992</v>
      </c>
      <c r="C232" s="64">
        <f t="shared" si="2101"/>
        <v>7861.310000000004</v>
      </c>
      <c r="D232" s="64">
        <f t="shared" si="2101"/>
        <v>8206.48</v>
      </c>
      <c r="E232" s="64">
        <f t="shared" si="2101"/>
        <v>9464.5600000000159</v>
      </c>
      <c r="F232" s="64">
        <f t="shared" si="2101"/>
        <v>12645.259999999995</v>
      </c>
      <c r="G232" s="64">
        <f t="shared" si="2101"/>
        <v>14348.649999999991</v>
      </c>
      <c r="H232" s="64">
        <f t="shared" si="2101"/>
        <v>20125.050000000003</v>
      </c>
      <c r="I232" s="64">
        <f t="shared" si="2101"/>
        <v>22118.78999999999</v>
      </c>
      <c r="J232" s="64">
        <f t="shared" si="2101"/>
        <v>23206.490000000016</v>
      </c>
      <c r="K232" s="64">
        <f t="shared" si="2101"/>
        <v>30151.810000000005</v>
      </c>
      <c r="L232" s="64">
        <f t="shared" si="2101"/>
        <v>37736</v>
      </c>
      <c r="M232" s="64">
        <f t="shared" si="2101"/>
        <v>34508</v>
      </c>
      <c r="N232" s="64">
        <f t="shared" si="2101"/>
        <v>32988</v>
      </c>
      <c r="O232" s="64">
        <f t="shared" si="2101"/>
        <v>34799</v>
      </c>
      <c r="P232" s="64">
        <f t="shared" si="2101"/>
        <v>37364</v>
      </c>
      <c r="Q232" s="64">
        <f t="shared" si="2101"/>
        <v>41239</v>
      </c>
      <c r="R232" s="64">
        <f t="shared" si="2101"/>
        <v>46194</v>
      </c>
      <c r="S232" s="64">
        <f t="shared" si="2101"/>
        <v>64176</v>
      </c>
      <c r="T232" s="64">
        <f t="shared" si="2101"/>
        <v>84167</v>
      </c>
      <c r="U232" s="64">
        <f t="shared" si="2101"/>
        <v>88894</v>
      </c>
      <c r="V232" s="64">
        <f t="shared" si="2101"/>
        <v>79922</v>
      </c>
      <c r="W232" s="64">
        <f t="shared" si="2101"/>
        <v>108446</v>
      </c>
      <c r="X232" s="64">
        <f t="shared" si="2101"/>
        <v>140860</v>
      </c>
      <c r="Y232" s="64">
        <f t="shared" si="2101"/>
        <v>162233</v>
      </c>
      <c r="Z232" s="64">
        <f t="shared" si="2101"/>
        <v>165255</v>
      </c>
      <c r="AA232" s="30"/>
      <c r="AB232" s="30"/>
      <c r="AC232" s="30"/>
      <c r="AD232" s="30"/>
      <c r="AE232" s="30"/>
      <c r="AI232" s="64">
        <f t="shared" ref="AI232:BN232" si="2102">AI28-AI238</f>
        <v>6811</v>
      </c>
      <c r="AJ232" s="64">
        <f t="shared" si="2102"/>
        <v>7777</v>
      </c>
      <c r="AK232" s="64">
        <f t="shared" si="2102"/>
        <v>8373</v>
      </c>
      <c r="AL232" s="64">
        <f t="shared" si="2102"/>
        <v>7825</v>
      </c>
      <c r="AM232" s="64">
        <f t="shared" si="2102"/>
        <v>7857</v>
      </c>
      <c r="AN232" s="64">
        <f t="shared" si="2102"/>
        <v>8865</v>
      </c>
      <c r="AO232" s="64">
        <f t="shared" si="2102"/>
        <v>8651</v>
      </c>
      <c r="AP232" s="64">
        <f t="shared" si="2102"/>
        <v>9426</v>
      </c>
      <c r="AQ232" s="64">
        <f t="shared" si="2102"/>
        <v>8989</v>
      </c>
      <c r="AR232" s="64">
        <f t="shared" si="2102"/>
        <v>9818</v>
      </c>
      <c r="AS232" s="64">
        <f t="shared" si="2102"/>
        <v>8689</v>
      </c>
      <c r="AT232" s="64">
        <f t="shared" si="2102"/>
        <v>9868</v>
      </c>
      <c r="AU232" s="64">
        <f t="shared" si="2102"/>
        <v>9959</v>
      </c>
      <c r="AV232" s="64">
        <f t="shared" si="2102"/>
        <v>9301</v>
      </c>
      <c r="AW232" s="64">
        <f t="shared" si="2102"/>
        <v>11248</v>
      </c>
      <c r="AX232" s="64">
        <f t="shared" si="2102"/>
        <v>11248</v>
      </c>
      <c r="AY232" s="64">
        <f t="shared" si="2102"/>
        <v>11223</v>
      </c>
      <c r="AZ232" s="64">
        <f t="shared" si="2102"/>
        <v>11164</v>
      </c>
      <c r="BA232" s="64">
        <f t="shared" si="2102"/>
        <v>11574</v>
      </c>
      <c r="BB232" s="64">
        <f t="shared" si="2102"/>
        <v>12233</v>
      </c>
      <c r="BC232" s="64">
        <f t="shared" si="2102"/>
        <v>12554</v>
      </c>
      <c r="BD232" s="64">
        <f t="shared" si="2102"/>
        <v>15565</v>
      </c>
      <c r="BE232" s="64">
        <f t="shared" si="2102"/>
        <v>17580</v>
      </c>
      <c r="BF232" s="64">
        <f t="shared" si="2102"/>
        <v>18477</v>
      </c>
      <c r="BG232" s="64">
        <f t="shared" si="2102"/>
        <v>20661</v>
      </c>
      <c r="BH232" s="64">
        <f t="shared" si="2102"/>
        <v>21108</v>
      </c>
      <c r="BI232" s="64">
        <f t="shared" si="2102"/>
        <v>21317</v>
      </c>
      <c r="BJ232" s="64">
        <f t="shared" si="2102"/>
        <v>21153</v>
      </c>
      <c r="BK232" s="64">
        <f t="shared" si="2102"/>
        <v>21615</v>
      </c>
      <c r="BL232" s="64">
        <f t="shared" si="2102"/>
        <v>22611</v>
      </c>
      <c r="BM232" s="64">
        <f t="shared" si="2102"/>
        <v>22749</v>
      </c>
      <c r="BN232" s="64">
        <f t="shared" si="2102"/>
        <v>22034</v>
      </c>
      <c r="BO232" s="64">
        <f t="shared" ref="BO232:CT232" si="2103">BO28-BO238</f>
        <v>16875</v>
      </c>
      <c r="BP232" s="64">
        <f t="shared" si="2103"/>
        <v>18945</v>
      </c>
      <c r="BQ232" s="64">
        <f t="shared" si="2103"/>
        <v>21566</v>
      </c>
      <c r="BR232" s="64">
        <f t="shared" si="2103"/>
        <v>23351</v>
      </c>
      <c r="BS232" s="64">
        <f t="shared" si="2103"/>
        <v>23368</v>
      </c>
      <c r="BT232" s="64">
        <f t="shared" si="2103"/>
        <v>26020</v>
      </c>
      <c r="BU232" s="64">
        <f t="shared" si="2103"/>
        <v>29706</v>
      </c>
      <c r="BV232" s="64">
        <f t="shared" si="2103"/>
        <v>31366</v>
      </c>
      <c r="BW232" s="64">
        <f t="shared" si="2103"/>
        <v>37757</v>
      </c>
      <c r="BX232" s="64">
        <f t="shared" si="2103"/>
        <v>31040</v>
      </c>
      <c r="BY232" s="64">
        <f t="shared" si="2103"/>
        <v>35009</v>
      </c>
      <c r="BZ232" s="64">
        <f t="shared" si="2103"/>
        <v>38356</v>
      </c>
      <c r="CA232" s="64">
        <f t="shared" si="2103"/>
        <v>38093</v>
      </c>
      <c r="CB232" s="64">
        <f t="shared" si="2103"/>
        <v>40968</v>
      </c>
      <c r="CC232" s="64">
        <f t="shared" si="2103"/>
        <v>40656</v>
      </c>
      <c r="CD232" s="64">
        <f t="shared" si="2103"/>
        <v>42516</v>
      </c>
      <c r="CE232" s="64">
        <f t="shared" si="2103"/>
        <v>38765</v>
      </c>
      <c r="CF232" s="64">
        <f t="shared" si="2103"/>
        <v>39058</v>
      </c>
      <c r="CG232" s="64">
        <f t="shared" si="2103"/>
        <v>43789</v>
      </c>
      <c r="CH232" s="64">
        <f t="shared" si="2103"/>
        <v>43832</v>
      </c>
      <c r="CI232" s="64">
        <f t="shared" si="2103"/>
        <v>42905</v>
      </c>
      <c r="CJ232" s="64">
        <f t="shared" si="2103"/>
        <v>45885</v>
      </c>
      <c r="CK232" s="64">
        <f t="shared" si="2103"/>
        <v>46018</v>
      </c>
      <c r="CL232" s="64">
        <f t="shared" ref="CL232" si="2104">CL28-CL238</f>
        <v>44141</v>
      </c>
      <c r="CM232" s="30">
        <f t="shared" si="2103"/>
        <v>45357.759336161762</v>
      </c>
      <c r="CN232" s="30">
        <f t="shared" si="2103"/>
        <v>47450.659564779933</v>
      </c>
      <c r="CO232" s="30">
        <f t="shared" si="2103"/>
        <v>48577.977570363553</v>
      </c>
      <c r="CP232" s="30">
        <f t="shared" si="2103"/>
        <v>53305.931904481557</v>
      </c>
      <c r="CQ232" s="30">
        <f t="shared" si="2103"/>
        <v>49165.131126368666</v>
      </c>
      <c r="CR232" s="30">
        <f t="shared" si="2103"/>
        <v>51763.105747684196</v>
      </c>
      <c r="CS232" s="30">
        <f t="shared" si="2103"/>
        <v>53742.929577983523</v>
      </c>
      <c r="CT232" s="30">
        <f t="shared" si="2103"/>
        <v>59691.064545526155</v>
      </c>
      <c r="CU232" s="30">
        <f t="shared" ref="CU232:DB232" si="2105">CU28-CU238</f>
        <v>54082.956994740271</v>
      </c>
      <c r="CV232" s="30">
        <f t="shared" si="2105"/>
        <v>57153.677927836507</v>
      </c>
      <c r="CW232" s="30">
        <f t="shared" si="2105"/>
        <v>59520.976540961179</v>
      </c>
      <c r="CX232" s="30">
        <f t="shared" si="2105"/>
        <v>66126.364862391114</v>
      </c>
      <c r="CY232" s="30">
        <f t="shared" si="2105"/>
        <v>59754.184122669678</v>
      </c>
      <c r="CZ232" s="30">
        <f t="shared" si="2105"/>
        <v>63216.441844001805</v>
      </c>
      <c r="DA232" s="30">
        <f t="shared" si="2105"/>
        <v>65863.783006455706</v>
      </c>
      <c r="DB232" s="30">
        <f t="shared" si="2105"/>
        <v>73157.411360461905</v>
      </c>
      <c r="DE232" s="139"/>
      <c r="DF232" s="64">
        <v>48329.396830090656</v>
      </c>
    </row>
    <row r="233" spans="1:110" s="89" customFormat="1" hidden="1" outlineLevel="1" x14ac:dyDescent="0.2">
      <c r="A233" s="86" t="s">
        <v>476</v>
      </c>
      <c r="B233" s="86">
        <f>+B232/B231</f>
        <v>0.16349218533824852</v>
      </c>
      <c r="C233" s="86">
        <f t="shared" ref="C233" si="2106">+C232/C231</f>
        <v>0.13761236470372415</v>
      </c>
      <c r="D233" s="86">
        <f t="shared" ref="D233" si="2107">+D232/D231</f>
        <v>0.12611050974187429</v>
      </c>
      <c r="E233" s="86">
        <f t="shared" ref="E233" si="2108">+E232/E231</f>
        <v>0.1267998817283261</v>
      </c>
      <c r="F233" s="86">
        <f t="shared" ref="F233" si="2109">+F232/F231</f>
        <v>0.17155312828057231</v>
      </c>
      <c r="G233" s="86">
        <f t="shared" ref="G233" si="2110">+G232/G231</f>
        <v>0.15778507848319404</v>
      </c>
      <c r="H233" s="86">
        <f t="shared" ref="H233" si="2111">+H232/H231</f>
        <v>0.16710841302620338</v>
      </c>
      <c r="I233" s="86">
        <f t="shared" ref="I233" si="2112">+I232/I231</f>
        <v>0.15467146668598525</v>
      </c>
      <c r="J233" s="86">
        <f t="shared" ref="J233" si="2113">+J232/J231</f>
        <v>0.14896149915035464</v>
      </c>
      <c r="K233" s="86">
        <f t="shared" ref="K233" si="2114">+K232/K231</f>
        <v>0.14240885683630347</v>
      </c>
      <c r="L233" s="86">
        <f t="shared" ref="L233" si="2115">+L232/L231</f>
        <v>0.13654060469222642</v>
      </c>
      <c r="M233" s="86">
        <f t="shared" ref="M233" si="2116">+M232/M231</f>
        <v>9.3626465457130381E-2</v>
      </c>
      <c r="N233" s="86">
        <f t="shared" ref="N233" si="2117">+N232/N231</f>
        <v>8.0775333503104854E-2</v>
      </c>
      <c r="O233" s="86">
        <f t="shared" ref="O233" si="2118">+O232/O231</f>
        <v>7.7965402978453599E-2</v>
      </c>
      <c r="P233" s="86">
        <f t="shared" ref="P233" si="2119">+P232/P231</f>
        <v>9.6176517526654209E-2</v>
      </c>
      <c r="Q233" s="86">
        <f t="shared" ref="Q233" si="2120">+Q232/Q231</f>
        <v>0.1406044364434807</v>
      </c>
      <c r="R233" s="86">
        <f t="shared" ref="R233" si="2121">+R232/R231</f>
        <v>0.13990550608758859</v>
      </c>
      <c r="S233" s="86">
        <f t="shared" ref="S233" si="2122">+S232/S231</f>
        <v>0.14899322314855443</v>
      </c>
      <c r="T233" s="86">
        <f t="shared" ref="T233" si="2123">+T232/T231</f>
        <v>0.13462153637486166</v>
      </c>
      <c r="U233" s="86">
        <f t="shared" ref="U233" si="2124">+U232/U231</f>
        <v>0.13468849100829247</v>
      </c>
      <c r="V233" s="86">
        <f t="shared" ref="V233" si="2125">+V232/V231</f>
        <v>0.14821284850103295</v>
      </c>
      <c r="W233" s="86">
        <f t="shared" ref="W233" si="2126">+W232/W231</f>
        <v>0.13749218693541496</v>
      </c>
      <c r="X233" s="86">
        <f t="shared" ref="X233:Y233" si="2127">+X232/X231</f>
        <v>0.14449194964630963</v>
      </c>
      <c r="Y233" s="86">
        <f t="shared" si="2127"/>
        <v>0.16221320998838143</v>
      </c>
      <c r="Z233" s="86">
        <f t="shared" ref="Z233" si="2128">+Z232/Z231</f>
        <v>0.15427465565818438</v>
      </c>
      <c r="AA233" s="87"/>
      <c r="AB233" s="87"/>
      <c r="AC233" s="87"/>
      <c r="AD233" s="87"/>
      <c r="AE233" s="87"/>
      <c r="AF233" s="86"/>
      <c r="AG233" s="86"/>
      <c r="AH233" s="86"/>
      <c r="AI233" s="86">
        <f t="shared" ref="AI233" si="2129">+AI232/AI231</f>
        <v>7.4132526448691713E-2</v>
      </c>
      <c r="AJ233" s="86">
        <f t="shared" ref="AJ233" si="2130">+AJ232/AJ231</f>
        <v>8.608970952886999E-2</v>
      </c>
      <c r="AK233" s="86">
        <f t="shared" ref="AK233" si="2131">+AK232/AK231</f>
        <v>8.9182625737596666E-2</v>
      </c>
      <c r="AL233" s="86">
        <f t="shared" ref="AL233" si="2132">+AL232/AL231</f>
        <v>9.2935699185253809E-2</v>
      </c>
      <c r="AM233" s="86">
        <f t="shared" ref="AM233" si="2133">+AM232/AM231</f>
        <v>8.0582135934278945E-2</v>
      </c>
      <c r="AN233" s="86">
        <f t="shared" ref="AN233" si="2134">+AN232/AN231</f>
        <v>7.6759227991791565E-2</v>
      </c>
      <c r="AO233" s="86">
        <f t="shared" ref="AO233" si="2135">+AO232/AO231</f>
        <v>7.3289957471322789E-2</v>
      </c>
      <c r="AP233" s="86">
        <f t="shared" ref="AP233" si="2136">+AP232/AP231</f>
        <v>9.1135862629075304E-2</v>
      </c>
      <c r="AQ233" s="86">
        <f t="shared" ref="AQ233" si="2137">+AQ232/AQ231</f>
        <v>8.5904051987767585E-2</v>
      </c>
      <c r="AR233" s="86">
        <f t="shared" ref="AR233" si="2138">+AR232/AR231</f>
        <v>8.9419565197591921E-2</v>
      </c>
      <c r="AS233" s="86">
        <f t="shared" ref="AS233" si="2139">+AS232/AS231</f>
        <v>9.2902660165939607E-2</v>
      </c>
      <c r="AT233" s="86">
        <f t="shared" ref="AT233" si="2140">+AT232/AT231</f>
        <v>0.14625759596857862</v>
      </c>
      <c r="AU233" s="86">
        <f t="shared" ref="AU233" si="2141">+AU232/AU231</f>
        <v>0.12998760033935913</v>
      </c>
      <c r="AV233" s="86">
        <f t="shared" ref="AV233" si="2142">+AV232/AV231</f>
        <v>0.12486239763726675</v>
      </c>
      <c r="AW233" s="86">
        <f t="shared" ref="AW233" si="2143">+AW232/AW231</f>
        <v>0.15511701350102741</v>
      </c>
      <c r="AX233" s="86">
        <f t="shared" ref="AX233" si="2144">+AX232/AX231</f>
        <v>0.17587641117052882</v>
      </c>
      <c r="AY233" s="86">
        <f t="shared" ref="AY233" si="2145">+AY232/AY231</f>
        <v>0.15707267917873788</v>
      </c>
      <c r="AZ233" s="86">
        <f t="shared" ref="AZ233" si="2146">+AZ232/AZ231</f>
        <v>0.13672827032124529</v>
      </c>
      <c r="BA233" s="86">
        <f t="shared" ref="BA233" si="2147">+BA232/BA231</f>
        <v>0.13747639240280796</v>
      </c>
      <c r="BB233" s="86">
        <f t="shared" ref="BB233" si="2148">+BB232/BB231</f>
        <v>0.13169481854686776</v>
      </c>
      <c r="BC233" s="86">
        <f t="shared" ref="BC233" si="2149">+BC232/BC231</f>
        <v>0.13866154169013772</v>
      </c>
      <c r="BD233" s="86">
        <f t="shared" ref="BD233" si="2150">+BD232/BD231</f>
        <v>0.15385147624272258</v>
      </c>
      <c r="BE233" s="86">
        <f t="shared" ref="BE233" si="2151">+BE232/BE231</f>
        <v>0.15995632591783812</v>
      </c>
      <c r="BF233" s="86">
        <f t="shared" ref="BF233" si="2152">+BF232/BF231</f>
        <v>0.14309944237918215</v>
      </c>
      <c r="BG233" s="86">
        <f t="shared" ref="BG233" si="2153">+BG232/BG231</f>
        <v>0.14580907416424957</v>
      </c>
      <c r="BH233" s="86">
        <f t="shared" ref="BH233" si="2154">+BH232/BH231</f>
        <v>0.13505576136821698</v>
      </c>
      <c r="BI233" s="86">
        <f t="shared" ref="BI233" si="2155">+BI232/BI231</f>
        <v>0.1244424985405721</v>
      </c>
      <c r="BJ233" s="86">
        <f t="shared" ref="BJ233" si="2156">+BJ232/BJ231</f>
        <v>0.13633814799775704</v>
      </c>
      <c r="BK233" s="86">
        <f t="shared" ref="BK233" si="2157">+BK232/BK231</f>
        <v>0.1241620569025832</v>
      </c>
      <c r="BL233" s="86">
        <f t="shared" ref="BL233" si="2158">+BL232/BL231</f>
        <v>0.1368472655966301</v>
      </c>
      <c r="BM233" s="86">
        <f t="shared" ref="BM233" si="2159">+BM232/BM231</f>
        <v>0.13443366958001665</v>
      </c>
      <c r="BN233" s="86">
        <f t="shared" ref="BN233" si="2160">+BN232/BN231</f>
        <v>0.14547639326295217</v>
      </c>
      <c r="BO233" s="86">
        <f t="shared" ref="BO233" si="2161">+BO232/BO231</f>
        <v>0.16719674226436407</v>
      </c>
      <c r="BP233" s="86">
        <f t="shared" ref="BP233" si="2162">+BP232/BP231</f>
        <v>0.14756396775324221</v>
      </c>
      <c r="BQ233" s="86">
        <f t="shared" ref="BQ233" si="2163">+BQ232/BQ231</f>
        <v>0.15646924812630142</v>
      </c>
      <c r="BR233" s="86">
        <f t="shared" ref="BR233" si="2164">+BR232/BR231</f>
        <v>0.13568668467997327</v>
      </c>
      <c r="BS233" s="86">
        <f t="shared" ref="BS233" si="2165">+BS232/BS231</f>
        <v>0.14709622187810803</v>
      </c>
      <c r="BT233" s="86">
        <f t="shared" ref="BT233" si="2166">+BT232/BT231</f>
        <v>0.13585197251634193</v>
      </c>
      <c r="BU233" s="86">
        <f t="shared" ref="BU233" si="2167">+BU232/BU231</f>
        <v>0.14157647159748932</v>
      </c>
      <c r="BV233" s="86">
        <f t="shared" ref="BV233" si="2168">+BV232/BV231</f>
        <v>0.13488490102735456</v>
      </c>
      <c r="BW233" s="86">
        <f t="shared" ref="BW233" si="2169">+BW232/BW231</f>
        <v>0.15568035162805272</v>
      </c>
      <c r="BX233" s="86">
        <f t="shared" ref="BX233" si="2170">+BX232/BX231</f>
        <v>0.12276247201854093</v>
      </c>
      <c r="BY233" s="86">
        <f t="shared" ref="BY233" si="2171">+BY232/BY231</f>
        <v>0.14554820148670447</v>
      </c>
      <c r="BZ233" s="86">
        <f t="shared" ref="BZ233" si="2172">+BZ232/BZ231</f>
        <v>0.16051423477864218</v>
      </c>
      <c r="CA233" s="86">
        <f t="shared" ref="CA233" si="2173">+CA232/CA231</f>
        <v>0.16481058442794594</v>
      </c>
      <c r="CB233" s="86">
        <f t="shared" ref="CB233:CC233" si="2174">+CB232/CB231</f>
        <v>0.160033750527352</v>
      </c>
      <c r="CC233" s="86">
        <f t="shared" si="2174"/>
        <v>0.16382978723404254</v>
      </c>
      <c r="CD233" s="86">
        <f t="shared" ref="CD233" si="2175">+CD232/CD231</f>
        <v>0.16053829946305989</v>
      </c>
      <c r="CE233" s="86">
        <f t="shared" ref="CE233:CF233" si="2176">+CE232/CE231</f>
        <v>0.15035508856851407</v>
      </c>
      <c r="CF233" s="86">
        <f t="shared" si="2176"/>
        <v>0.15137175566898037</v>
      </c>
      <c r="CG233" s="86">
        <f t="shared" ref="CG233:CH233" si="2177">+CG232/CG231</f>
        <v>0.16388957505258508</v>
      </c>
      <c r="CH233" s="86">
        <f t="shared" si="2177"/>
        <v>0.152121552867029</v>
      </c>
      <c r="CI233" s="86">
        <f t="shared" ref="CI233:CJ233" si="2178">+CI232/CI231</f>
        <v>0.15701623409892701</v>
      </c>
      <c r="CJ233" s="86">
        <f t="shared" si="2178"/>
        <v>0.16182445300266621</v>
      </c>
      <c r="CK233" s="86">
        <f t="shared" ref="CK233:DB233" si="2179">+CK232/CK231</f>
        <v>0.15661490186469001</v>
      </c>
      <c r="CL233" s="86">
        <f t="shared" si="2179"/>
        <v>0.135697377724492</v>
      </c>
      <c r="CM233" s="47">
        <f t="shared" si="2179"/>
        <v>0.17003445108271795</v>
      </c>
      <c r="CN233" s="47">
        <f t="shared" si="2179"/>
        <v>0.16851662233504194</v>
      </c>
      <c r="CO233" s="47">
        <f t="shared" si="2179"/>
        <v>0.16559387765841746</v>
      </c>
      <c r="CP233" s="47">
        <f t="shared" si="2179"/>
        <v>0.16356357071923455</v>
      </c>
      <c r="CQ233" s="47">
        <f t="shared" si="2179"/>
        <v>0.16692713044885296</v>
      </c>
      <c r="CR233" s="47">
        <f t="shared" si="2179"/>
        <v>0.16615030029038674</v>
      </c>
      <c r="CS233" s="47">
        <f t="shared" si="2179"/>
        <v>0.16555871977922293</v>
      </c>
      <c r="CT233" s="47">
        <f t="shared" si="2179"/>
        <v>0.16554993030942433</v>
      </c>
      <c r="CU233" s="47">
        <f t="shared" si="2179"/>
        <v>0.16604652020697175</v>
      </c>
      <c r="CV233" s="47">
        <f t="shared" si="2179"/>
        <v>0.16582636764650149</v>
      </c>
      <c r="CW233" s="47">
        <f t="shared" si="2179"/>
        <v>0.16574538448553017</v>
      </c>
      <c r="CX233" s="47">
        <f t="shared" si="2179"/>
        <v>0.16579205066210695</v>
      </c>
      <c r="CY233" s="47">
        <f t="shared" si="2179"/>
        <v>0.16585258075027756</v>
      </c>
      <c r="CZ233" s="47">
        <f t="shared" si="2179"/>
        <v>0.16580409588610404</v>
      </c>
      <c r="DA233" s="47">
        <f t="shared" si="2179"/>
        <v>0.16579852794600466</v>
      </c>
      <c r="DB233" s="47">
        <f t="shared" si="2179"/>
        <v>0.16581181381112334</v>
      </c>
      <c r="DE233" s="130"/>
      <c r="DF233" s="89">
        <v>0.17442947110971102</v>
      </c>
    </row>
    <row r="234" spans="1:110" s="64" customFormat="1" hidden="1" outlineLevel="1" x14ac:dyDescent="0.2">
      <c r="A234" s="64" t="s">
        <v>477</v>
      </c>
      <c r="B234" s="64">
        <f t="shared" ref="B234:Z234" si="2180">B41-B240</f>
        <v>2645.619999999999</v>
      </c>
      <c r="C234" s="64">
        <f t="shared" si="2180"/>
        <v>2867.1700000000037</v>
      </c>
      <c r="D234" s="64">
        <f t="shared" si="2180"/>
        <v>4003.309999999999</v>
      </c>
      <c r="E234" s="64">
        <f t="shared" si="2180"/>
        <v>5168.9900000000152</v>
      </c>
      <c r="F234" s="64">
        <f t="shared" si="2180"/>
        <v>7597.599999999994</v>
      </c>
      <c r="G234" s="64">
        <f t="shared" si="2180"/>
        <v>9494.2999999999902</v>
      </c>
      <c r="H234" s="64">
        <f t="shared" si="2180"/>
        <v>12074.740000000002</v>
      </c>
      <c r="I234" s="64">
        <f t="shared" si="2180"/>
        <v>19523.239999999991</v>
      </c>
      <c r="J234" s="64">
        <f t="shared" si="2180"/>
        <v>14950.310000000018</v>
      </c>
      <c r="K234" s="64">
        <f t="shared" si="2180"/>
        <v>24423.58</v>
      </c>
      <c r="L234" s="64">
        <f t="shared" si="2180"/>
        <v>19272</v>
      </c>
      <c r="M234" s="64">
        <f t="shared" si="2180"/>
        <v>19717</v>
      </c>
      <c r="N234" s="64">
        <f t="shared" si="2180"/>
        <v>20886</v>
      </c>
      <c r="O234" s="64">
        <f t="shared" si="2180"/>
        <v>22548</v>
      </c>
      <c r="P234" s="64">
        <f t="shared" si="2180"/>
        <v>23640</v>
      </c>
      <c r="Q234" s="64">
        <f t="shared" si="2180"/>
        <v>29625</v>
      </c>
      <c r="R234" s="64">
        <f t="shared" si="2180"/>
        <v>29941</v>
      </c>
      <c r="S234" s="64">
        <f t="shared" si="2180"/>
        <v>36021</v>
      </c>
      <c r="T234" s="64">
        <f t="shared" si="2180"/>
        <v>39734</v>
      </c>
      <c r="U234" s="64">
        <f t="shared" si="2180"/>
        <v>44217</v>
      </c>
      <c r="V234" s="64">
        <f t="shared" si="2180"/>
        <v>47581</v>
      </c>
      <c r="W234" s="64">
        <f t="shared" si="2180"/>
        <v>63053</v>
      </c>
      <c r="X234" s="64">
        <f t="shared" si="2180"/>
        <v>73646</v>
      </c>
      <c r="Y234" s="64">
        <f t="shared" si="2180"/>
        <v>78633</v>
      </c>
      <c r="Z234" s="64">
        <f t="shared" si="2180"/>
        <v>80787</v>
      </c>
      <c r="AA234" s="30"/>
      <c r="AB234" s="30"/>
      <c r="AC234" s="30"/>
      <c r="AD234" s="30"/>
      <c r="AE234" s="30"/>
      <c r="AI234" s="64">
        <f t="shared" ref="AI234:BN234" si="2181">AI41-AI240</f>
        <v>4503</v>
      </c>
      <c r="AJ234" s="64">
        <f t="shared" si="2181"/>
        <v>5409</v>
      </c>
      <c r="AK234" s="64">
        <f t="shared" si="2181"/>
        <v>5502</v>
      </c>
      <c r="AL234" s="64">
        <f t="shared" si="2181"/>
        <v>5589</v>
      </c>
      <c r="AM234" s="64">
        <f t="shared" si="2181"/>
        <v>5237</v>
      </c>
      <c r="AN234" s="64">
        <f t="shared" si="2181"/>
        <v>5849</v>
      </c>
      <c r="AO234" s="64">
        <f t="shared" si="2181"/>
        <v>5496</v>
      </c>
      <c r="AP234" s="64">
        <f t="shared" si="2181"/>
        <v>5876</v>
      </c>
      <c r="AQ234" s="64">
        <f t="shared" si="2181"/>
        <v>5911</v>
      </c>
      <c r="AR234" s="64">
        <f t="shared" si="2181"/>
        <v>5924</v>
      </c>
      <c r="AS234" s="64">
        <f t="shared" si="2181"/>
        <v>5191</v>
      </c>
      <c r="AT234" s="64">
        <f t="shared" si="2181"/>
        <v>6496</v>
      </c>
      <c r="AU234" s="64">
        <f t="shared" si="2181"/>
        <v>5916</v>
      </c>
      <c r="AV234" s="64">
        <f t="shared" si="2181"/>
        <v>4925</v>
      </c>
      <c r="AW234" s="64">
        <f t="shared" si="2181"/>
        <v>7326</v>
      </c>
      <c r="AX234" s="64">
        <f t="shared" si="2181"/>
        <v>6893</v>
      </c>
      <c r="AY234" s="64">
        <f t="shared" si="2181"/>
        <v>7089</v>
      </c>
      <c r="AZ234" s="64">
        <f t="shared" si="2181"/>
        <v>7197</v>
      </c>
      <c r="BA234" s="64">
        <f t="shared" si="2181"/>
        <v>7597</v>
      </c>
      <c r="BB234" s="64">
        <f t="shared" si="2181"/>
        <v>8058</v>
      </c>
      <c r="BC234" s="64">
        <f t="shared" si="2181"/>
        <v>7978</v>
      </c>
      <c r="BD234" s="64">
        <f t="shared" si="2181"/>
        <v>8083</v>
      </c>
      <c r="BE234" s="64">
        <f t="shared" si="2181"/>
        <v>9398</v>
      </c>
      <c r="BF234" s="64">
        <f t="shared" si="2181"/>
        <v>9475</v>
      </c>
      <c r="BG234" s="64">
        <f t="shared" si="2181"/>
        <v>9475</v>
      </c>
      <c r="BH234" s="64">
        <f t="shared" si="2181"/>
        <v>9548</v>
      </c>
      <c r="BI234" s="64">
        <f t="shared" si="2181"/>
        <v>10352</v>
      </c>
      <c r="BJ234" s="64">
        <f t="shared" si="2181"/>
        <v>10359</v>
      </c>
      <c r="BK234" s="64">
        <f t="shared" si="2181"/>
        <v>10116</v>
      </c>
      <c r="BL234" s="64">
        <f t="shared" si="2181"/>
        <v>11298</v>
      </c>
      <c r="BM234" s="64">
        <f t="shared" si="2181"/>
        <v>11961</v>
      </c>
      <c r="BN234" s="64">
        <f t="shared" si="2181"/>
        <v>10842</v>
      </c>
      <c r="BO234" s="64">
        <f t="shared" ref="BO234:CT234" si="2182">BO41-BO240</f>
        <v>7960</v>
      </c>
      <c r="BP234" s="64">
        <f t="shared" si="2182"/>
        <v>10497</v>
      </c>
      <c r="BQ234" s="64">
        <f t="shared" si="2182"/>
        <v>14940</v>
      </c>
      <c r="BR234" s="64">
        <f t="shared" si="2182"/>
        <v>14184</v>
      </c>
      <c r="BS234" s="64">
        <f t="shared" si="2182"/>
        <v>13843</v>
      </c>
      <c r="BT234" s="64">
        <f t="shared" si="2182"/>
        <v>15440</v>
      </c>
      <c r="BU234" s="64">
        <f t="shared" si="2182"/>
        <v>17570</v>
      </c>
      <c r="BV234" s="64">
        <f t="shared" si="2182"/>
        <v>17876</v>
      </c>
      <c r="BW234" s="64">
        <f t="shared" si="2182"/>
        <v>19464</v>
      </c>
      <c r="BX234" s="64">
        <f t="shared" si="2182"/>
        <v>15401</v>
      </c>
      <c r="BY234" s="64">
        <f t="shared" si="2182"/>
        <v>17575</v>
      </c>
      <c r="BZ234" s="64">
        <f t="shared" si="2182"/>
        <v>21206</v>
      </c>
      <c r="CA234" s="64">
        <f t="shared" si="2182"/>
        <v>18182</v>
      </c>
      <c r="CB234" s="64">
        <f t="shared" si="2182"/>
        <v>19820</v>
      </c>
      <c r="CC234" s="64">
        <f t="shared" si="2182"/>
        <v>19488</v>
      </c>
      <c r="CD234" s="64">
        <f t="shared" si="2182"/>
        <v>21143</v>
      </c>
      <c r="CE234" s="64">
        <f t="shared" si="2182"/>
        <v>17448</v>
      </c>
      <c r="CF234" s="64">
        <f t="shared" si="2182"/>
        <v>19101</v>
      </c>
      <c r="CG234" s="64">
        <f t="shared" si="2182"/>
        <v>21804</v>
      </c>
      <c r="CH234" s="64">
        <f t="shared" si="2182"/>
        <v>22434</v>
      </c>
      <c r="CI234" s="64">
        <f t="shared" si="2182"/>
        <v>30681</v>
      </c>
      <c r="CJ234" s="64">
        <f t="shared" si="2182"/>
        <v>22146</v>
      </c>
      <c r="CK234" s="64">
        <f t="shared" si="2182"/>
        <v>22167</v>
      </c>
      <c r="CL234" s="64">
        <f t="shared" ref="CL234" si="2183">CL41-CL240</f>
        <v>20616</v>
      </c>
      <c r="CM234" s="30">
        <f t="shared" si="2182"/>
        <v>22107.512476791082</v>
      </c>
      <c r="CN234" s="30">
        <f t="shared" si="2182"/>
        <v>23495.449703870017</v>
      </c>
      <c r="CO234" s="30">
        <f t="shared" si="2182"/>
        <v>24534.620133894947</v>
      </c>
      <c r="CP234" s="30">
        <f t="shared" si="2182"/>
        <v>28550.223619271459</v>
      </c>
      <c r="CQ234" s="30">
        <f t="shared" si="2182"/>
        <v>25255.068529184551</v>
      </c>
      <c r="CR234" s="30">
        <f t="shared" si="2182"/>
        <v>27325.181400441594</v>
      </c>
      <c r="CS234" s="30">
        <f t="shared" si="2182"/>
        <v>29011.078009445351</v>
      </c>
      <c r="CT234" s="30">
        <f t="shared" si="2182"/>
        <v>33795.264264515674</v>
      </c>
      <c r="CU234" s="30">
        <f t="shared" ref="CU234:DB234" si="2184">CU41-CU240</f>
        <v>29060.491721445527</v>
      </c>
      <c r="CV234" s="30">
        <f t="shared" si="2184"/>
        <v>31613.053797175737</v>
      </c>
      <c r="CW234" s="30">
        <f t="shared" si="2184"/>
        <v>33580.712190837519</v>
      </c>
      <c r="CX234" s="30">
        <f t="shared" si="2184"/>
        <v>38867.441409170875</v>
      </c>
      <c r="CY234" s="30">
        <f t="shared" si="2184"/>
        <v>34026.366641955363</v>
      </c>
      <c r="CZ234" s="30">
        <f t="shared" si="2184"/>
        <v>36931.803427976876</v>
      </c>
      <c r="DA234" s="30">
        <f t="shared" si="2184"/>
        <v>39150.1259478231</v>
      </c>
      <c r="DB234" s="30">
        <f t="shared" si="2184"/>
        <v>45015.105128350253</v>
      </c>
      <c r="DE234" s="139"/>
      <c r="DF234" s="64">
        <v>22979.16600624736</v>
      </c>
    </row>
    <row r="235" spans="1:110" s="64" customFormat="1" hidden="1" outlineLevel="1" x14ac:dyDescent="0.2">
      <c r="AA235" s="30"/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A236" s="30"/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A237" s="30"/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A238" s="30"/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5">+C238/C237</f>
        <v>#DIV/0!</v>
      </c>
      <c r="D239" s="86" t="e">
        <f t="shared" si="2185"/>
        <v>#DIV/0!</v>
      </c>
      <c r="E239" s="86" t="e">
        <f t="shared" si="2185"/>
        <v>#DIV/0!</v>
      </c>
      <c r="F239" s="86" t="e">
        <f t="shared" si="2185"/>
        <v>#DIV/0!</v>
      </c>
      <c r="G239" s="86" t="e">
        <f t="shared" si="2185"/>
        <v>#DIV/0!</v>
      </c>
      <c r="H239" s="86" t="e">
        <f t="shared" si="2185"/>
        <v>#DIV/0!</v>
      </c>
      <c r="I239" s="86" t="e">
        <f t="shared" si="2185"/>
        <v>#DIV/0!</v>
      </c>
      <c r="J239" s="86" t="e">
        <f t="shared" si="2185"/>
        <v>#DIV/0!</v>
      </c>
      <c r="K239" s="86" t="e">
        <f t="shared" si="2185"/>
        <v>#DIV/0!</v>
      </c>
      <c r="L239" s="86" t="e">
        <f t="shared" si="2185"/>
        <v>#DIV/0!</v>
      </c>
      <c r="M239" s="86" t="e">
        <f t="shared" si="2185"/>
        <v>#DIV/0!</v>
      </c>
      <c r="N239" s="86" t="e">
        <f t="shared" si="2185"/>
        <v>#DIV/0!</v>
      </c>
      <c r="O239" s="86" t="e">
        <f t="shared" si="2185"/>
        <v>#DIV/0!</v>
      </c>
      <c r="P239" s="86" t="e">
        <f t="shared" si="2185"/>
        <v>#DIV/0!</v>
      </c>
      <c r="Q239" s="86" t="e">
        <f t="shared" si="2185"/>
        <v>#DIV/0!</v>
      </c>
      <c r="R239" s="86" t="e">
        <f t="shared" si="2185"/>
        <v>#DIV/0!</v>
      </c>
      <c r="S239" s="86" t="e">
        <f t="shared" si="2185"/>
        <v>#DIV/0!</v>
      </c>
      <c r="T239" s="86" t="e">
        <f t="shared" si="2185"/>
        <v>#DIV/0!</v>
      </c>
      <c r="U239" s="86" t="e">
        <f t="shared" si="2185"/>
        <v>#DIV/0!</v>
      </c>
      <c r="V239" s="86" t="e">
        <f t="shared" si="2185"/>
        <v>#DIV/0!</v>
      </c>
      <c r="W239" s="86" t="e">
        <f t="shared" si="2185"/>
        <v>#DIV/0!</v>
      </c>
      <c r="X239" s="86" t="e">
        <f t="shared" si="2185"/>
        <v>#DIV/0!</v>
      </c>
      <c r="Y239" s="86" t="e">
        <f t="shared" ref="Y239:Z239" si="2186">+Y238/Y237</f>
        <v>#DIV/0!</v>
      </c>
      <c r="Z239" s="86" t="e">
        <f t="shared" si="2186"/>
        <v>#DIV/0!</v>
      </c>
      <c r="AA239" s="87"/>
      <c r="AB239" s="87"/>
      <c r="AC239" s="87"/>
      <c r="AD239" s="87"/>
      <c r="AE239" s="87"/>
      <c r="AF239" s="86"/>
      <c r="AG239" s="86"/>
      <c r="AH239" s="86"/>
      <c r="AI239" s="86" t="e">
        <f t="shared" ref="AI239" si="2187">+AI238/AI237</f>
        <v>#DIV/0!</v>
      </c>
      <c r="AJ239" s="86" t="e">
        <f t="shared" ref="AJ239" si="2188">+AJ238/AJ237</f>
        <v>#DIV/0!</v>
      </c>
      <c r="AK239" s="86" t="e">
        <f t="shared" ref="AK239" si="2189">+AK238/AK237</f>
        <v>#DIV/0!</v>
      </c>
      <c r="AL239" s="86" t="e">
        <f t="shared" ref="AL239" si="2190">+AL238/AL237</f>
        <v>#DIV/0!</v>
      </c>
      <c r="AM239" s="86" t="e">
        <f t="shared" ref="AM239" si="2191">+AM238/AM237</f>
        <v>#DIV/0!</v>
      </c>
      <c r="AN239" s="86" t="e">
        <f t="shared" ref="AN239" si="2192">+AN238/AN237</f>
        <v>#DIV/0!</v>
      </c>
      <c r="AO239" s="86" t="e">
        <f t="shared" ref="AO239" si="2193">+AO238/AO237</f>
        <v>#DIV/0!</v>
      </c>
      <c r="AP239" s="86" t="e">
        <f t="shared" ref="AP239" si="2194">+AP238/AP237</f>
        <v>#DIV/0!</v>
      </c>
      <c r="AQ239" s="86" t="e">
        <f t="shared" ref="AQ239" si="2195">+AQ238/AQ237</f>
        <v>#DIV/0!</v>
      </c>
      <c r="AR239" s="86" t="e">
        <f t="shared" ref="AR239" si="2196">+AR238/AR237</f>
        <v>#DIV/0!</v>
      </c>
      <c r="AS239" s="86" t="e">
        <f t="shared" ref="AS239" si="2197">+AS238/AS237</f>
        <v>#DIV/0!</v>
      </c>
      <c r="AT239" s="86" t="e">
        <f t="shared" ref="AT239" si="2198">+AT238/AT237</f>
        <v>#DIV/0!</v>
      </c>
      <c r="AU239" s="86" t="e">
        <f t="shared" ref="AU239" si="2199">+AU238/AU237</f>
        <v>#DIV/0!</v>
      </c>
      <c r="AV239" s="86" t="e">
        <f t="shared" ref="AV239" si="2200">+AV238/AV237</f>
        <v>#DIV/0!</v>
      </c>
      <c r="AW239" s="86" t="e">
        <f t="shared" ref="AW239" si="2201">+AW238/AW237</f>
        <v>#DIV/0!</v>
      </c>
      <c r="AX239" s="86" t="e">
        <f t="shared" ref="AX239" si="2202">+AX238/AX237</f>
        <v>#DIV/0!</v>
      </c>
      <c r="AY239" s="86" t="e">
        <f t="shared" ref="AY239" si="2203">+AY238/AY237</f>
        <v>#DIV/0!</v>
      </c>
      <c r="AZ239" s="86" t="e">
        <f t="shared" ref="AZ239" si="2204">+AZ238/AZ237</f>
        <v>#DIV/0!</v>
      </c>
      <c r="BA239" s="86" t="e">
        <f t="shared" ref="BA239" si="2205">+BA238/BA237</f>
        <v>#DIV/0!</v>
      </c>
      <c r="BB239" s="86" t="e">
        <f t="shared" ref="BB239" si="2206">+BB238/BB237</f>
        <v>#DIV/0!</v>
      </c>
      <c r="BC239" s="86" t="e">
        <f t="shared" ref="BC239" si="2207">+BC238/BC237</f>
        <v>#DIV/0!</v>
      </c>
      <c r="BD239" s="86" t="e">
        <f t="shared" ref="BD239" si="2208">+BD238/BD237</f>
        <v>#DIV/0!</v>
      </c>
      <c r="BE239" s="86" t="e">
        <f t="shared" ref="BE239" si="2209">+BE238/BE237</f>
        <v>#DIV/0!</v>
      </c>
      <c r="BF239" s="86" t="e">
        <f t="shared" ref="BF239" si="2210">+BF238/BF237</f>
        <v>#DIV/0!</v>
      </c>
      <c r="BG239" s="86" t="e">
        <f t="shared" ref="BG239" si="2211">+BG238/BG237</f>
        <v>#DIV/0!</v>
      </c>
      <c r="BH239" s="86" t="e">
        <f t="shared" ref="BH239" si="2212">+BH238/BH237</f>
        <v>#DIV/0!</v>
      </c>
      <c r="BI239" s="86" t="e">
        <f t="shared" ref="BI239" si="2213">+BI238/BI237</f>
        <v>#DIV/0!</v>
      </c>
      <c r="BJ239" s="86" t="e">
        <f t="shared" ref="BJ239" si="2214">+BJ238/BJ237</f>
        <v>#DIV/0!</v>
      </c>
      <c r="BK239" s="86" t="e">
        <f t="shared" ref="BK239" si="2215">+BK238/BK237</f>
        <v>#DIV/0!</v>
      </c>
      <c r="BL239" s="86" t="e">
        <f t="shared" ref="BL239" si="2216">+BL238/BL237</f>
        <v>#DIV/0!</v>
      </c>
      <c r="BM239" s="86" t="e">
        <f t="shared" ref="BM239" si="2217">+BM238/BM237</f>
        <v>#DIV/0!</v>
      </c>
      <c r="BN239" s="86" t="e">
        <f t="shared" ref="BN239" si="2218">+BN238/BN237</f>
        <v>#DIV/0!</v>
      </c>
      <c r="BO239" s="86" t="e">
        <f t="shared" ref="BO239" si="2219">+BO238/BO237</f>
        <v>#DIV/0!</v>
      </c>
      <c r="BP239" s="86" t="e">
        <f t="shared" ref="BP239" si="2220">+BP238/BP237</f>
        <v>#DIV/0!</v>
      </c>
      <c r="BQ239" s="86" t="e">
        <f t="shared" ref="BQ239" si="2221">+BQ238/BQ237</f>
        <v>#DIV/0!</v>
      </c>
      <c r="BR239" s="86" t="e">
        <f t="shared" ref="BR239" si="2222">+BR238/BR237</f>
        <v>#DIV/0!</v>
      </c>
      <c r="BS239" s="86" t="e">
        <f t="shared" ref="BS239" si="2223">+BS238/BS237</f>
        <v>#DIV/0!</v>
      </c>
      <c r="BT239" s="86" t="e">
        <f t="shared" ref="BT239" si="2224">+BT238/BT237</f>
        <v>#DIV/0!</v>
      </c>
      <c r="BU239" s="86" t="e">
        <f t="shared" ref="BU239" si="2225">+BU238/BU237</f>
        <v>#DIV/0!</v>
      </c>
      <c r="BV239" s="86" t="e">
        <f t="shared" ref="BV239" si="2226">+BV238/BV237</f>
        <v>#DIV/0!</v>
      </c>
      <c r="BW239" s="86" t="e">
        <f t="shared" ref="BW239" si="2227">+BW238/BW237</f>
        <v>#DIV/0!</v>
      </c>
      <c r="BX239" s="86" t="e">
        <f t="shared" ref="BX239" si="2228">+BX238/BX237</f>
        <v>#DIV/0!</v>
      </c>
      <c r="BY239" s="86" t="e">
        <f t="shared" ref="BY239" si="2229">+BY238/BY237</f>
        <v>#DIV/0!</v>
      </c>
      <c r="BZ239" s="86" t="e">
        <f t="shared" ref="BZ239" si="2230">+BZ238/BZ237</f>
        <v>#DIV/0!</v>
      </c>
      <c r="CA239" s="86" t="e">
        <f t="shared" ref="CA239" si="2231">+CA238/CA237</f>
        <v>#DIV/0!</v>
      </c>
      <c r="CB239" s="86" t="e">
        <f t="shared" ref="CB239:CC239" si="2232">+CB238/CB237</f>
        <v>#DIV/0!</v>
      </c>
      <c r="CC239" s="86" t="e">
        <f t="shared" si="2232"/>
        <v>#DIV/0!</v>
      </c>
      <c r="CD239" s="86" t="e">
        <f t="shared" ref="CD239" si="2233">+CD238/CD237</f>
        <v>#DIV/0!</v>
      </c>
      <c r="CE239" s="86" t="e">
        <f t="shared" ref="CE239:CF239" si="2234">+CE238/CE237</f>
        <v>#DIV/0!</v>
      </c>
      <c r="CF239" s="86" t="e">
        <f t="shared" si="2234"/>
        <v>#DIV/0!</v>
      </c>
      <c r="CG239" s="86" t="e">
        <f t="shared" ref="CG239:CH239" si="2235">+CG238/CG237</f>
        <v>#DIV/0!</v>
      </c>
      <c r="CH239" s="86" t="e">
        <f t="shared" si="2235"/>
        <v>#DIV/0!</v>
      </c>
      <c r="CI239" s="86" t="e">
        <f t="shared" ref="CI239:CJ239" si="2236">+CI238/CI237</f>
        <v>#DIV/0!</v>
      </c>
      <c r="CJ239" s="86" t="e">
        <f t="shared" si="2236"/>
        <v>#DIV/0!</v>
      </c>
      <c r="CK239" s="86" t="e">
        <f t="shared" ref="CK239:DB239" si="2237">+CK238/CK237</f>
        <v>#DIV/0!</v>
      </c>
      <c r="CL239" s="86" t="e">
        <f t="shared" si="2237"/>
        <v>#DIV/0!</v>
      </c>
      <c r="CM239" s="47" t="e">
        <f t="shared" si="2237"/>
        <v>#DIV/0!</v>
      </c>
      <c r="CN239" s="47" t="e">
        <f t="shared" si="2237"/>
        <v>#DIV/0!</v>
      </c>
      <c r="CO239" s="47" t="e">
        <f t="shared" si="2237"/>
        <v>#DIV/0!</v>
      </c>
      <c r="CP239" s="47" t="e">
        <f t="shared" si="2237"/>
        <v>#DIV/0!</v>
      </c>
      <c r="CQ239" s="47" t="e">
        <f t="shared" si="2237"/>
        <v>#DIV/0!</v>
      </c>
      <c r="CR239" s="47" t="e">
        <f t="shared" si="2237"/>
        <v>#DIV/0!</v>
      </c>
      <c r="CS239" s="47" t="e">
        <f t="shared" si="2237"/>
        <v>#DIV/0!</v>
      </c>
      <c r="CT239" s="47" t="e">
        <f t="shared" si="2237"/>
        <v>#DIV/0!</v>
      </c>
      <c r="CU239" s="47" t="e">
        <f t="shared" si="2237"/>
        <v>#DIV/0!</v>
      </c>
      <c r="CV239" s="47" t="e">
        <f t="shared" si="2237"/>
        <v>#DIV/0!</v>
      </c>
      <c r="CW239" s="47" t="e">
        <f t="shared" si="2237"/>
        <v>#DIV/0!</v>
      </c>
      <c r="CX239" s="47" t="e">
        <f t="shared" si="2237"/>
        <v>#DIV/0!</v>
      </c>
      <c r="CY239" s="47" t="e">
        <f t="shared" si="2237"/>
        <v>#DIV/0!</v>
      </c>
      <c r="CZ239" s="47" t="e">
        <f t="shared" si="2237"/>
        <v>#DIV/0!</v>
      </c>
      <c r="DA239" s="47" t="e">
        <f t="shared" si="2237"/>
        <v>#DIV/0!</v>
      </c>
      <c r="DB239" s="47" t="e">
        <f t="shared" si="2237"/>
        <v>#DIV/0!</v>
      </c>
      <c r="DE239" s="130"/>
      <c r="DF239" s="89" t="e">
        <v>#DIV/0!</v>
      </c>
    </row>
    <row r="240" spans="1:110" s="64" customFormat="1" hidden="1" outlineLevel="1" x14ac:dyDescent="0.2">
      <c r="A240" s="64" t="s">
        <v>481</v>
      </c>
      <c r="AA240" s="30"/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A241" s="63"/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A242" s="63"/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63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1.1247769180230962</v>
      </c>
      <c r="C244" s="84">
        <f>C8/C165</f>
        <v>1.2173693271792692</v>
      </c>
      <c r="D244" s="84">
        <f>D8/D165</f>
        <v>1.2932426518723026</v>
      </c>
      <c r="E244" s="84">
        <f t="shared" ref="E244:Y244" si="2238">E10/(E161+E148+E138)</f>
        <v>0.9552401534249797</v>
      </c>
      <c r="F244" s="84">
        <f t="shared" si="2238"/>
        <v>1.0787161660367726</v>
      </c>
      <c r="G244" s="84">
        <f t="shared" si="2238"/>
        <v>0.89271935032892791</v>
      </c>
      <c r="H244" s="84">
        <f t="shared" si="2238"/>
        <v>0.87177328491396144</v>
      </c>
      <c r="I244" s="84">
        <f t="shared" si="2238"/>
        <v>0.79977240774562441</v>
      </c>
      <c r="J244" s="84">
        <f t="shared" si="2238"/>
        <v>0.62357893893034677</v>
      </c>
      <c r="K244" s="84">
        <f t="shared" si="2238"/>
        <v>0.7995951391581595</v>
      </c>
      <c r="L244" s="84">
        <f t="shared" si="2238"/>
        <v>0.88424753914579501</v>
      </c>
      <c r="M244" s="84">
        <f t="shared" si="2238"/>
        <v>1.1353339646004807</v>
      </c>
      <c r="N244" s="84">
        <f t="shared" si="2238"/>
        <v>1.1397447600020667</v>
      </c>
      <c r="O244" s="84">
        <f t="shared" si="2238"/>
        <v>1.0808107946743089</v>
      </c>
      <c r="P244" s="84">
        <f t="shared" si="2238"/>
        <v>0.78370897340355583</v>
      </c>
      <c r="Q244" s="84">
        <f t="shared" si="2238"/>
        <v>0.49149125088567408</v>
      </c>
      <c r="R244" s="84">
        <f t="shared" si="2238"/>
        <v>0.44832440986959071</v>
      </c>
      <c r="S244" s="84">
        <f t="shared" si="2238"/>
        <v>0.49830791817957443</v>
      </c>
      <c r="T244" s="84">
        <f t="shared" si="2238"/>
        <v>0.68330936426343725</v>
      </c>
      <c r="U244" s="84">
        <f t="shared" si="2238"/>
        <v>0.62297544838572794</v>
      </c>
      <c r="V244" s="84">
        <f t="shared" si="2238"/>
        <v>0.42153215315212023</v>
      </c>
      <c r="W244" s="84">
        <f t="shared" si="2238"/>
        <v>0.57400146477126146</v>
      </c>
      <c r="X244" s="84">
        <f t="shared" si="2238"/>
        <v>0.58962785339821799</v>
      </c>
      <c r="Y244" s="84">
        <f t="shared" si="2238"/>
        <v>0.550925501331054</v>
      </c>
      <c r="Z244" s="84">
        <f>Z10/(Z161+Z148+Z138)</f>
        <v>0.52829755739328965</v>
      </c>
      <c r="AA244" s="50">
        <f t="shared" ref="AA244:AE244" si="2239">AA10/(AA161+AA148+AA138)</f>
        <v>0.5216596887960151</v>
      </c>
      <c r="AB244" s="50">
        <f t="shared" si="2239"/>
        <v>0.55285870595522091</v>
      </c>
      <c r="AC244" s="50">
        <f t="shared" si="2239"/>
        <v>0.5666427735743943</v>
      </c>
      <c r="AD244" s="50">
        <f t="shared" si="2239"/>
        <v>0.57820547029838421</v>
      </c>
      <c r="AE244" s="50">
        <f t="shared" si="2239"/>
        <v>0.58702973445145978</v>
      </c>
      <c r="AL244" s="84">
        <f>SUM(AI10:AL10)/(AL161+AL148+AL138)</f>
        <v>1.0342099673343323</v>
      </c>
      <c r="AM244" s="84">
        <f t="shared" ref="AM244:CL244" si="2240">SUM(AJ10:AM10)/(AM161+AM148+AM138)</f>
        <v>1.012323025923854</v>
      </c>
      <c r="AN244" s="84">
        <f t="shared" si="2240"/>
        <v>1.2219354596810479</v>
      </c>
      <c r="AO244" s="84">
        <f t="shared" si="2240"/>
        <v>1.2703812749649754</v>
      </c>
      <c r="AP244" s="84">
        <f t="shared" si="2240"/>
        <v>1.0808107946743089</v>
      </c>
      <c r="AQ244" s="84">
        <f t="shared" si="2240"/>
        <v>1.0806341192692119</v>
      </c>
      <c r="AR244" s="84">
        <f t="shared" si="2240"/>
        <v>0.97616376327687793</v>
      </c>
      <c r="AS244" s="84">
        <f t="shared" si="2240"/>
        <v>0.93286933686254292</v>
      </c>
      <c r="AT244" s="84">
        <f t="shared" si="2240"/>
        <v>0.78370897340355583</v>
      </c>
      <c r="AU244" s="84">
        <f t="shared" si="2240"/>
        <v>0.70450678927604593</v>
      </c>
      <c r="AV244" s="84">
        <f t="shared" si="2240"/>
        <v>0.57462717203081148</v>
      </c>
      <c r="AW244" s="84">
        <f t="shared" si="2240"/>
        <v>0.52472378564626876</v>
      </c>
      <c r="AX244" s="84">
        <f t="shared" si="2240"/>
        <v>0.49176390396154157</v>
      </c>
      <c r="AY244" s="84">
        <f t="shared" si="2240"/>
        <v>0.46417560720517786</v>
      </c>
      <c r="AZ244" s="84">
        <f t="shared" si="2240"/>
        <v>0.43771326604510963</v>
      </c>
      <c r="BA244" s="84">
        <f t="shared" si="2240"/>
        <v>0.45292829213247243</v>
      </c>
      <c r="BB244" s="84">
        <f t="shared" si="2240"/>
        <v>0.44832440986959071</v>
      </c>
      <c r="BC244" s="84">
        <f t="shared" si="2240"/>
        <v>0.47452103386417277</v>
      </c>
      <c r="BD244" s="84">
        <f t="shared" si="2240"/>
        <v>0.46501645187825608</v>
      </c>
      <c r="BE244" s="84">
        <f t="shared" si="2240"/>
        <v>0.48745203816650362</v>
      </c>
      <c r="BF244" s="84">
        <f t="shared" si="2240"/>
        <v>0.49830791817957443</v>
      </c>
      <c r="BG244" s="84">
        <f t="shared" si="2240"/>
        <v>0.54951901902579348</v>
      </c>
      <c r="BH244" s="84">
        <f t="shared" si="2240"/>
        <v>0.56002905527950242</v>
      </c>
      <c r="BI244" s="84">
        <f t="shared" si="2240"/>
        <v>0.61782671506184927</v>
      </c>
      <c r="BJ244" s="84">
        <f t="shared" si="2240"/>
        <v>0.68253867263372459</v>
      </c>
      <c r="BK244" s="84">
        <f t="shared" si="2240"/>
        <v>0.70736386213431746</v>
      </c>
      <c r="BL244" s="84">
        <f t="shared" si="2240"/>
        <v>0.67911501241949801</v>
      </c>
      <c r="BM244" s="84">
        <f t="shared" si="2240"/>
        <v>0.67190404428712702</v>
      </c>
      <c r="BN244" s="84">
        <f t="shared" si="2240"/>
        <v>0.62297544838572794</v>
      </c>
      <c r="BO244" s="84">
        <f t="shared" si="2240"/>
        <v>0.56631780773367635</v>
      </c>
      <c r="BP244" s="84">
        <f t="shared" si="2240"/>
        <v>0.49082812694361849</v>
      </c>
      <c r="BQ244" s="84">
        <f t="shared" si="2240"/>
        <v>0.45204581368299074</v>
      </c>
      <c r="BR244" s="84">
        <f t="shared" si="2240"/>
        <v>0.42153215315212023</v>
      </c>
      <c r="BS244" s="84">
        <f t="shared" si="2240"/>
        <v>0.47163784677737586</v>
      </c>
      <c r="BT244" s="84">
        <f t="shared" si="2240"/>
        <v>0.48738426642096633</v>
      </c>
      <c r="BU244" s="84">
        <f t="shared" si="2240"/>
        <v>0.53790596256008172</v>
      </c>
      <c r="BV244" s="84">
        <f t="shared" si="2240"/>
        <v>0.57729967438530738</v>
      </c>
      <c r="BW244" s="84">
        <f t="shared" si="2240"/>
        <v>0.63786476592044672</v>
      </c>
      <c r="BX244" s="84">
        <f t="shared" si="2240"/>
        <v>0.62268096216876845</v>
      </c>
      <c r="BY244" s="84">
        <f t="shared" si="2240"/>
        <v>0.6489232286291845</v>
      </c>
      <c r="BZ244" s="84">
        <f t="shared" si="2240"/>
        <v>0.58962785339821799</v>
      </c>
      <c r="CA244" s="84">
        <f t="shared" si="2240"/>
        <v>0.583344032023835</v>
      </c>
      <c r="CB244" s="84">
        <f t="shared" si="2240"/>
        <v>0.55353946619140015</v>
      </c>
      <c r="CC244" s="84">
        <f t="shared" si="2240"/>
        <v>0.55950787932804291</v>
      </c>
      <c r="CD244" s="84">
        <f t="shared" si="2240"/>
        <v>0.550925501331054</v>
      </c>
      <c r="CE244" s="84">
        <f t="shared" si="2240"/>
        <v>0.56821155459507455</v>
      </c>
      <c r="CF244" s="84">
        <f t="shared" si="2240"/>
        <v>0.5458964427003441</v>
      </c>
      <c r="CG244" s="84">
        <f t="shared" si="2240"/>
        <v>0.55264728863942891</v>
      </c>
      <c r="CH244" s="84">
        <f t="shared" si="2240"/>
        <v>0.52829755739328965</v>
      </c>
      <c r="CI244" s="84">
        <f t="shared" si="2240"/>
        <v>0.55037000999842534</v>
      </c>
      <c r="CJ244" s="84">
        <f t="shared" si="2240"/>
        <v>0.52751371780840139</v>
      </c>
      <c r="CK244" s="84">
        <f t="shared" ref="CK244" si="2241">SUM(CH10:CK10)/(CK161+CK148+CK138)</f>
        <v>0.56338705120982857</v>
      </c>
      <c r="CL244" s="84">
        <f t="shared" si="2240"/>
        <v>0.5216596887960151</v>
      </c>
      <c r="CM244" s="50">
        <f t="shared" ref="CM244:DB244" si="2242">SUM(CJ10:CM10)/(CM161+CM148+CM138)</f>
        <v>0.55873211455992633</v>
      </c>
      <c r="CN244" s="50">
        <f t="shared" si="2242"/>
        <v>0.55877370598517828</v>
      </c>
      <c r="CO244" s="50">
        <f t="shared" si="2242"/>
        <v>0.56086624163721066</v>
      </c>
      <c r="CP244" s="50">
        <f t="shared" si="2242"/>
        <v>0.55285870595522091</v>
      </c>
      <c r="CQ244" s="50">
        <f t="shared" si="2242"/>
        <v>0.57642967436088244</v>
      </c>
      <c r="CR244" s="50">
        <f t="shared" si="2242"/>
        <v>0.57531531087129539</v>
      </c>
      <c r="CS244" s="50">
        <f t="shared" si="2242"/>
        <v>0.57638622436337861</v>
      </c>
      <c r="CT244" s="50">
        <f t="shared" si="2242"/>
        <v>0.5666427735743943</v>
      </c>
      <c r="CU244" s="50">
        <f t="shared" si="2242"/>
        <v>0.59095823608428544</v>
      </c>
      <c r="CV244" s="50">
        <f t="shared" si="2242"/>
        <v>0.5888933856639007</v>
      </c>
      <c r="CW244" s="50">
        <f t="shared" si="2242"/>
        <v>0.58916843943106101</v>
      </c>
      <c r="CX244" s="50">
        <f t="shared" si="2242"/>
        <v>0.57820547029838421</v>
      </c>
      <c r="CY244" s="50">
        <f t="shared" si="2242"/>
        <v>0.60272099653279199</v>
      </c>
      <c r="CZ244" s="50">
        <f t="shared" si="2242"/>
        <v>0.59969923426521698</v>
      </c>
      <c r="DA244" s="50">
        <f t="shared" si="2242"/>
        <v>0.59914837750532512</v>
      </c>
      <c r="DB244" s="50">
        <f t="shared" si="2242"/>
        <v>0.58702973445145978</v>
      </c>
      <c r="DE244" s="138"/>
      <c r="DF244" s="84">
        <v>0.55958492583004349</v>
      </c>
    </row>
    <row r="245" spans="1:110" s="84" customFormat="1" x14ac:dyDescent="0.2">
      <c r="A245" s="84" t="s">
        <v>513</v>
      </c>
      <c r="E245" s="181">
        <f>+E42</f>
        <v>9.9355237274759076E-2</v>
      </c>
      <c r="F245" s="181">
        <f t="shared" ref="F245:AE245" si="2243">+F42</f>
        <v>0.11408208636759901</v>
      </c>
      <c r="G245" s="181">
        <f t="shared" si="2243"/>
        <v>0.11435497413363536</v>
      </c>
      <c r="H245" s="181">
        <f t="shared" si="2243"/>
        <v>0.10613279709406979</v>
      </c>
      <c r="I245" s="181">
        <f t="shared" si="2243"/>
        <v>0.14235301100296566</v>
      </c>
      <c r="J245" s="181">
        <f t="shared" si="2243"/>
        <v>9.8862012718747616E-2</v>
      </c>
      <c r="K245" s="181">
        <f t="shared" si="2243"/>
        <v>0.11987637952972548</v>
      </c>
      <c r="L245" s="181">
        <f t="shared" si="2243"/>
        <v>7.2502642855261826E-2</v>
      </c>
      <c r="M245" s="181">
        <f t="shared" si="2243"/>
        <v>5.4998451887163492E-2</v>
      </c>
      <c r="N245" s="181">
        <f t="shared" si="2243"/>
        <v>5.2601356966922044E-2</v>
      </c>
      <c r="O245" s="181">
        <f t="shared" si="2243"/>
        <v>5.1898908990470928E-2</v>
      </c>
      <c r="P245" s="181">
        <f t="shared" si="2243"/>
        <v>6.2966958328339123E-2</v>
      </c>
      <c r="Q245" s="181">
        <f t="shared" si="2243"/>
        <v>0.10812083255778306</v>
      </c>
      <c r="R245" s="181">
        <f t="shared" si="2243"/>
        <v>9.8044416501300011E-2</v>
      </c>
      <c r="S245" s="181">
        <f t="shared" si="2243"/>
        <v>9.1966084299052536E-2</v>
      </c>
      <c r="T245" s="181">
        <f t="shared" si="2243"/>
        <v>6.9805642567141418E-2</v>
      </c>
      <c r="U245" s="181">
        <f t="shared" si="2243"/>
        <v>7.3999012610139997E-2</v>
      </c>
      <c r="V245" s="181">
        <f t="shared" si="2243"/>
        <v>0.10190309343704756</v>
      </c>
      <c r="W245" s="181">
        <f t="shared" si="2243"/>
        <v>9.0598207088595228E-2</v>
      </c>
      <c r="X245" s="181">
        <f t="shared" si="2243"/>
        <v>8.3895037222257024E-2</v>
      </c>
      <c r="Y245" s="181">
        <f t="shared" si="2243"/>
        <v>8.7266831212877219E-2</v>
      </c>
      <c r="Z245" s="181">
        <f t="shared" si="2243"/>
        <v>8.3743740236531208E-2</v>
      </c>
      <c r="AA245" s="182">
        <f t="shared" si="2243"/>
        <v>9.0435378100469255E-2</v>
      </c>
      <c r="AB245" s="182">
        <f t="shared" si="2243"/>
        <v>8.4522337881525259E-2</v>
      </c>
      <c r="AC245" s="182">
        <f t="shared" si="2243"/>
        <v>8.9360230166593876E-2</v>
      </c>
      <c r="AD245" s="182">
        <f t="shared" si="2243"/>
        <v>9.3200836413726146E-2</v>
      </c>
      <c r="AE245" s="182">
        <f t="shared" si="2243"/>
        <v>9.8178360758971767E-2</v>
      </c>
      <c r="AL245" s="181">
        <f t="shared" ref="AL245:CW245" si="2244">+AL42</f>
        <v>6.6379248913275846E-2</v>
      </c>
      <c r="AM245" s="181">
        <f t="shared" si="2244"/>
        <v>5.37111678615017E-2</v>
      </c>
      <c r="AN245" s="181">
        <f t="shared" si="2244"/>
        <v>5.0644638976197281E-2</v>
      </c>
      <c r="AO245" s="181">
        <f t="shared" si="2244"/>
        <v>4.6561276876937938E-2</v>
      </c>
      <c r="AP245" s="181">
        <f t="shared" si="2244"/>
        <v>5.6812468577174459E-2</v>
      </c>
      <c r="AQ245" s="181">
        <f t="shared" si="2244"/>
        <v>5.6488914373088686E-2</v>
      </c>
      <c r="AR245" s="181">
        <f t="shared" si="2244"/>
        <v>5.3954115321912258E-2</v>
      </c>
      <c r="AS245" s="181">
        <f t="shared" si="2244"/>
        <v>5.5502095629116413E-2</v>
      </c>
      <c r="AT245" s="181">
        <f t="shared" si="2244"/>
        <v>9.6279828071735588E-2</v>
      </c>
      <c r="AU245" s="181">
        <f t="shared" si="2244"/>
        <v>7.721725510670234E-2</v>
      </c>
      <c r="AV245" s="181">
        <f t="shared" si="2244"/>
        <v>7.0025024171074327E-2</v>
      </c>
      <c r="AW245" s="181">
        <f t="shared" si="2244"/>
        <v>0.10852047164780471</v>
      </c>
      <c r="AX245" s="181">
        <f t="shared" si="2244"/>
        <v>0.11546837309032432</v>
      </c>
      <c r="AY245" s="181">
        <f t="shared" si="2244"/>
        <v>0.10907831974149869</v>
      </c>
      <c r="AZ245" s="181">
        <f t="shared" si="2244"/>
        <v>9.4497183597904433E-2</v>
      </c>
      <c r="BA245" s="181">
        <f t="shared" si="2244"/>
        <v>9.5670461414467056E-2</v>
      </c>
      <c r="BB245" s="181">
        <f t="shared" si="2244"/>
        <v>9.499781898777454E-2</v>
      </c>
      <c r="BC245" s="181">
        <f t="shared" si="2244"/>
        <v>9.5578104970588593E-2</v>
      </c>
      <c r="BD245" s="181">
        <f t="shared" si="2244"/>
        <v>8.8357145199549639E-2</v>
      </c>
      <c r="BE245" s="181">
        <f t="shared" si="2244"/>
        <v>9.4158901913635906E-2</v>
      </c>
      <c r="BF245" s="181">
        <f t="shared" si="2244"/>
        <v>8.1041782491553693E-2</v>
      </c>
      <c r="BG245" s="181">
        <f t="shared" si="2244"/>
        <v>7.3588803628568761E-2</v>
      </c>
      <c r="BH245" s="181">
        <f t="shared" si="2244"/>
        <v>6.6618756235914678E-2</v>
      </c>
      <c r="BI245" s="181">
        <f t="shared" si="2244"/>
        <v>6.597917118127701E-2</v>
      </c>
      <c r="BJ245" s="181">
        <f t="shared" si="2244"/>
        <v>7.4210186976144427E-2</v>
      </c>
      <c r="BK245" s="181">
        <f t="shared" si="2244"/>
        <v>6.4033421952145841E-2</v>
      </c>
      <c r="BL245" s="181">
        <f t="shared" si="2244"/>
        <v>7.5440201387544148E-2</v>
      </c>
      <c r="BM245" s="181">
        <f t="shared" si="2244"/>
        <v>7.8022465460333201E-2</v>
      </c>
      <c r="BN245" s="181">
        <f t="shared" si="2244"/>
        <v>7.9433226855786424E-2</v>
      </c>
      <c r="BO245" s="181">
        <f t="shared" si="2244"/>
        <v>9.0195234156345963E-2</v>
      </c>
      <c r="BP245" s="181">
        <f t="shared" si="2244"/>
        <v>9.436693156891654E-2</v>
      </c>
      <c r="BQ245" s="181">
        <f t="shared" si="2244"/>
        <v>0.12676056338028169</v>
      </c>
      <c r="BR245" s="181">
        <f t="shared" si="2244"/>
        <v>9.4828681263580142E-2</v>
      </c>
      <c r="BS245" s="181">
        <f t="shared" si="2244"/>
        <v>9.8914604605963602E-2</v>
      </c>
      <c r="BT245" s="181">
        <f t="shared" si="2244"/>
        <v>9.2118059077268194E-2</v>
      </c>
      <c r="BU245" s="181">
        <f t="shared" si="2244"/>
        <v>9.4959114075243073E-2</v>
      </c>
      <c r="BV245" s="181">
        <f t="shared" si="2244"/>
        <v>8.6201326100060274E-2</v>
      </c>
      <c r="BW245" s="181">
        <f t="shared" si="2244"/>
        <v>8.8935596627904318E-2</v>
      </c>
      <c r="BX245" s="181">
        <f t="shared" si="2244"/>
        <v>6.7133373145778941E-2</v>
      </c>
      <c r="BY245" s="181">
        <f t="shared" si="2244"/>
        <v>8.1089061858381356E-2</v>
      </c>
      <c r="BZ245" s="181">
        <f t="shared" si="2244"/>
        <v>9.9636336299651365E-2</v>
      </c>
      <c r="CA245" s="181">
        <f t="shared" si="2244"/>
        <v>8.7599188664427952E-2</v>
      </c>
      <c r="CB245" s="181">
        <f t="shared" si="2244"/>
        <v>8.5473034163338887E-2</v>
      </c>
      <c r="CC245" s="181">
        <f t="shared" si="2244"/>
        <v>8.6580240441431269E-2</v>
      </c>
      <c r="CD245" s="181">
        <f t="shared" si="2244"/>
        <v>8.9387104547779803E-2</v>
      </c>
      <c r="CE245" s="181">
        <f t="shared" si="2244"/>
        <v>7.5276982017740648E-2</v>
      </c>
      <c r="CF245" s="181">
        <f t="shared" si="2244"/>
        <v>8.249724663657762E-2</v>
      </c>
      <c r="CG245" s="181">
        <f t="shared" si="2244"/>
        <v>9.0855299892493732E-2</v>
      </c>
      <c r="CH245" s="181">
        <f t="shared" si="2244"/>
        <v>8.5826434266301432E-2</v>
      </c>
      <c r="CI245" s="181">
        <f t="shared" si="2244"/>
        <v>0.12593173310566758</v>
      </c>
      <c r="CJ245" s="181">
        <f t="shared" si="2244"/>
        <v>8.6975646347737634E-2</v>
      </c>
      <c r="CK245" s="181">
        <f t="shared" si="2244"/>
        <v>8.3679054755478377E-2</v>
      </c>
      <c r="CL245" s="181">
        <f t="shared" ref="CL245" si="2245">+CL42</f>
        <v>7.0108379610894417E-2</v>
      </c>
      <c r="CM245" s="182">
        <f t="shared" si="2244"/>
        <v>8.2875318441900908E-2</v>
      </c>
      <c r="CN245" s="182">
        <f t="shared" si="2244"/>
        <v>8.344191336126057E-2</v>
      </c>
      <c r="CO245" s="182">
        <f t="shared" si="2244"/>
        <v>8.3634253380827611E-2</v>
      </c>
      <c r="CP245" s="182">
        <f t="shared" si="2244"/>
        <v>8.7603318301768013E-2</v>
      </c>
      <c r="CQ245" s="182">
        <f t="shared" si="2244"/>
        <v>8.57468702367577E-2</v>
      </c>
      <c r="CR245" s="182">
        <f t="shared" si="2244"/>
        <v>8.7708939206681547E-2</v>
      </c>
      <c r="CS245" s="182">
        <f t="shared" si="2244"/>
        <v>8.9370582742228574E-2</v>
      </c>
      <c r="CT245" s="182">
        <f t="shared" si="2244"/>
        <v>9.3729332629208045E-2</v>
      </c>
      <c r="CU245" s="182">
        <f t="shared" si="2244"/>
        <v>8.9222072793076465E-2</v>
      </c>
      <c r="CV245" s="182">
        <f t="shared" si="2244"/>
        <v>9.1722494010238659E-2</v>
      </c>
      <c r="CW245" s="182">
        <f t="shared" si="2244"/>
        <v>9.3510697855200442E-2</v>
      </c>
      <c r="CX245" s="182">
        <f t="shared" ref="CX245:DB245" si="2246">+CX42</f>
        <v>9.7448465957950439E-2</v>
      </c>
      <c r="CY245" s="182">
        <f t="shared" si="2246"/>
        <v>9.4442938247440017E-2</v>
      </c>
      <c r="CZ245" s="182">
        <f t="shared" si="2246"/>
        <v>9.6864741168598972E-2</v>
      </c>
      <c r="DA245" s="182">
        <f t="shared" si="2246"/>
        <v>9.8552390323731115E-2</v>
      </c>
      <c r="DB245" s="182">
        <f t="shared" si="2246"/>
        <v>0.10202706863769802</v>
      </c>
      <c r="DE245" s="138"/>
      <c r="DF245" s="84">
        <v>8.2935936219182868E-2</v>
      </c>
    </row>
    <row r="246" spans="1:110" s="84" customFormat="1" x14ac:dyDescent="0.2">
      <c r="A246" s="84" t="s">
        <v>514</v>
      </c>
      <c r="E246" s="84">
        <f>(E161+E148+E138+E140)/E120</f>
        <v>2.0739240752137142</v>
      </c>
      <c r="F246" s="84">
        <f t="shared" ref="F246:AE246" si="2247">(F161+F148+F138+F140)/F120</f>
        <v>1.9786645972481893</v>
      </c>
      <c r="G246" s="84">
        <f t="shared" si="2247"/>
        <v>1.8982870786898889</v>
      </c>
      <c r="H246" s="84">
        <f t="shared" si="2247"/>
        <v>1.9427141204484137</v>
      </c>
      <c r="I246" s="84">
        <f t="shared" si="2247"/>
        <v>2.0460290949132784</v>
      </c>
      <c r="J246" s="84">
        <f t="shared" si="2247"/>
        <v>2.0293485200880714</v>
      </c>
      <c r="K246" s="84">
        <f t="shared" si="2247"/>
        <v>1.839981396137869</v>
      </c>
      <c r="L246" s="84">
        <f t="shared" si="2247"/>
        <v>1.9955484030058013</v>
      </c>
      <c r="M246" s="84">
        <f t="shared" si="2247"/>
        <v>1.930951046062144</v>
      </c>
      <c r="N246" s="84">
        <f t="shared" si="2247"/>
        <v>1.9903710417181621</v>
      </c>
      <c r="O246" s="84">
        <f t="shared" si="2247"/>
        <v>2.1583847961869673</v>
      </c>
      <c r="P246" s="84">
        <f t="shared" si="2247"/>
        <v>2.3088709788145483</v>
      </c>
      <c r="Q246" s="84">
        <f t="shared" si="2247"/>
        <v>2.5868342863065523</v>
      </c>
      <c r="R246" s="84">
        <f t="shared" si="2247"/>
        <v>2.6802346525905447</v>
      </c>
      <c r="S246" s="84">
        <f t="shared" si="2247"/>
        <v>2.7640763732257603</v>
      </c>
      <c r="T246" s="84">
        <f t="shared" si="2247"/>
        <v>2.5771094670276304</v>
      </c>
      <c r="U246" s="84">
        <f t="shared" si="2247"/>
        <v>2.5892765703548353</v>
      </c>
      <c r="V246" s="84">
        <f t="shared" si="2247"/>
        <v>1.8853438869306398</v>
      </c>
      <c r="W246" s="84">
        <f t="shared" si="2247"/>
        <v>1.9225796519496847</v>
      </c>
      <c r="X246" s="84">
        <f t="shared" si="2247"/>
        <v>2.2432529837736355</v>
      </c>
      <c r="Y246" s="84">
        <f t="shared" si="2247"/>
        <v>2.2118336796974343</v>
      </c>
      <c r="Z246" s="84">
        <f t="shared" si="2247"/>
        <v>2.3122782258064518</v>
      </c>
      <c r="AA246" s="50">
        <f t="shared" si="2247"/>
        <v>2.4087098879461966</v>
      </c>
      <c r="AB246" s="50">
        <f t="shared" si="2247"/>
        <v>2.2899871032050427</v>
      </c>
      <c r="AC246" s="50">
        <f t="shared" si="2247"/>
        <v>2.2312226488648363</v>
      </c>
      <c r="AD246" s="50">
        <f t="shared" si="2247"/>
        <v>2.1707784316544867</v>
      </c>
      <c r="AE246" s="50">
        <f t="shared" si="2247"/>
        <v>2.1085923883168607</v>
      </c>
      <c r="AL246" s="84">
        <f t="shared" ref="AL246:CW246" si="2248">(AL161+AL148+AL138+AL140)/AL120</f>
        <v>1.9903710417181621</v>
      </c>
      <c r="AM246" s="84">
        <f t="shared" si="2248"/>
        <v>2.0046110507251815</v>
      </c>
      <c r="AN246" s="84">
        <f t="shared" si="2248"/>
        <v>1.8482010375998401</v>
      </c>
      <c r="AO246" s="84">
        <f t="shared" si="2248"/>
        <v>1.8310081447273019</v>
      </c>
      <c r="AP246" s="84">
        <f t="shared" si="2248"/>
        <v>2.1583847961869673</v>
      </c>
      <c r="AQ246" s="84">
        <f t="shared" si="2248"/>
        <v>2.128150229385696</v>
      </c>
      <c r="AR246" s="84">
        <f t="shared" si="2248"/>
        <v>2.2512779020513065</v>
      </c>
      <c r="AS246" s="84">
        <f t="shared" si="2248"/>
        <v>2.1705675517543614</v>
      </c>
      <c r="AT246" s="84">
        <f t="shared" si="2248"/>
        <v>2.3088709788145483</v>
      </c>
      <c r="AU246" s="84">
        <f t="shared" si="2248"/>
        <v>2.3096169528000385</v>
      </c>
      <c r="AV246" s="84">
        <f t="shared" si="2248"/>
        <v>2.4327114911257937</v>
      </c>
      <c r="AW246" s="84">
        <f t="shared" si="2248"/>
        <v>2.3646826059803097</v>
      </c>
      <c r="AX246" s="84">
        <f t="shared" si="2248"/>
        <v>2.5868342863065523</v>
      </c>
      <c r="AY246" s="84">
        <f t="shared" si="2248"/>
        <v>2.5436346720119301</v>
      </c>
      <c r="AZ246" s="84">
        <f t="shared" si="2248"/>
        <v>2.557812904694257</v>
      </c>
      <c r="BA246" s="84">
        <f t="shared" si="2248"/>
        <v>2.506014394518477</v>
      </c>
      <c r="BB246" s="84">
        <f t="shared" si="2248"/>
        <v>2.6802346525905447</v>
      </c>
      <c r="BC246" s="84">
        <f t="shared" si="2248"/>
        <v>2.5956741915065824</v>
      </c>
      <c r="BD246" s="84">
        <f t="shared" si="2248"/>
        <v>2.7216775421719888</v>
      </c>
      <c r="BE246" s="84">
        <f t="shared" si="2248"/>
        <v>2.6609368739029375</v>
      </c>
      <c r="BF246" s="84">
        <f t="shared" si="2248"/>
        <v>2.7640763732257603</v>
      </c>
      <c r="BG246" s="84">
        <f t="shared" si="2248"/>
        <v>2.7080050499860415</v>
      </c>
      <c r="BH246" s="84">
        <f t="shared" si="2248"/>
        <v>2.9512340973609503</v>
      </c>
      <c r="BI246" s="84">
        <f t="shared" si="2248"/>
        <v>2.8892386201704632</v>
      </c>
      <c r="BJ246" s="84">
        <f t="shared" si="2248"/>
        <v>2.5771094670276304</v>
      </c>
      <c r="BK246" s="84">
        <f t="shared" si="2248"/>
        <v>2.5419642965460163</v>
      </c>
      <c r="BL246" s="84">
        <f t="shared" si="2248"/>
        <v>2.5625584338374781</v>
      </c>
      <c r="BM246" s="84">
        <f t="shared" si="2248"/>
        <v>2.5010940955119154</v>
      </c>
      <c r="BN246" s="84">
        <f t="shared" si="2248"/>
        <v>2.5892765703548353</v>
      </c>
      <c r="BO246" s="84">
        <f t="shared" si="2248"/>
        <v>2.4564318964318601</v>
      </c>
      <c r="BP246" s="84">
        <f t="shared" si="2248"/>
        <v>1.9974161344066563</v>
      </c>
      <c r="BQ246" s="84">
        <f t="shared" si="2248"/>
        <v>1.9670119830032993</v>
      </c>
      <c r="BR246" s="84">
        <f t="shared" si="2248"/>
        <v>1.8853438869306398</v>
      </c>
      <c r="BS246" s="84">
        <f t="shared" si="2248"/>
        <v>1.841541300889072</v>
      </c>
      <c r="BT246" s="84">
        <f t="shared" si="2248"/>
        <v>1.9256330479045791</v>
      </c>
      <c r="BU246" s="84">
        <f t="shared" si="2248"/>
        <v>1.8971500674891946</v>
      </c>
      <c r="BV246" s="84">
        <f t="shared" si="2248"/>
        <v>1.9225796519496847</v>
      </c>
      <c r="BW246" s="84">
        <f t="shared" si="2248"/>
        <v>1.8900494833017343</v>
      </c>
      <c r="BX246" s="84">
        <f t="shared" si="2248"/>
        <v>2.0570660807114494</v>
      </c>
      <c r="BY246" s="84">
        <f t="shared" si="2248"/>
        <v>2.009642007161824</v>
      </c>
      <c r="BZ246" s="84">
        <f t="shared" si="2248"/>
        <v>2.2432529837736355</v>
      </c>
      <c r="CA246" s="84">
        <f t="shared" si="2248"/>
        <v>2.1896330208180754</v>
      </c>
      <c r="CB246" s="84">
        <f t="shared" si="2248"/>
        <v>2.238053464887876</v>
      </c>
      <c r="CC246" s="84">
        <f t="shared" si="2248"/>
        <v>2.1853983751665029</v>
      </c>
      <c r="CD246" s="84">
        <f t="shared" si="2248"/>
        <v>2.2118336796974343</v>
      </c>
      <c r="CE246" s="84">
        <f t="shared" si="2248"/>
        <v>2.1616180360465891</v>
      </c>
      <c r="CF246" s="84">
        <f t="shared" si="2248"/>
        <v>2.2142441360273257</v>
      </c>
      <c r="CG246" s="84">
        <f t="shared" si="2248"/>
        <v>2.1727304341733111</v>
      </c>
      <c r="CH246" s="84">
        <f t="shared" si="2248"/>
        <v>2.3122782258064518</v>
      </c>
      <c r="CI246" s="84">
        <f t="shared" si="2248"/>
        <v>2.1811313509734673</v>
      </c>
      <c r="CJ246" s="84">
        <f t="shared" si="2248"/>
        <v>2.3241678825460514</v>
      </c>
      <c r="CK246" s="84">
        <f t="shared" si="2248"/>
        <v>2.1904901062918269</v>
      </c>
      <c r="CL246" s="84">
        <f t="shared" ref="CL246" si="2249">(CL161+CL148+CL138+CL140)/CL120</f>
        <v>2.4087098879461966</v>
      </c>
      <c r="CM246" s="50">
        <f t="shared" si="2248"/>
        <v>2.2595990318109154</v>
      </c>
      <c r="CN246" s="50">
        <f t="shared" si="2248"/>
        <v>2.2630399231374794</v>
      </c>
      <c r="CO246" s="50">
        <f t="shared" si="2248"/>
        <v>2.2589492089668104</v>
      </c>
      <c r="CP246" s="50">
        <f t="shared" si="2248"/>
        <v>2.2899871032050427</v>
      </c>
      <c r="CQ246" s="50">
        <f t="shared" si="2248"/>
        <v>2.2031705087442912</v>
      </c>
      <c r="CR246" s="50">
        <f t="shared" si="2248"/>
        <v>2.2069737492450012</v>
      </c>
      <c r="CS246" s="50">
        <f t="shared" si="2248"/>
        <v>2.2015845443362272</v>
      </c>
      <c r="CT246" s="50">
        <f t="shared" si="2248"/>
        <v>2.2312226488648363</v>
      </c>
      <c r="CU246" s="50">
        <f t="shared" si="2248"/>
        <v>2.1435405708952233</v>
      </c>
      <c r="CV246" s="50">
        <f t="shared" si="2248"/>
        <v>2.1471558557200465</v>
      </c>
      <c r="CW246" s="50">
        <f t="shared" si="2248"/>
        <v>2.1413534335127382</v>
      </c>
      <c r="CX246" s="50">
        <f t="shared" ref="CX246:DB246" si="2250">(CX161+CX148+CX138+CX140)/CX120</f>
        <v>2.1707784316544867</v>
      </c>
      <c r="CY246" s="50">
        <f t="shared" si="2250"/>
        <v>2.0826719717369651</v>
      </c>
      <c r="CZ246" s="50">
        <f t="shared" si="2250"/>
        <v>2.085783582091826</v>
      </c>
      <c r="DA246" s="50">
        <f t="shared" si="2250"/>
        <v>2.0795857911315543</v>
      </c>
      <c r="DB246" s="50">
        <f t="shared" si="2250"/>
        <v>2.1085923883168607</v>
      </c>
      <c r="DE246" s="138"/>
      <c r="DF246" s="84">
        <v>2.1880453655192853</v>
      </c>
    </row>
    <row r="247" spans="1:110" s="84" customFormat="1" x14ac:dyDescent="0.2">
      <c r="A247" s="154" t="s">
        <v>498</v>
      </c>
      <c r="AA247" s="50"/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1">B161/B120</f>
        <v>9.5500485257057569E-3</v>
      </c>
      <c r="C248" s="88">
        <f t="shared" si="2251"/>
        <v>6.3036606097346515E-2</v>
      </c>
      <c r="D248" s="88">
        <f t="shared" si="2251"/>
        <v>4.9162112163103466E-3</v>
      </c>
      <c r="F248" s="88">
        <f t="shared" si="2251"/>
        <v>0.17331112066651627</v>
      </c>
      <c r="G248" s="88">
        <f t="shared" si="2251"/>
        <v>0.10620653001889355</v>
      </c>
      <c r="H248" s="88">
        <f t="shared" si="2251"/>
        <v>7.5918936461764064E-2</v>
      </c>
      <c r="I248" s="88">
        <f t="shared" si="2251"/>
        <v>0.12305146690791584</v>
      </c>
      <c r="J248" s="88">
        <f t="shared" si="2251"/>
        <v>0.21125186319847161</v>
      </c>
      <c r="K248" s="88">
        <f t="shared" si="2251"/>
        <v>0.1586053003986157</v>
      </c>
      <c r="L248" s="88">
        <f t="shared" si="2251"/>
        <v>0.29087227939935889</v>
      </c>
      <c r="M248" s="88">
        <f t="shared" si="2251"/>
        <v>0.40074360411933074</v>
      </c>
      <c r="N248" s="88">
        <f t="shared" si="2251"/>
        <v>0.43571997473291041</v>
      </c>
      <c r="O248" s="88">
        <f t="shared" si="2251"/>
        <v>0.36096473347526514</v>
      </c>
      <c r="P248" s="88">
        <f t="shared" si="2251"/>
        <v>0.29088920315424782</v>
      </c>
      <c r="Q248" s="88">
        <f t="shared" si="2251"/>
        <v>0.23117949869577986</v>
      </c>
      <c r="R248" s="88">
        <f t="shared" si="2251"/>
        <v>0.22859667284772231</v>
      </c>
      <c r="S248" s="88">
        <f t="shared" si="2251"/>
        <v>0.21075548711099604</v>
      </c>
      <c r="T248" s="88">
        <f t="shared" si="2251"/>
        <v>0.21209365764946578</v>
      </c>
      <c r="U248" s="88">
        <f t="shared" si="2251"/>
        <v>0.23117288485771406</v>
      </c>
      <c r="V248" s="88">
        <f t="shared" si="2251"/>
        <v>0.24257325342915742</v>
      </c>
      <c r="W248" s="88">
        <f t="shared" si="2251"/>
        <v>0.18511709654451336</v>
      </c>
      <c r="X248" s="88">
        <f t="shared" si="2251"/>
        <v>0.26141125787850344</v>
      </c>
      <c r="Y248" s="88">
        <f t="shared" si="2251"/>
        <v>0.2563325397835613</v>
      </c>
      <c r="Z248" s="88">
        <f t="shared" si="2251"/>
        <v>0.26709084440227704</v>
      </c>
      <c r="AA248" s="42">
        <f t="shared" si="2251"/>
        <v>0.26924770195679348</v>
      </c>
      <c r="AB248" s="42">
        <f t="shared" si="2251"/>
        <v>0.31541327600959657</v>
      </c>
      <c r="AC248" s="42">
        <f t="shared" si="2251"/>
        <v>0.30656149167037139</v>
      </c>
      <c r="AD248" s="42">
        <f t="shared" si="2251"/>
        <v>0.35777953608823848</v>
      </c>
      <c r="AE248" s="42">
        <f t="shared" si="2251"/>
        <v>0.40979640198614176</v>
      </c>
      <c r="AL248" s="88">
        <f t="shared" ref="AL248:CW248" si="2252">AL161/AL120</f>
        <v>0.43571997473291041</v>
      </c>
      <c r="AM248" s="88">
        <f t="shared" si="2252"/>
        <v>0.43913698078311647</v>
      </c>
      <c r="AN248" s="88">
        <f t="shared" si="2252"/>
        <v>0.41240910478074655</v>
      </c>
      <c r="AO248" s="88">
        <f t="shared" si="2252"/>
        <v>0.42906106231042113</v>
      </c>
      <c r="AP248" s="88">
        <f t="shared" si="2252"/>
        <v>0.36096473347526514</v>
      </c>
      <c r="AQ248" s="88">
        <f t="shared" si="2252"/>
        <v>0.37926463936221</v>
      </c>
      <c r="AR248" s="88">
        <f t="shared" si="2252"/>
        <v>0.31586787873018896</v>
      </c>
      <c r="AS248" s="88">
        <f t="shared" si="2252"/>
        <v>0.33278839066445026</v>
      </c>
      <c r="AT248" s="88">
        <f t="shared" si="2252"/>
        <v>0.29088920315424782</v>
      </c>
      <c r="AU248" s="88">
        <f t="shared" si="2252"/>
        <v>0.31042430937399007</v>
      </c>
      <c r="AV248" s="88">
        <f t="shared" si="2252"/>
        <v>0.26113918037742367</v>
      </c>
      <c r="AW248" s="88">
        <f t="shared" si="2252"/>
        <v>0.28423164035691995</v>
      </c>
      <c r="AX248" s="88">
        <f t="shared" si="2252"/>
        <v>0.23117949869577986</v>
      </c>
      <c r="AY248" s="88">
        <f t="shared" si="2252"/>
        <v>0.2547267596235307</v>
      </c>
      <c r="AZ248" s="88">
        <f t="shared" si="2252"/>
        <v>0.19234602977764872</v>
      </c>
      <c r="BA248" s="88">
        <f t="shared" si="2252"/>
        <v>0.21452147909549979</v>
      </c>
      <c r="BB248" s="88">
        <f t="shared" si="2252"/>
        <v>0.22859667284772231</v>
      </c>
      <c r="BC248" s="88">
        <f t="shared" si="2252"/>
        <v>0.24711526100788206</v>
      </c>
      <c r="BD248" s="88">
        <f t="shared" si="2252"/>
        <v>0.21710114400906233</v>
      </c>
      <c r="BE248" s="88">
        <f t="shared" si="2252"/>
        <v>0.24196322130669942</v>
      </c>
      <c r="BF248" s="88">
        <f t="shared" si="2252"/>
        <v>0.21075548711099604</v>
      </c>
      <c r="BG248" s="88">
        <f t="shared" si="2252"/>
        <v>0.23513192456357249</v>
      </c>
      <c r="BH248" s="88">
        <f t="shared" si="2252"/>
        <v>0.19930869519503733</v>
      </c>
      <c r="BI248" s="88">
        <f t="shared" si="2252"/>
        <v>0.22577735137142343</v>
      </c>
      <c r="BJ248" s="88">
        <f t="shared" si="2252"/>
        <v>0.21209365764946578</v>
      </c>
      <c r="BK248" s="88">
        <f t="shared" si="2252"/>
        <v>0.23262495620250745</v>
      </c>
      <c r="BL248" s="88">
        <f t="shared" si="2252"/>
        <v>0.20083231986343442</v>
      </c>
      <c r="BM248" s="88">
        <f t="shared" si="2252"/>
        <v>0.22149033769902199</v>
      </c>
      <c r="BN248" s="88">
        <f t="shared" si="2252"/>
        <v>0.23117288485771406</v>
      </c>
      <c r="BO248" s="88">
        <f t="shared" si="2252"/>
        <v>0.25025113998775217</v>
      </c>
      <c r="BP248" s="88">
        <f t="shared" si="2252"/>
        <v>0.21810596946311023</v>
      </c>
      <c r="BQ248" s="88">
        <f t="shared" si="2252"/>
        <v>0.23694986210967939</v>
      </c>
      <c r="BR248" s="88">
        <f t="shared" si="2252"/>
        <v>0.24257325342915742</v>
      </c>
      <c r="BS248" s="88">
        <f t="shared" si="2252"/>
        <v>0.25346833709321881</v>
      </c>
      <c r="BT248" s="88">
        <f t="shared" si="2252"/>
        <v>0.23170550870306064</v>
      </c>
      <c r="BU248" s="88">
        <f t="shared" si="2252"/>
        <v>0.24946381439299481</v>
      </c>
      <c r="BV248" s="88">
        <f t="shared" si="2252"/>
        <v>0.18511709654451336</v>
      </c>
      <c r="BW248" s="88">
        <f t="shared" si="2252"/>
        <v>0.2014051079039991</v>
      </c>
      <c r="BX248" s="88">
        <f t="shared" si="2252"/>
        <v>0.1496907153860077</v>
      </c>
      <c r="BY248" s="88">
        <f t="shared" si="2252"/>
        <v>0.16776162914357787</v>
      </c>
      <c r="BZ248" s="88">
        <f t="shared" si="2252"/>
        <v>0.26141125787850344</v>
      </c>
      <c r="CA248" s="88">
        <f t="shared" si="2252"/>
        <v>0.28139010333744124</v>
      </c>
      <c r="CB248" s="88">
        <f t="shared" si="2252"/>
        <v>0.230203588286818</v>
      </c>
      <c r="CC248" s="88">
        <f t="shared" si="2252"/>
        <v>0.25144059828214099</v>
      </c>
      <c r="CD248" s="88">
        <f t="shared" si="2252"/>
        <v>0.2563325397835613</v>
      </c>
      <c r="CE248" s="88">
        <f t="shared" si="2252"/>
        <v>0.27118382282193815</v>
      </c>
      <c r="CF248" s="88">
        <f t="shared" si="2252"/>
        <v>0.26211387352294763</v>
      </c>
      <c r="CG248" s="88">
        <f t="shared" si="2252"/>
        <v>0.27973192558499682</v>
      </c>
      <c r="CH248" s="88">
        <f t="shared" si="2252"/>
        <v>0.26709084440227704</v>
      </c>
      <c r="CI248" s="88">
        <f t="shared" si="2252"/>
        <v>0.27548086730874388</v>
      </c>
      <c r="CJ248" s="88">
        <f t="shared" si="2252"/>
        <v>0.25518762538756157</v>
      </c>
      <c r="CK248" s="88">
        <f t="shared" si="2252"/>
        <v>0.13371423359488355</v>
      </c>
      <c r="CL248" s="88">
        <f t="shared" ref="CL248" si="2253">CL161/CL120</f>
        <v>0.26924770195679348</v>
      </c>
      <c r="CM248" s="42">
        <f t="shared" si="2252"/>
        <v>0.27899843207525948</v>
      </c>
      <c r="CN248" s="42">
        <f t="shared" si="2252"/>
        <v>0.29006291526561756</v>
      </c>
      <c r="CO248" s="42">
        <f t="shared" si="2252"/>
        <v>0.30147190772077803</v>
      </c>
      <c r="CP248" s="42">
        <f t="shared" si="2252"/>
        <v>0.31541327600959657</v>
      </c>
      <c r="CQ248" s="42">
        <f t="shared" si="2252"/>
        <v>0.326074842341736</v>
      </c>
      <c r="CR248" s="42">
        <f t="shared" si="2252"/>
        <v>0.33802725710506509</v>
      </c>
      <c r="CS248" s="42">
        <f t="shared" si="2252"/>
        <v>0.35051197315991134</v>
      </c>
      <c r="CT248" s="42">
        <f t="shared" si="2252"/>
        <v>0.30656149167037139</v>
      </c>
      <c r="CU248" s="42">
        <f t="shared" si="2252"/>
        <v>0.32452300879749868</v>
      </c>
      <c r="CV248" s="42">
        <f t="shared" si="2252"/>
        <v>0.33518190661669156</v>
      </c>
      <c r="CW248" s="42">
        <f t="shared" si="2252"/>
        <v>0.34713428573117855</v>
      </c>
      <c r="CX248" s="42">
        <f t="shared" ref="CX248:DB248" si="2254">CX161/CX120</f>
        <v>0.35777953608823848</v>
      </c>
      <c r="CY248" s="42">
        <f t="shared" si="2254"/>
        <v>0.37617332156380795</v>
      </c>
      <c r="CZ248" s="42">
        <f t="shared" si="2254"/>
        <v>0.38713316995412178</v>
      </c>
      <c r="DA248" s="42">
        <f t="shared" si="2254"/>
        <v>0.39925141517494861</v>
      </c>
      <c r="DB248" s="42">
        <f t="shared" si="2254"/>
        <v>0.40979640198614176</v>
      </c>
      <c r="DE248" s="125"/>
      <c r="DF248" s="88">
        <v>0.14016208551643689</v>
      </c>
    </row>
    <row r="249" spans="1:110" s="89" customFormat="1" x14ac:dyDescent="0.2">
      <c r="A249" s="89" t="s">
        <v>103</v>
      </c>
      <c r="C249" s="89">
        <f t="shared" ref="C249:AE249" si="2255">C128/B128-1</f>
        <v>0.86954741564298388</v>
      </c>
      <c r="D249" s="89">
        <f t="shared" si="2255"/>
        <v>4.3967230520957523E-2</v>
      </c>
      <c r="F249" s="89">
        <f t="shared" si="2255"/>
        <v>-0.10466308571678717</v>
      </c>
      <c r="G249" s="89">
        <f t="shared" si="2255"/>
        <v>0.24051062093022879</v>
      </c>
      <c r="H249" s="89">
        <f t="shared" si="2255"/>
        <v>0.44162139931799116</v>
      </c>
      <c r="I249" s="89">
        <f t="shared" si="2255"/>
        <v>0.50650402300285124</v>
      </c>
      <c r="J249" s="89">
        <f t="shared" si="2255"/>
        <v>0.50419095437143202</v>
      </c>
      <c r="K249" s="89">
        <f>K128/J128-1</f>
        <v>-0.15278782426701432</v>
      </c>
      <c r="L249" s="89">
        <f t="shared" si="2255"/>
        <v>0.30255123710791265</v>
      </c>
      <c r="M249" s="89">
        <f t="shared" si="2255"/>
        <v>9.857163228443766E-2</v>
      </c>
      <c r="N249" s="89">
        <f t="shared" si="2255"/>
        <v>0.15978885199087034</v>
      </c>
      <c r="O249" s="89">
        <f t="shared" si="2255"/>
        <v>0.29415495387944302</v>
      </c>
      <c r="P249" s="89">
        <f t="shared" si="2255"/>
        <v>0.15930613009700334</v>
      </c>
      <c r="Q249" s="89">
        <f t="shared" si="2255"/>
        <v>0.12769250853210501</v>
      </c>
      <c r="R249" s="89">
        <f t="shared" si="2255"/>
        <v>8.7837092897620872E-2</v>
      </c>
      <c r="S249" s="89">
        <f t="shared" si="2255"/>
        <v>0.1129787471242234</v>
      </c>
      <c r="T249" s="89">
        <f t="shared" si="2255"/>
        <v>0.31526227843721122</v>
      </c>
      <c r="U249" s="89">
        <f t="shared" si="2255"/>
        <v>0.16415058416270023</v>
      </c>
      <c r="V249" s="89">
        <f t="shared" si="2255"/>
        <v>-0.25121768452603976</v>
      </c>
      <c r="W249" s="89">
        <f t="shared" si="2255"/>
        <v>5.755904229759623E-2</v>
      </c>
      <c r="X249" s="89">
        <f t="shared" si="2255"/>
        <v>0.17897148006984476</v>
      </c>
      <c r="Y249" s="89">
        <f t="shared" si="2255"/>
        <v>3.3939980762248245E-2</v>
      </c>
      <c r="Z249" s="89">
        <f t="shared" si="2255"/>
        <v>7.0568230126115905E-2</v>
      </c>
      <c r="AA249" s="47">
        <f t="shared" si="2255"/>
        <v>7.7377492590567698E-2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>
        <f t="shared" ref="AL249:CW249" si="2256">AL128/AK128-1</f>
        <v>0.58005342201623877</v>
      </c>
      <c r="AM249" s="89">
        <f t="shared" si="2256"/>
        <v>0</v>
      </c>
      <c r="AN249" s="89">
        <f t="shared" si="2256"/>
        <v>-0.24514677235171622</v>
      </c>
      <c r="AO249" s="89">
        <f t="shared" si="2256"/>
        <v>0</v>
      </c>
      <c r="AP249" s="89">
        <f t="shared" si="2256"/>
        <v>0.98459028550241001</v>
      </c>
      <c r="AQ249" s="89">
        <f t="shared" si="2256"/>
        <v>0</v>
      </c>
      <c r="AR249" s="89">
        <f t="shared" si="2256"/>
        <v>4.9345718961819385E-2</v>
      </c>
      <c r="AS249" s="89">
        <f t="shared" si="2256"/>
        <v>0</v>
      </c>
      <c r="AT249" s="89">
        <f t="shared" si="2256"/>
        <v>0.11192616120899634</v>
      </c>
      <c r="AU249" s="89">
        <f t="shared" si="2256"/>
        <v>0</v>
      </c>
      <c r="AV249" s="89">
        <f t="shared" si="2256"/>
        <v>9.2551079228847755E-2</v>
      </c>
      <c r="AW249" s="89">
        <f t="shared" si="2256"/>
        <v>0</v>
      </c>
      <c r="AX249" s="89">
        <f t="shared" si="2256"/>
        <v>-3.1586352444600729E-2</v>
      </c>
      <c r="AY249" s="89">
        <f t="shared" si="2256"/>
        <v>0</v>
      </c>
      <c r="AZ249" s="89">
        <f t="shared" si="2256"/>
        <v>9.6796455034142026E-2</v>
      </c>
      <c r="BA249" s="89">
        <f t="shared" si="2256"/>
        <v>0</v>
      </c>
      <c r="BB249" s="89">
        <f t="shared" si="2256"/>
        <v>1.3765164309920364E-2</v>
      </c>
      <c r="BC249" s="89">
        <f t="shared" si="2256"/>
        <v>0</v>
      </c>
      <c r="BD249" s="89">
        <f t="shared" si="2256"/>
        <v>-1.3197151505912608E-2</v>
      </c>
      <c r="BE249" s="89">
        <f t="shared" si="2256"/>
        <v>0</v>
      </c>
      <c r="BF249" s="89">
        <f t="shared" si="2256"/>
        <v>1.9420475360272249E-3</v>
      </c>
      <c r="BG249" s="89">
        <f t="shared" si="2256"/>
        <v>0</v>
      </c>
      <c r="BH249" s="89">
        <f t="shared" si="2256"/>
        <v>0.28915662650602414</v>
      </c>
      <c r="BI249" s="89">
        <f t="shared" si="2256"/>
        <v>0</v>
      </c>
      <c r="BJ249" s="89">
        <f t="shared" si="2256"/>
        <v>0.16156947837823976</v>
      </c>
      <c r="BK249" s="89">
        <f t="shared" si="2256"/>
        <v>0</v>
      </c>
      <c r="BL249" s="89">
        <f t="shared" si="2256"/>
        <v>-7.263313500672941E-2</v>
      </c>
      <c r="BM249" s="89">
        <f t="shared" si="2256"/>
        <v>0</v>
      </c>
      <c r="BN249" s="89">
        <f t="shared" si="2256"/>
        <v>0.15554542210238309</v>
      </c>
      <c r="BO249" s="89">
        <f t="shared" si="2256"/>
        <v>0</v>
      </c>
      <c r="BP249" s="89">
        <f t="shared" si="2256"/>
        <v>-0.12413826235257386</v>
      </c>
      <c r="BQ249" s="89">
        <f t="shared" si="2256"/>
        <v>0</v>
      </c>
      <c r="BR249" s="89">
        <f t="shared" si="2256"/>
        <v>-1.3438279900172767E-2</v>
      </c>
      <c r="BS249" s="89">
        <f t="shared" si="2256"/>
        <v>0</v>
      </c>
      <c r="BT249" s="89">
        <f t="shared" si="2256"/>
        <v>1.6202628161597454E-2</v>
      </c>
      <c r="BU249" s="89">
        <f t="shared" si="2256"/>
        <v>0</v>
      </c>
      <c r="BV249" s="89">
        <f t="shared" si="2256"/>
        <v>4.0697015526141911E-2</v>
      </c>
      <c r="BW249" s="89">
        <f t="shared" si="2256"/>
        <v>0</v>
      </c>
      <c r="BX249" s="89">
        <f t="shared" si="2256"/>
        <v>0.10722292108672393</v>
      </c>
      <c r="BY249" s="89">
        <f t="shared" si="2256"/>
        <v>0</v>
      </c>
      <c r="BZ249" s="89">
        <f t="shared" si="2256"/>
        <v>6.4800463950566156E-2</v>
      </c>
      <c r="CA249" s="89">
        <f t="shared" si="2256"/>
        <v>0</v>
      </c>
      <c r="CB249" s="89">
        <f t="shared" si="2256"/>
        <v>-5.8219679837944183E-2</v>
      </c>
      <c r="CC249" s="89">
        <f t="shared" si="2256"/>
        <v>0</v>
      </c>
      <c r="CD249" s="89">
        <f t="shared" si="2256"/>
        <v>9.7856855391004638E-2</v>
      </c>
      <c r="CE249" s="89">
        <f t="shared" si="2256"/>
        <v>0</v>
      </c>
      <c r="CF249" s="89">
        <f t="shared" si="2256"/>
        <v>3.6088127113997226E-2</v>
      </c>
      <c r="CG249" s="89">
        <f t="shared" si="2256"/>
        <v>0</v>
      </c>
      <c r="CH249" s="89">
        <f t="shared" si="2256"/>
        <v>3.3279121833161396E-2</v>
      </c>
      <c r="CI249" s="89">
        <f t="shared" si="2256"/>
        <v>0</v>
      </c>
      <c r="CJ249" s="89">
        <f t="shared" si="2256"/>
        <v>2.0142146001784766E-3</v>
      </c>
      <c r="CK249" s="89">
        <f t="shared" si="2256"/>
        <v>0</v>
      </c>
      <c r="CL249" s="89">
        <f t="shared" si="2256"/>
        <v>7.5211785314303725E-2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>
        <f>C28/B28-1</f>
        <v>0.7167693426480588</v>
      </c>
      <c r="D250" s="89">
        <f>D28/C28-1</f>
        <v>4.3907440362992434E-2</v>
      </c>
      <c r="F250" s="89">
        <f t="shared" ref="F250:AE250" si="2258">F28/E28-1</f>
        <v>0.33606422274252301</v>
      </c>
      <c r="G250" s="89">
        <f t="shared" si="2258"/>
        <v>0.13470581071484466</v>
      </c>
      <c r="H250" s="89">
        <f t="shared" si="2258"/>
        <v>0.40257445822429405</v>
      </c>
      <c r="I250" s="89">
        <f t="shared" si="2258"/>
        <v>9.9067579956322538E-2</v>
      </c>
      <c r="J250" s="89">
        <f t="shared" si="2258"/>
        <v>4.9175384367771802E-2</v>
      </c>
      <c r="K250" s="89">
        <f t="shared" si="2258"/>
        <v>0.29928351939478937</v>
      </c>
      <c r="L250" s="89">
        <f t="shared" si="2258"/>
        <v>0.25153349002928826</v>
      </c>
      <c r="M250" s="89">
        <f t="shared" si="2258"/>
        <v>-8.5541657833368645E-2</v>
      </c>
      <c r="N250" s="89">
        <f t="shared" si="2258"/>
        <v>-4.4047757041845381E-2</v>
      </c>
      <c r="O250" s="89">
        <f t="shared" si="2258"/>
        <v>5.4898751060991957E-2</v>
      </c>
      <c r="P250" s="89">
        <f t="shared" si="2258"/>
        <v>7.3709014626857083E-2</v>
      </c>
      <c r="Q250" s="89">
        <f t="shared" si="2258"/>
        <v>0.10370945294936296</v>
      </c>
      <c r="R250" s="89">
        <f t="shared" si="2258"/>
        <v>0.12015325298867574</v>
      </c>
      <c r="S250" s="89">
        <f t="shared" si="2258"/>
        <v>0.38927133393947266</v>
      </c>
      <c r="T250" s="89">
        <f t="shared" si="2258"/>
        <v>0.31150274245823995</v>
      </c>
      <c r="U250" s="89">
        <f t="shared" si="2258"/>
        <v>5.616215381325218E-2</v>
      </c>
      <c r="V250" s="89">
        <f t="shared" si="2258"/>
        <v>-0.10092919657119714</v>
      </c>
      <c r="W250" s="89">
        <f t="shared" si="2258"/>
        <v>0.35689797552613789</v>
      </c>
      <c r="X250" s="89">
        <f t="shared" si="2258"/>
        <v>0.29889530273131326</v>
      </c>
      <c r="Y250" s="89">
        <f t="shared" si="2258"/>
        <v>0.15173221638506318</v>
      </c>
      <c r="Z250" s="89">
        <f t="shared" si="2258"/>
        <v>1.8627529540845567E-2</v>
      </c>
      <c r="AA250" s="47">
        <f t="shared" si="2258"/>
        <v>8.2865873952376656E-2</v>
      </c>
      <c r="AB250" s="47">
        <f t="shared" si="2258"/>
        <v>8.7976621136674593E-2</v>
      </c>
      <c r="AC250" s="47">
        <f t="shared" si="2258"/>
        <v>0.10103070206140741</v>
      </c>
      <c r="AD250" s="47">
        <f t="shared" si="2258"/>
        <v>0.10506396217075364</v>
      </c>
      <c r="AE250" s="47">
        <f t="shared" si="2258"/>
        <v>0.1059921586807302</v>
      </c>
      <c r="AL250" s="89">
        <f t="shared" ref="AL250:CW250" si="2259">AL28/AK28-1</f>
        <v>-6.5448465305147474E-2</v>
      </c>
      <c r="AM250" s="89">
        <f t="shared" si="2259"/>
        <v>4.0894568690095223E-3</v>
      </c>
      <c r="AN250" s="89">
        <f t="shared" si="2259"/>
        <v>0.12829324169530354</v>
      </c>
      <c r="AO250" s="89">
        <f t="shared" si="2259"/>
        <v>-2.4139875916525666E-2</v>
      </c>
      <c r="AP250" s="89">
        <f t="shared" si="2259"/>
        <v>8.9585019072939476E-2</v>
      </c>
      <c r="AQ250" s="89">
        <f t="shared" si="2259"/>
        <v>-4.6361128792701045E-2</v>
      </c>
      <c r="AR250" s="89">
        <f t="shared" si="2259"/>
        <v>9.2223829124485457E-2</v>
      </c>
      <c r="AS250" s="89">
        <f t="shared" si="2259"/>
        <v>-0.11499287023833771</v>
      </c>
      <c r="AT250" s="89">
        <f t="shared" si="2259"/>
        <v>0.13568880193347921</v>
      </c>
      <c r="AU250" s="89">
        <f t="shared" si="2259"/>
        <v>9.2217267936764991E-3</v>
      </c>
      <c r="AV250" s="89">
        <f t="shared" si="2259"/>
        <v>-6.6070890651671821E-2</v>
      </c>
      <c r="AW250" s="89">
        <f t="shared" si="2259"/>
        <v>0.20933232985700467</v>
      </c>
      <c r="AX250" s="89">
        <f t="shared" si="2259"/>
        <v>0</v>
      </c>
      <c r="AY250" s="89">
        <f t="shared" si="2259"/>
        <v>-2.2226173541962657E-3</v>
      </c>
      <c r="AZ250" s="89">
        <f t="shared" si="2259"/>
        <v>-5.2570613917847231E-3</v>
      </c>
      <c r="BA250" s="89">
        <f t="shared" si="2259"/>
        <v>3.6725188104621997E-2</v>
      </c>
      <c r="BB250" s="89">
        <f t="shared" si="2259"/>
        <v>5.6937964402972163E-2</v>
      </c>
      <c r="BC250" s="89">
        <f t="shared" si="2259"/>
        <v>2.6240497016267517E-2</v>
      </c>
      <c r="BD250" s="89">
        <f t="shared" si="2259"/>
        <v>0.2398438744623228</v>
      </c>
      <c r="BE250" s="89">
        <f t="shared" si="2259"/>
        <v>0.12945711532283966</v>
      </c>
      <c r="BF250" s="89">
        <f t="shared" si="2259"/>
        <v>5.1023890784982928E-2</v>
      </c>
      <c r="BG250" s="89">
        <f t="shared" si="2259"/>
        <v>0.11820100665692479</v>
      </c>
      <c r="BH250" s="89">
        <f t="shared" si="2259"/>
        <v>2.1634964425729653E-2</v>
      </c>
      <c r="BI250" s="89">
        <f t="shared" si="2259"/>
        <v>9.9014591624029258E-3</v>
      </c>
      <c r="BJ250" s="89">
        <f t="shared" si="2259"/>
        <v>-7.6933902519116248E-3</v>
      </c>
      <c r="BK250" s="89">
        <f t="shared" si="2259"/>
        <v>2.1840873634945357E-2</v>
      </c>
      <c r="BL250" s="89">
        <f t="shared" si="2259"/>
        <v>4.6079111727966637E-2</v>
      </c>
      <c r="BM250" s="89">
        <f t="shared" si="2259"/>
        <v>6.1032240944673966E-3</v>
      </c>
      <c r="BN250" s="89">
        <f t="shared" si="2259"/>
        <v>-3.1429952964965535E-2</v>
      </c>
      <c r="BO250" s="89">
        <f t="shared" si="2259"/>
        <v>-0.23413815013161476</v>
      </c>
      <c r="BP250" s="89">
        <f t="shared" si="2259"/>
        <v>0.1226666666666667</v>
      </c>
      <c r="BQ250" s="89">
        <f t="shared" si="2259"/>
        <v>0.13834784903668518</v>
      </c>
      <c r="BR250" s="89">
        <f t="shared" si="2259"/>
        <v>8.2769173699341447E-2</v>
      </c>
      <c r="BS250" s="89">
        <f t="shared" si="2259"/>
        <v>7.2802021326712207E-4</v>
      </c>
      <c r="BT250" s="89">
        <f t="shared" si="2259"/>
        <v>0.11348853132488879</v>
      </c>
      <c r="BU250" s="89">
        <f t="shared" si="2259"/>
        <v>0.1416602613374327</v>
      </c>
      <c r="BV250" s="89">
        <f t="shared" si="2259"/>
        <v>5.5880966808052213E-2</v>
      </c>
      <c r="BW250" s="89">
        <f t="shared" si="2259"/>
        <v>0.20375565899381498</v>
      </c>
      <c r="BX250" s="89">
        <f t="shared" si="2259"/>
        <v>-0.17790078660910558</v>
      </c>
      <c r="BY250" s="89">
        <f t="shared" si="2259"/>
        <v>0.12786726804123716</v>
      </c>
      <c r="BZ250" s="89">
        <f t="shared" si="2259"/>
        <v>9.5603987546059477E-2</v>
      </c>
      <c r="CA250" s="89">
        <f t="shared" si="2259"/>
        <v>-6.8568151006361822E-3</v>
      </c>
      <c r="CB250" s="89">
        <f t="shared" si="2259"/>
        <v>7.5473184049562825E-2</v>
      </c>
      <c r="CC250" s="89">
        <f t="shared" si="2259"/>
        <v>-7.6157000585822532E-3</v>
      </c>
      <c r="CD250" s="89">
        <f t="shared" si="2259"/>
        <v>4.5749704840613914E-2</v>
      </c>
      <c r="CE250" s="89">
        <f t="shared" si="2259"/>
        <v>-8.8225609182425391E-2</v>
      </c>
      <c r="CF250" s="89">
        <f t="shared" si="2259"/>
        <v>7.5583645040628866E-3</v>
      </c>
      <c r="CG250" s="89">
        <f t="shared" si="2259"/>
        <v>0.12112755389420871</v>
      </c>
      <c r="CH250" s="89">
        <f t="shared" si="2259"/>
        <v>9.8198177624508887E-4</v>
      </c>
      <c r="CI250" s="89">
        <f t="shared" si="2259"/>
        <v>-2.1148932286913724E-2</v>
      </c>
      <c r="CJ250" s="89">
        <f t="shared" si="2259"/>
        <v>6.9455774385269731E-2</v>
      </c>
      <c r="CK250" s="89">
        <f t="shared" si="2259"/>
        <v>2.8985507246377384E-3</v>
      </c>
      <c r="CL250" s="89">
        <f t="shared" si="2259"/>
        <v>-4.0788387152853267E-2</v>
      </c>
      <c r="CM250" s="47">
        <f t="shared" si="2259"/>
        <v>2.7565287061048993E-2</v>
      </c>
      <c r="CN250" s="47">
        <f t="shared" si="2259"/>
        <v>4.6142055058473685E-2</v>
      </c>
      <c r="CO250" s="47">
        <f t="shared" si="2259"/>
        <v>2.3757688848236036E-2</v>
      </c>
      <c r="CP250" s="47">
        <f t="shared" si="2259"/>
        <v>9.7327113449087621E-2</v>
      </c>
      <c r="CQ250" s="47">
        <f t="shared" si="2259"/>
        <v>-7.7679924732068417E-2</v>
      </c>
      <c r="CR250" s="47">
        <f t="shared" si="2259"/>
        <v>5.2841812109439612E-2</v>
      </c>
      <c r="CS250" s="47">
        <f t="shared" si="2259"/>
        <v>3.8247779025274209E-2</v>
      </c>
      <c r="CT250" s="47">
        <f t="shared" si="2259"/>
        <v>0.11067753496600163</v>
      </c>
      <c r="CU250" s="47">
        <f t="shared" si="2259"/>
        <v>-9.3952212001657265E-2</v>
      </c>
      <c r="CV250" s="47">
        <f t="shared" si="2259"/>
        <v>5.6777977827559889E-2</v>
      </c>
      <c r="CW250" s="47">
        <f t="shared" si="2259"/>
        <v>4.1419882305976374E-2</v>
      </c>
      <c r="CX250" s="47">
        <f t="shared" ref="CX250:DB250" si="2260">CX28/CW28-1</f>
        <v>0.11097580559492726</v>
      </c>
      <c r="CY250" s="47">
        <f t="shared" si="2260"/>
        <v>-9.6363693255813065E-2</v>
      </c>
      <c r="CZ250" s="47">
        <f t="shared" si="2260"/>
        <v>5.7941678430826649E-2</v>
      </c>
      <c r="DA250" s="47">
        <f t="shared" si="2260"/>
        <v>4.1877414881823061E-2</v>
      </c>
      <c r="DB250" s="47">
        <f t="shared" si="2260"/>
        <v>0.11073807214036435</v>
      </c>
      <c r="DE250" s="130"/>
      <c r="DF250" s="89">
        <v>5.0228102700913935E-2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 t="str">
        <f t="shared" ref="D251:U251" si="2261">IF(D249&gt;D250,"RF",0)</f>
        <v>RF</v>
      </c>
      <c r="F251" s="103">
        <f t="shared" si="2261"/>
        <v>0</v>
      </c>
      <c r="G251" s="103" t="str">
        <f t="shared" si="2261"/>
        <v>RF</v>
      </c>
      <c r="H251" s="103" t="str">
        <f t="shared" si="2261"/>
        <v>RF</v>
      </c>
      <c r="I251" s="103" t="str">
        <f t="shared" si="2261"/>
        <v>RF</v>
      </c>
      <c r="J251" s="103" t="str">
        <f t="shared" si="2261"/>
        <v>RF</v>
      </c>
      <c r="K251" s="103">
        <f t="shared" si="2261"/>
        <v>0</v>
      </c>
      <c r="L251" s="103" t="str">
        <f t="shared" si="2261"/>
        <v>RF</v>
      </c>
      <c r="M251" s="103" t="str">
        <f t="shared" si="2261"/>
        <v>RF</v>
      </c>
      <c r="N251" s="103" t="str">
        <f t="shared" si="2261"/>
        <v>RF</v>
      </c>
      <c r="O251" s="103" t="str">
        <f t="shared" si="2261"/>
        <v>RF</v>
      </c>
      <c r="P251" s="103" t="str">
        <f t="shared" si="2261"/>
        <v>RF</v>
      </c>
      <c r="Q251" s="103" t="str">
        <f t="shared" si="2261"/>
        <v>RF</v>
      </c>
      <c r="R251" s="103">
        <f t="shared" si="2261"/>
        <v>0</v>
      </c>
      <c r="S251" s="103">
        <f t="shared" si="2261"/>
        <v>0</v>
      </c>
      <c r="T251" s="103" t="str">
        <f t="shared" si="2261"/>
        <v>RF</v>
      </c>
      <c r="U251" s="103" t="str">
        <f t="shared" si="2261"/>
        <v>RF</v>
      </c>
      <c r="V251" s="103">
        <f>IF(V249&gt;V250,"RF",0)</f>
        <v>0</v>
      </c>
      <c r="W251" s="103">
        <f t="shared" ref="W251:AE251" si="2262">IF(W249&gt;W250,"RF",0)</f>
        <v>0</v>
      </c>
      <c r="X251" s="103">
        <f t="shared" si="2262"/>
        <v>0</v>
      </c>
      <c r="Y251" s="103">
        <f t="shared" si="2262"/>
        <v>0</v>
      </c>
      <c r="Z251" s="103" t="str">
        <f t="shared" si="2262"/>
        <v>RF</v>
      </c>
      <c r="AA251" s="73">
        <f t="shared" si="2262"/>
        <v>0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 t="str">
        <f t="shared" ref="AL251:CW251" si="2263">IF(AL249&gt;AL250,"RF",0)</f>
        <v>RF</v>
      </c>
      <c r="AM251" s="103">
        <f t="shared" si="2263"/>
        <v>0</v>
      </c>
      <c r="AN251" s="103">
        <f t="shared" si="2263"/>
        <v>0</v>
      </c>
      <c r="AO251" s="103" t="str">
        <f t="shared" si="2263"/>
        <v>RF</v>
      </c>
      <c r="AP251" s="103" t="str">
        <f t="shared" si="2263"/>
        <v>RF</v>
      </c>
      <c r="AQ251" s="103" t="str">
        <f t="shared" si="2263"/>
        <v>RF</v>
      </c>
      <c r="AR251" s="103">
        <f t="shared" si="2263"/>
        <v>0</v>
      </c>
      <c r="AS251" s="103" t="str">
        <f t="shared" si="2263"/>
        <v>RF</v>
      </c>
      <c r="AT251" s="103">
        <f t="shared" si="2263"/>
        <v>0</v>
      </c>
      <c r="AU251" s="103">
        <f t="shared" si="2263"/>
        <v>0</v>
      </c>
      <c r="AV251" s="103" t="str">
        <f t="shared" si="2263"/>
        <v>RF</v>
      </c>
      <c r="AW251" s="103">
        <f t="shared" si="2263"/>
        <v>0</v>
      </c>
      <c r="AX251" s="103">
        <f t="shared" si="2263"/>
        <v>0</v>
      </c>
      <c r="AY251" s="103" t="str">
        <f t="shared" si="2263"/>
        <v>RF</v>
      </c>
      <c r="AZ251" s="103" t="str">
        <f t="shared" si="2263"/>
        <v>RF</v>
      </c>
      <c r="BA251" s="103">
        <f t="shared" si="2263"/>
        <v>0</v>
      </c>
      <c r="BB251" s="103">
        <f t="shared" si="2263"/>
        <v>0</v>
      </c>
      <c r="BC251" s="103">
        <f t="shared" si="2263"/>
        <v>0</v>
      </c>
      <c r="BD251" s="103">
        <f t="shared" si="2263"/>
        <v>0</v>
      </c>
      <c r="BE251" s="103">
        <f t="shared" si="2263"/>
        <v>0</v>
      </c>
      <c r="BF251" s="103">
        <f t="shared" si="2263"/>
        <v>0</v>
      </c>
      <c r="BG251" s="103">
        <f t="shared" si="2263"/>
        <v>0</v>
      </c>
      <c r="BH251" s="103" t="str">
        <f t="shared" si="2263"/>
        <v>RF</v>
      </c>
      <c r="BI251" s="103">
        <f t="shared" si="2263"/>
        <v>0</v>
      </c>
      <c r="BJ251" s="103" t="str">
        <f t="shared" si="2263"/>
        <v>RF</v>
      </c>
      <c r="BK251" s="103">
        <f t="shared" si="2263"/>
        <v>0</v>
      </c>
      <c r="BL251" s="103">
        <f t="shared" si="2263"/>
        <v>0</v>
      </c>
      <c r="BM251" s="103">
        <f t="shared" si="2263"/>
        <v>0</v>
      </c>
      <c r="BN251" s="103" t="str">
        <f t="shared" si="2263"/>
        <v>RF</v>
      </c>
      <c r="BO251" s="103" t="str">
        <f t="shared" si="2263"/>
        <v>RF</v>
      </c>
      <c r="BP251" s="103">
        <f t="shared" si="2263"/>
        <v>0</v>
      </c>
      <c r="BQ251" s="103">
        <f t="shared" si="2263"/>
        <v>0</v>
      </c>
      <c r="BR251" s="103">
        <f t="shared" si="2263"/>
        <v>0</v>
      </c>
      <c r="BS251" s="103">
        <f t="shared" si="2263"/>
        <v>0</v>
      </c>
      <c r="BT251" s="103">
        <f t="shared" si="2263"/>
        <v>0</v>
      </c>
      <c r="BU251" s="103">
        <f t="shared" si="2263"/>
        <v>0</v>
      </c>
      <c r="BV251" s="103">
        <f t="shared" si="2263"/>
        <v>0</v>
      </c>
      <c r="BW251" s="103">
        <f t="shared" si="2263"/>
        <v>0</v>
      </c>
      <c r="BX251" s="103" t="str">
        <f t="shared" si="2263"/>
        <v>RF</v>
      </c>
      <c r="BY251" s="103">
        <f t="shared" si="2263"/>
        <v>0</v>
      </c>
      <c r="BZ251" s="103">
        <f t="shared" si="2263"/>
        <v>0</v>
      </c>
      <c r="CA251" s="103" t="str">
        <f t="shared" si="2263"/>
        <v>RF</v>
      </c>
      <c r="CB251" s="103">
        <f t="shared" si="2263"/>
        <v>0</v>
      </c>
      <c r="CC251" s="103" t="str">
        <f t="shared" si="2263"/>
        <v>RF</v>
      </c>
      <c r="CD251" s="103" t="str">
        <f t="shared" si="2263"/>
        <v>RF</v>
      </c>
      <c r="CE251" s="103" t="str">
        <f t="shared" si="2263"/>
        <v>RF</v>
      </c>
      <c r="CF251" s="103" t="str">
        <f t="shared" si="2263"/>
        <v>RF</v>
      </c>
      <c r="CG251" s="103">
        <f t="shared" si="2263"/>
        <v>0</v>
      </c>
      <c r="CH251" s="103" t="str">
        <f t="shared" si="2263"/>
        <v>RF</v>
      </c>
      <c r="CI251" s="103" t="str">
        <f t="shared" si="2263"/>
        <v>RF</v>
      </c>
      <c r="CJ251" s="103">
        <f t="shared" si="2263"/>
        <v>0</v>
      </c>
      <c r="CK251" s="103">
        <f t="shared" si="2263"/>
        <v>0</v>
      </c>
      <c r="CL251" s="103" t="str">
        <f t="shared" ref="CL251" si="2264">IF(CL249&gt;CL250,"RF",0)</f>
        <v>RF</v>
      </c>
      <c r="CM251" s="73">
        <f t="shared" si="2263"/>
        <v>0</v>
      </c>
      <c r="CN251" s="73">
        <f t="shared" si="2263"/>
        <v>0</v>
      </c>
      <c r="CO251" s="73">
        <f t="shared" si="2263"/>
        <v>0</v>
      </c>
      <c r="CP251" s="73">
        <f t="shared" si="2263"/>
        <v>0</v>
      </c>
      <c r="CQ251" s="73" t="str">
        <f t="shared" si="2263"/>
        <v>RF</v>
      </c>
      <c r="CR251" s="73">
        <f t="shared" si="2263"/>
        <v>0</v>
      </c>
      <c r="CS251" s="73">
        <f t="shared" si="2263"/>
        <v>0</v>
      </c>
      <c r="CT251" s="73">
        <f t="shared" si="2263"/>
        <v>0</v>
      </c>
      <c r="CU251" s="73" t="str">
        <f t="shared" si="2263"/>
        <v>RF</v>
      </c>
      <c r="CV251" s="73">
        <f t="shared" si="2263"/>
        <v>0</v>
      </c>
      <c r="CW251" s="73">
        <f t="shared" si="2263"/>
        <v>0</v>
      </c>
      <c r="CX251" s="73">
        <f t="shared" ref="CX251:DB251" si="2265">IF(CX249&gt;CX250,"RF",0)</f>
        <v>0</v>
      </c>
      <c r="CY251" s="73" t="str">
        <f t="shared" si="2265"/>
        <v>RF</v>
      </c>
      <c r="CZ251" s="73">
        <f t="shared" si="2265"/>
        <v>0</v>
      </c>
      <c r="DA251" s="73">
        <f t="shared" si="2265"/>
        <v>0</v>
      </c>
      <c r="DB251" s="73">
        <f t="shared" si="2265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4.3415422241660936E-2</v>
      </c>
      <c r="C252" s="86">
        <f>C36/C8</f>
        <v>3.1998645811889687E-2</v>
      </c>
      <c r="D252" s="86">
        <f>D36/D8</f>
        <v>2.3949453020359064E-2</v>
      </c>
      <c r="F252" s="86">
        <f t="shared" ref="F252:AE252" si="2266">F36/F8</f>
        <v>1.9998111529896841E-2</v>
      </c>
      <c r="G252" s="86">
        <f t="shared" si="2266"/>
        <v>1.0276898728957352E-2</v>
      </c>
      <c r="H252" s="86">
        <f t="shared" si="2266"/>
        <v>1.0232323710403708E-2</v>
      </c>
      <c r="I252" s="86">
        <f t="shared" si="2266"/>
        <v>7.5977773641169692E-3</v>
      </c>
      <c r="J252" s="86">
        <f t="shared" si="2266"/>
        <v>1.1658561982523614E-2</v>
      </c>
      <c r="K252" s="86">
        <f t="shared" si="2266"/>
        <v>9.7275232685173404E-3</v>
      </c>
      <c r="L252" s="86">
        <f t="shared" si="2266"/>
        <v>8.7237491496967856E-3</v>
      </c>
      <c r="M252" s="86">
        <f t="shared" si="2266"/>
        <v>7.8492339332177519E-3</v>
      </c>
      <c r="N252" s="86">
        <f t="shared" si="2266"/>
        <v>8.47959803326216E-3</v>
      </c>
      <c r="O252" s="86">
        <f t="shared" si="2266"/>
        <v>8.5943643732678526E-3</v>
      </c>
      <c r="P252" s="86">
        <f t="shared" si="2266"/>
        <v>8.5355243581625457E-3</v>
      </c>
      <c r="Q252" s="86">
        <f t="shared" si="2266"/>
        <v>1.2584470402116618E-2</v>
      </c>
      <c r="R252" s="86">
        <f t="shared" si="2266"/>
        <v>1.1657277848446302E-2</v>
      </c>
      <c r="S252" s="86">
        <f t="shared" si="2266"/>
        <v>1.8693801932064328E-2</v>
      </c>
      <c r="T252" s="86">
        <f t="shared" si="2266"/>
        <v>2.6383050869145185E-2</v>
      </c>
      <c r="U252" s="86">
        <f t="shared" si="2266"/>
        <v>3.3374394126033907E-2</v>
      </c>
      <c r="V252" s="86">
        <f t="shared" si="2266"/>
        <v>3.9294337565230937E-2</v>
      </c>
      <c r="W252" s="86">
        <f t="shared" si="2266"/>
        <v>1.8490179944544674E-2</v>
      </c>
      <c r="X252" s="86">
        <f t="shared" si="2266"/>
        <v>2.0075620804542994E-2</v>
      </c>
      <c r="Y252" s="86">
        <f t="shared" si="2266"/>
        <v>2.3115179948046339E-2</v>
      </c>
      <c r="Z252" s="86">
        <f t="shared" si="2266"/>
        <v>2.2656449839148447E-2</v>
      </c>
      <c r="AA252" s="87">
        <f t="shared" si="2266"/>
        <v>2.301263947601833E-2</v>
      </c>
      <c r="AB252" s="87">
        <f t="shared" si="2266"/>
        <v>3.4723439190421394E-3</v>
      </c>
      <c r="AC252" s="87">
        <f t="shared" si="2266"/>
        <v>9.8803773128623229E-4</v>
      </c>
      <c r="AD252" s="87">
        <f t="shared" si="2266"/>
        <v>8.1251045008344448E-5</v>
      </c>
      <c r="AE252" s="87">
        <f t="shared" si="2266"/>
        <v>-2.4510513056310306E-3</v>
      </c>
      <c r="AL252" s="86">
        <f t="shared" ref="AL252:CW252" si="2267">AL36/AL8</f>
        <v>8.4206275683507918E-3</v>
      </c>
      <c r="AM252" s="86">
        <f t="shared" si="2267"/>
        <v>9.6202168138416252E-3</v>
      </c>
      <c r="AN252" s="86">
        <f t="shared" si="2267"/>
        <v>8.3036773428232496E-3</v>
      </c>
      <c r="AO252" s="86">
        <f t="shared" si="2267"/>
        <v>8.1414459750249919E-3</v>
      </c>
      <c r="AP252" s="86">
        <f t="shared" si="2267"/>
        <v>9.4558533472560626E-3</v>
      </c>
      <c r="AQ252" s="86">
        <f t="shared" si="2267"/>
        <v>4.8260703363914373E-3</v>
      </c>
      <c r="AR252" s="86">
        <f t="shared" si="2267"/>
        <v>9.0803938176817218E-3</v>
      </c>
      <c r="AS252" s="86">
        <f t="shared" si="2267"/>
        <v>1.2156787272260713E-2</v>
      </c>
      <c r="AT252" s="86">
        <f t="shared" si="2267"/>
        <v>1.003408922484067E-2</v>
      </c>
      <c r="AU252" s="86">
        <f t="shared" si="2267"/>
        <v>1.1942831038308425E-2</v>
      </c>
      <c r="AV252" s="86">
        <f t="shared" si="2267"/>
        <v>1.333064840918244E-2</v>
      </c>
      <c r="AW252" s="86">
        <f t="shared" si="2267"/>
        <v>1.3032145960034752E-2</v>
      </c>
      <c r="AX252" s="86">
        <f t="shared" si="2267"/>
        <v>1.3165712856115333E-2</v>
      </c>
      <c r="AY252" s="86">
        <f t="shared" si="2267"/>
        <v>1.6878700088172313E-2</v>
      </c>
      <c r="AZ252" s="86">
        <f t="shared" si="2267"/>
        <v>1.0814319481696489E-2</v>
      </c>
      <c r="BA252" s="86">
        <f t="shared" si="2267"/>
        <v>1.4301155732934232E-2</v>
      </c>
      <c r="BB252" s="86">
        <f t="shared" si="2267"/>
        <v>5.9856387731593626E-3</v>
      </c>
      <c r="BC252" s="86">
        <f t="shared" si="2267"/>
        <v>1.2359587792836078E-2</v>
      </c>
      <c r="BD252" s="86">
        <f t="shared" si="2267"/>
        <v>2.2457472150559953E-2</v>
      </c>
      <c r="BE252" s="86">
        <f t="shared" si="2267"/>
        <v>1.9061917110231565E-2</v>
      </c>
      <c r="BF252" s="86">
        <f t="shared" si="2267"/>
        <v>1.9872986369268895E-2</v>
      </c>
      <c r="BG252" s="86">
        <f t="shared" si="2267"/>
        <v>2.5053105526503364E-2</v>
      </c>
      <c r="BH252" s="86">
        <f t="shared" si="2267"/>
        <v>2.515819848871656E-2</v>
      </c>
      <c r="BI252" s="86">
        <f t="shared" si="2267"/>
        <v>2.404553415061296E-2</v>
      </c>
      <c r="BJ252" s="86">
        <f t="shared" si="2267"/>
        <v>3.1543464109158176E-2</v>
      </c>
      <c r="BK252" s="86">
        <f t="shared" si="2267"/>
        <v>2.9347395267883301E-2</v>
      </c>
      <c r="BL252" s="86">
        <f t="shared" si="2267"/>
        <v>3.2984724138765825E-2</v>
      </c>
      <c r="BM252" s="86">
        <f t="shared" si="2267"/>
        <v>3.1934570768403447E-2</v>
      </c>
      <c r="BN252" s="86">
        <f t="shared" si="2267"/>
        <v>4.0036709119839434E-2</v>
      </c>
      <c r="BO252" s="86">
        <f t="shared" si="2267"/>
        <v>6.6730077579288408E-2</v>
      </c>
      <c r="BP252" s="86">
        <f t="shared" si="2267"/>
        <v>4.7388713634770416E-2</v>
      </c>
      <c r="BQ252" s="86">
        <f t="shared" si="2267"/>
        <v>3.1386718324880832E-2</v>
      </c>
      <c r="BR252" s="86">
        <f t="shared" si="2267"/>
        <v>2.3498649002004705E-2</v>
      </c>
      <c r="BS252" s="86">
        <f t="shared" si="2267"/>
        <v>2.1383338998627741E-2</v>
      </c>
      <c r="BT252" s="86">
        <f t="shared" si="2267"/>
        <v>1.9939226865484619E-2</v>
      </c>
      <c r="BU252" s="86">
        <f t="shared" si="2267"/>
        <v>1.8167693722804457E-2</v>
      </c>
      <c r="BV252" s="86">
        <f t="shared" si="2267"/>
        <v>1.5292058536417547E-2</v>
      </c>
      <c r="BW252" s="86">
        <f t="shared" si="2267"/>
        <v>1.6480503362484487E-2</v>
      </c>
      <c r="BX252" s="86">
        <f t="shared" si="2267"/>
        <v>1.8010963194988253E-2</v>
      </c>
      <c r="BY252" s="86">
        <f t="shared" si="2267"/>
        <v>2.1622902565978746E-2</v>
      </c>
      <c r="BZ252" s="86">
        <f t="shared" si="2267"/>
        <v>2.4351661596019366E-2</v>
      </c>
      <c r="CA252" s="86">
        <f t="shared" si="2267"/>
        <v>2.5253967429866915E-2</v>
      </c>
      <c r="CB252" s="86">
        <f t="shared" si="2267"/>
        <v>2.2387068547946063E-2</v>
      </c>
      <c r="CC252" s="86">
        <f t="shared" si="2267"/>
        <v>2.3327691811734365E-2</v>
      </c>
      <c r="CD252" s="86">
        <f t="shared" si="2267"/>
        <v>2.175324920516248E-2</v>
      </c>
      <c r="CE252" s="86">
        <f t="shared" si="2267"/>
        <v>2.2953731823770571E-2</v>
      </c>
      <c r="CF252" s="86">
        <f t="shared" si="2267"/>
        <v>2.3319265038154922E-2</v>
      </c>
      <c r="CG252" s="86">
        <f t="shared" si="2267"/>
        <v>2.3126211702708975E-2</v>
      </c>
      <c r="CH252" s="86">
        <f t="shared" si="2267"/>
        <v>2.1361292158618438E-2</v>
      </c>
      <c r="CI252" s="86">
        <f t="shared" si="2267"/>
        <v>2.574912534949424E-2</v>
      </c>
      <c r="CJ252" s="86">
        <f t="shared" si="2267"/>
        <v>2.4077052209855121E-2</v>
      </c>
      <c r="CK252" s="86">
        <f t="shared" si="2267"/>
        <v>2.2506287670720045E-2</v>
      </c>
      <c r="CL252" s="86">
        <f t="shared" ref="CL252" si="2268">CL36/CL8</f>
        <v>2.0243475053029605E-2</v>
      </c>
      <c r="CM252" s="87">
        <f t="shared" si="2267"/>
        <v>4.5967442174260588E-3</v>
      </c>
      <c r="CN252" s="87">
        <f t="shared" si="2267"/>
        <v>3.8905547037478543E-3</v>
      </c>
      <c r="CO252" s="87">
        <f t="shared" si="2267"/>
        <v>3.2250048770062537E-3</v>
      </c>
      <c r="CP252" s="87">
        <f t="shared" si="2267"/>
        <v>2.4133137041938185E-3</v>
      </c>
      <c r="CQ252" s="87">
        <f t="shared" si="2267"/>
        <v>1.9940160783269048E-3</v>
      </c>
      <c r="CR252" s="87">
        <f t="shared" si="2267"/>
        <v>1.3569337275621922E-3</v>
      </c>
      <c r="CS252" s="87">
        <f t="shared" si="2267"/>
        <v>7.2352544405624418E-4</v>
      </c>
      <c r="CT252" s="87">
        <f t="shared" si="2267"/>
        <v>8.5686627622100239E-5</v>
      </c>
      <c r="CU252" s="87">
        <f t="shared" si="2267"/>
        <v>1.1664513526577337E-3</v>
      </c>
      <c r="CV252" s="87">
        <f t="shared" si="2267"/>
        <v>3.4720047192036795E-4</v>
      </c>
      <c r="CW252" s="87">
        <f t="shared" si="2267"/>
        <v>-2.2066529516163758E-4</v>
      </c>
      <c r="CX252" s="87">
        <f t="shared" ref="CX252:DB252" si="2269">CX36/CX8</f>
        <v>-7.6292546659708672E-4</v>
      </c>
      <c r="CY252" s="87">
        <f t="shared" si="2269"/>
        <v>-1.4961420873555618E-3</v>
      </c>
      <c r="CZ252" s="87">
        <f t="shared" si="2269"/>
        <v>-2.2395546474825502E-3</v>
      </c>
      <c r="DA252" s="87">
        <f t="shared" si="2269"/>
        <v>-2.7727177072062424E-3</v>
      </c>
      <c r="DB252" s="87">
        <f t="shared" si="2269"/>
        <v>-3.123964954031928E-3</v>
      </c>
      <c r="DE252" s="141"/>
      <c r="DF252" s="86">
        <v>1.126371704290435E-2</v>
      </c>
    </row>
    <row r="253" spans="1:110" s="86" customFormat="1" x14ac:dyDescent="0.2">
      <c r="A253" s="86" t="s">
        <v>433</v>
      </c>
      <c r="B253" s="86">
        <f>B32/B8</f>
        <v>9.4141190542072428E-2</v>
      </c>
      <c r="C253" s="86">
        <f>C32/C8</f>
        <v>6.0144437395757623E-2</v>
      </c>
      <c r="D253" s="86">
        <f>D32/D8</f>
        <v>5.3065507857857214E-2</v>
      </c>
      <c r="F253" s="86">
        <f t="shared" ref="F253:AE253" si="2270">F32/F8</f>
        <v>5.1396097650184241E-2</v>
      </c>
      <c r="G253" s="86">
        <f t="shared" si="2270"/>
        <v>5.4407984170303396E-2</v>
      </c>
      <c r="H253" s="86">
        <f t="shared" si="2270"/>
        <v>5.7264776291173956E-2</v>
      </c>
      <c r="I253" s="86">
        <f t="shared" si="2270"/>
        <v>4.7445270787073286E-2</v>
      </c>
      <c r="J253" s="86">
        <f t="shared" si="2270"/>
        <v>4.950673191495316E-2</v>
      </c>
      <c r="K253" s="86">
        <f t="shared" si="2270"/>
        <v>6.6125791095111269E-2</v>
      </c>
      <c r="L253" s="86">
        <f t="shared" si="2270"/>
        <v>6.0860000289464922E-2</v>
      </c>
      <c r="M253" s="86">
        <f t="shared" si="2270"/>
        <v>4.0228341350784513E-2</v>
      </c>
      <c r="N253" s="86">
        <f t="shared" si="2270"/>
        <v>3.2794471977903583E-2</v>
      </c>
      <c r="O253" s="86">
        <f t="shared" si="2270"/>
        <v>2.9482075283584899E-2</v>
      </c>
      <c r="P253" s="86">
        <f t="shared" si="2270"/>
        <v>3.0015907581584272E-2</v>
      </c>
      <c r="Q253" s="86">
        <f t="shared" si="2270"/>
        <v>3.9430885993085529E-2</v>
      </c>
      <c r="R253" s="86">
        <f t="shared" si="2270"/>
        <v>3.5271669998182813E-2</v>
      </c>
      <c r="S253" s="86">
        <f t="shared" si="2270"/>
        <v>3.878522790326213E-2</v>
      </c>
      <c r="T253" s="86">
        <f t="shared" si="2270"/>
        <v>3.3483042551966373E-2</v>
      </c>
      <c r="U253" s="86">
        <f t="shared" si="2270"/>
        <v>3.3641062004827298E-2</v>
      </c>
      <c r="V253" s="86">
        <f t="shared" si="2270"/>
        <v>4.9276942648700577E-2</v>
      </c>
      <c r="W253" s="86">
        <f t="shared" si="2270"/>
        <v>3.7758813707379969E-2</v>
      </c>
      <c r="X253" s="86">
        <f t="shared" si="2270"/>
        <v>4.1342176960068276E-2</v>
      </c>
      <c r="Y253" s="86">
        <f t="shared" si="2270"/>
        <v>5.0825799252491199E-2</v>
      </c>
      <c r="Z253" s="86">
        <f t="shared" si="2270"/>
        <v>4.9605386239770573E-2</v>
      </c>
      <c r="AA253" s="87">
        <f t="shared" si="2270"/>
        <v>4.9057800749881579E-2</v>
      </c>
      <c r="AB253" s="87">
        <f t="shared" si="2270"/>
        <v>5.494326000475911E-2</v>
      </c>
      <c r="AC253" s="87">
        <f t="shared" si="2270"/>
        <v>5.0488792005607679E-2</v>
      </c>
      <c r="AD253" s="87">
        <f t="shared" si="2270"/>
        <v>4.6325050803122068E-2</v>
      </c>
      <c r="AE253" s="87">
        <f t="shared" si="2270"/>
        <v>4.2453527683719086E-2</v>
      </c>
      <c r="AL253" s="86">
        <f t="shared" ref="AL253:CW253" si="2271">AL32/AL8</f>
        <v>2.6592080571985081E-2</v>
      </c>
      <c r="AM253" s="86">
        <f t="shared" si="2271"/>
        <v>2.7886321446519594E-2</v>
      </c>
      <c r="AN253" s="86">
        <f t="shared" si="2271"/>
        <v>2.4209678676260487E-2</v>
      </c>
      <c r="AO253" s="86">
        <f t="shared" si="2271"/>
        <v>2.3517850183839104E-2</v>
      </c>
      <c r="AP253" s="86">
        <f t="shared" si="2271"/>
        <v>2.8135514560853926E-2</v>
      </c>
      <c r="AQ253" s="86">
        <f t="shared" si="2271"/>
        <v>2.6586391437308867E-2</v>
      </c>
      <c r="AR253" s="86">
        <f t="shared" si="2271"/>
        <v>2.7541736113008551E-2</v>
      </c>
      <c r="AS253" s="86">
        <f t="shared" si="2271"/>
        <v>3.1584124540244632E-2</v>
      </c>
      <c r="AT253" s="86">
        <f t="shared" si="2271"/>
        <v>4.1307247665629168E-2</v>
      </c>
      <c r="AU253" s="86">
        <f t="shared" si="2271"/>
        <v>3.5906806761078117E-2</v>
      </c>
      <c r="AV253" s="86">
        <f t="shared" si="2271"/>
        <v>3.81527721841858E-2</v>
      </c>
      <c r="AW253" s="86">
        <f t="shared" si="2271"/>
        <v>3.9799760043026766E-2</v>
      </c>
      <c r="AX253" s="86">
        <f t="shared" si="2271"/>
        <v>4.8972699127497889E-2</v>
      </c>
      <c r="AY253" s="86">
        <f t="shared" si="2271"/>
        <v>3.8138024660256682E-2</v>
      </c>
      <c r="AZ253" s="86">
        <f t="shared" si="2271"/>
        <v>3.3973864373981949E-2</v>
      </c>
      <c r="BA253" s="86">
        <f t="shared" si="2271"/>
        <v>3.3175355450236969E-2</v>
      </c>
      <c r="BB253" s="86">
        <f t="shared" si="2271"/>
        <v>3.6107612311468529E-2</v>
      </c>
      <c r="BC253" s="86">
        <f t="shared" si="2271"/>
        <v>3.3544296806830354E-2</v>
      </c>
      <c r="BD253" s="86">
        <f t="shared" si="2271"/>
        <v>4.2374640453103227E-2</v>
      </c>
      <c r="BE253" s="86">
        <f t="shared" si="2271"/>
        <v>4.1217415040262044E-2</v>
      </c>
      <c r="BF253" s="86">
        <f t="shared" si="2271"/>
        <v>3.7577447335811649E-2</v>
      </c>
      <c r="BG253" s="86">
        <f t="shared" si="2271"/>
        <v>3.6506961940451235E-2</v>
      </c>
      <c r="BH253" s="86">
        <f t="shared" si="2271"/>
        <v>3.3456820930187918E-2</v>
      </c>
      <c r="BI253" s="86">
        <f t="shared" si="2271"/>
        <v>3.0572095738470518E-2</v>
      </c>
      <c r="BJ253" s="86">
        <f t="shared" si="2271"/>
        <v>3.4128043003267786E-2</v>
      </c>
      <c r="BK253" s="86">
        <f t="shared" si="2271"/>
        <v>2.8784458345539873E-2</v>
      </c>
      <c r="BL253" s="86">
        <f t="shared" si="2271"/>
        <v>3.2167671338998234E-2</v>
      </c>
      <c r="BM253" s="86">
        <f t="shared" si="2271"/>
        <v>3.2767800686676E-2</v>
      </c>
      <c r="BN253" s="86">
        <f t="shared" si="2271"/>
        <v>4.1806141514977455E-2</v>
      </c>
      <c r="BO253" s="86">
        <f t="shared" si="2271"/>
        <v>6.2499380752806429E-2</v>
      </c>
      <c r="BP253" s="86">
        <f t="shared" si="2271"/>
        <v>5.1610390621957394E-2</v>
      </c>
      <c r="BQ253" s="86">
        <f t="shared" si="2271"/>
        <v>4.8357022107103728E-2</v>
      </c>
      <c r="BR253" s="86">
        <f t="shared" si="2271"/>
        <v>4.0518318370667362E-2</v>
      </c>
      <c r="BS253" s="86">
        <f t="shared" si="2271"/>
        <v>4.332691266633934E-2</v>
      </c>
      <c r="BT253" s="86">
        <f t="shared" si="2271"/>
        <v>3.7748261387131131E-2</v>
      </c>
      <c r="BU253" s="86">
        <f t="shared" si="2271"/>
        <v>3.6616576829041618E-2</v>
      </c>
      <c r="BV253" s="86">
        <f t="shared" si="2271"/>
        <v>3.440713170693948E-2</v>
      </c>
      <c r="BW253" s="86">
        <f t="shared" si="2271"/>
        <v>3.686981763005661E-2</v>
      </c>
      <c r="BX253" s="86">
        <f t="shared" si="2271"/>
        <v>3.8466101896015757E-2</v>
      </c>
      <c r="BY253" s="86">
        <f t="shared" si="2271"/>
        <v>4.233532336653751E-2</v>
      </c>
      <c r="BZ253" s="86">
        <f t="shared" si="2271"/>
        <v>4.7924940470461211E-2</v>
      </c>
      <c r="CA253" s="86">
        <f t="shared" si="2271"/>
        <v>5.0944914594257824E-2</v>
      </c>
      <c r="CB253" s="86">
        <f t="shared" si="2271"/>
        <v>4.9160924389443583E-2</v>
      </c>
      <c r="CC253" s="86">
        <f t="shared" si="2271"/>
        <v>5.1994680851063832E-2</v>
      </c>
      <c r="CD253" s="86">
        <f t="shared" si="2271"/>
        <v>5.1235868506309616E-2</v>
      </c>
      <c r="CE253" s="86">
        <f t="shared" si="2271"/>
        <v>5.2733852294015664E-2</v>
      </c>
      <c r="CF253" s="86">
        <f t="shared" si="2271"/>
        <v>4.9917256721195846E-2</v>
      </c>
      <c r="CG253" s="86">
        <f t="shared" si="2271"/>
        <v>4.9332674616184978E-2</v>
      </c>
      <c r="CH253" s="86">
        <f t="shared" si="2271"/>
        <v>4.6779668075713723E-2</v>
      </c>
      <c r="CI253" s="86">
        <f t="shared" si="2271"/>
        <v>5.0656536823152257E-2</v>
      </c>
      <c r="CJ253" s="86">
        <f t="shared" si="2271"/>
        <v>5.0841480102134386E-2</v>
      </c>
      <c r="CK253" s="86">
        <f t="shared" si="2271"/>
        <v>4.9763638034366925E-2</v>
      </c>
      <c r="CL253" s="86">
        <f t="shared" ref="CL253" si="2272">CL32/CL8</f>
        <v>4.5522456884626028E-2</v>
      </c>
      <c r="CM253" s="87">
        <f t="shared" si="2271"/>
        <v>5.9740729652849538E-2</v>
      </c>
      <c r="CN253" s="87">
        <f t="shared" si="2271"/>
        <v>5.6839372466369338E-2</v>
      </c>
      <c r="CO253" s="87">
        <f t="shared" si="2271"/>
        <v>5.4787064232547089E-2</v>
      </c>
      <c r="CP253" s="87">
        <f t="shared" si="2271"/>
        <v>4.9518835240685594E-2</v>
      </c>
      <c r="CQ253" s="87">
        <f t="shared" si="2271"/>
        <v>5.5014610714319984E-2</v>
      </c>
      <c r="CR253" s="87">
        <f t="shared" si="2271"/>
        <v>5.2215775311441573E-2</v>
      </c>
      <c r="CS253" s="87">
        <f t="shared" si="2271"/>
        <v>5.0307046156059687E-2</v>
      </c>
      <c r="CT253" s="87">
        <f t="shared" si="2271"/>
        <v>4.5463238478749772E-2</v>
      </c>
      <c r="CU253" s="87">
        <f t="shared" si="2271"/>
        <v>5.0514830723435176E-2</v>
      </c>
      <c r="CV253" s="87">
        <f t="shared" si="2271"/>
        <v>4.7910962748151993E-2</v>
      </c>
      <c r="CW253" s="87">
        <f t="shared" si="2271"/>
        <v>4.614670522692569E-2</v>
      </c>
      <c r="CX253" s="87">
        <f t="shared" ref="CX253:DB253" si="2273">CX32/CX8</f>
        <v>4.1693735036909298E-2</v>
      </c>
      <c r="CY253" s="87">
        <f t="shared" si="2273"/>
        <v>4.6314553636259886E-2</v>
      </c>
      <c r="CZ253" s="87">
        <f t="shared" si="2273"/>
        <v>4.3911745215117835E-2</v>
      </c>
      <c r="DA253" s="87">
        <f t="shared" si="2273"/>
        <v>4.2283624695789744E-2</v>
      </c>
      <c r="DB253" s="87">
        <f t="shared" si="2273"/>
        <v>3.8193508025505606E-2</v>
      </c>
      <c r="DE253" s="141"/>
      <c r="DF253" s="86">
        <v>5.3098631068454825E-2</v>
      </c>
    </row>
    <row r="254" spans="1:110" s="85" customFormat="1" x14ac:dyDescent="0.2">
      <c r="AA254" s="58"/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R58" activePane="bottomRight" state="frozen"/>
      <selection activeCell="A2" sqref="A2"/>
      <selection pane="topRight" activeCell="A2" sqref="A2"/>
      <selection pane="bottomLeft" activeCell="A2" sqref="A2"/>
      <selection pane="bottomRight" activeCell="BF68" sqref="A68:XFD6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  <col min="56" max="56" width="10.5703125" bestFit="1" customWidth="1"/>
    <col min="58" max="58" width="9.5703125" bestFit="1" customWidth="1"/>
  </cols>
  <sheetData>
    <row r="1" spans="1:74" x14ac:dyDescent="0.25">
      <c r="A1">
        <f>'Annual Raw'!A1</f>
        <v>100325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Reliance Industries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91876</v>
      </c>
      <c r="D6">
        <f>_xll.EQNXTDZ($A$1,$B6,D$1,$B$1)</f>
        <v>90336</v>
      </c>
      <c r="E6">
        <f>_xll.EQNXTDZ($A$1,$B6,E$1,$B$1)</f>
        <v>93886</v>
      </c>
      <c r="F6">
        <f>_xll.EQNXTDZ($A$1,$B6,F$1,$B$1)</f>
        <v>84198</v>
      </c>
      <c r="G6">
        <f>_xll.EQNXTDZ($A$1,$B6,G$1,$B$1)</f>
        <v>97503</v>
      </c>
      <c r="H6">
        <f>_xll.EQNXTDZ($A$1,$B6,H$1,$B$1)</f>
        <v>115491</v>
      </c>
      <c r="I6">
        <f>_xll.EQNXTDZ($A$1,$B6,I$1,$B$1)</f>
        <v>118038</v>
      </c>
      <c r="J6">
        <f>_xll.EQNXTDZ($A$1,$B6,J$1,$B$1)</f>
        <v>103428</v>
      </c>
      <c r="K6">
        <f>_xll.EQNXTDZ($A$1,$B6,K$1,$B$1)</f>
        <v>104640</v>
      </c>
      <c r="L6">
        <f>_xll.EQNXTDZ($A$1,$B6,L$1,$B$1)</f>
        <v>109797</v>
      </c>
      <c r="M6">
        <f>_xll.EQNXTDZ($A$1,$B6,M$1,$B$1)</f>
        <v>93528</v>
      </c>
      <c r="N6">
        <f>_xll.EQNXTDZ($A$1,$B6,N$1,$B$1)</f>
        <v>67470</v>
      </c>
      <c r="O6">
        <f>_xll.EQNXTDZ($A$1,$B6,O$1,$B$1)</f>
        <v>76615</v>
      </c>
      <c r="P6">
        <f>_xll.EQNXTDZ($A$1,$B6,P$1,$B$1)</f>
        <v>74490</v>
      </c>
      <c r="Q6">
        <f>_xll.EQNXTDZ($A$1,$B6,Q$1,$B$1)</f>
        <v>72513</v>
      </c>
      <c r="R6">
        <f>_xll.EQNXTDZ($A$1,$B6,R$1,$B$1)</f>
        <v>63954</v>
      </c>
      <c r="S6">
        <f>_xll.EQNXTDZ($A$1,$B6,S$1,$B$1)</f>
        <v>71451</v>
      </c>
      <c r="T6">
        <f>_xll.EQNXTDZ($A$1,$B6,T$1,$B$1)</f>
        <v>81651</v>
      </c>
      <c r="U6">
        <f>_xll.EQNXTDZ($A$1,$B6,U$1,$B$1)</f>
        <v>84189</v>
      </c>
      <c r="V6">
        <f>_xll.EQNXTDZ($A$1,$B6,V$1,$B$1)</f>
        <v>92889</v>
      </c>
      <c r="W6">
        <f>_xll.EQNXTDZ($A$1,$B6,W$1,$B$1)</f>
        <v>90537</v>
      </c>
      <c r="X6">
        <f>_xll.EQNXTDZ($A$1,$B6,X$1,$B$1)</f>
        <v>101169</v>
      </c>
      <c r="Y6">
        <f>_xll.EQNXTDZ($A$1,$B6,Y$1,$B$1)</f>
        <v>109905</v>
      </c>
      <c r="Z6">
        <f>_xll.EQNXTDZ($A$1,$B6,Z$1,$B$1)</f>
        <v>129120</v>
      </c>
      <c r="AA6">
        <f>_xll.EQNXTDZ($A$1,$B6,AA$1,$B$1)</f>
        <v>141699</v>
      </c>
      <c r="AB6">
        <f>_xll.EQNXTDZ($A$1,$B6,AB$1,$B$1)</f>
        <v>156291</v>
      </c>
      <c r="AC6">
        <f>_xll.EQNXTDZ($A$1,$B6,AC$1,$B$1)</f>
        <v>171300</v>
      </c>
      <c r="AD6">
        <f>_xll.EQNXTDZ($A$1,$B6,AD$1,$B$1)</f>
        <v>155151</v>
      </c>
      <c r="AE6">
        <f>_xll.EQNXTDZ($A$1,$B6,AE$1,$B$1)</f>
        <v>174087</v>
      </c>
      <c r="AF6">
        <f>_xll.EQNXTDZ($A$1,$B6,AF$1,$B$1)</f>
        <v>165228</v>
      </c>
      <c r="AG6">
        <f>_xll.EQNXTDZ($A$1,$B6,AG$1,$B$1)</f>
        <v>169221</v>
      </c>
      <c r="AH6">
        <f>_xll.EQNXTDZ($A$1,$B6,AH$1,$B$1)</f>
        <v>151461</v>
      </c>
      <c r="AI6">
        <f>_xll.EQNXTDZ($A$1,$B6,AI$1,$B$1)</f>
        <v>100929</v>
      </c>
      <c r="AJ6">
        <f>_xll.EQNXTDZ($A$1,$B6,AJ$1,$B$1)</f>
        <v>128385</v>
      </c>
      <c r="AK6">
        <f>_xll.EQNXTDZ($A$1,$B6,AK$1,$B$1)</f>
        <v>137829</v>
      </c>
      <c r="AL6">
        <f>_xll.EQNXTDZ($A$1,$B6,AL$1,$B$1)</f>
        <v>172095</v>
      </c>
      <c r="AM6">
        <f>_xll.EQNXTDZ($A$1,$B6,AM$1,$B$1)</f>
        <v>158862</v>
      </c>
      <c r="AN6">
        <f>_xll.EQNXTDZ($A$1,$B6,AN$1,$B$1)</f>
        <v>191532</v>
      </c>
      <c r="AO6">
        <f>_xll.EQNXTDZ($A$1,$B6,AO$1,$B$1)</f>
        <v>209823</v>
      </c>
      <c r="AP6">
        <f>_xll.EQNXTDZ($A$1,$B6,AP$1,$B$1)</f>
        <v>232539</v>
      </c>
      <c r="AQ6">
        <f>_xll.EQNXTDZ($A$1,$B6,AQ$1,$B$1)</f>
        <v>242529</v>
      </c>
      <c r="AR6">
        <f>_xll.EQNXTDZ($A$1,$B6,AR$1,$B$1)</f>
        <v>252846</v>
      </c>
      <c r="AS6">
        <f>_xll.EQNXTDZ($A$1,$B6,AS$1,$B$1)</f>
        <v>240532</v>
      </c>
      <c r="AT6">
        <f>_xll.EQNXTDZ($A$1,$B6,AT$1,$B$1)</f>
        <v>238957</v>
      </c>
      <c r="AU6">
        <f>_xll.EQNXTDZ($A$1,$B6,AU$1,$B$1)</f>
        <v>231132</v>
      </c>
      <c r="AV6">
        <f>_xll.EQNXTDZ($A$1,$B6,AV$1,$B$1)</f>
        <v>255996</v>
      </c>
      <c r="AW6">
        <f>_xll.EQNXTDZ($A$1,$B6,AW$1,$B$1)</f>
        <v>248160</v>
      </c>
      <c r="AX6">
        <f>_xll.EQNXTDZ($A$1,$B6,AX$1,$B$1)</f>
        <v>264834</v>
      </c>
      <c r="AY6">
        <f>_xll.EQNXTDZ($A$1,$B6,AY$1,$B$1)</f>
        <v>257823</v>
      </c>
      <c r="AZ6">
        <f>_xll.EQNXTDZ($A$1,$B6,AZ$1,$B$1)</f>
        <v>258027</v>
      </c>
      <c r="BA6">
        <f>_xll.EQNXTDZ($A$1,$B6,BA$1,$B$1)</f>
        <v>267186</v>
      </c>
      <c r="BB6">
        <f>_xll.EQNXTDZ($A$1,$B6,BB$1,$B$1)</f>
        <v>288138</v>
      </c>
      <c r="BC6">
        <f>_xll.EQNXTDZ($A$1,$B6,BC$1,$B$1)</f>
        <v>273252</v>
      </c>
      <c r="BD6">
        <f>_xll.EQNXTDZ($A$1,$B6,BD$1,$B$1)</f>
        <v>283548</v>
      </c>
      <c r="BE6">
        <f>_xll.EQNXTDZ($A$1,$B6,BE$1,$B$1)</f>
        <v>293829</v>
      </c>
      <c r="BF6">
        <f>_xll.EQNXTDZ($A$1,$B6,BF$1,$B$1)</f>
        <v>325290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4158</v>
      </c>
      <c r="Q7">
        <f>_xll.EQNXTDZ($A$1,$B7,Q$1,$B$1)</f>
        <v>5005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8977</v>
      </c>
      <c r="AA7">
        <f>_xll.EQNXTDZ($A$1,$B7,AA$1,$B$1)</f>
        <v>8630</v>
      </c>
      <c r="AB7">
        <f>_xll.EQNXTDZ($A$1,$B7,AB$1,$B$1)</f>
        <v>10273</v>
      </c>
      <c r="AC7">
        <f>_xll.EQNXTDZ($A$1,$B7,AC$1,$B$1)</f>
        <v>10500</v>
      </c>
      <c r="AD7">
        <f>_xll.EQNXTDZ($A$1,$B7,AD$1,$B$1)</f>
        <v>12586</v>
      </c>
      <c r="AE7">
        <f>_xll.EQNXTDZ($A$1,$B7,AE$1,$B$1)</f>
        <v>11734</v>
      </c>
      <c r="AF7">
        <f>_xll.EQNXTDZ($A$1,$B7,AF$1,$B$1)</f>
        <v>11844</v>
      </c>
      <c r="AG7">
        <f>_xll.EQNXTDZ($A$1,$B7,AG$1,$B$1)</f>
        <v>12056</v>
      </c>
      <c r="AH7">
        <f>_xll.EQNXTDZ($A$1,$B7,AH$1,$B$1)</f>
        <v>11926</v>
      </c>
      <c r="AI7">
        <f>_xll.EQNXTDZ($A$1,$B7,AI$1,$B$1)</f>
        <v>9691</v>
      </c>
      <c r="AJ7">
        <f>_xll.EQNXTDZ($A$1,$B7,AJ$1,$B$1)</f>
        <v>12190</v>
      </c>
      <c r="AK7">
        <f>_xll.EQNXTDZ($A$1,$B7,AK$1,$B$1)</f>
        <v>13832</v>
      </c>
      <c r="AL7">
        <f>_xll.EQNXTDZ($A$1,$B7,AL$1,$B$1)</f>
        <v>17199</v>
      </c>
      <c r="AM7">
        <f>_xll.EQNXTDZ($A$1,$B7,AM$1,$B$1)</f>
        <v>14490</v>
      </c>
      <c r="AN7">
        <f>_xll.EQNXTDZ($A$1,$B7,AN$1,$B$1)</f>
        <v>17428</v>
      </c>
      <c r="AO7">
        <f>_xll.EQNXTDZ($A$1,$B7,AO$1,$B$1)</f>
        <v>18552</v>
      </c>
      <c r="AP7">
        <f>_xll.EQNXTDZ($A$1,$B7,AP$1,$B$1)</f>
        <v>20652</v>
      </c>
      <c r="AQ7">
        <f>_xll.EQNXTDZ($A$1,$B7,AQ$1,$B$1)</f>
        <v>19865</v>
      </c>
      <c r="AR7">
        <f>_xll.EQNXTDZ($A$1,$B7,AR$1,$B$1)</f>
        <v>20629</v>
      </c>
      <c r="AS7">
        <f>_xll.EQNXTDZ($A$1,$B7,AS$1,$B$1)</f>
        <v>20367</v>
      </c>
      <c r="AT7">
        <f>_xll.EQNXTDZ($A$1,$B7,AT$1,$B$1)</f>
        <v>22692</v>
      </c>
      <c r="AU7">
        <f>_xll.EQNXTDZ($A$1,$B7,AU$1,$B$1)</f>
        <v>20301</v>
      </c>
      <c r="AV7">
        <f>_xll.EQNXTDZ($A$1,$B7,AV$1,$B$1)</f>
        <v>21040</v>
      </c>
      <c r="AW7">
        <f>_xll.EQNXTDZ($A$1,$B7,AW$1,$B$1)</f>
        <v>20190</v>
      </c>
      <c r="AX7">
        <f>_xll.EQNXTDZ($A$1,$B7,AX$1,$B$1)</f>
        <v>24119</v>
      </c>
      <c r="AY7">
        <f>_xll.EQNXTDZ($A$1,$B7,AY$1,$B$1)</f>
        <v>21606</v>
      </c>
      <c r="AZ7">
        <f>_xll.EQNXTDZ($A$1,$B7,AZ$1,$B$1)</f>
        <v>22546</v>
      </c>
      <c r="BA7">
        <f>_xll.EQNXTDZ($A$1,$B7,BA$1,$B$1)</f>
        <v>23321</v>
      </c>
      <c r="BB7">
        <f>_xll.EQNXTDZ($A$1,$B7,BB$1,$B$1)</f>
        <v>23565</v>
      </c>
      <c r="BC7">
        <f>_xll.EQNXTDZ($A$1,$B7,BC$1,$B$1)</f>
        <v>24592</v>
      </c>
      <c r="BD7">
        <f>_xll.EQNXTDZ($A$1,$B7,BD$1,$B$1)</f>
        <v>24650</v>
      </c>
      <c r="BE7">
        <f>_xll.EQNXTDZ($A$1,$B7,BE$1,$B$1)</f>
        <v>24333</v>
      </c>
      <c r="BF7">
        <f>_xll.EQNXTDZ($A$1,$B7,BF$1,$B$1)</f>
        <v>26669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91876</v>
      </c>
      <c r="D9">
        <f>_xll.EQNXTDZ($A$1,$B9,D$1,$B$1)</f>
        <v>90336</v>
      </c>
      <c r="E9">
        <f>_xll.EQNXTDZ($A$1,$B9,E$1,$B$1)</f>
        <v>93886</v>
      </c>
      <c r="F9">
        <f>_xll.EQNXTDZ($A$1,$B9,F$1,$B$1)</f>
        <v>84198</v>
      </c>
      <c r="G9">
        <f>_xll.EQNXTDZ($A$1,$B9,G$1,$B$1)</f>
        <v>97503</v>
      </c>
      <c r="H9">
        <f>_xll.EQNXTDZ($A$1,$B9,H$1,$B$1)</f>
        <v>115491</v>
      </c>
      <c r="I9">
        <f>_xll.EQNXTDZ($A$1,$B9,I$1,$B$1)</f>
        <v>118038</v>
      </c>
      <c r="J9">
        <f>_xll.EQNXTDZ($A$1,$B9,J$1,$B$1)</f>
        <v>103428</v>
      </c>
      <c r="K9">
        <f>_xll.EQNXTDZ($A$1,$B9,K$1,$B$1)</f>
        <v>104640</v>
      </c>
      <c r="L9">
        <f>_xll.EQNXTDZ($A$1,$B9,L$1,$B$1)</f>
        <v>109797</v>
      </c>
      <c r="M9">
        <f>_xll.EQNXTDZ($A$1,$B9,M$1,$B$1)</f>
        <v>93528</v>
      </c>
      <c r="N9">
        <f>_xll.EQNXTDZ($A$1,$B9,N$1,$B$1)</f>
        <v>67470</v>
      </c>
      <c r="O9">
        <f>_xll.EQNXTDZ($A$1,$B9,O$1,$B$1)</f>
        <v>76615</v>
      </c>
      <c r="P9">
        <f>_xll.EQNXTDZ($A$1,$B9,P$1,$B$1)</f>
        <v>70332</v>
      </c>
      <c r="Q9">
        <f>_xll.EQNXTDZ($A$1,$B9,Q$1,$B$1)</f>
        <v>67508</v>
      </c>
      <c r="R9">
        <f>_xll.EQNXTDZ($A$1,$B9,R$1,$B$1)</f>
        <v>63954</v>
      </c>
      <c r="S9">
        <f>_xll.EQNXTDZ($A$1,$B9,S$1,$B$1)</f>
        <v>71451</v>
      </c>
      <c r="T9">
        <f>_xll.EQNXTDZ($A$1,$B9,T$1,$B$1)</f>
        <v>81651</v>
      </c>
      <c r="U9">
        <f>_xll.EQNXTDZ($A$1,$B9,U$1,$B$1)</f>
        <v>84189</v>
      </c>
      <c r="V9">
        <f>_xll.EQNXTDZ($A$1,$B9,V$1,$B$1)</f>
        <v>92889</v>
      </c>
      <c r="W9">
        <f>_xll.EQNXTDZ($A$1,$B9,W$1,$B$1)</f>
        <v>90537</v>
      </c>
      <c r="X9">
        <f>_xll.EQNXTDZ($A$1,$B9,X$1,$B$1)</f>
        <v>101169</v>
      </c>
      <c r="Y9">
        <f>_xll.EQNXTDZ($A$1,$B9,Y$1,$B$1)</f>
        <v>109905</v>
      </c>
      <c r="Z9">
        <f>_xll.EQNXTDZ($A$1,$B9,Z$1,$B$1)</f>
        <v>120143</v>
      </c>
      <c r="AA9">
        <f>_xll.EQNXTDZ($A$1,$B9,AA$1,$B$1)</f>
        <v>133069</v>
      </c>
      <c r="AB9">
        <f>_xll.EQNXTDZ($A$1,$B9,AB$1,$B$1)</f>
        <v>146018</v>
      </c>
      <c r="AC9">
        <f>_xll.EQNXTDZ($A$1,$B9,AC$1,$B$1)</f>
        <v>160800</v>
      </c>
      <c r="AD9">
        <f>_xll.EQNXTDZ($A$1,$B9,AD$1,$B$1)</f>
        <v>142565</v>
      </c>
      <c r="AE9">
        <f>_xll.EQNXTDZ($A$1,$B9,AE$1,$B$1)</f>
        <v>162353</v>
      </c>
      <c r="AF9">
        <f>_xll.EQNXTDZ($A$1,$B9,AF$1,$B$1)</f>
        <v>153384</v>
      </c>
      <c r="AG9">
        <f>_xll.EQNXTDZ($A$1,$B9,AG$1,$B$1)</f>
        <v>157165</v>
      </c>
      <c r="AH9">
        <f>_xll.EQNXTDZ($A$1,$B9,AH$1,$B$1)</f>
        <v>139535</v>
      </c>
      <c r="AI9">
        <f>_xll.EQNXTDZ($A$1,$B9,AI$1,$B$1)</f>
        <v>91238</v>
      </c>
      <c r="AJ9">
        <f>_xll.EQNXTDZ($A$1,$B9,AJ$1,$B$1)</f>
        <v>116195</v>
      </c>
      <c r="AK9">
        <f>_xll.EQNXTDZ($A$1,$B9,AK$1,$B$1)</f>
        <v>123997</v>
      </c>
      <c r="AL9">
        <f>_xll.EQNXTDZ($A$1,$B9,AL$1,$B$1)</f>
        <v>154896</v>
      </c>
      <c r="AM9">
        <f>_xll.EQNXTDZ($A$1,$B9,AM$1,$B$1)</f>
        <v>144372</v>
      </c>
      <c r="AN9">
        <f>_xll.EQNXTDZ($A$1,$B9,AN$1,$B$1)</f>
        <v>174104</v>
      </c>
      <c r="AO9">
        <f>_xll.EQNXTDZ($A$1,$B9,AO$1,$B$1)</f>
        <v>191271</v>
      </c>
      <c r="AP9">
        <f>_xll.EQNXTDZ($A$1,$B9,AP$1,$B$1)</f>
        <v>211887</v>
      </c>
      <c r="AQ9">
        <f>_xll.EQNXTDZ($A$1,$B9,AQ$1,$B$1)</f>
        <v>222664</v>
      </c>
      <c r="AR9">
        <f>_xll.EQNXTDZ($A$1,$B9,AR$1,$B$1)</f>
        <v>232217</v>
      </c>
      <c r="AS9">
        <f>_xll.EQNXTDZ($A$1,$B9,AS$1,$B$1)</f>
        <v>220165</v>
      </c>
      <c r="AT9">
        <f>_xll.EQNXTDZ($A$1,$B9,AT$1,$B$1)</f>
        <v>216265</v>
      </c>
      <c r="AU9">
        <f>_xll.EQNXTDZ($A$1,$B9,AU$1,$B$1)</f>
        <v>210831</v>
      </c>
      <c r="AV9">
        <f>_xll.EQNXTDZ($A$1,$B9,AV$1,$B$1)</f>
        <v>234956</v>
      </c>
      <c r="AW9">
        <f>_xll.EQNXTDZ($A$1,$B9,AW$1,$B$1)</f>
        <v>227970</v>
      </c>
      <c r="AX9">
        <f>_xll.EQNXTDZ($A$1,$B9,AX$1,$B$1)</f>
        <v>240715</v>
      </c>
      <c r="AY9">
        <f>_xll.EQNXTDZ($A$1,$B9,AY$1,$B$1)</f>
        <v>236217</v>
      </c>
      <c r="AZ9">
        <f>_xll.EQNXTDZ($A$1,$B9,AZ$1,$B$1)</f>
        <v>235481</v>
      </c>
      <c r="BA9">
        <f>_xll.EQNXTDZ($A$1,$B9,BA$1,$B$1)</f>
        <v>243865</v>
      </c>
      <c r="BB9">
        <f>_xll.EQNXTDZ($A$1,$B9,BB$1,$B$1)</f>
        <v>264573</v>
      </c>
      <c r="BC9">
        <f>_xll.EQNXTDZ($A$1,$B9,BC$1,$B$1)</f>
        <v>248660</v>
      </c>
      <c r="BD9">
        <f>_xll.EQNXTDZ($A$1,$B9,BD$1,$B$1)</f>
        <v>258898</v>
      </c>
      <c r="BE9">
        <f>_xll.EQNXTDZ($A$1,$B9,BE$1,$B$1)</f>
        <v>269496</v>
      </c>
      <c r="BF9">
        <f>_xll.EQNXTDZ($A$1,$B9,BF$1,$B$1)</f>
        <v>298621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-987</v>
      </c>
      <c r="D10">
        <f>_xll.EQNXTDZ($A$1,$B10,D$1,$B$1)</f>
        <v>-1811</v>
      </c>
      <c r="E10">
        <f>_xll.EQNXTDZ($A$1,$B10,E$1,$B$1)</f>
        <v>770</v>
      </c>
      <c r="F10">
        <f>_xll.EQNXTDZ($A$1,$B10,F$1,$B$1)</f>
        <v>-1289</v>
      </c>
      <c r="G10">
        <f>_xll.EQNXTDZ($A$1,$B10,G$1,$B$1)</f>
        <v>-2076</v>
      </c>
      <c r="H10">
        <f>_xll.EQNXTDZ($A$1,$B10,H$1,$B$1)</f>
        <v>-89</v>
      </c>
      <c r="I10">
        <f>_xll.EQNXTDZ($A$1,$B10,I$1,$B$1)</f>
        <v>3289</v>
      </c>
      <c r="J10">
        <f>_xll.EQNXTDZ($A$1,$B10,J$1,$B$1)</f>
        <v>-1684</v>
      </c>
      <c r="K10">
        <f>_xll.EQNXTDZ($A$1,$B10,K$1,$B$1)</f>
        <v>-2802</v>
      </c>
      <c r="L10">
        <f>_xll.EQNXTDZ($A$1,$B10,L$1,$B$1)</f>
        <v>-1597</v>
      </c>
      <c r="M10">
        <f>_xll.EQNXTDZ($A$1,$B10,M$1,$B$1)</f>
        <v>6234</v>
      </c>
      <c r="N10">
        <f>_xll.EQNXTDZ($A$1,$B10,N$1,$B$1)</f>
        <v>-352</v>
      </c>
      <c r="O10">
        <f>_xll.EQNXTDZ($A$1,$B10,O$1,$B$1)</f>
        <v>-1665</v>
      </c>
      <c r="P10">
        <f>_xll.EQNXTDZ($A$1,$B10,P$1,$B$1)</f>
        <v>1375</v>
      </c>
      <c r="Q10">
        <f>_xll.EQNXTDZ($A$1,$B10,Q$1,$B$1)</f>
        <v>1906</v>
      </c>
      <c r="R10">
        <f>_xll.EQNXTDZ($A$1,$B10,R$1,$B$1)</f>
        <v>802</v>
      </c>
      <c r="S10">
        <f>_xll.EQNXTDZ($A$1,$B10,S$1,$B$1)</f>
        <v>-2554</v>
      </c>
      <c r="T10">
        <f>_xll.EQNXTDZ($A$1,$B10,T$1,$B$1)</f>
        <v>-121</v>
      </c>
      <c r="U10">
        <f>_xll.EQNXTDZ($A$1,$B10,U$1,$B$1)</f>
        <v>-1780</v>
      </c>
      <c r="V10">
        <f>_xll.EQNXTDZ($A$1,$B10,V$1,$B$1)</f>
        <v>-763</v>
      </c>
      <c r="W10">
        <f>_xll.EQNXTDZ($A$1,$B10,W$1,$B$1)</f>
        <v>-390</v>
      </c>
      <c r="X10">
        <f>_xll.EQNXTDZ($A$1,$B10,X$1,$B$1)</f>
        <v>-236</v>
      </c>
      <c r="Y10">
        <f>_xll.EQNXTDZ($A$1,$B10,Y$1,$B$1)</f>
        <v>-6633</v>
      </c>
      <c r="Z10">
        <f>_xll.EQNXTDZ($A$1,$B10,Z$1,$B$1)</f>
        <v>-1351</v>
      </c>
      <c r="AA10">
        <f>_xll.EQNXTDZ($A$1,$B10,AA$1,$B$1)</f>
        <v>-4810</v>
      </c>
      <c r="AB10">
        <f>_xll.EQNXTDZ($A$1,$B10,AB$1,$B$1)</f>
        <v>-5576</v>
      </c>
      <c r="AC10">
        <f>_xll.EQNXTDZ($A$1,$B10,AC$1,$B$1)</f>
        <v>7342</v>
      </c>
      <c r="AD10">
        <f>_xll.EQNXTDZ($A$1,$B10,AD$1,$B$1)</f>
        <v>-1636</v>
      </c>
      <c r="AE10">
        <f>_xll.EQNXTDZ($A$1,$B10,AE$1,$B$1)</f>
        <v>-4642</v>
      </c>
      <c r="AF10">
        <f>_xll.EQNXTDZ($A$1,$B10,AF$1,$B$1)</f>
        <v>873</v>
      </c>
      <c r="AG10">
        <f>_xll.EQNXTDZ($A$1,$B10,AG$1,$B$1)</f>
        <v>-1378</v>
      </c>
      <c r="AH10">
        <f>_xll.EQNXTDZ($A$1,$B10,AH$1,$B$1)</f>
        <v>99</v>
      </c>
      <c r="AI10">
        <f>_xll.EQNXTDZ($A$1,$B10,AI$1,$B$1)</f>
        <v>-1637</v>
      </c>
      <c r="AJ10">
        <f>_xll.EQNXTDZ($A$1,$B10,AJ$1,$B$1)</f>
        <v>-2380</v>
      </c>
      <c r="AK10">
        <f>_xll.EQNXTDZ($A$1,$B10,AK$1,$B$1)</f>
        <v>-8908</v>
      </c>
      <c r="AL10">
        <f>_xll.EQNXTDZ($A$1,$B10,AL$1,$B$1)</f>
        <v>3861</v>
      </c>
      <c r="AM10">
        <f>_xll.EQNXTDZ($A$1,$B10,AM$1,$B$1)</f>
        <v>-8863</v>
      </c>
      <c r="AN10">
        <f>_xll.EQNXTDZ($A$1,$B10,AN$1,$B$1)</f>
        <v>-1981</v>
      </c>
      <c r="AO10">
        <f>_xll.EQNXTDZ($A$1,$B10,AO$1,$B$1)</f>
        <v>-4572</v>
      </c>
      <c r="AP10">
        <f>_xll.EQNXTDZ($A$1,$B10,AP$1,$B$1)</f>
        <v>-6041</v>
      </c>
      <c r="AQ10">
        <f>_xll.EQNXTDZ($A$1,$B10,AQ$1,$B$1)</f>
        <v>-20890</v>
      </c>
      <c r="AR10">
        <f>_xll.EQNXTDZ($A$1,$B10,AR$1,$B$1)</f>
        <v>-3919</v>
      </c>
      <c r="AS10">
        <f>_xll.EQNXTDZ($A$1,$B10,AS$1,$B$1)</f>
        <v>-748</v>
      </c>
      <c r="AT10">
        <f>_xll.EQNXTDZ($A$1,$B10,AT$1,$B$1)</f>
        <v>-4706</v>
      </c>
      <c r="AU10">
        <f>_xll.EQNXTDZ($A$1,$B10,AU$1,$B$1)</f>
        <v>-2513</v>
      </c>
      <c r="AV10">
        <f>_xll.EQNXTDZ($A$1,$B10,AV$1,$B$1)</f>
        <v>304</v>
      </c>
      <c r="AW10">
        <f>_xll.EQNXTDZ($A$1,$B10,AW$1,$B$1)</f>
        <v>-9345</v>
      </c>
      <c r="AX10">
        <f>_xll.EQNXTDZ($A$1,$B10,AX$1,$B$1)</f>
        <v>6671</v>
      </c>
      <c r="AY10">
        <f>_xll.EQNXTDZ($A$1,$B10,AY$1,$B$1)</f>
        <v>-5749</v>
      </c>
      <c r="AZ10">
        <f>_xll.EQNXTDZ($A$1,$B10,AZ$1,$B$1)</f>
        <v>-6982</v>
      </c>
      <c r="BA10">
        <f>_xll.EQNXTDZ($A$1,$B10,BA$1,$B$1)</f>
        <v>-5014</v>
      </c>
      <c r="BB10">
        <f>_xll.EQNXTDZ($A$1,$B10,BB$1,$B$1)</f>
        <v>2621</v>
      </c>
      <c r="BC10">
        <f>_xll.EQNXTDZ($A$1,$B10,BC$1,$B$1)</f>
        <v>-4214</v>
      </c>
      <c r="BD10">
        <f>_xll.EQNXTDZ($A$1,$B10,BD$1,$B$1)</f>
        <v>-8421</v>
      </c>
      <c r="BE10">
        <f>_xll.EQNXTDZ($A$1,$B10,BE$1,$B$1)</f>
        <v>-811</v>
      </c>
      <c r="BF10">
        <f>_xll.EQNXTDZ($A$1,$B10,BF$1,$B$1)</f>
        <v>3179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79258</v>
      </c>
      <c r="D11">
        <f>_xll.EQNXTDZ($A$1,$B11,D$1,$B$1)</f>
        <v>77717</v>
      </c>
      <c r="E11">
        <f>_xll.EQNXTDZ($A$1,$B11,E$1,$B$1)</f>
        <v>78170</v>
      </c>
      <c r="F11">
        <f>_xll.EQNXTDZ($A$1,$B11,F$1,$B$1)</f>
        <v>70982</v>
      </c>
      <c r="G11">
        <f>_xll.EQNXTDZ($A$1,$B11,G$1,$B$1)</f>
        <v>77069</v>
      </c>
      <c r="H11">
        <f>_xll.EQNXTDZ($A$1,$B11,H$1,$B$1)</f>
        <v>93933</v>
      </c>
      <c r="I11">
        <f>_xll.EQNXTDZ($A$1,$B11,I$1,$B$1)</f>
        <v>91740</v>
      </c>
      <c r="J11">
        <f>_xll.EQNXTDZ($A$1,$B11,J$1,$B$1)</f>
        <v>83749</v>
      </c>
      <c r="K11">
        <f>_xll.EQNXTDZ($A$1,$B11,K$1,$B$1)</f>
        <v>82631</v>
      </c>
      <c r="L11">
        <f>_xll.EQNXTDZ($A$1,$B11,L$1,$B$1)</f>
        <v>81815</v>
      </c>
      <c r="M11">
        <f>_xll.EQNXTDZ($A$1,$B11,M$1,$B$1)</f>
        <v>62196</v>
      </c>
      <c r="N11">
        <f>_xll.EQNXTDZ($A$1,$B11,N$1,$B$1)</f>
        <v>40220</v>
      </c>
      <c r="O11">
        <f>_xll.EQNXTDZ($A$1,$B11,O$1,$B$1)</f>
        <v>50305</v>
      </c>
      <c r="P11">
        <f>_xll.EQNXTDZ($A$1,$B11,P$1,$B$1)</f>
        <v>41191</v>
      </c>
      <c r="Q11">
        <f>_xll.EQNXTDZ($A$1,$B11,Q$1,$B$1)</f>
        <v>37639</v>
      </c>
      <c r="R11">
        <f>_xll.EQNXTDZ($A$1,$B11,R$1,$B$1)</f>
        <v>29065</v>
      </c>
      <c r="S11">
        <f>_xll.EQNXTDZ($A$1,$B11,S$1,$B$1)</f>
        <v>37469</v>
      </c>
      <c r="T11">
        <f>_xll.EQNXTDZ($A$1,$B11,T$1,$B$1)</f>
        <v>43134</v>
      </c>
      <c r="U11">
        <f>_xll.EQNXTDZ($A$1,$B11,U$1,$B$1)</f>
        <v>46774</v>
      </c>
      <c r="V11">
        <f>_xll.EQNXTDZ($A$1,$B11,V$1,$B$1)</f>
        <v>47710</v>
      </c>
      <c r="W11">
        <f>_xll.EQNXTDZ($A$1,$B11,W$1,$B$1)</f>
        <v>44117</v>
      </c>
      <c r="X11">
        <f>_xll.EQNXTDZ($A$1,$B11,X$1,$B$1)</f>
        <v>47678</v>
      </c>
      <c r="Y11">
        <f>_xll.EQNXTDZ($A$1,$B11,Y$1,$B$1)</f>
        <v>54864</v>
      </c>
      <c r="Z11">
        <f>_xll.EQNXTDZ($A$1,$B11,Z$1,$B$1)</f>
        <v>60789</v>
      </c>
      <c r="AA11">
        <f>_xll.EQNXTDZ($A$1,$B11,AA$1,$B$1)</f>
        <v>68255</v>
      </c>
      <c r="AB11">
        <f>_xll.EQNXTDZ($A$1,$B11,AB$1,$B$1)</f>
        <v>76686</v>
      </c>
      <c r="AC11">
        <f>_xll.EQNXTDZ($A$1,$B11,AC$1,$B$1)</f>
        <v>68204</v>
      </c>
      <c r="AD11">
        <f>_xll.EQNXTDZ($A$1,$B11,AD$1,$B$1)</f>
        <v>62092</v>
      </c>
      <c r="AE11">
        <f>_xll.EQNXTDZ($A$1,$B11,AE$1,$B$1)</f>
        <v>70939</v>
      </c>
      <c r="AF11">
        <f>_xll.EQNXTDZ($A$1,$B11,AF$1,$B$1)</f>
        <v>63626</v>
      </c>
      <c r="AG11">
        <f>_xll.EQNXTDZ($A$1,$B11,AG$1,$B$1)</f>
        <v>68373</v>
      </c>
      <c r="AH11">
        <f>_xll.EQNXTDZ($A$1,$B11,AH$1,$B$1)</f>
        <v>57683</v>
      </c>
      <c r="AI11">
        <f>_xll.EQNXTDZ($A$1,$B11,AI$1,$B$1)</f>
        <v>35286</v>
      </c>
      <c r="AJ11">
        <f>_xll.EQNXTDZ($A$1,$B11,AJ$1,$B$1)</f>
        <v>44220</v>
      </c>
      <c r="AK11">
        <f>_xll.EQNXTDZ($A$1,$B11,AK$1,$B$1)</f>
        <v>53518</v>
      </c>
      <c r="AL11">
        <f>_xll.EQNXTDZ($A$1,$B11,AL$1,$B$1)</f>
        <v>66891</v>
      </c>
      <c r="AM11">
        <f>_xll.EQNXTDZ($A$1,$B11,AM$1,$B$1)</f>
        <v>74358</v>
      </c>
      <c r="AN11">
        <f>_xll.EQNXTDZ($A$1,$B11,AN$1,$B$1)</f>
        <v>82212</v>
      </c>
      <c r="AO11">
        <f>_xll.EQNXTDZ($A$1,$B11,AO$1,$B$1)</f>
        <v>91315</v>
      </c>
      <c r="AP11">
        <f>_xll.EQNXTDZ($A$1,$B11,AP$1,$B$1)</f>
        <v>112899</v>
      </c>
      <c r="AQ11">
        <f>_xll.EQNXTDZ($A$1,$B11,AQ$1,$B$1)</f>
        <v>130528</v>
      </c>
      <c r="AR11">
        <f>_xll.EQNXTDZ($A$1,$B11,AR$1,$B$1)</f>
        <v>116952</v>
      </c>
      <c r="AS11">
        <f>_xll.EQNXTDZ($A$1,$B11,AS$1,$B$1)</f>
        <v>98730</v>
      </c>
      <c r="AT11">
        <f>_xll.EQNXTDZ($A$1,$B11,AT$1,$B$1)</f>
        <v>104031</v>
      </c>
      <c r="AU11">
        <f>_xll.EQNXTDZ($A$1,$B11,AU$1,$B$1)</f>
        <v>95809</v>
      </c>
      <c r="AV11">
        <f>_xll.EQNXTDZ($A$1,$B11,AV$1,$B$1)</f>
        <v>101619</v>
      </c>
      <c r="AW11">
        <f>_xll.EQNXTDZ($A$1,$B11,AW$1,$B$1)</f>
        <v>98949</v>
      </c>
      <c r="AX11">
        <f>_xll.EQNXTDZ($A$1,$B11,AX$1,$B$1)</f>
        <v>103968</v>
      </c>
      <c r="AY11">
        <f>_xll.EQNXTDZ($A$1,$B11,AY$1,$B$1)</f>
        <v>109206</v>
      </c>
      <c r="AZ11">
        <f>_xll.EQNXTDZ($A$1,$B11,AZ$1,$B$1)</f>
        <v>107060</v>
      </c>
      <c r="BA11">
        <f>_xll.EQNXTDZ($A$1,$B11,BA$1,$B$1)</f>
        <v>98514</v>
      </c>
      <c r="BB11">
        <f>_xll.EQNXTDZ($A$1,$B11,BB$1,$B$1)</f>
        <v>107347</v>
      </c>
      <c r="BC11">
        <f>_xll.EQNXTDZ($A$1,$B11,BC$1,$B$1)</f>
        <v>99282</v>
      </c>
      <c r="BD11">
        <f>_xll.EQNXTDZ($A$1,$B11,BD$1,$B$1)</f>
        <v>106488</v>
      </c>
      <c r="BE11">
        <f>_xll.EQNXTDZ($A$1,$B11,BE$1,$B$1)</f>
        <v>108346</v>
      </c>
      <c r="BF11">
        <f>_xll.EQNXTDZ($A$1,$B11,BF$1,$B$1)</f>
        <v>128985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163</v>
      </c>
      <c r="D12">
        <f>_xll.EQNXTDZ($A$1,$B12,D$1,$B$1)</f>
        <v>54</v>
      </c>
      <c r="E12">
        <f>_xll.EQNXTDZ($A$1,$B12,E$1,$B$1)</f>
        <v>63</v>
      </c>
      <c r="F12">
        <f>_xll.EQNXTDZ($A$1,$B12,F$1,$B$1)</f>
        <v>222</v>
      </c>
      <c r="G12">
        <f>_xll.EQNXTDZ($A$1,$B12,G$1,$B$1)</f>
        <v>5852</v>
      </c>
      <c r="H12">
        <f>_xll.EQNXTDZ($A$1,$B12,H$1,$B$1)</f>
        <v>3310</v>
      </c>
      <c r="I12">
        <f>_xll.EQNXTDZ($A$1,$B12,I$1,$B$1)</f>
        <v>4814</v>
      </c>
      <c r="J12">
        <f>_xll.EQNXTDZ($A$1,$B12,J$1,$B$1)</f>
        <v>3115</v>
      </c>
      <c r="K12">
        <f>_xll.EQNXTDZ($A$1,$B12,K$1,$B$1)</f>
        <v>5308</v>
      </c>
      <c r="L12">
        <f>_xll.EQNXTDZ($A$1,$B12,L$1,$B$1)</f>
        <v>8526</v>
      </c>
      <c r="M12">
        <f>_xll.EQNXTDZ($A$1,$B12,M$1,$B$1)</f>
        <v>5050</v>
      </c>
      <c r="N12">
        <f>_xll.EQNXTDZ($A$1,$B12,N$1,$B$1)</f>
        <v>6817</v>
      </c>
      <c r="O12">
        <f>_xll.EQNXTDZ($A$1,$B12,O$1,$B$1)</f>
        <v>7231</v>
      </c>
      <c r="P12">
        <f>_xll.EQNXTDZ($A$1,$B12,P$1,$B$1)</f>
        <v>6833</v>
      </c>
      <c r="Q12">
        <f>_xll.EQNXTDZ($A$1,$B12,Q$1,$B$1)</f>
        <v>6714</v>
      </c>
      <c r="R12">
        <f>_xll.EQNXTDZ($A$1,$B12,R$1,$B$1)</f>
        <v>7279</v>
      </c>
      <c r="S12">
        <f>_xll.EQNXTDZ($A$1,$B12,S$1,$B$1)</f>
        <v>8143</v>
      </c>
      <c r="T12">
        <f>_xll.EQNXTDZ($A$1,$B12,T$1,$B$1)</f>
        <v>10894</v>
      </c>
      <c r="U12">
        <f>_xll.EQNXTDZ($A$1,$B12,U$1,$B$1)</f>
        <v>10710</v>
      </c>
      <c r="V12">
        <f>_xll.EQNXTDZ($A$1,$B12,V$1,$B$1)</f>
        <v>12684</v>
      </c>
      <c r="W12">
        <f>_xll.EQNXTDZ($A$1,$B12,W$1,$B$1)</f>
        <v>14403</v>
      </c>
      <c r="X12">
        <f>_xll.EQNXTDZ($A$1,$B12,X$1,$B$1)</f>
        <v>13891</v>
      </c>
      <c r="Y12">
        <f>_xll.EQNXTDZ($A$1,$B12,Y$1,$B$1)</f>
        <v>17489</v>
      </c>
      <c r="Z12">
        <f>_xll.EQNXTDZ($A$1,$B12,Z$1,$B$1)</f>
        <v>22845</v>
      </c>
      <c r="AA12">
        <f>_xll.EQNXTDZ($A$1,$B12,AA$1,$B$1)</f>
        <v>26556</v>
      </c>
      <c r="AB12">
        <f>_xll.EQNXTDZ($A$1,$B12,AB$1,$B$1)</f>
        <v>29369</v>
      </c>
      <c r="AC12">
        <f>_xll.EQNXTDZ($A$1,$B12,AC$1,$B$1)</f>
        <v>35813</v>
      </c>
      <c r="AD12">
        <f>_xll.EQNXTDZ($A$1,$B12,AD$1,$B$1)</f>
        <v>32192</v>
      </c>
      <c r="AE12">
        <f>_xll.EQNXTDZ($A$1,$B12,AE$1,$B$1)</f>
        <v>43659</v>
      </c>
      <c r="AF12">
        <f>_xll.EQNXTDZ($A$1,$B12,AF$1,$B$1)</f>
        <v>35735</v>
      </c>
      <c r="AG12">
        <f>_xll.EQNXTDZ($A$1,$B12,AG$1,$B$1)</f>
        <v>38476</v>
      </c>
      <c r="AH12">
        <f>_xll.EQNXTDZ($A$1,$B12,AH$1,$B$1)</f>
        <v>31797</v>
      </c>
      <c r="AI12">
        <f>_xll.EQNXTDZ($A$1,$B12,AI$1,$B$1)</f>
        <v>13815</v>
      </c>
      <c r="AJ12">
        <f>_xll.EQNXTDZ($A$1,$B12,AJ$1,$B$1)</f>
        <v>29611</v>
      </c>
      <c r="AK12">
        <f>_xll.EQNXTDZ($A$1,$B12,AK$1,$B$1)</f>
        <v>27639</v>
      </c>
      <c r="AL12">
        <f>_xll.EQNXTDZ($A$1,$B12,AL$1,$B$1)</f>
        <v>30785</v>
      </c>
      <c r="AM12">
        <f>_xll.EQNXTDZ($A$1,$B12,AM$1,$B$1)</f>
        <v>24810</v>
      </c>
      <c r="AN12">
        <f>_xll.EQNXTDZ($A$1,$B12,AN$1,$B$1)</f>
        <v>33198</v>
      </c>
      <c r="AO12">
        <f>_xll.EQNXTDZ($A$1,$B12,AO$1,$B$1)</f>
        <v>39426</v>
      </c>
      <c r="AP12">
        <f>_xll.EQNXTDZ($A$1,$B12,AP$1,$B$1)</f>
        <v>38151</v>
      </c>
      <c r="AQ12">
        <f>_xll.EQNXTDZ($A$1,$B12,AQ$1,$B$1)</f>
        <v>37043</v>
      </c>
      <c r="AR12">
        <f>_xll.EQNXTDZ($A$1,$B12,AR$1,$B$1)</f>
        <v>46086</v>
      </c>
      <c r="AS12">
        <f>_xll.EQNXTDZ($A$1,$B12,AS$1,$B$1)</f>
        <v>47599</v>
      </c>
      <c r="AT12">
        <f>_xll.EQNXTDZ($A$1,$B12,AT$1,$B$1)</f>
        <v>37777</v>
      </c>
      <c r="AU12">
        <f>_xll.EQNXTDZ($A$1,$B12,AU$1,$B$1)</f>
        <v>38372</v>
      </c>
      <c r="AV12">
        <f>_xll.EQNXTDZ($A$1,$B12,AV$1,$B$1)</f>
        <v>50786</v>
      </c>
      <c r="AW12">
        <f>_xll.EQNXTDZ($A$1,$B12,AW$1,$B$1)</f>
        <v>57898</v>
      </c>
      <c r="AX12">
        <f>_xll.EQNXTDZ($A$1,$B12,AX$1,$B$1)</f>
        <v>42825</v>
      </c>
      <c r="AY12">
        <f>_xll.EQNXTDZ($A$1,$B12,AY$1,$B$1)</f>
        <v>50001</v>
      </c>
      <c r="AZ12">
        <f>_xll.EQNXTDZ($A$1,$B12,AZ$1,$B$1)</f>
        <v>52824</v>
      </c>
      <c r="BA12">
        <f>_xll.EQNXTDZ($A$1,$B12,BA$1,$B$1)</f>
        <v>59459</v>
      </c>
      <c r="BB12">
        <f>_xll.EQNXTDZ($A$1,$B12,BB$1,$B$1)</f>
        <v>60402</v>
      </c>
      <c r="BC12">
        <f>_xll.EQNXTDZ($A$1,$B12,BC$1,$B$1)</f>
        <v>57582</v>
      </c>
      <c r="BD12">
        <f>_xll.EQNXTDZ($A$1,$B12,BD$1,$B$1)</f>
        <v>65276</v>
      </c>
      <c r="BE12">
        <f>_xll.EQNXTDZ($A$1,$B12,BE$1,$B$1)</f>
        <v>64093</v>
      </c>
      <c r="BF12">
        <f>_xll.EQNXTDZ($A$1,$B12,BF$1,$B$1)</f>
        <v>68878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4258</v>
      </c>
      <c r="S13">
        <f>_xll.EQNXTDZ($A$1,$B13,S$1,$B$1)</f>
        <v>6461</v>
      </c>
      <c r="T13">
        <f>_xll.EQNXTDZ($A$1,$B13,T$1,$B$1)</f>
        <v>5490</v>
      </c>
      <c r="U13">
        <f>_xll.EQNXTDZ($A$1,$B13,U$1,$B$1)</f>
        <v>4781</v>
      </c>
      <c r="V13">
        <f>_xll.EQNXTDZ($A$1,$B13,V$1,$B$1)</f>
        <v>8066</v>
      </c>
      <c r="W13">
        <f>_xll.EQNXTDZ($A$1,$B13,W$1,$B$1)</f>
        <v>7066</v>
      </c>
      <c r="X13">
        <f>_xll.EQNXTDZ($A$1,$B13,X$1,$B$1)</f>
        <v>9688</v>
      </c>
      <c r="Y13">
        <f>_xll.EQNXTDZ($A$1,$B13,Y$1,$B$1)</f>
        <v>10095</v>
      </c>
      <c r="Z13">
        <f>_xll.EQNXTDZ($A$1,$B13,Z$1,$B$1)</f>
        <v>3228</v>
      </c>
      <c r="AA13">
        <f>_xll.EQNXTDZ($A$1,$B13,AA$1,$B$1)</f>
        <v>4313</v>
      </c>
      <c r="AB13">
        <f>_xll.EQNXTDZ($A$1,$B13,AB$1,$B$1)</f>
        <v>2695</v>
      </c>
      <c r="AC13">
        <f>_xll.EQNXTDZ($A$1,$B13,AC$1,$B$1)</f>
        <v>3902</v>
      </c>
      <c r="AD13">
        <f>_xll.EQNXTDZ($A$1,$B13,AD$1,$B$1)</f>
        <v>2975</v>
      </c>
      <c r="AE13">
        <f>_xll.EQNXTDZ($A$1,$B13,AE$1,$B$1)</f>
        <v>4373</v>
      </c>
      <c r="AF13">
        <f>_xll.EQNXTDZ($A$1,$B13,AF$1,$B$1)</f>
        <v>3623</v>
      </c>
      <c r="AG13">
        <f>_xll.EQNXTDZ($A$1,$B13,AG$1,$B$1)</f>
        <v>3863</v>
      </c>
      <c r="AH13">
        <f>_xll.EQNXTDZ($A$1,$B13,AH$1,$B$1)</f>
        <v>3043</v>
      </c>
      <c r="AI13">
        <f>_xll.EQNXTDZ($A$1,$B13,AI$1,$B$1)</f>
        <v>2985</v>
      </c>
      <c r="AJ13">
        <f>_xll.EQNXTDZ($A$1,$B13,AJ$1,$B$1)</f>
        <v>4959</v>
      </c>
      <c r="AK13">
        <f>_xll.EQNXTDZ($A$1,$B13,AK$1,$B$1)</f>
        <v>6137</v>
      </c>
      <c r="AL13">
        <f>_xll.EQNXTDZ($A$1,$B13,AL$1,$B$1)</f>
        <v>5321</v>
      </c>
      <c r="AM13">
        <f>_xll.EQNXTDZ($A$1,$B13,AM$1,$B$1)</f>
        <v>4423</v>
      </c>
      <c r="AN13">
        <f>_xll.EQNXTDZ($A$1,$B13,AN$1,$B$1)</f>
        <v>6493</v>
      </c>
      <c r="AO13">
        <f>_xll.EQNXTDZ($A$1,$B13,AO$1,$B$1)</f>
        <v>6244</v>
      </c>
      <c r="AP13">
        <f>_xll.EQNXTDZ($A$1,$B13,AP$1,$B$1)</f>
        <v>4512</v>
      </c>
      <c r="AQ13">
        <f>_xll.EQNXTDZ($A$1,$B13,AQ$1,$B$1)</f>
        <v>3809</v>
      </c>
      <c r="AR13">
        <f>_xll.EQNXTDZ($A$1,$B13,AR$1,$B$1)</f>
        <v>2808</v>
      </c>
      <c r="AS13">
        <f>_xll.EQNXTDZ($A$1,$B13,AS$1,$B$1)</f>
        <v>3428</v>
      </c>
      <c r="AT13">
        <f>_xll.EQNXTDZ($A$1,$B13,AT$1,$B$1)</f>
        <v>3431</v>
      </c>
      <c r="AU13">
        <f>_xll.EQNXTDZ($A$1,$B13,AU$1,$B$1)</f>
        <v>3272</v>
      </c>
      <c r="AV13">
        <f>_xll.EQNXTDZ($A$1,$B13,AV$1,$B$1)</f>
        <v>3070</v>
      </c>
      <c r="AW13">
        <f>_xll.EQNXTDZ($A$1,$B13,AW$1,$B$1)</f>
        <v>2884</v>
      </c>
      <c r="AX13">
        <f>_xll.EQNXTDZ($A$1,$B13,AX$1,$B$1)</f>
        <v>4182</v>
      </c>
      <c r="AY13">
        <f>_xll.EQNXTDZ($A$1,$B13,AY$1,$B$1)</f>
        <v>4433</v>
      </c>
      <c r="AZ13">
        <f>_xll.EQNXTDZ($A$1,$B13,AZ$1,$B$1)</f>
        <v>3946</v>
      </c>
      <c r="BA13">
        <f>_xll.EQNXTDZ($A$1,$B13,BA$1,$B$1)</f>
        <v>3879</v>
      </c>
      <c r="BB13">
        <f>_xll.EQNXTDZ($A$1,$B13,BB$1,$B$1)</f>
        <v>3185</v>
      </c>
      <c r="BC13">
        <f>_xll.EQNXTDZ($A$1,$B13,BC$1,$B$1)</f>
        <v>5028</v>
      </c>
      <c r="BD13">
        <f>_xll.EQNXTDZ($A$1,$B13,BD$1,$B$1)</f>
        <v>4275</v>
      </c>
      <c r="BE13">
        <f>_xll.EQNXTDZ($A$1,$B13,BE$1,$B$1)</f>
        <v>4591</v>
      </c>
      <c r="BF13">
        <f>_xll.EQNXTDZ($A$1,$B13,BF$1,$B$1)</f>
        <v>4562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5780</v>
      </c>
      <c r="D14">
        <f>_xll.EQNXTDZ($A$1,$B14,D$1,$B$1)</f>
        <v>5751</v>
      </c>
      <c r="E14">
        <f>_xll.EQNXTDZ($A$1,$B14,E$1,$B$1)</f>
        <v>5647</v>
      </c>
      <c r="F14">
        <f>_xll.EQNXTDZ($A$1,$B14,F$1,$B$1)</f>
        <v>5666</v>
      </c>
      <c r="G14">
        <f>_xll.EQNXTDZ($A$1,$B14,G$1,$B$1)</f>
        <v>7386</v>
      </c>
      <c r="H14">
        <f>_xll.EQNXTDZ($A$1,$B14,H$1,$B$1)</f>
        <v>8063</v>
      </c>
      <c r="I14">
        <f>_xll.EQNXTDZ($A$1,$B14,I$1,$B$1)</f>
        <v>8371</v>
      </c>
      <c r="J14">
        <f>_xll.EQNXTDZ($A$1,$B14,J$1,$B$1)</f>
        <v>7247</v>
      </c>
      <c r="K14">
        <f>_xll.EQNXTDZ($A$1,$B14,K$1,$B$1)</f>
        <v>9034</v>
      </c>
      <c r="L14">
        <f>_xll.EQNXTDZ($A$1,$B14,L$1,$B$1)</f>
        <v>9660</v>
      </c>
      <c r="M14">
        <f>_xll.EQNXTDZ($A$1,$B14,M$1,$B$1)</f>
        <v>9811</v>
      </c>
      <c r="N14">
        <f>_xll.EQNXTDZ($A$1,$B14,N$1,$B$1)</f>
        <v>9258</v>
      </c>
      <c r="O14">
        <f>_xll.EQNXTDZ($A$1,$B14,O$1,$B$1)</f>
        <v>8870</v>
      </c>
      <c r="P14">
        <f>_xll.EQNXTDZ($A$1,$B14,P$1,$B$1)</f>
        <v>9919</v>
      </c>
      <c r="Q14">
        <f>_xll.EQNXTDZ($A$1,$B14,Q$1,$B$1)</f>
        <v>8047</v>
      </c>
      <c r="R14">
        <f>_xll.EQNXTDZ($A$1,$B14,R$1,$B$1)</f>
        <v>9458</v>
      </c>
      <c r="S14">
        <f>_xll.EQNXTDZ($A$1,$B14,S$1,$B$1)</f>
        <v>8598</v>
      </c>
      <c r="T14">
        <f>_xll.EQNXTDZ($A$1,$B14,T$1,$B$1)</f>
        <v>9073</v>
      </c>
      <c r="U14">
        <f>_xll.EQNXTDZ($A$1,$B14,U$1,$B$1)</f>
        <v>10236</v>
      </c>
      <c r="V14">
        <f>_xll.EQNXTDZ($A$1,$B14,V$1,$B$1)</f>
        <v>10593</v>
      </c>
      <c r="W14">
        <f>_xll.EQNXTDZ($A$1,$B14,W$1,$B$1)</f>
        <v>10332</v>
      </c>
      <c r="X14">
        <f>_xll.EQNXTDZ($A$1,$B14,X$1,$B$1)</f>
        <v>12323</v>
      </c>
      <c r="Y14">
        <f>_xll.EQNXTDZ($A$1,$B14,Y$1,$B$1)</f>
        <v>14177</v>
      </c>
      <c r="Z14">
        <f>_xll.EQNXTDZ($A$1,$B14,Z$1,$B$1)</f>
        <v>13680</v>
      </c>
      <c r="AA14">
        <f>_xll.EQNXTDZ($A$1,$B14,AA$1,$B$1)</f>
        <v>15143</v>
      </c>
      <c r="AB14">
        <f>_xll.EQNXTDZ($A$1,$B14,AB$1,$B$1)</f>
        <v>18809</v>
      </c>
      <c r="AC14">
        <f>_xll.EQNXTDZ($A$1,$B14,AC$1,$B$1)</f>
        <v>20957</v>
      </c>
      <c r="AD14">
        <f>_xll.EQNXTDZ($A$1,$B14,AD$1,$B$1)</f>
        <v>22444</v>
      </c>
      <c r="AE14">
        <f>_xll.EQNXTDZ($A$1,$B14,AE$1,$B$1)</f>
        <v>23074</v>
      </c>
      <c r="AF14">
        <f>_xll.EQNXTDZ($A$1,$B14,AF$1,$B$1)</f>
        <v>23769</v>
      </c>
      <c r="AG14">
        <f>_xll.EQNXTDZ($A$1,$B14,AG$1,$B$1)</f>
        <v>21202</v>
      </c>
      <c r="AH14">
        <f>_xll.EQNXTDZ($A$1,$B14,AH$1,$B$1)</f>
        <v>21166</v>
      </c>
      <c r="AI14">
        <f>_xll.EQNXTDZ($A$1,$B14,AI$1,$B$1)</f>
        <v>20746</v>
      </c>
      <c r="AJ14">
        <f>_xll.EQNXTDZ($A$1,$B14,AJ$1,$B$1)</f>
        <v>17411</v>
      </c>
      <c r="AK14">
        <f>_xll.EQNXTDZ($A$1,$B14,AK$1,$B$1)</f>
        <v>19801</v>
      </c>
      <c r="AL14">
        <f>_xll.EQNXTDZ($A$1,$B14,AL$1,$B$1)</f>
        <v>20711</v>
      </c>
      <c r="AM14">
        <f>_xll.EQNXTDZ($A$1,$B14,AM$1,$B$1)</f>
        <v>22019</v>
      </c>
      <c r="AN14">
        <f>_xll.EQNXTDZ($A$1,$B14,AN$1,$B$1)</f>
        <v>23582</v>
      </c>
      <c r="AO14">
        <f>_xll.EQNXTDZ($A$1,$B14,AO$1,$B$1)</f>
        <v>24492</v>
      </c>
      <c r="AP14">
        <f>_xll.EQNXTDZ($A$1,$B14,AP$1,$B$1)</f>
        <v>25722</v>
      </c>
      <c r="AQ14">
        <f>_xll.EQNXTDZ($A$1,$B14,AQ$1,$B$1)</f>
        <v>28418</v>
      </c>
      <c r="AR14">
        <f>_xll.EQNXTDZ($A$1,$B14,AR$1,$B$1)</f>
        <v>33102</v>
      </c>
      <c r="AS14">
        <f>_xll.EQNXTDZ($A$1,$B14,AS$1,$B$1)</f>
        <v>29886</v>
      </c>
      <c r="AT14">
        <f>_xll.EQNXTDZ($A$1,$B14,AT$1,$B$1)</f>
        <v>30912</v>
      </c>
      <c r="AU14">
        <f>_xll.EQNXTDZ($A$1,$B14,AU$1,$B$1)</f>
        <v>31197</v>
      </c>
      <c r="AV14">
        <f>_xll.EQNXTDZ($A$1,$B14,AV$1,$B$1)</f>
        <v>32262</v>
      </c>
      <c r="AW14">
        <f>_xll.EQNXTDZ($A$1,$B14,AW$1,$B$1)</f>
        <v>30615</v>
      </c>
      <c r="AX14">
        <f>_xll.EQNXTDZ($A$1,$B14,AX$1,$B$1)</f>
        <v>33735</v>
      </c>
      <c r="AY14">
        <f>_xll.EQNXTDZ($A$1,$B14,AY$1,$B$1)</f>
        <v>32490</v>
      </c>
      <c r="AZ14">
        <f>_xll.EQNXTDZ($A$1,$B14,AZ$1,$B$1)</f>
        <v>32926</v>
      </c>
      <c r="BA14">
        <f>_xll.EQNXTDZ($A$1,$B14,BA$1,$B$1)</f>
        <v>36083</v>
      </c>
      <c r="BB14">
        <f>_xll.EQNXTDZ($A$1,$B14,BB$1,$B$1)</f>
        <v>39502</v>
      </c>
      <c r="BC14">
        <f>_xll.EQNXTDZ($A$1,$B14,BC$1,$B$1)</f>
        <v>40845</v>
      </c>
      <c r="BD14">
        <f>_xll.EQNXTDZ($A$1,$B14,BD$1,$B$1)</f>
        <v>37904</v>
      </c>
      <c r="BE14">
        <f>_xll.EQNXTDZ($A$1,$B14,BE$1,$B$1)</f>
        <v>39347</v>
      </c>
      <c r="BF14">
        <f>_xll.EQNXTDZ($A$1,$B14,BF$1,$B$1)</f>
        <v>41193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851</v>
      </c>
      <c r="D16">
        <f>_xll.EQNXTDZ($A$1,$B16,D$1,$B$1)</f>
        <v>848</v>
      </c>
      <c r="E16">
        <f>_xll.EQNXTDZ($A$1,$B16,E$1,$B$1)</f>
        <v>863</v>
      </c>
      <c r="F16">
        <f>_xll.EQNXTDZ($A$1,$B16,F$1,$B$1)</f>
        <v>792</v>
      </c>
      <c r="G16">
        <f>_xll.EQNXTDZ($A$1,$B16,G$1,$B$1)</f>
        <v>1415</v>
      </c>
      <c r="H16">
        <f>_xll.EQNXTDZ($A$1,$B16,H$1,$B$1)</f>
        <v>1409</v>
      </c>
      <c r="I16">
        <f>_xll.EQNXTDZ($A$1,$B16,I$1,$B$1)</f>
        <v>1173</v>
      </c>
      <c r="J16">
        <f>_xll.EQNXTDZ($A$1,$B16,J$1,$B$1)</f>
        <v>1575</v>
      </c>
      <c r="K16">
        <f>_xll.EQNXTDZ($A$1,$B16,K$1,$B$1)</f>
        <v>1480</v>
      </c>
      <c r="L16">
        <f>_xll.EQNXTDZ($A$1,$B16,L$1,$B$1)</f>
        <v>1575</v>
      </c>
      <c r="M16">
        <f>_xll.EQNXTDZ($A$1,$B16,M$1,$B$1)</f>
        <v>1548</v>
      </c>
      <c r="N16">
        <f>_xll.EQNXTDZ($A$1,$B16,N$1,$B$1)</f>
        <v>1659</v>
      </c>
      <c r="O16">
        <f>_xll.EQNXTDZ($A$1,$B16,O$1,$B$1)</f>
        <v>1915</v>
      </c>
      <c r="P16">
        <f>_xll.EQNXTDZ($A$1,$B16,P$1,$B$1)</f>
        <v>1713</v>
      </c>
      <c r="Q16">
        <f>_xll.EQNXTDZ($A$1,$B16,Q$1,$B$1)</f>
        <v>1954</v>
      </c>
      <c r="R16">
        <f>_xll.EQNXTDZ($A$1,$B16,R$1,$B$1)</f>
        <v>1844</v>
      </c>
      <c r="S16">
        <f>_xll.EQNXTDZ($A$1,$B16,S$1,$B$1)</f>
        <v>2111</v>
      </c>
      <c r="T16">
        <f>_xll.EQNXTDZ($A$1,$B16,T$1,$B$1)</f>
        <v>2017</v>
      </c>
      <c r="U16">
        <f>_xll.EQNXTDZ($A$1,$B16,U$1,$B$1)</f>
        <v>1894</v>
      </c>
      <c r="V16">
        <f>_xll.EQNXTDZ($A$1,$B16,V$1,$B$1)</f>
        <v>2366</v>
      </c>
      <c r="W16">
        <f>_xll.EQNXTDZ($A$1,$B16,W$1,$B$1)</f>
        <v>2455</v>
      </c>
      <c r="X16">
        <f>_xll.EQNXTDZ($A$1,$B16,X$1,$B$1)</f>
        <v>2260</v>
      </c>
      <c r="Y16">
        <f>_xll.EQNXTDZ($A$1,$B16,Y$1,$B$1)</f>
        <v>2333</v>
      </c>
      <c r="Z16">
        <f>_xll.EQNXTDZ($A$1,$B16,Z$1,$B$1)</f>
        <v>2475</v>
      </c>
      <c r="AA16">
        <f>_xll.EQNXTDZ($A$1,$B16,AA$1,$B$1)</f>
        <v>2951</v>
      </c>
      <c r="AB16">
        <f>_xll.EQNXTDZ($A$1,$B16,AB$1,$B$1)</f>
        <v>2927</v>
      </c>
      <c r="AC16">
        <f>_xll.EQNXTDZ($A$1,$B16,AC$1,$B$1)</f>
        <v>3265</v>
      </c>
      <c r="AD16">
        <f>_xll.EQNXTDZ($A$1,$B16,AD$1,$B$1)</f>
        <v>3345</v>
      </c>
      <c r="AE16">
        <f>_xll.EQNXTDZ($A$1,$B16,AE$1,$B$1)</f>
        <v>3335</v>
      </c>
      <c r="AF16">
        <f>_xll.EQNXTDZ($A$1,$B16,AF$1,$B$1)</f>
        <v>3147</v>
      </c>
      <c r="AG16">
        <f>_xll.EQNXTDZ($A$1,$B16,AG$1,$B$1)</f>
        <v>3880</v>
      </c>
      <c r="AH16">
        <f>_xll.EQNXTDZ($A$1,$B16,AH$1,$B$1)</f>
        <v>3713</v>
      </c>
      <c r="AI16">
        <f>_xll.EQNXTDZ($A$1,$B16,AI$1,$B$1)</f>
        <v>3168</v>
      </c>
      <c r="AJ16">
        <f>_xll.EQNXTDZ($A$1,$B16,AJ$1,$B$1)</f>
        <v>3429</v>
      </c>
      <c r="AK16">
        <f>_xll.EQNXTDZ($A$1,$B16,AK$1,$B$1)</f>
        <v>4244</v>
      </c>
      <c r="AL16">
        <f>_xll.EQNXTDZ($A$1,$B16,AL$1,$B$1)</f>
        <v>3976</v>
      </c>
      <c r="AM16">
        <f>_xll.EQNXTDZ($A$1,$B16,AM$1,$B$1)</f>
        <v>4257</v>
      </c>
      <c r="AN16">
        <f>_xll.EQNXTDZ($A$1,$B16,AN$1,$B$1)</f>
        <v>4580</v>
      </c>
      <c r="AO16">
        <f>_xll.EQNXTDZ($A$1,$B16,AO$1,$B$1)</f>
        <v>4660</v>
      </c>
      <c r="AP16">
        <f>_xll.EQNXTDZ($A$1,$B16,AP$1,$B$1)</f>
        <v>5278</v>
      </c>
      <c r="AQ16">
        <f>_xll.EQNXTDZ($A$1,$B16,AQ$1,$B$1)</f>
        <v>5999</v>
      </c>
      <c r="AR16">
        <f>_xll.EQNXTDZ($A$1,$B16,AR$1,$B$1)</f>
        <v>6148</v>
      </c>
      <c r="AS16">
        <f>_xll.EQNXTDZ($A$1,$B16,AS$1,$B$1)</f>
        <v>6261</v>
      </c>
      <c r="AT16">
        <f>_xll.EQNXTDZ($A$1,$B16,AT$1,$B$1)</f>
        <v>6464</v>
      </c>
      <c r="AU16">
        <f>_xll.EQNXTDZ($A$1,$B16,AU$1,$B$1)</f>
        <v>6601</v>
      </c>
      <c r="AV16">
        <f>_xll.EQNXTDZ($A$1,$B16,AV$1,$B$1)</f>
        <v>5947</v>
      </c>
      <c r="AW16">
        <f>_xll.EQNXTDZ($A$1,$B16,AW$1,$B$1)</f>
        <v>6313</v>
      </c>
      <c r="AX16">
        <f>_xll.EQNXTDZ($A$1,$B16,AX$1,$B$1)</f>
        <v>6818</v>
      </c>
      <c r="AY16">
        <f>_xll.EQNXTDZ($A$1,$B16,AY$1,$B$1)</f>
        <v>7071</v>
      </c>
      <c r="AZ16">
        <f>_xll.EQNXTDZ($A$1,$B16,AZ$1,$B$1)</f>
        <v>6649</v>
      </c>
      <c r="BA16">
        <f>_xll.EQNXTDZ($A$1,$B16,BA$1,$B$1)</f>
        <v>7155</v>
      </c>
      <c r="BB16">
        <f>_xll.EQNXTDZ($A$1,$B16,BB$1,$B$1)</f>
        <v>7684</v>
      </c>
      <c r="BC16">
        <f>_xll.EQNXTDZ($A$1,$B16,BC$1,$B$1)</f>
        <v>7232</v>
      </c>
      <c r="BD16">
        <f>_xll.EQNXTDZ($A$1,$B16,BD$1,$B$1)</f>
        <v>7491</v>
      </c>
      <c r="BE16">
        <f>_xll.EQNXTDZ($A$1,$B16,BE$1,$B$1)</f>
        <v>7912</v>
      </c>
      <c r="BF16">
        <f>_xll.EQNXTDZ($A$1,$B16,BF$1,$B$1)</f>
        <v>7683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6811</v>
      </c>
      <c r="D22">
        <f>_xll.EQNXTDZ($A$1,$B22,D$1,$B$1)</f>
        <v>7777</v>
      </c>
      <c r="E22">
        <f>_xll.EQNXTDZ($A$1,$B22,E$1,$B$1)</f>
        <v>8373</v>
      </c>
      <c r="F22">
        <f>_xll.EQNXTDZ($A$1,$B22,F$1,$B$1)</f>
        <v>7825</v>
      </c>
      <c r="G22">
        <f>_xll.EQNXTDZ($A$1,$B22,G$1,$B$1)</f>
        <v>7857</v>
      </c>
      <c r="H22">
        <f>_xll.EQNXTDZ($A$1,$B22,H$1,$B$1)</f>
        <v>8865</v>
      </c>
      <c r="I22">
        <f>_xll.EQNXTDZ($A$1,$B22,I$1,$B$1)</f>
        <v>8651</v>
      </c>
      <c r="J22">
        <f>_xll.EQNXTDZ($A$1,$B22,J$1,$B$1)</f>
        <v>9426</v>
      </c>
      <c r="K22">
        <f>_xll.EQNXTDZ($A$1,$B22,K$1,$B$1)</f>
        <v>8989</v>
      </c>
      <c r="L22">
        <f>_xll.EQNXTDZ($A$1,$B22,L$1,$B$1)</f>
        <v>9818</v>
      </c>
      <c r="M22">
        <f>_xll.EQNXTDZ($A$1,$B22,M$1,$B$1)</f>
        <v>8689</v>
      </c>
      <c r="N22">
        <f>_xll.EQNXTDZ($A$1,$B22,N$1,$B$1)</f>
        <v>9868</v>
      </c>
      <c r="O22">
        <f>_xll.EQNXTDZ($A$1,$B22,O$1,$B$1)</f>
        <v>9959</v>
      </c>
      <c r="P22">
        <f>_xll.EQNXTDZ($A$1,$B22,P$1,$B$1)</f>
        <v>9301</v>
      </c>
      <c r="Q22">
        <f>_xll.EQNXTDZ($A$1,$B22,Q$1,$B$1)</f>
        <v>11248</v>
      </c>
      <c r="R22">
        <f>_xll.EQNXTDZ($A$1,$B22,R$1,$B$1)</f>
        <v>11248</v>
      </c>
      <c r="S22">
        <f>_xll.EQNXTDZ($A$1,$B22,S$1,$B$1)</f>
        <v>11223</v>
      </c>
      <c r="T22">
        <f>_xll.EQNXTDZ($A$1,$B22,T$1,$B$1)</f>
        <v>11164</v>
      </c>
      <c r="U22">
        <f>_xll.EQNXTDZ($A$1,$B22,U$1,$B$1)</f>
        <v>11574</v>
      </c>
      <c r="V22">
        <f>_xll.EQNXTDZ($A$1,$B22,V$1,$B$1)</f>
        <v>12233</v>
      </c>
      <c r="W22">
        <f>_xll.EQNXTDZ($A$1,$B22,W$1,$B$1)</f>
        <v>12554</v>
      </c>
      <c r="X22">
        <f>_xll.EQNXTDZ($A$1,$B22,X$1,$B$1)</f>
        <v>15565</v>
      </c>
      <c r="Y22">
        <f>_xll.EQNXTDZ($A$1,$B22,Y$1,$B$1)</f>
        <v>17580</v>
      </c>
      <c r="Z22">
        <f>_xll.EQNXTDZ($A$1,$B22,Z$1,$B$1)</f>
        <v>18477</v>
      </c>
      <c r="AA22">
        <f>_xll.EQNXTDZ($A$1,$B22,AA$1,$B$1)</f>
        <v>20661</v>
      </c>
      <c r="AB22">
        <f>_xll.EQNXTDZ($A$1,$B22,AB$1,$B$1)</f>
        <v>21108</v>
      </c>
      <c r="AC22">
        <f>_xll.EQNXTDZ($A$1,$B22,AC$1,$B$1)</f>
        <v>21317</v>
      </c>
      <c r="AD22">
        <f>_xll.EQNXTDZ($A$1,$B22,AD$1,$B$1)</f>
        <v>21153</v>
      </c>
      <c r="AE22">
        <f>_xll.EQNXTDZ($A$1,$B22,AE$1,$B$1)</f>
        <v>21615</v>
      </c>
      <c r="AF22">
        <f>_xll.EQNXTDZ($A$1,$B22,AF$1,$B$1)</f>
        <v>22611</v>
      </c>
      <c r="AG22">
        <f>_xll.EQNXTDZ($A$1,$B22,AG$1,$B$1)</f>
        <v>22749</v>
      </c>
      <c r="AH22">
        <f>_xll.EQNXTDZ($A$1,$B22,AH$1,$B$1)</f>
        <v>22034</v>
      </c>
      <c r="AI22">
        <f>_xll.EQNXTDZ($A$1,$B22,AI$1,$B$1)</f>
        <v>16875</v>
      </c>
      <c r="AJ22">
        <f>_xll.EQNXTDZ($A$1,$B22,AJ$1,$B$1)</f>
        <v>18945</v>
      </c>
      <c r="AK22">
        <f>_xll.EQNXTDZ($A$1,$B22,AK$1,$B$1)</f>
        <v>21566</v>
      </c>
      <c r="AL22">
        <f>_xll.EQNXTDZ($A$1,$B22,AL$1,$B$1)</f>
        <v>23351</v>
      </c>
      <c r="AM22">
        <f>_xll.EQNXTDZ($A$1,$B22,AM$1,$B$1)</f>
        <v>23368</v>
      </c>
      <c r="AN22">
        <f>_xll.EQNXTDZ($A$1,$B22,AN$1,$B$1)</f>
        <v>26020</v>
      </c>
      <c r="AO22">
        <f>_xll.EQNXTDZ($A$1,$B22,AO$1,$B$1)</f>
        <v>29706</v>
      </c>
      <c r="AP22">
        <f>_xll.EQNXTDZ($A$1,$B22,AP$1,$B$1)</f>
        <v>31366</v>
      </c>
      <c r="AQ22">
        <f>_xll.EQNXTDZ($A$1,$B22,AQ$1,$B$1)</f>
        <v>37757</v>
      </c>
      <c r="AR22">
        <f>_xll.EQNXTDZ($A$1,$B22,AR$1,$B$1)</f>
        <v>31040</v>
      </c>
      <c r="AS22">
        <f>_xll.EQNXTDZ($A$1,$B22,AS$1,$B$1)</f>
        <v>35009</v>
      </c>
      <c r="AT22">
        <f>_xll.EQNXTDZ($A$1,$B22,AT$1,$B$1)</f>
        <v>38356</v>
      </c>
      <c r="AU22">
        <f>_xll.EQNXTDZ($A$1,$B22,AU$1,$B$1)</f>
        <v>38093</v>
      </c>
      <c r="AV22">
        <f>_xll.EQNXTDZ($A$1,$B22,AV$1,$B$1)</f>
        <v>40968</v>
      </c>
      <c r="AW22">
        <f>_xll.EQNXTDZ($A$1,$B22,AW$1,$B$1)</f>
        <v>40656</v>
      </c>
      <c r="AX22">
        <f>_xll.EQNXTDZ($A$1,$B22,AX$1,$B$1)</f>
        <v>42516</v>
      </c>
      <c r="AY22">
        <f>_xll.EQNXTDZ($A$1,$B22,AY$1,$B$1)</f>
        <v>38765</v>
      </c>
      <c r="AZ22">
        <f>_xll.EQNXTDZ($A$1,$B22,AZ$1,$B$1)</f>
        <v>39058</v>
      </c>
      <c r="BA22">
        <f>_xll.EQNXTDZ($A$1,$B22,BA$1,$B$1)</f>
        <v>43789</v>
      </c>
      <c r="BB22">
        <f>_xll.EQNXTDZ($A$1,$B22,BB$1,$B$1)</f>
        <v>43832</v>
      </c>
      <c r="BC22">
        <f>_xll.EQNXTDZ($A$1,$B22,BC$1,$B$1)</f>
        <v>42905</v>
      </c>
      <c r="BD22">
        <f>_xll.EQNXTDZ($A$1,$B22,BD$1,$B$1)</f>
        <v>45885</v>
      </c>
      <c r="BE22">
        <f>_xll.EQNXTDZ($A$1,$B22,BE$1,$B$1)</f>
        <v>46018</v>
      </c>
      <c r="BF22">
        <f>_xll.EQNXTDZ($A$1,$B22,BF$1,$B$1)</f>
        <v>44141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1904</v>
      </c>
      <c r="D23">
        <f>_xll.EQNXTDZ($A$1,$B23,D$1,$B$1)</f>
        <v>2112</v>
      </c>
      <c r="E23">
        <f>_xll.EQNXTDZ($A$1,$B23,E$1,$B$1)</f>
        <v>1740</v>
      </c>
      <c r="F23">
        <f>_xll.EQNXTDZ($A$1,$B23,F$1,$B$1)</f>
        <v>2243</v>
      </c>
      <c r="G23">
        <f>_xll.EQNXTDZ($A$1,$B23,G$1,$B$1)</f>
        <v>2392</v>
      </c>
      <c r="H23">
        <f>_xll.EQNXTDZ($A$1,$B23,H$1,$B$1)</f>
        <v>2346</v>
      </c>
      <c r="I23">
        <f>_xll.EQNXTDZ($A$1,$B23,I$1,$B$1)</f>
        <v>2076</v>
      </c>
      <c r="J23">
        <f>_xll.EQNXTDZ($A$1,$B23,J$1,$B$1)</f>
        <v>2097</v>
      </c>
      <c r="K23">
        <f>_xll.EQNXTDZ($A$1,$B23,K$1,$B$1)</f>
        <v>1974</v>
      </c>
      <c r="L23">
        <f>_xll.EQNXTDZ($A$1,$B23,L$1,$B$1)</f>
        <v>2009</v>
      </c>
      <c r="M23">
        <f>_xll.EQNXTDZ($A$1,$B23,M$1,$B$1)</f>
        <v>2340</v>
      </c>
      <c r="N23">
        <f>_xll.EQNXTDZ($A$1,$B23,N$1,$B$1)</f>
        <v>2172</v>
      </c>
      <c r="O23">
        <f>_xll.EQNXTDZ($A$1,$B23,O$1,$B$1)</f>
        <v>1584</v>
      </c>
      <c r="P23">
        <f>_xll.EQNXTDZ($A$1,$B23,P$1,$B$1)</f>
        <v>1460</v>
      </c>
      <c r="Q23">
        <f>_xll.EQNXTDZ($A$1,$B23,Q$1,$B$1)</f>
        <v>2440</v>
      </c>
      <c r="R23">
        <f>_xll.EQNXTDZ($A$1,$B23,R$1,$B$1)</f>
        <v>1996</v>
      </c>
      <c r="S23">
        <f>_xll.EQNXTDZ($A$1,$B23,S$1,$B$1)</f>
        <v>2378</v>
      </c>
      <c r="T23">
        <f>_xll.EQNXTDZ($A$1,$B23,T$1,$B$1)</f>
        <v>2393</v>
      </c>
      <c r="U23">
        <f>_xll.EQNXTDZ($A$1,$B23,U$1,$B$1)</f>
        <v>2736</v>
      </c>
      <c r="V23">
        <f>_xll.EQNXTDZ($A$1,$B23,V$1,$B$1)</f>
        <v>1936</v>
      </c>
      <c r="W23">
        <f>_xll.EQNXTDZ($A$1,$B23,W$1,$B$1)</f>
        <v>2124</v>
      </c>
      <c r="X23">
        <f>_xll.EQNXTDZ($A$1,$B23,X$1,$B$1)</f>
        <v>2317</v>
      </c>
      <c r="Y23">
        <f>_xll.EQNXTDZ($A$1,$B23,Y$1,$B$1)</f>
        <v>2218</v>
      </c>
      <c r="Z23">
        <f>_xll.EQNXTDZ($A$1,$B23,Z$1,$B$1)</f>
        <v>2203</v>
      </c>
      <c r="AA23">
        <f>_xll.EQNXTDZ($A$1,$B23,AA$1,$B$1)</f>
        <v>1778</v>
      </c>
      <c r="AB23">
        <f>_xll.EQNXTDZ($A$1,$B23,AB$1,$B$1)</f>
        <v>1250</v>
      </c>
      <c r="AC23">
        <f>_xll.EQNXTDZ($A$1,$B23,AC$1,$B$1)</f>
        <v>2460</v>
      </c>
      <c r="AD23">
        <f>_xll.EQNXTDZ($A$1,$B23,AD$1,$B$1)</f>
        <v>2826</v>
      </c>
      <c r="AE23">
        <f>_xll.EQNXTDZ($A$1,$B23,AE$1,$B$1)</f>
        <v>2846</v>
      </c>
      <c r="AF23">
        <f>_xll.EQNXTDZ($A$1,$B23,AF$1,$B$1)</f>
        <v>3155</v>
      </c>
      <c r="AG23">
        <f>_xll.EQNXTDZ($A$1,$B23,AG$1,$B$1)</f>
        <v>3282</v>
      </c>
      <c r="AH23">
        <f>_xll.EQNXTDZ($A$1,$B23,AH$1,$B$1)</f>
        <v>3881</v>
      </c>
      <c r="AI23">
        <f>_xll.EQNXTDZ($A$1,$B23,AI$1,$B$1)</f>
        <v>4388</v>
      </c>
      <c r="AJ23">
        <f>_xll.EQNXTDZ($A$1,$B23,AJ$1,$B$1)</f>
        <v>4249</v>
      </c>
      <c r="AK23">
        <f>_xll.EQNXTDZ($A$1,$B23,AK$1,$B$1)</f>
        <v>4453</v>
      </c>
      <c r="AL23">
        <f>_xll.EQNXTDZ($A$1,$B23,AL$1,$B$1)</f>
        <v>3237</v>
      </c>
      <c r="AM23">
        <f>_xll.EQNXTDZ($A$1,$B23,AM$1,$B$1)</f>
        <v>4219</v>
      </c>
      <c r="AN23">
        <f>_xll.EQNXTDZ($A$1,$B23,AN$1,$B$1)</f>
        <v>4224</v>
      </c>
      <c r="AO23">
        <f>_xll.EQNXTDZ($A$1,$B23,AO$1,$B$1)</f>
        <v>4047</v>
      </c>
      <c r="AP23">
        <f>_xll.EQNXTDZ($A$1,$B23,AP$1,$B$1)</f>
        <v>2457</v>
      </c>
      <c r="AQ23">
        <f>_xll.EQNXTDZ($A$1,$B23,AQ$1,$B$1)</f>
        <v>2237</v>
      </c>
      <c r="AR23">
        <f>_xll.EQNXTDZ($A$1,$B23,AR$1,$B$1)</f>
        <v>3476</v>
      </c>
      <c r="AS23">
        <f>_xll.EQNXTDZ($A$1,$B23,AS$1,$B$1)</f>
        <v>3146</v>
      </c>
      <c r="AT23">
        <f>_xll.EQNXTDZ($A$1,$B23,AT$1,$B$1)</f>
        <v>2875</v>
      </c>
      <c r="AU23">
        <f>_xll.EQNXTDZ($A$1,$B23,AU$1,$B$1)</f>
        <v>3813</v>
      </c>
      <c r="AV23">
        <f>_xll.EQNXTDZ($A$1,$B23,AV$1,$B$1)</f>
        <v>3841</v>
      </c>
      <c r="AW23">
        <f>_xll.EQNXTDZ($A$1,$B23,AW$1,$B$1)</f>
        <v>3869</v>
      </c>
      <c r="AX23">
        <f>_xll.EQNXTDZ($A$1,$B23,AX$1,$B$1)</f>
        <v>4534</v>
      </c>
      <c r="AY23">
        <f>_xll.EQNXTDZ($A$1,$B23,AY$1,$B$1)</f>
        <v>3983</v>
      </c>
      <c r="AZ23">
        <f>_xll.EQNXTDZ($A$1,$B23,AZ$1,$B$1)</f>
        <v>4876</v>
      </c>
      <c r="BA23">
        <f>_xll.EQNXTDZ($A$1,$B23,BA$1,$B$1)</f>
        <v>4214</v>
      </c>
      <c r="BB23">
        <f>_xll.EQNXTDZ($A$1,$B23,BB$1,$B$1)</f>
        <v>4905</v>
      </c>
      <c r="BC23">
        <f>_xll.EQNXTDZ($A$1,$B23,BC$1,$B$1)</f>
        <v>15119</v>
      </c>
      <c r="BD23">
        <f>_xll.EQNXTDZ($A$1,$B23,BD$1,$B$1)</f>
        <v>4482</v>
      </c>
      <c r="BE23">
        <f>_xll.EQNXTDZ($A$1,$B23,BE$1,$B$1)</f>
        <v>4914</v>
      </c>
      <c r="BF23">
        <f>_xll.EQNXTDZ($A$1,$B23,BF$1,$B$1)</f>
        <v>4447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8715</v>
      </c>
      <c r="D24">
        <f>_xll.EQNXTDZ($A$1,$B24,D$1,$B$1)</f>
        <v>9889</v>
      </c>
      <c r="E24">
        <f>_xll.EQNXTDZ($A$1,$B24,E$1,$B$1)</f>
        <v>10113</v>
      </c>
      <c r="F24">
        <f>_xll.EQNXTDZ($A$1,$B24,F$1,$B$1)</f>
        <v>10068</v>
      </c>
      <c r="G24">
        <f>_xll.EQNXTDZ($A$1,$B24,G$1,$B$1)</f>
        <v>10249</v>
      </c>
      <c r="H24">
        <f>_xll.EQNXTDZ($A$1,$B24,H$1,$B$1)</f>
        <v>11211</v>
      </c>
      <c r="I24">
        <f>_xll.EQNXTDZ($A$1,$B24,I$1,$B$1)</f>
        <v>10727</v>
      </c>
      <c r="J24">
        <f>_xll.EQNXTDZ($A$1,$B24,J$1,$B$1)</f>
        <v>11523</v>
      </c>
      <c r="K24">
        <f>_xll.EQNXTDZ($A$1,$B24,K$1,$B$1)</f>
        <v>10963</v>
      </c>
      <c r="L24">
        <f>_xll.EQNXTDZ($A$1,$B24,L$1,$B$1)</f>
        <v>11827</v>
      </c>
      <c r="M24">
        <f>_xll.EQNXTDZ($A$1,$B24,M$1,$B$1)</f>
        <v>11029</v>
      </c>
      <c r="N24">
        <f>_xll.EQNXTDZ($A$1,$B24,N$1,$B$1)</f>
        <v>12040</v>
      </c>
      <c r="O24">
        <f>_xll.EQNXTDZ($A$1,$B24,O$1,$B$1)</f>
        <v>11543</v>
      </c>
      <c r="P24">
        <f>_xll.EQNXTDZ($A$1,$B24,P$1,$B$1)</f>
        <v>10761</v>
      </c>
      <c r="Q24">
        <f>_xll.EQNXTDZ($A$1,$B24,Q$1,$B$1)</f>
        <v>13688</v>
      </c>
      <c r="R24">
        <f>_xll.EQNXTDZ($A$1,$B24,R$1,$B$1)</f>
        <v>13244</v>
      </c>
      <c r="S24">
        <f>_xll.EQNXTDZ($A$1,$B24,S$1,$B$1)</f>
        <v>13601</v>
      </c>
      <c r="T24">
        <f>_xll.EQNXTDZ($A$1,$B24,T$1,$B$1)</f>
        <v>13557</v>
      </c>
      <c r="U24">
        <f>_xll.EQNXTDZ($A$1,$B24,U$1,$B$1)</f>
        <v>14310</v>
      </c>
      <c r="V24">
        <f>_xll.EQNXTDZ($A$1,$B24,V$1,$B$1)</f>
        <v>14169</v>
      </c>
      <c r="W24">
        <f>_xll.EQNXTDZ($A$1,$B24,W$1,$B$1)</f>
        <v>14678</v>
      </c>
      <c r="X24">
        <f>_xll.EQNXTDZ($A$1,$B24,X$1,$B$1)</f>
        <v>17882</v>
      </c>
      <c r="Y24">
        <f>_xll.EQNXTDZ($A$1,$B24,Y$1,$B$1)</f>
        <v>19798</v>
      </c>
      <c r="Z24">
        <f>_xll.EQNXTDZ($A$1,$B24,Z$1,$B$1)</f>
        <v>20680</v>
      </c>
      <c r="AA24">
        <f>_xll.EQNXTDZ($A$1,$B24,AA$1,$B$1)</f>
        <v>22439</v>
      </c>
      <c r="AB24">
        <f>_xll.EQNXTDZ($A$1,$B24,AB$1,$B$1)</f>
        <v>22358</v>
      </c>
      <c r="AC24">
        <f>_xll.EQNXTDZ($A$1,$B24,AC$1,$B$1)</f>
        <v>23777</v>
      </c>
      <c r="AD24">
        <f>_xll.EQNXTDZ($A$1,$B24,AD$1,$B$1)</f>
        <v>23979</v>
      </c>
      <c r="AE24">
        <f>_xll.EQNXTDZ($A$1,$B24,AE$1,$B$1)</f>
        <v>24461</v>
      </c>
      <c r="AF24">
        <f>_xll.EQNXTDZ($A$1,$B24,AF$1,$B$1)</f>
        <v>25766</v>
      </c>
      <c r="AG24">
        <f>_xll.EQNXTDZ($A$1,$B24,AG$1,$B$1)</f>
        <v>26031</v>
      </c>
      <c r="AH24">
        <f>_xll.EQNXTDZ($A$1,$B24,AH$1,$B$1)</f>
        <v>25915</v>
      </c>
      <c r="AI24">
        <f>_xll.EQNXTDZ($A$1,$B24,AI$1,$B$1)</f>
        <v>21263</v>
      </c>
      <c r="AJ24">
        <f>_xll.EQNXTDZ($A$1,$B24,AJ$1,$B$1)</f>
        <v>23194</v>
      </c>
      <c r="AK24">
        <f>_xll.EQNXTDZ($A$1,$B24,AK$1,$B$1)</f>
        <v>26019</v>
      </c>
      <c r="AL24">
        <f>_xll.EQNXTDZ($A$1,$B24,AL$1,$B$1)</f>
        <v>26588</v>
      </c>
      <c r="AM24">
        <f>_xll.EQNXTDZ($A$1,$B24,AM$1,$B$1)</f>
        <v>27587</v>
      </c>
      <c r="AN24">
        <f>_xll.EQNXTDZ($A$1,$B24,AN$1,$B$1)</f>
        <v>30244</v>
      </c>
      <c r="AO24">
        <f>_xll.EQNXTDZ($A$1,$B24,AO$1,$B$1)</f>
        <v>33753</v>
      </c>
      <c r="AP24">
        <f>_xll.EQNXTDZ($A$1,$B24,AP$1,$B$1)</f>
        <v>33823</v>
      </c>
      <c r="AQ24">
        <f>_xll.EQNXTDZ($A$1,$B24,AQ$1,$B$1)</f>
        <v>39994</v>
      </c>
      <c r="AR24">
        <f>_xll.EQNXTDZ($A$1,$B24,AR$1,$B$1)</f>
        <v>34516</v>
      </c>
      <c r="AS24">
        <f>_xll.EQNXTDZ($A$1,$B24,AS$1,$B$1)</f>
        <v>38155</v>
      </c>
      <c r="AT24">
        <f>_xll.EQNXTDZ($A$1,$B24,AT$1,$B$1)</f>
        <v>41231</v>
      </c>
      <c r="AU24">
        <f>_xll.EQNXTDZ($A$1,$B24,AU$1,$B$1)</f>
        <v>41906</v>
      </c>
      <c r="AV24">
        <f>_xll.EQNXTDZ($A$1,$B24,AV$1,$B$1)</f>
        <v>44809</v>
      </c>
      <c r="AW24">
        <f>_xll.EQNXTDZ($A$1,$B24,AW$1,$B$1)</f>
        <v>44525</v>
      </c>
      <c r="AX24">
        <f>_xll.EQNXTDZ($A$1,$B24,AX$1,$B$1)</f>
        <v>47050</v>
      </c>
      <c r="AY24">
        <f>_xll.EQNXTDZ($A$1,$B24,AY$1,$B$1)</f>
        <v>42748</v>
      </c>
      <c r="AZ24">
        <f>_xll.EQNXTDZ($A$1,$B24,AZ$1,$B$1)</f>
        <v>43934</v>
      </c>
      <c r="BA24">
        <f>_xll.EQNXTDZ($A$1,$B24,BA$1,$B$1)</f>
        <v>48003</v>
      </c>
      <c r="BB24">
        <f>_xll.EQNXTDZ($A$1,$B24,BB$1,$B$1)</f>
        <v>48737</v>
      </c>
      <c r="BC24">
        <f>_xll.EQNXTDZ($A$1,$B24,BC$1,$B$1)</f>
        <v>58024</v>
      </c>
      <c r="BD24">
        <f>_xll.EQNXTDZ($A$1,$B24,BD$1,$B$1)</f>
        <v>50367</v>
      </c>
      <c r="BE24">
        <f>_xll.EQNXTDZ($A$1,$B24,BE$1,$B$1)</f>
        <v>50932</v>
      </c>
      <c r="BF24">
        <f>_xll.EQNXTDZ($A$1,$B24,BF$1,$B$1)</f>
        <v>48588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784</v>
      </c>
      <c r="D25">
        <f>_xll.EQNXTDZ($A$1,$B25,D$1,$B$1)</f>
        <v>737</v>
      </c>
      <c r="E25">
        <f>_xll.EQNXTDZ($A$1,$B25,E$1,$B$1)</f>
        <v>806</v>
      </c>
      <c r="F25">
        <f>_xll.EQNXTDZ($A$1,$B25,F$1,$B$1)</f>
        <v>709</v>
      </c>
      <c r="G25">
        <f>_xll.EQNXTDZ($A$1,$B25,G$1,$B$1)</f>
        <v>938</v>
      </c>
      <c r="H25">
        <f>_xll.EQNXTDZ($A$1,$B25,H$1,$B$1)</f>
        <v>959</v>
      </c>
      <c r="I25">
        <f>_xll.EQNXTDZ($A$1,$B25,I$1,$B$1)</f>
        <v>961</v>
      </c>
      <c r="J25">
        <f>_xll.EQNXTDZ($A$1,$B25,J$1,$B$1)</f>
        <v>978</v>
      </c>
      <c r="K25">
        <f>_xll.EQNXTDZ($A$1,$B25,K$1,$B$1)</f>
        <v>505</v>
      </c>
      <c r="L25">
        <f>_xll.EQNXTDZ($A$1,$B25,L$1,$B$1)</f>
        <v>997</v>
      </c>
      <c r="M25">
        <f>_xll.EQNXTDZ($A$1,$B25,M$1,$B$1)</f>
        <v>1137</v>
      </c>
      <c r="N25">
        <f>_xll.EQNXTDZ($A$1,$B25,N$1,$B$1)</f>
        <v>677</v>
      </c>
      <c r="O25">
        <f>_xll.EQNXTDZ($A$1,$B25,O$1,$B$1)</f>
        <v>915</v>
      </c>
      <c r="P25">
        <f>_xll.EQNXTDZ($A$1,$B25,P$1,$B$1)</f>
        <v>993</v>
      </c>
      <c r="Q25">
        <f>_xll.EQNXTDZ($A$1,$B25,Q$1,$B$1)</f>
        <v>945</v>
      </c>
      <c r="R25">
        <f>_xll.EQNXTDZ($A$1,$B25,R$1,$B$1)</f>
        <v>842</v>
      </c>
      <c r="S25">
        <f>_xll.EQNXTDZ($A$1,$B25,S$1,$B$1)</f>
        <v>1206</v>
      </c>
      <c r="T25">
        <f>_xll.EQNXTDZ($A$1,$B25,T$1,$B$1)</f>
        <v>883</v>
      </c>
      <c r="U25">
        <f>_xll.EQNXTDZ($A$1,$B25,U$1,$B$1)</f>
        <v>1204</v>
      </c>
      <c r="V25">
        <f>_xll.EQNXTDZ($A$1,$B25,V$1,$B$1)</f>
        <v>556</v>
      </c>
      <c r="W25">
        <f>_xll.EQNXTDZ($A$1,$B25,W$1,$B$1)</f>
        <v>1119</v>
      </c>
      <c r="X25">
        <f>_xll.EQNXTDZ($A$1,$B25,X$1,$B$1)</f>
        <v>2272</v>
      </c>
      <c r="Y25">
        <f>_xll.EQNXTDZ($A$1,$B25,Y$1,$B$1)</f>
        <v>2095</v>
      </c>
      <c r="Z25">
        <f>_xll.EQNXTDZ($A$1,$B25,Z$1,$B$1)</f>
        <v>2566</v>
      </c>
      <c r="AA25">
        <f>_xll.EQNXTDZ($A$1,$B25,AA$1,$B$1)</f>
        <v>3550</v>
      </c>
      <c r="AB25">
        <f>_xll.EQNXTDZ($A$1,$B25,AB$1,$B$1)</f>
        <v>3932</v>
      </c>
      <c r="AC25">
        <f>_xll.EQNXTDZ($A$1,$B25,AC$1,$B$1)</f>
        <v>4119</v>
      </c>
      <c r="AD25">
        <f>_xll.EQNXTDZ($A$1,$B25,AD$1,$B$1)</f>
        <v>4894</v>
      </c>
      <c r="AE25">
        <f>_xll.EQNXTDZ($A$1,$B25,AE$1,$B$1)</f>
        <v>5109</v>
      </c>
      <c r="AF25">
        <f>_xll.EQNXTDZ($A$1,$B25,AF$1,$B$1)</f>
        <v>5450</v>
      </c>
      <c r="AG25">
        <f>_xll.EQNXTDZ($A$1,$B25,AG$1,$B$1)</f>
        <v>5404</v>
      </c>
      <c r="AH25">
        <f>_xll.EQNXTDZ($A$1,$B25,AH$1,$B$1)</f>
        <v>6064</v>
      </c>
      <c r="AI25">
        <f>_xll.EQNXTDZ($A$1,$B25,AI$1,$B$1)</f>
        <v>6735</v>
      </c>
      <c r="AJ25">
        <f>_xll.EQNXTDZ($A$1,$B25,AJ$1,$B$1)</f>
        <v>6084</v>
      </c>
      <c r="AK25">
        <f>_xll.EQNXTDZ($A$1,$B25,AK$1,$B$1)</f>
        <v>4326</v>
      </c>
      <c r="AL25">
        <f>_xll.EQNXTDZ($A$1,$B25,AL$1,$B$1)</f>
        <v>4044</v>
      </c>
      <c r="AM25">
        <f>_xll.EQNXTDZ($A$1,$B25,AM$1,$B$1)</f>
        <v>3397</v>
      </c>
      <c r="AN25">
        <f>_xll.EQNXTDZ($A$1,$B25,AN$1,$B$1)</f>
        <v>3819</v>
      </c>
      <c r="AO25">
        <f>_xll.EQNXTDZ($A$1,$B25,AO$1,$B$1)</f>
        <v>3812</v>
      </c>
      <c r="AP25">
        <f>_xll.EQNXTDZ($A$1,$B25,AP$1,$B$1)</f>
        <v>3556</v>
      </c>
      <c r="AQ25">
        <f>_xll.EQNXTDZ($A$1,$B25,AQ$1,$B$1)</f>
        <v>3997</v>
      </c>
      <c r="AR25">
        <f>_xll.EQNXTDZ($A$1,$B25,AR$1,$B$1)</f>
        <v>4554</v>
      </c>
      <c r="AS25">
        <f>_xll.EQNXTDZ($A$1,$B25,AS$1,$B$1)</f>
        <v>5201</v>
      </c>
      <c r="AT25">
        <f>_xll.EQNXTDZ($A$1,$B25,AT$1,$B$1)</f>
        <v>5819</v>
      </c>
      <c r="AU25">
        <f>_xll.EQNXTDZ($A$1,$B25,AU$1,$B$1)</f>
        <v>5837</v>
      </c>
      <c r="AV25">
        <f>_xll.EQNXTDZ($A$1,$B25,AV$1,$B$1)</f>
        <v>5731</v>
      </c>
      <c r="AW25">
        <f>_xll.EQNXTDZ($A$1,$B25,AW$1,$B$1)</f>
        <v>5789</v>
      </c>
      <c r="AX25">
        <f>_xll.EQNXTDZ($A$1,$B25,AX$1,$B$1)</f>
        <v>5761</v>
      </c>
      <c r="AY25">
        <f>_xll.EQNXTDZ($A$1,$B25,AY$1,$B$1)</f>
        <v>5918</v>
      </c>
      <c r="AZ25">
        <f>_xll.EQNXTDZ($A$1,$B25,AZ$1,$B$1)</f>
        <v>6017</v>
      </c>
      <c r="BA25">
        <f>_xll.EQNXTDZ($A$1,$B25,BA$1,$B$1)</f>
        <v>6179</v>
      </c>
      <c r="BB25">
        <f>_xll.EQNXTDZ($A$1,$B25,BB$1,$B$1)</f>
        <v>6155</v>
      </c>
      <c r="BC25">
        <f>_xll.EQNXTDZ($A$1,$B25,BC$1,$B$1)</f>
        <v>7036</v>
      </c>
      <c r="BD25">
        <f>_xll.EQNXTDZ($A$1,$B25,BD$1,$B$1)</f>
        <v>6827</v>
      </c>
      <c r="BE25">
        <f>_xll.EQNXTDZ($A$1,$B25,BE$1,$B$1)</f>
        <v>6613</v>
      </c>
      <c r="BF25">
        <f>_xll.EQNXTDZ($A$1,$B25,BF$1,$B$1)</f>
        <v>6585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4310</v>
      </c>
      <c r="Q26">
        <f>_xll.EQNXTDZ($A$1,$B26,Q$1,$B$1)</f>
        <v>0</v>
      </c>
      <c r="R26">
        <f>_xll.EQNXTDZ($A$1,$B26,R$1,$B$1)</f>
        <v>264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1087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-177</v>
      </c>
      <c r="AH26">
        <f>_xll.EQNXTDZ($A$1,$B26,AH$1,$B$1)</f>
        <v>-4267</v>
      </c>
      <c r="AI26">
        <f>_xll.EQNXTDZ($A$1,$B26,AI$1,$B$1)</f>
        <v>4966</v>
      </c>
      <c r="AJ26">
        <f>_xll.EQNXTDZ($A$1,$B26,AJ$1,$B$1)</f>
        <v>0</v>
      </c>
      <c r="AK26">
        <f>_xll.EQNXTDZ($A$1,$B26,AK$1,$B$1)</f>
        <v>-121</v>
      </c>
      <c r="AL26">
        <f>_xll.EQNXTDZ($A$1,$B26,AL$1,$B$1)</f>
        <v>797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2836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7931</v>
      </c>
      <c r="D27">
        <f>_xll.EQNXTDZ($A$1,$B27,D$1,$B$1)</f>
        <v>9152</v>
      </c>
      <c r="E27">
        <f>_xll.EQNXTDZ($A$1,$B27,E$1,$B$1)</f>
        <v>9307</v>
      </c>
      <c r="F27">
        <f>_xll.EQNXTDZ($A$1,$B27,F$1,$B$1)</f>
        <v>9359</v>
      </c>
      <c r="G27">
        <f>_xll.EQNXTDZ($A$1,$B27,G$1,$B$1)</f>
        <v>9311</v>
      </c>
      <c r="H27">
        <f>_xll.EQNXTDZ($A$1,$B27,H$1,$B$1)</f>
        <v>10252</v>
      </c>
      <c r="I27">
        <f>_xll.EQNXTDZ($A$1,$B27,I$1,$B$1)</f>
        <v>9766</v>
      </c>
      <c r="J27">
        <f>_xll.EQNXTDZ($A$1,$B27,J$1,$B$1)</f>
        <v>10545</v>
      </c>
      <c r="K27">
        <f>_xll.EQNXTDZ($A$1,$B27,K$1,$B$1)</f>
        <v>10458</v>
      </c>
      <c r="L27">
        <f>_xll.EQNXTDZ($A$1,$B27,L$1,$B$1)</f>
        <v>10830</v>
      </c>
      <c r="M27">
        <f>_xll.EQNXTDZ($A$1,$B27,M$1,$B$1)</f>
        <v>9892</v>
      </c>
      <c r="N27">
        <f>_xll.EQNXTDZ($A$1,$B27,N$1,$B$1)</f>
        <v>11363</v>
      </c>
      <c r="O27">
        <f>_xll.EQNXTDZ($A$1,$B27,O$1,$B$1)</f>
        <v>10628</v>
      </c>
      <c r="P27">
        <f>_xll.EQNXTDZ($A$1,$B27,P$1,$B$1)</f>
        <v>14078</v>
      </c>
      <c r="Q27">
        <f>_xll.EQNXTDZ($A$1,$B27,Q$1,$B$1)</f>
        <v>12743</v>
      </c>
      <c r="R27">
        <f>_xll.EQNXTDZ($A$1,$B27,R$1,$B$1)</f>
        <v>12666</v>
      </c>
      <c r="S27">
        <f>_xll.EQNXTDZ($A$1,$B27,S$1,$B$1)</f>
        <v>12395</v>
      </c>
      <c r="T27">
        <f>_xll.EQNXTDZ($A$1,$B27,T$1,$B$1)</f>
        <v>12674</v>
      </c>
      <c r="U27">
        <f>_xll.EQNXTDZ($A$1,$B27,U$1,$B$1)</f>
        <v>13106</v>
      </c>
      <c r="V27">
        <f>_xll.EQNXTDZ($A$1,$B27,V$1,$B$1)</f>
        <v>13613</v>
      </c>
      <c r="W27">
        <f>_xll.EQNXTDZ($A$1,$B27,W$1,$B$1)</f>
        <v>14646</v>
      </c>
      <c r="X27">
        <f>_xll.EQNXTDZ($A$1,$B27,X$1,$B$1)</f>
        <v>15610</v>
      </c>
      <c r="Y27">
        <f>_xll.EQNXTDZ($A$1,$B27,Y$1,$B$1)</f>
        <v>17703</v>
      </c>
      <c r="Z27">
        <f>_xll.EQNXTDZ($A$1,$B27,Z$1,$B$1)</f>
        <v>18114</v>
      </c>
      <c r="AA27">
        <f>_xll.EQNXTDZ($A$1,$B27,AA$1,$B$1)</f>
        <v>18889</v>
      </c>
      <c r="AB27">
        <f>_xll.EQNXTDZ($A$1,$B27,AB$1,$B$1)</f>
        <v>18426</v>
      </c>
      <c r="AC27">
        <f>_xll.EQNXTDZ($A$1,$B27,AC$1,$B$1)</f>
        <v>19658</v>
      </c>
      <c r="AD27">
        <f>_xll.EQNXTDZ($A$1,$B27,AD$1,$B$1)</f>
        <v>19085</v>
      </c>
      <c r="AE27">
        <f>_xll.EQNXTDZ($A$1,$B27,AE$1,$B$1)</f>
        <v>19352</v>
      </c>
      <c r="AF27">
        <f>_xll.EQNXTDZ($A$1,$B27,AF$1,$B$1)</f>
        <v>20316</v>
      </c>
      <c r="AG27">
        <f>_xll.EQNXTDZ($A$1,$B27,AG$1,$B$1)</f>
        <v>20450</v>
      </c>
      <c r="AH27">
        <f>_xll.EQNXTDZ($A$1,$B27,AH$1,$B$1)</f>
        <v>15584</v>
      </c>
      <c r="AI27">
        <f>_xll.EQNXTDZ($A$1,$B27,AI$1,$B$1)</f>
        <v>19494</v>
      </c>
      <c r="AJ27">
        <f>_xll.EQNXTDZ($A$1,$B27,AJ$1,$B$1)</f>
        <v>17110</v>
      </c>
      <c r="AK27">
        <f>_xll.EQNXTDZ($A$1,$B27,AK$1,$B$1)</f>
        <v>21572</v>
      </c>
      <c r="AL27">
        <f>_xll.EQNXTDZ($A$1,$B27,AL$1,$B$1)</f>
        <v>23341</v>
      </c>
      <c r="AM27">
        <f>_xll.EQNXTDZ($A$1,$B27,AM$1,$B$1)</f>
        <v>24190</v>
      </c>
      <c r="AN27">
        <f>_xll.EQNXTDZ($A$1,$B27,AN$1,$B$1)</f>
        <v>26425</v>
      </c>
      <c r="AO27">
        <f>_xll.EQNXTDZ($A$1,$B27,AO$1,$B$1)</f>
        <v>32777</v>
      </c>
      <c r="AP27">
        <f>_xll.EQNXTDZ($A$1,$B27,AP$1,$B$1)</f>
        <v>30267</v>
      </c>
      <c r="AQ27">
        <f>_xll.EQNXTDZ($A$1,$B27,AQ$1,$B$1)</f>
        <v>35997</v>
      </c>
      <c r="AR27">
        <f>_xll.EQNXTDZ($A$1,$B27,AR$1,$B$1)</f>
        <v>29962</v>
      </c>
      <c r="AS27">
        <f>_xll.EQNXTDZ($A$1,$B27,AS$1,$B$1)</f>
        <v>32954</v>
      </c>
      <c r="AT27">
        <f>_xll.EQNXTDZ($A$1,$B27,AT$1,$B$1)</f>
        <v>35412</v>
      </c>
      <c r="AU27">
        <f>_xll.EQNXTDZ($A$1,$B27,AU$1,$B$1)</f>
        <v>36069</v>
      </c>
      <c r="AV27">
        <f>_xll.EQNXTDZ($A$1,$B27,AV$1,$B$1)</f>
        <v>39078</v>
      </c>
      <c r="AW27">
        <f>_xll.EQNXTDZ($A$1,$B27,AW$1,$B$1)</f>
        <v>38736</v>
      </c>
      <c r="AX27">
        <f>_xll.EQNXTDZ($A$1,$B27,AX$1,$B$1)</f>
        <v>41289</v>
      </c>
      <c r="AY27">
        <f>_xll.EQNXTDZ($A$1,$B27,AY$1,$B$1)</f>
        <v>36830</v>
      </c>
      <c r="AZ27">
        <f>_xll.EQNXTDZ($A$1,$B27,AZ$1,$B$1)</f>
        <v>37917</v>
      </c>
      <c r="BA27">
        <f>_xll.EQNXTDZ($A$1,$B27,BA$1,$B$1)</f>
        <v>41824</v>
      </c>
      <c r="BB27">
        <f>_xll.EQNXTDZ($A$1,$B27,BB$1,$B$1)</f>
        <v>42582</v>
      </c>
      <c r="BC27">
        <f>_xll.EQNXTDZ($A$1,$B27,BC$1,$B$1)</f>
        <v>50988</v>
      </c>
      <c r="BD27">
        <f>_xll.EQNXTDZ($A$1,$B27,BD$1,$B$1)</f>
        <v>43540</v>
      </c>
      <c r="BE27">
        <f>_xll.EQNXTDZ($A$1,$B27,BE$1,$B$1)</f>
        <v>44319</v>
      </c>
      <c r="BF27">
        <f>_xll.EQNXTDZ($A$1,$B27,BF$1,$B$1)</f>
        <v>42003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2463</v>
      </c>
      <c r="D28">
        <f>_xll.EQNXTDZ($A$1,$B28,D$1,$B$1)</f>
        <v>2306</v>
      </c>
      <c r="E28">
        <f>_xll.EQNXTDZ($A$1,$B28,E$1,$B$1)</f>
        <v>2457</v>
      </c>
      <c r="F28">
        <f>_xll.EQNXTDZ($A$1,$B28,F$1,$B$1)</f>
        <v>2239</v>
      </c>
      <c r="G28">
        <f>_xll.EQNXTDZ($A$1,$B28,G$1,$B$1)</f>
        <v>2719</v>
      </c>
      <c r="H28">
        <f>_xll.EQNXTDZ($A$1,$B28,H$1,$B$1)</f>
        <v>2796</v>
      </c>
      <c r="I28">
        <f>_xll.EQNXTDZ($A$1,$B28,I$1,$B$1)</f>
        <v>2776</v>
      </c>
      <c r="J28">
        <f>_xll.EQNXTDZ($A$1,$B28,J$1,$B$1)</f>
        <v>2910</v>
      </c>
      <c r="K28">
        <f>_xll.EQNXTDZ($A$1,$B28,K$1,$B$1)</f>
        <v>2782</v>
      </c>
      <c r="L28">
        <f>_xll.EQNXTDZ($A$1,$B28,L$1,$B$1)</f>
        <v>3024</v>
      </c>
      <c r="M28">
        <f>_xll.EQNXTDZ($A$1,$B28,M$1,$B$1)</f>
        <v>2954</v>
      </c>
      <c r="N28">
        <f>_xll.EQNXTDZ($A$1,$B28,N$1,$B$1)</f>
        <v>2787</v>
      </c>
      <c r="O28">
        <f>_xll.EQNXTDZ($A$1,$B28,O$1,$B$1)</f>
        <v>2751</v>
      </c>
      <c r="P28">
        <f>_xll.EQNXTDZ($A$1,$B28,P$1,$B$1)</f>
        <v>2842</v>
      </c>
      <c r="Q28">
        <f>_xll.EQNXTDZ($A$1,$B28,Q$1,$B$1)</f>
        <v>2886</v>
      </c>
      <c r="R28">
        <f>_xll.EQNXTDZ($A$1,$B28,R$1,$B$1)</f>
        <v>3132</v>
      </c>
      <c r="S28">
        <f>_xll.EQNXTDZ($A$1,$B28,S$1,$B$1)</f>
        <v>2725</v>
      </c>
      <c r="T28">
        <f>_xll.EQNXTDZ($A$1,$B28,T$1,$B$1)</f>
        <v>2774</v>
      </c>
      <c r="U28">
        <f>_xll.EQNXTDZ($A$1,$B28,U$1,$B$1)</f>
        <v>2793</v>
      </c>
      <c r="V28">
        <f>_xll.EQNXTDZ($A$1,$B28,V$1,$B$1)</f>
        <v>3354</v>
      </c>
      <c r="W28">
        <f>_xll.EQNXTDZ($A$1,$B28,W$1,$B$1)</f>
        <v>3037</v>
      </c>
      <c r="X28">
        <f>_xll.EQNXTDZ($A$1,$B28,X$1,$B$1)</f>
        <v>4287</v>
      </c>
      <c r="Y28">
        <f>_xll.EQNXTDZ($A$1,$B28,Y$1,$B$1)</f>
        <v>4530</v>
      </c>
      <c r="Z28">
        <f>_xll.EQNXTDZ($A$1,$B28,Z$1,$B$1)</f>
        <v>4852</v>
      </c>
      <c r="AA28">
        <f>_xll.EQNXTDZ($A$1,$B28,AA$1,$B$1)</f>
        <v>5173</v>
      </c>
      <c r="AB28">
        <f>_xll.EQNXTDZ($A$1,$B28,AB$1,$B$1)</f>
        <v>5229</v>
      </c>
      <c r="AC28">
        <f>_xll.EQNXTDZ($A$1,$B28,AC$1,$B$1)</f>
        <v>5237</v>
      </c>
      <c r="AD28">
        <f>_xll.EQNXTDZ($A$1,$B28,AD$1,$B$1)</f>
        <v>5295</v>
      </c>
      <c r="AE28">
        <f>_xll.EQNXTDZ($A$1,$B28,AE$1,$B$1)</f>
        <v>5011</v>
      </c>
      <c r="AF28">
        <f>_xll.EQNXTDZ($A$1,$B28,AF$1,$B$1)</f>
        <v>5315</v>
      </c>
      <c r="AG28">
        <f>_xll.EQNXTDZ($A$1,$B28,AG$1,$B$1)</f>
        <v>5545</v>
      </c>
      <c r="AH28">
        <f>_xll.EQNXTDZ($A$1,$B28,AH$1,$B$1)</f>
        <v>6332</v>
      </c>
      <c r="AI28">
        <f>_xll.EQNXTDZ($A$1,$B28,AI$1,$B$1)</f>
        <v>6308</v>
      </c>
      <c r="AJ28">
        <f>_xll.EQNXTDZ($A$1,$B28,AJ$1,$B$1)</f>
        <v>6626</v>
      </c>
      <c r="AK28">
        <f>_xll.EQNXTDZ($A$1,$B28,AK$1,$B$1)</f>
        <v>6665</v>
      </c>
      <c r="AL28">
        <f>_xll.EQNXTDZ($A$1,$B28,AL$1,$B$1)</f>
        <v>6973</v>
      </c>
      <c r="AM28">
        <f>_xll.EQNXTDZ($A$1,$B28,AM$1,$B$1)</f>
        <v>6883</v>
      </c>
      <c r="AN28">
        <f>_xll.EQNXTDZ($A$1,$B28,AN$1,$B$1)</f>
        <v>7230</v>
      </c>
      <c r="AO28">
        <f>_xll.EQNXTDZ($A$1,$B28,AO$1,$B$1)</f>
        <v>7683</v>
      </c>
      <c r="AP28">
        <f>_xll.EQNXTDZ($A$1,$B28,AP$1,$B$1)</f>
        <v>8001</v>
      </c>
      <c r="AQ28">
        <f>_xll.EQNXTDZ($A$1,$B28,AQ$1,$B$1)</f>
        <v>8942</v>
      </c>
      <c r="AR28">
        <f>_xll.EQNXTDZ($A$1,$B28,AR$1,$B$1)</f>
        <v>9726</v>
      </c>
      <c r="AS28">
        <f>_xll.EQNXTDZ($A$1,$B28,AS$1,$B$1)</f>
        <v>10183</v>
      </c>
      <c r="AT28">
        <f>_xll.EQNXTDZ($A$1,$B28,AT$1,$B$1)</f>
        <v>11452</v>
      </c>
      <c r="AU28">
        <f>_xll.EQNXTDZ($A$1,$B28,AU$1,$B$1)</f>
        <v>11775</v>
      </c>
      <c r="AV28">
        <f>_xll.EQNXTDZ($A$1,$B28,AV$1,$B$1)</f>
        <v>12585</v>
      </c>
      <c r="AW28">
        <f>_xll.EQNXTDZ($A$1,$B28,AW$1,$B$1)</f>
        <v>12903</v>
      </c>
      <c r="AX28">
        <f>_xll.EQNXTDZ($A$1,$B28,AX$1,$B$1)</f>
        <v>13569</v>
      </c>
      <c r="AY28">
        <f>_xll.EQNXTDZ($A$1,$B28,AY$1,$B$1)</f>
        <v>13596</v>
      </c>
      <c r="AZ28">
        <f>_xll.EQNXTDZ($A$1,$B28,AZ$1,$B$1)</f>
        <v>12880</v>
      </c>
      <c r="BA28">
        <f>_xll.EQNXTDZ($A$1,$B28,BA$1,$B$1)</f>
        <v>13181</v>
      </c>
      <c r="BB28">
        <f>_xll.EQNXTDZ($A$1,$B28,BB$1,$B$1)</f>
        <v>13479</v>
      </c>
      <c r="BC28">
        <f>_xll.EQNXTDZ($A$1,$B28,BC$1,$B$1)</f>
        <v>13842</v>
      </c>
      <c r="BD28">
        <f>_xll.EQNXTDZ($A$1,$B28,BD$1,$B$1)</f>
        <v>14416</v>
      </c>
      <c r="BE28">
        <f>_xll.EQNXTDZ($A$1,$B28,BE$1,$B$1)</f>
        <v>14622</v>
      </c>
      <c r="BF28">
        <f>_xll.EQNXTDZ($A$1,$B28,BF$1,$B$1)</f>
        <v>14808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965</v>
      </c>
      <c r="D29">
        <f>_xll.EQNXTDZ($A$1,$B29,D$1,$B$1)</f>
        <v>1437</v>
      </c>
      <c r="E29">
        <f>_xll.EQNXTDZ($A$1,$B29,E$1,$B$1)</f>
        <v>1348</v>
      </c>
      <c r="F29">
        <f>_xll.EQNXTDZ($A$1,$B29,F$1,$B$1)</f>
        <v>1531</v>
      </c>
      <c r="G29">
        <f>_xll.EQNXTDZ($A$1,$B29,G$1,$B$1)</f>
        <v>1355</v>
      </c>
      <c r="H29">
        <f>_xll.EQNXTDZ($A$1,$B29,H$1,$B$1)</f>
        <v>1607</v>
      </c>
      <c r="I29">
        <f>_xll.EQNXTDZ($A$1,$B29,I$1,$B$1)</f>
        <v>1494</v>
      </c>
      <c r="J29">
        <f>_xll.EQNXTDZ($A$1,$B29,J$1,$B$1)</f>
        <v>1759</v>
      </c>
      <c r="K29">
        <f>_xll.EQNXTDZ($A$1,$B29,K$1,$B$1)</f>
        <v>1765</v>
      </c>
      <c r="L29">
        <f>_xll.EQNXTDZ($A$1,$B29,L$1,$B$1)</f>
        <v>1882</v>
      </c>
      <c r="M29">
        <f>_xll.EQNXTDZ($A$1,$B29,M$1,$B$1)</f>
        <v>1747</v>
      </c>
      <c r="N29">
        <f>_xll.EQNXTDZ($A$1,$B29,N$1,$B$1)</f>
        <v>2080</v>
      </c>
      <c r="O29">
        <f>_xll.EQNXTDZ($A$1,$B29,O$1,$B$1)</f>
        <v>1961</v>
      </c>
      <c r="P29">
        <f>_xll.EQNXTDZ($A$1,$B29,P$1,$B$1)</f>
        <v>2001</v>
      </c>
      <c r="Q29">
        <f>_xll.EQNXTDZ($A$1,$B29,Q$1,$B$1)</f>
        <v>2531</v>
      </c>
      <c r="R29">
        <f>_xll.EQNXTDZ($A$1,$B29,R$1,$B$1)</f>
        <v>2377</v>
      </c>
      <c r="S29">
        <f>_xll.EQNXTDZ($A$1,$B29,S$1,$B$1)</f>
        <v>2581</v>
      </c>
      <c r="T29">
        <f>_xll.EQNXTDZ($A$1,$B29,T$1,$B$1)</f>
        <v>2703</v>
      </c>
      <c r="U29">
        <f>_xll.EQNXTDZ($A$1,$B29,U$1,$B$1)</f>
        <v>2716</v>
      </c>
      <c r="V29">
        <f>_xll.EQNXTDZ($A$1,$B29,V$1,$B$1)</f>
        <v>2201</v>
      </c>
      <c r="W29">
        <f>_xll.EQNXTDZ($A$1,$B29,W$1,$B$1)</f>
        <v>2544</v>
      </c>
      <c r="X29">
        <f>_xll.EQNXTDZ($A$1,$B29,X$1,$B$1)</f>
        <v>3240</v>
      </c>
      <c r="Y29">
        <f>_xll.EQNXTDZ($A$1,$B29,Y$1,$B$1)</f>
        <v>3775</v>
      </c>
      <c r="Z29">
        <f>_xll.EQNXTDZ($A$1,$B29,Z$1,$B$1)</f>
        <v>3787</v>
      </c>
      <c r="AA29">
        <f>_xll.EQNXTDZ($A$1,$B29,AA$1,$B$1)</f>
        <v>4241</v>
      </c>
      <c r="AB29">
        <f>_xll.EQNXTDZ($A$1,$B29,AB$1,$B$1)</f>
        <v>3649</v>
      </c>
      <c r="AC29">
        <f>_xll.EQNXTDZ($A$1,$B29,AC$1,$B$1)</f>
        <v>4069</v>
      </c>
      <c r="AD29">
        <f>_xll.EQNXTDZ($A$1,$B29,AD$1,$B$1)</f>
        <v>3431</v>
      </c>
      <c r="AE29">
        <f>_xll.EQNXTDZ($A$1,$B29,AE$1,$B$1)</f>
        <v>4225</v>
      </c>
      <c r="AF29">
        <f>_xll.EQNXTDZ($A$1,$B29,AF$1,$B$1)</f>
        <v>3703</v>
      </c>
      <c r="AG29">
        <f>_xll.EQNXTDZ($A$1,$B29,AG$1,$B$1)</f>
        <v>3121</v>
      </c>
      <c r="AH29">
        <f>_xll.EQNXTDZ($A$1,$B29,AH$1,$B$1)</f>
        <v>2677</v>
      </c>
      <c r="AI29">
        <f>_xll.EQNXTDZ($A$1,$B29,AI$1,$B$1)</f>
        <v>260</v>
      </c>
      <c r="AJ29">
        <f>_xll.EQNXTDZ($A$1,$B29,AJ$1,$B$1)</f>
        <v>-13</v>
      </c>
      <c r="AK29">
        <f>_xll.EQNXTDZ($A$1,$B29,AK$1,$B$1)</f>
        <v>88</v>
      </c>
      <c r="AL29">
        <f>_xll.EQNXTDZ($A$1,$B29,AL$1,$B$1)</f>
        <v>1387</v>
      </c>
      <c r="AM29">
        <f>_xll.EQNXTDZ($A$1,$B29,AM$1,$B$1)</f>
        <v>3464</v>
      </c>
      <c r="AN29">
        <f>_xll.EQNXTDZ($A$1,$B29,AN$1,$B$1)</f>
        <v>3755</v>
      </c>
      <c r="AO29">
        <f>_xll.EQNXTDZ($A$1,$B29,AO$1,$B$1)</f>
        <v>4688</v>
      </c>
      <c r="AP29">
        <f>_xll.EQNXTDZ($A$1,$B29,AP$1,$B$1)</f>
        <v>4390</v>
      </c>
      <c r="AQ29">
        <f>_xll.EQNXTDZ($A$1,$B29,AQ$1,$B$1)</f>
        <v>7591</v>
      </c>
      <c r="AR29">
        <f>_xll.EQNXTDZ($A$1,$B29,AR$1,$B$1)</f>
        <v>4835</v>
      </c>
      <c r="AS29">
        <f>_xll.EQNXTDZ($A$1,$B29,AS$1,$B$1)</f>
        <v>5196</v>
      </c>
      <c r="AT29">
        <f>_xll.EQNXTDZ($A$1,$B29,AT$1,$B$1)</f>
        <v>2754</v>
      </c>
      <c r="AU29">
        <f>_xll.EQNXTDZ($A$1,$B29,AU$1,$B$1)</f>
        <v>6112</v>
      </c>
      <c r="AV29">
        <f>_xll.EQNXTDZ($A$1,$B29,AV$1,$B$1)</f>
        <v>6673</v>
      </c>
      <c r="AW29">
        <f>_xll.EQNXTDZ($A$1,$B29,AW$1,$B$1)</f>
        <v>6345</v>
      </c>
      <c r="AX29">
        <f>_xll.EQNXTDZ($A$1,$B29,AX$1,$B$1)</f>
        <v>6577</v>
      </c>
      <c r="AY29">
        <f>_xll.EQNXTDZ($A$1,$B29,AY$1,$B$1)</f>
        <v>5786</v>
      </c>
      <c r="AZ29">
        <f>_xll.EQNXTDZ($A$1,$B29,AZ$1,$B$1)</f>
        <v>5936</v>
      </c>
      <c r="BA29">
        <f>_xll.EQNXTDZ($A$1,$B29,BA$1,$B$1)</f>
        <v>6839</v>
      </c>
      <c r="BB29">
        <f>_xll.EQNXTDZ($A$1,$B29,BB$1,$B$1)</f>
        <v>6669</v>
      </c>
      <c r="BC29">
        <f>_xll.EQNXTDZ($A$1,$B29,BC$1,$B$1)</f>
        <v>6465</v>
      </c>
      <c r="BD29">
        <f>_xll.EQNXTDZ($A$1,$B29,BD$1,$B$1)</f>
        <v>6978</v>
      </c>
      <c r="BE29">
        <f>_xll.EQNXTDZ($A$1,$B29,BE$1,$B$1)</f>
        <v>7530</v>
      </c>
      <c r="BF29">
        <f>_xll.EQNXTDZ($A$1,$B29,BF$1,$B$1)</f>
        <v>6579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4503</v>
      </c>
      <c r="D30">
        <f>_xll.EQNXTDZ($A$1,$B30,D$1,$B$1)</f>
        <v>5409</v>
      </c>
      <c r="E30">
        <f>_xll.EQNXTDZ($A$1,$B30,E$1,$B$1)</f>
        <v>5502</v>
      </c>
      <c r="F30">
        <f>_xll.EQNXTDZ($A$1,$B30,F$1,$B$1)</f>
        <v>5589</v>
      </c>
      <c r="G30">
        <f>_xll.EQNXTDZ($A$1,$B30,G$1,$B$1)</f>
        <v>5237</v>
      </c>
      <c r="H30">
        <f>_xll.EQNXTDZ($A$1,$B30,H$1,$B$1)</f>
        <v>5849</v>
      </c>
      <c r="I30">
        <f>_xll.EQNXTDZ($A$1,$B30,I$1,$B$1)</f>
        <v>5496</v>
      </c>
      <c r="J30">
        <f>_xll.EQNXTDZ($A$1,$B30,J$1,$B$1)</f>
        <v>5876</v>
      </c>
      <c r="K30">
        <f>_xll.EQNXTDZ($A$1,$B30,K$1,$B$1)</f>
        <v>5911</v>
      </c>
      <c r="L30">
        <f>_xll.EQNXTDZ($A$1,$B30,L$1,$B$1)</f>
        <v>5924</v>
      </c>
      <c r="M30">
        <f>_xll.EQNXTDZ($A$1,$B30,M$1,$B$1)</f>
        <v>5191</v>
      </c>
      <c r="N30">
        <f>_xll.EQNXTDZ($A$1,$B30,N$1,$B$1)</f>
        <v>6496</v>
      </c>
      <c r="O30">
        <f>_xll.EQNXTDZ($A$1,$B30,O$1,$B$1)</f>
        <v>5916</v>
      </c>
      <c r="P30">
        <f>_xll.EQNXTDZ($A$1,$B30,P$1,$B$1)</f>
        <v>9235</v>
      </c>
      <c r="Q30">
        <f>_xll.EQNXTDZ($A$1,$B30,Q$1,$B$1)</f>
        <v>7326</v>
      </c>
      <c r="R30">
        <f>_xll.EQNXTDZ($A$1,$B30,R$1,$B$1)</f>
        <v>7157</v>
      </c>
      <c r="S30">
        <f>_xll.EQNXTDZ($A$1,$B30,S$1,$B$1)</f>
        <v>7089</v>
      </c>
      <c r="T30">
        <f>_xll.EQNXTDZ($A$1,$B30,T$1,$B$1)</f>
        <v>7197</v>
      </c>
      <c r="U30">
        <f>_xll.EQNXTDZ($A$1,$B30,U$1,$B$1)</f>
        <v>7597</v>
      </c>
      <c r="V30">
        <f>_xll.EQNXTDZ($A$1,$B30,V$1,$B$1)</f>
        <v>8058</v>
      </c>
      <c r="W30">
        <f>_xll.EQNXTDZ($A$1,$B30,W$1,$B$1)</f>
        <v>9065</v>
      </c>
      <c r="X30">
        <f>_xll.EQNXTDZ($A$1,$B30,X$1,$B$1)</f>
        <v>8083</v>
      </c>
      <c r="Y30">
        <f>_xll.EQNXTDZ($A$1,$B30,Y$1,$B$1)</f>
        <v>9398</v>
      </c>
      <c r="Z30">
        <f>_xll.EQNXTDZ($A$1,$B30,Z$1,$B$1)</f>
        <v>9475</v>
      </c>
      <c r="AA30">
        <f>_xll.EQNXTDZ($A$1,$B30,AA$1,$B$1)</f>
        <v>9475</v>
      </c>
      <c r="AB30">
        <f>_xll.EQNXTDZ($A$1,$B30,AB$1,$B$1)</f>
        <v>9548</v>
      </c>
      <c r="AC30">
        <f>_xll.EQNXTDZ($A$1,$B30,AC$1,$B$1)</f>
        <v>10352</v>
      </c>
      <c r="AD30">
        <f>_xll.EQNXTDZ($A$1,$B30,AD$1,$B$1)</f>
        <v>10359</v>
      </c>
      <c r="AE30">
        <f>_xll.EQNXTDZ($A$1,$B30,AE$1,$B$1)</f>
        <v>10116</v>
      </c>
      <c r="AF30">
        <f>_xll.EQNXTDZ($A$1,$B30,AF$1,$B$1)</f>
        <v>11298</v>
      </c>
      <c r="AG30">
        <f>_xll.EQNXTDZ($A$1,$B30,AG$1,$B$1)</f>
        <v>11784</v>
      </c>
      <c r="AH30">
        <f>_xll.EQNXTDZ($A$1,$B30,AH$1,$B$1)</f>
        <v>6575</v>
      </c>
      <c r="AI30">
        <f>_xll.EQNXTDZ($A$1,$B30,AI$1,$B$1)</f>
        <v>12926</v>
      </c>
      <c r="AJ30">
        <f>_xll.EQNXTDZ($A$1,$B30,AJ$1,$B$1)</f>
        <v>10497</v>
      </c>
      <c r="AK30">
        <f>_xll.EQNXTDZ($A$1,$B30,AK$1,$B$1)</f>
        <v>14819</v>
      </c>
      <c r="AL30">
        <f>_xll.EQNXTDZ($A$1,$B30,AL$1,$B$1)</f>
        <v>14981</v>
      </c>
      <c r="AM30">
        <f>_xll.EQNXTDZ($A$1,$B30,AM$1,$B$1)</f>
        <v>13843</v>
      </c>
      <c r="AN30">
        <f>_xll.EQNXTDZ($A$1,$B30,AN$1,$B$1)</f>
        <v>15440</v>
      </c>
      <c r="AO30">
        <f>_xll.EQNXTDZ($A$1,$B30,AO$1,$B$1)</f>
        <v>20406</v>
      </c>
      <c r="AP30">
        <f>_xll.EQNXTDZ($A$1,$B30,AP$1,$B$1)</f>
        <v>17876</v>
      </c>
      <c r="AQ30">
        <f>_xll.EQNXTDZ($A$1,$B30,AQ$1,$B$1)</f>
        <v>19464</v>
      </c>
      <c r="AR30">
        <f>_xll.EQNXTDZ($A$1,$B30,AR$1,$B$1)</f>
        <v>15401</v>
      </c>
      <c r="AS30">
        <f>_xll.EQNXTDZ($A$1,$B30,AS$1,$B$1)</f>
        <v>17575</v>
      </c>
      <c r="AT30">
        <f>_xll.EQNXTDZ($A$1,$B30,AT$1,$B$1)</f>
        <v>21206</v>
      </c>
      <c r="AU30">
        <f>_xll.EQNXTDZ($A$1,$B30,AU$1,$B$1)</f>
        <v>18182</v>
      </c>
      <c r="AV30">
        <f>_xll.EQNXTDZ($A$1,$B30,AV$1,$B$1)</f>
        <v>19820</v>
      </c>
      <c r="AW30">
        <f>_xll.EQNXTDZ($A$1,$B30,AW$1,$B$1)</f>
        <v>19488</v>
      </c>
      <c r="AX30">
        <f>_xll.EQNXTDZ($A$1,$B30,AX$1,$B$1)</f>
        <v>21143</v>
      </c>
      <c r="AY30">
        <f>_xll.EQNXTDZ($A$1,$B30,AY$1,$B$1)</f>
        <v>17448</v>
      </c>
      <c r="AZ30">
        <f>_xll.EQNXTDZ($A$1,$B30,AZ$1,$B$1)</f>
        <v>19101</v>
      </c>
      <c r="BA30">
        <f>_xll.EQNXTDZ($A$1,$B30,BA$1,$B$1)</f>
        <v>21804</v>
      </c>
      <c r="BB30">
        <f>_xll.EQNXTDZ($A$1,$B30,BB$1,$B$1)</f>
        <v>22434</v>
      </c>
      <c r="BC30">
        <f>_xll.EQNXTDZ($A$1,$B30,BC$1,$B$1)</f>
        <v>30681</v>
      </c>
      <c r="BD30">
        <f>_xll.EQNXTDZ($A$1,$B30,BD$1,$B$1)</f>
        <v>22146</v>
      </c>
      <c r="BE30">
        <f>_xll.EQNXTDZ($A$1,$B30,BE$1,$B$1)</f>
        <v>22167</v>
      </c>
      <c r="BF30">
        <f>_xll.EQNXTDZ($A$1,$B30,BF$1,$B$1)</f>
        <v>20616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-25</v>
      </c>
      <c r="H34">
        <f>_xll.EQNXTDZ($A$1,$B34,H$1,$B$1)</f>
        <v>-13</v>
      </c>
      <c r="I34">
        <f>_xll.EQNXTDZ($A$1,$B34,I$1,$B$1)</f>
        <v>-9</v>
      </c>
      <c r="J34">
        <f>_xll.EQNXTDZ($A$1,$B34,J$1,$B$1)</f>
        <v>-8</v>
      </c>
      <c r="K34">
        <f>_xll.EQNXTDZ($A$1,$B34,K$1,$B$1)</f>
        <v>-7</v>
      </c>
      <c r="L34">
        <f>_xll.EQNXTDZ($A$1,$B34,L$1,$B$1)</f>
        <v>-4</v>
      </c>
      <c r="M34">
        <f>_xll.EQNXTDZ($A$1,$B34,M$1,$B$1)</f>
        <v>-15</v>
      </c>
      <c r="N34">
        <f>_xll.EQNXTDZ($A$1,$B34,N$1,$B$1)</f>
        <v>-48</v>
      </c>
      <c r="O34">
        <f>_xll.EQNXTDZ($A$1,$B34,O$1,$B$1)</f>
        <v>9</v>
      </c>
      <c r="P34">
        <f>_xll.EQNXTDZ($A$1,$B34,P$1,$B$1)</f>
        <v>14</v>
      </c>
      <c r="Q34">
        <f>_xll.EQNXTDZ($A$1,$B34,Q$1,$B$1)</f>
        <v>-72</v>
      </c>
      <c r="R34">
        <f>_xll.EQNXTDZ($A$1,$B34,R$1,$B$1)</f>
        <v>-53</v>
      </c>
      <c r="S34">
        <f>_xll.EQNXTDZ($A$1,$B34,S$1,$B$1)</f>
        <v>36</v>
      </c>
      <c r="T34">
        <f>_xll.EQNXTDZ($A$1,$B34,T$1,$B$1)</f>
        <v>30</v>
      </c>
      <c r="U34">
        <f>_xll.EQNXTDZ($A$1,$B34,U$1,$B$1)</f>
        <v>9</v>
      </c>
      <c r="V34">
        <f>_xll.EQNXTDZ($A$1,$B34,V$1,$B$1)</f>
        <v>-7</v>
      </c>
      <c r="W34">
        <f>_xll.EQNXTDZ($A$1,$B34,W$1,$B$1)</f>
        <v>29</v>
      </c>
      <c r="X34">
        <f>_xll.EQNXTDZ($A$1,$B34,X$1,$B$1)</f>
        <v>12</v>
      </c>
      <c r="Y34">
        <f>_xll.EQNXTDZ($A$1,$B34,Y$1,$B$1)</f>
        <v>-17</v>
      </c>
      <c r="Z34">
        <f>_xll.EQNXTDZ($A$1,$B34,Z$1,$B$1)</f>
        <v>-29</v>
      </c>
      <c r="AA34">
        <f>_xll.EQNXTDZ($A$1,$B34,AA$1,$B$1)</f>
        <v>-26</v>
      </c>
      <c r="AB34">
        <f>_xll.EQNXTDZ($A$1,$B34,AB$1,$B$1)</f>
        <v>-33</v>
      </c>
      <c r="AC34">
        <f>_xll.EQNXTDZ($A$1,$B34,AC$1,$B$1)</f>
        <v>-125</v>
      </c>
      <c r="AD34">
        <f>_xll.EQNXTDZ($A$1,$B34,AD$1,$B$1)</f>
        <v>-65</v>
      </c>
      <c r="AE34">
        <f>_xll.EQNXTDZ($A$1,$B34,AE$1,$B$1)</f>
        <v>-37</v>
      </c>
      <c r="AF34">
        <f>_xll.EQNXTDZ($A$1,$B34,AF$1,$B$1)</f>
        <v>-90</v>
      </c>
      <c r="AG34">
        <f>_xll.EQNXTDZ($A$1,$B34,AG$1,$B$1)</f>
        <v>-201</v>
      </c>
      <c r="AH34">
        <f>_xll.EQNXTDZ($A$1,$B34,AH$1,$B$1)</f>
        <v>-198</v>
      </c>
      <c r="AI34">
        <f>_xll.EQNXTDZ($A$1,$B34,AI$1,$B$1)</f>
        <v>-15</v>
      </c>
      <c r="AJ34">
        <f>_xll.EQNXTDZ($A$1,$B34,AJ$1,$B$1)</f>
        <v>-1035</v>
      </c>
      <c r="AK34">
        <f>_xll.EQNXTDZ($A$1,$B34,AK$1,$B$1)</f>
        <v>-1793</v>
      </c>
      <c r="AL34">
        <f>_xll.EQNXTDZ($A$1,$B34,AL$1,$B$1)</f>
        <v>-1768</v>
      </c>
      <c r="AM34">
        <f>_xll.EQNXTDZ($A$1,$B34,AM$1,$B$1)</f>
        <v>-1533</v>
      </c>
      <c r="AN34">
        <f>_xll.EQNXTDZ($A$1,$B34,AN$1,$B$1)</f>
        <v>-1799</v>
      </c>
      <c r="AO34">
        <f>_xll.EQNXTDZ($A$1,$B34,AO$1,$B$1)</f>
        <v>-1990</v>
      </c>
      <c r="AP34">
        <f>_xll.EQNXTDZ($A$1,$B34,AP$1,$B$1)</f>
        <v>-1818</v>
      </c>
      <c r="AQ34">
        <f>_xll.EQNXTDZ($A$1,$B34,AQ$1,$B$1)</f>
        <v>-1488</v>
      </c>
      <c r="AR34">
        <f>_xll.EQNXTDZ($A$1,$B34,AR$1,$B$1)</f>
        <v>-1856</v>
      </c>
      <c r="AS34">
        <f>_xll.EQNXTDZ($A$1,$B34,AS$1,$B$1)</f>
        <v>-2014</v>
      </c>
      <c r="AT34">
        <f>_xll.EQNXTDZ($A$1,$B34,AT$1,$B$1)</f>
        <v>-2028</v>
      </c>
      <c r="AU34">
        <f>_xll.EQNXTDZ($A$1,$B34,AU$1,$B$1)</f>
        <v>-2247</v>
      </c>
      <c r="AV34">
        <f>_xll.EQNXTDZ($A$1,$B34,AV$1,$B$1)</f>
        <v>-2484</v>
      </c>
      <c r="AW34">
        <f>_xll.EQNXTDZ($A$1,$B34,AW$1,$B$1)</f>
        <v>-2376</v>
      </c>
      <c r="AX34">
        <f>_xll.EQNXTDZ($A$1,$B34,AX$1,$B$1)</f>
        <v>-2292</v>
      </c>
      <c r="AY34">
        <f>_xll.EQNXTDZ($A$1,$B34,AY$1,$B$1)</f>
        <v>-2307</v>
      </c>
      <c r="AZ34">
        <f>_xll.EQNXTDZ($A$1,$B34,AZ$1,$B$1)</f>
        <v>-2760</v>
      </c>
      <c r="BA34">
        <f>_xll.EQNXTDZ($A$1,$B34,BA$1,$B$1)</f>
        <v>-3390</v>
      </c>
      <c r="BB34">
        <f>_xll.EQNXTDZ($A$1,$B34,BB$1,$B$1)</f>
        <v>-3204</v>
      </c>
      <c r="BC34">
        <f>_xll.EQNXTDZ($A$1,$B34,BC$1,$B$1)</f>
        <v>-3789</v>
      </c>
      <c r="BD34">
        <f>_xll.EQNXTDZ($A$1,$B34,BD$1,$B$1)</f>
        <v>-3927</v>
      </c>
      <c r="BE34">
        <f>_xll.EQNXTDZ($A$1,$B34,BE$1,$B$1)</f>
        <v>-3645</v>
      </c>
      <c r="BF34">
        <f>_xll.EQNXTDZ($A$1,$B34,BF$1,$B$1)</f>
        <v>-3618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25</v>
      </c>
      <c r="H35">
        <f>_xll.EQNXTDZ($A$1,$B35,H$1,$B$1)</f>
        <v>37</v>
      </c>
      <c r="I35">
        <f>_xll.EQNXTDZ($A$1,$B35,I$1,$B$1)</f>
        <v>15</v>
      </c>
      <c r="J35">
        <f>_xll.EQNXTDZ($A$1,$B35,J$1,$B$1)</f>
        <v>13</v>
      </c>
      <c r="K35">
        <f>_xll.EQNXTDZ($A$1,$B35,K$1,$B$1)</f>
        <v>53</v>
      </c>
      <c r="L35">
        <f>_xll.EQNXTDZ($A$1,$B35,L$1,$B$1)</f>
        <v>52</v>
      </c>
      <c r="M35">
        <f>_xll.EQNXTDZ($A$1,$B35,M$1,$B$1)</f>
        <v>80</v>
      </c>
      <c r="N35">
        <f>_xll.EQNXTDZ($A$1,$B35,N$1,$B$1)</f>
        <v>-67</v>
      </c>
      <c r="O35">
        <f>_xll.EQNXTDZ($A$1,$B35,O$1,$B$1)</f>
        <v>99</v>
      </c>
      <c r="P35">
        <f>_xll.EQNXTDZ($A$1,$B35,P$1,$B$1)</f>
        <v>96</v>
      </c>
      <c r="Q35">
        <f>_xll.EQNXTDZ($A$1,$B35,Q$1,$B$1)</f>
        <v>-9</v>
      </c>
      <c r="R35">
        <f>_xll.EQNXTDZ($A$1,$B35,R$1,$B$1)</f>
        <v>63</v>
      </c>
      <c r="S35">
        <f>_xll.EQNXTDZ($A$1,$B35,S$1,$B$1)</f>
        <v>-12</v>
      </c>
      <c r="T35">
        <f>_xll.EQNXTDZ($A$1,$B35,T$1,$B$1)</f>
        <v>-18</v>
      </c>
      <c r="U35">
        <f>_xll.EQNXTDZ($A$1,$B35,U$1,$B$1)</f>
        <v>-73</v>
      </c>
      <c r="V35">
        <f>_xll.EQNXTDZ($A$1,$B35,V$1,$B$1)</f>
        <v>-5</v>
      </c>
      <c r="W35">
        <f>_xll.EQNXTDZ($A$1,$B35,W$1,$B$1)</f>
        <v>14</v>
      </c>
      <c r="X35">
        <f>_xll.EQNXTDZ($A$1,$B35,X$1,$B$1)</f>
        <v>14</v>
      </c>
      <c r="Y35">
        <f>_xll.EQNXTDZ($A$1,$B35,Y$1,$B$1)</f>
        <v>39</v>
      </c>
      <c r="Z35">
        <f>_xll.EQNXTDZ($A$1,$B35,Z$1,$B$1)</f>
        <v>-8</v>
      </c>
      <c r="AA35">
        <f>_xll.EQNXTDZ($A$1,$B35,AA$1,$B$1)</f>
        <v>10</v>
      </c>
      <c r="AB35">
        <f>_xll.EQNXTDZ($A$1,$B35,AB$1,$B$1)</f>
        <v>1</v>
      </c>
      <c r="AC35">
        <f>_xll.EQNXTDZ($A$1,$B35,AC$1,$B$1)</f>
        <v>24</v>
      </c>
      <c r="AD35">
        <f>_xll.EQNXTDZ($A$1,$B35,AD$1,$B$1)</f>
        <v>68</v>
      </c>
      <c r="AE35">
        <f>_xll.EQNXTDZ($A$1,$B35,AE$1,$B$1)</f>
        <v>25</v>
      </c>
      <c r="AF35">
        <f>_xll.EQNXTDZ($A$1,$B35,AF$1,$B$1)</f>
        <v>54</v>
      </c>
      <c r="AG35">
        <f>_xll.EQNXTDZ($A$1,$B35,AG$1,$B$1)</f>
        <v>57</v>
      </c>
      <c r="AH35">
        <f>_xll.EQNXTDZ($A$1,$B35,AH$1,$B$1)</f>
        <v>-29</v>
      </c>
      <c r="AI35">
        <f>_xll.EQNXTDZ($A$1,$B35,AI$1,$B$1)</f>
        <v>322</v>
      </c>
      <c r="AJ35">
        <f>_xll.EQNXTDZ($A$1,$B35,AJ$1,$B$1)</f>
        <v>105</v>
      </c>
      <c r="AK35">
        <f>_xll.EQNXTDZ($A$1,$B35,AK$1,$B$1)</f>
        <v>75</v>
      </c>
      <c r="AL35">
        <f>_xll.EQNXTDZ($A$1,$B35,AL$1,$B$1)</f>
        <v>14</v>
      </c>
      <c r="AM35">
        <f>_xll.EQNXTDZ($A$1,$B35,AM$1,$B$1)</f>
        <v>-37</v>
      </c>
      <c r="AN35">
        <f>_xll.EQNXTDZ($A$1,$B35,AN$1,$B$1)</f>
        <v>39</v>
      </c>
      <c r="AO35">
        <f>_xll.EQNXTDZ($A$1,$B35,AO$1,$B$1)</f>
        <v>133</v>
      </c>
      <c r="AP35">
        <f>_xll.EQNXTDZ($A$1,$B35,AP$1,$B$1)</f>
        <v>145</v>
      </c>
      <c r="AQ35">
        <f>_xll.EQNXTDZ($A$1,$B35,AQ$1,$B$1)</f>
        <v>-59</v>
      </c>
      <c r="AR35">
        <f>_xll.EQNXTDZ($A$1,$B35,AR$1,$B$1)</f>
        <v>-69</v>
      </c>
      <c r="AS35">
        <f>_xll.EQNXTDZ($A$1,$B35,AS$1,$B$1)</f>
        <v>131</v>
      </c>
      <c r="AT35">
        <f>_xll.EQNXTDZ($A$1,$B35,AT$1,$B$1)</f>
        <v>21</v>
      </c>
      <c r="AU35">
        <f>_xll.EQNXTDZ($A$1,$B35,AU$1,$B$1)</f>
        <v>76</v>
      </c>
      <c r="AV35">
        <f>_xll.EQNXTDZ($A$1,$B35,AV$1,$B$1)</f>
        <v>58</v>
      </c>
      <c r="AW35">
        <f>_xll.EQNXTDZ($A$1,$B35,AW$1,$B$1)</f>
        <v>153</v>
      </c>
      <c r="AX35">
        <f>_xll.EQNXTDZ($A$1,$B35,AX$1,$B$1)</f>
        <v>100</v>
      </c>
      <c r="AY35">
        <f>_xll.EQNXTDZ($A$1,$B35,AY$1,$B$1)</f>
        <v>-3</v>
      </c>
      <c r="AZ35">
        <f>_xll.EQNXTDZ($A$1,$B35,AZ$1,$B$1)</f>
        <v>222</v>
      </c>
      <c r="BA35">
        <f>_xll.EQNXTDZ($A$1,$B35,BA$1,$B$1)</f>
        <v>126</v>
      </c>
      <c r="BB35">
        <f>_xll.EQNXTDZ($A$1,$B35,BB$1,$B$1)</f>
        <v>177</v>
      </c>
      <c r="BC35">
        <f>_xll.EQNXTDZ($A$1,$B35,BC$1,$B$1)</f>
        <v>102</v>
      </c>
      <c r="BD35">
        <f>_xll.EQNXTDZ($A$1,$B35,BD$1,$B$1)</f>
        <v>-54</v>
      </c>
      <c r="BE35">
        <f>_xll.EQNXTDZ($A$1,$B35,BE$1,$B$1)</f>
        <v>123</v>
      </c>
      <c r="BF35">
        <f>_xll.EQNXTDZ($A$1,$B35,BF$1,$B$1)</f>
        <v>-27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4503</v>
      </c>
      <c r="D38">
        <f>_xll.EQNXTDZ($A$1,$B38,D$1,$B$1)</f>
        <v>5409</v>
      </c>
      <c r="E38">
        <f>_xll.EQNXTDZ($A$1,$B38,E$1,$B$1)</f>
        <v>5502</v>
      </c>
      <c r="F38">
        <f>_xll.EQNXTDZ($A$1,$B38,F$1,$B$1)</f>
        <v>5589</v>
      </c>
      <c r="G38">
        <f>_xll.EQNXTDZ($A$1,$B38,G$1,$B$1)</f>
        <v>5237</v>
      </c>
      <c r="H38">
        <f>_xll.EQNXTDZ($A$1,$B38,H$1,$B$1)</f>
        <v>5873</v>
      </c>
      <c r="I38">
        <f>_xll.EQNXTDZ($A$1,$B38,I$1,$B$1)</f>
        <v>5502</v>
      </c>
      <c r="J38">
        <f>_xll.EQNXTDZ($A$1,$B38,J$1,$B$1)</f>
        <v>5881</v>
      </c>
      <c r="K38">
        <f>_xll.EQNXTDZ($A$1,$B38,K$1,$B$1)</f>
        <v>5957</v>
      </c>
      <c r="L38">
        <f>_xll.EQNXTDZ($A$1,$B38,L$1,$B$1)</f>
        <v>5972</v>
      </c>
      <c r="M38">
        <f>_xll.EQNXTDZ($A$1,$B38,M$1,$B$1)</f>
        <v>5256</v>
      </c>
      <c r="N38">
        <f>_xll.EQNXTDZ($A$1,$B38,N$1,$B$1)</f>
        <v>6381</v>
      </c>
      <c r="O38">
        <f>_xll.EQNXTDZ($A$1,$B38,O$1,$B$1)</f>
        <v>6024</v>
      </c>
      <c r="P38">
        <f>_xll.EQNXTDZ($A$1,$B38,P$1,$B$1)</f>
        <v>9345</v>
      </c>
      <c r="Q38">
        <f>_xll.EQNXTDZ($A$1,$B38,Q$1,$B$1)</f>
        <v>7245</v>
      </c>
      <c r="R38">
        <f>_xll.EQNXTDZ($A$1,$B38,R$1,$B$1)</f>
        <v>7167</v>
      </c>
      <c r="S38">
        <f>_xll.EQNXTDZ($A$1,$B38,S$1,$B$1)</f>
        <v>7113</v>
      </c>
      <c r="T38">
        <f>_xll.EQNXTDZ($A$1,$B38,T$1,$B$1)</f>
        <v>7209</v>
      </c>
      <c r="U38">
        <f>_xll.EQNXTDZ($A$1,$B38,U$1,$B$1)</f>
        <v>7533</v>
      </c>
      <c r="V38">
        <f>_xll.EQNXTDZ($A$1,$B38,V$1,$B$1)</f>
        <v>8046</v>
      </c>
      <c r="W38">
        <f>_xll.EQNXTDZ($A$1,$B38,W$1,$B$1)</f>
        <v>9108</v>
      </c>
      <c r="X38">
        <f>_xll.EQNXTDZ($A$1,$B38,X$1,$B$1)</f>
        <v>8109</v>
      </c>
      <c r="Y38">
        <f>_xll.EQNXTDZ($A$1,$B38,Y$1,$B$1)</f>
        <v>9420</v>
      </c>
      <c r="Z38">
        <f>_xll.EQNXTDZ($A$1,$B38,Z$1,$B$1)</f>
        <v>9438</v>
      </c>
      <c r="AA38">
        <f>_xll.EQNXTDZ($A$1,$B38,AA$1,$B$1)</f>
        <v>9459</v>
      </c>
      <c r="AB38">
        <f>_xll.EQNXTDZ($A$1,$B38,AB$1,$B$1)</f>
        <v>9516</v>
      </c>
      <c r="AC38">
        <f>_xll.EQNXTDZ($A$1,$B38,AC$1,$B$1)</f>
        <v>10251</v>
      </c>
      <c r="AD38">
        <f>_xll.EQNXTDZ($A$1,$B38,AD$1,$B$1)</f>
        <v>10362</v>
      </c>
      <c r="AE38">
        <f>_xll.EQNXTDZ($A$1,$B38,AE$1,$B$1)</f>
        <v>10104</v>
      </c>
      <c r="AF38">
        <f>_xll.EQNXTDZ($A$1,$B38,AF$1,$B$1)</f>
        <v>11262</v>
      </c>
      <c r="AG38">
        <f>_xll.EQNXTDZ($A$1,$B38,AG$1,$B$1)</f>
        <v>11640</v>
      </c>
      <c r="AH38">
        <f>_xll.EQNXTDZ($A$1,$B38,AH$1,$B$1)</f>
        <v>6348</v>
      </c>
      <c r="AI38">
        <f>_xll.EQNXTDZ($A$1,$B38,AI$1,$B$1)</f>
        <v>13233</v>
      </c>
      <c r="AJ38">
        <f>_xll.EQNXTDZ($A$1,$B38,AJ$1,$B$1)</f>
        <v>9567</v>
      </c>
      <c r="AK38">
        <f>_xll.EQNXTDZ($A$1,$B38,AK$1,$B$1)</f>
        <v>13101</v>
      </c>
      <c r="AL38">
        <f>_xll.EQNXTDZ($A$1,$B38,AL$1,$B$1)</f>
        <v>13227</v>
      </c>
      <c r="AM38">
        <f>_xll.EQNXTDZ($A$1,$B38,AM$1,$B$1)</f>
        <v>12273</v>
      </c>
      <c r="AN38">
        <f>_xll.EQNXTDZ($A$1,$B38,AN$1,$B$1)</f>
        <v>13680</v>
      </c>
      <c r="AO38">
        <f>_xll.EQNXTDZ($A$1,$B38,AO$1,$B$1)</f>
        <v>18549</v>
      </c>
      <c r="AP38">
        <f>_xll.EQNXTDZ($A$1,$B38,AP$1,$B$1)</f>
        <v>16203</v>
      </c>
      <c r="AQ38">
        <f>_xll.EQNXTDZ($A$1,$B38,AQ$1,$B$1)</f>
        <v>17955</v>
      </c>
      <c r="AR38">
        <f>_xll.EQNXTDZ($A$1,$B38,AR$1,$B$1)</f>
        <v>13656</v>
      </c>
      <c r="AS38">
        <f>_xll.EQNXTDZ($A$1,$B38,AS$1,$B$1)</f>
        <v>15792</v>
      </c>
      <c r="AT38">
        <f>_xll.EQNXTDZ($A$1,$B38,AT$1,$B$1)</f>
        <v>19299</v>
      </c>
      <c r="AU38">
        <f>_xll.EQNXTDZ($A$1,$B38,AU$1,$B$1)</f>
        <v>16011</v>
      </c>
      <c r="AV38">
        <f>_xll.EQNXTDZ($A$1,$B38,AV$1,$B$1)</f>
        <v>17394</v>
      </c>
      <c r="AW38">
        <f>_xll.EQNXTDZ($A$1,$B38,AW$1,$B$1)</f>
        <v>17265</v>
      </c>
      <c r="AX38">
        <f>_xll.EQNXTDZ($A$1,$B38,AX$1,$B$1)</f>
        <v>18951</v>
      </c>
      <c r="AY38">
        <f>_xll.EQNXTDZ($A$1,$B38,AY$1,$B$1)</f>
        <v>15138</v>
      </c>
      <c r="AZ38">
        <f>_xll.EQNXTDZ($A$1,$B38,AZ$1,$B$1)</f>
        <v>16563</v>
      </c>
      <c r="BA38">
        <f>_xll.EQNXTDZ($A$1,$B38,BA$1,$B$1)</f>
        <v>18540</v>
      </c>
      <c r="BB38">
        <f>_xll.EQNXTDZ($A$1,$B38,BB$1,$B$1)</f>
        <v>19407</v>
      </c>
      <c r="BC38">
        <f>_xll.EQNXTDZ($A$1,$B38,BC$1,$B$1)</f>
        <v>26994</v>
      </c>
      <c r="BD38">
        <f>_xll.EQNXTDZ($A$1,$B38,BD$1,$B$1)</f>
        <v>18165</v>
      </c>
      <c r="BE38">
        <f>_xll.EQNXTDZ($A$1,$B38,BE$1,$B$1)</f>
        <v>18645</v>
      </c>
      <c r="BF38">
        <f>_xll.EQNXTDZ($A$1,$B38,BF$1,$B$1)</f>
        <v>16971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38</v>
      </c>
      <c r="AR39">
        <f>_xll.EQNXTDZ($A$1,$B39,AR$1,$B$1)</f>
        <v>180</v>
      </c>
      <c r="AS39">
        <f>_xll.EQNXTDZ($A$1,$B39,AS$1,$B$1)</f>
        <v>100</v>
      </c>
      <c r="AT39">
        <f>_xll.EQNXTDZ($A$1,$B39,AT$1,$B$1)</f>
        <v>100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201</v>
      </c>
      <c r="P40">
        <f>_xll.EQNXTDZ($A$1,$B40,P$1,$B$1)</f>
        <v>969</v>
      </c>
      <c r="Q40">
        <f>_xll.EQNXTDZ($A$1,$B40,Q$1,$B$1)</f>
        <v>-444</v>
      </c>
      <c r="R40">
        <f>_xll.EQNXTDZ($A$1,$B40,R$1,$B$1)</f>
        <v>-542</v>
      </c>
      <c r="S40">
        <f>_xll.EQNXTDZ($A$1,$B40,S$1,$B$1)</f>
        <v>351</v>
      </c>
      <c r="T40">
        <f>_xll.EQNXTDZ($A$1,$B40,T$1,$B$1)</f>
        <v>384</v>
      </c>
      <c r="U40">
        <f>_xll.EQNXTDZ($A$1,$B40,U$1,$B$1)</f>
        <v>-171</v>
      </c>
      <c r="V40">
        <f>_xll.EQNXTDZ($A$1,$B40,V$1,$B$1)</f>
        <v>1263</v>
      </c>
      <c r="W40">
        <f>_xll.EQNXTDZ($A$1,$B40,W$1,$B$1)</f>
        <v>979</v>
      </c>
      <c r="X40">
        <f>_xll.EQNXTDZ($A$1,$B40,X$1,$B$1)</f>
        <v>-763</v>
      </c>
      <c r="Y40">
        <f>_xll.EQNXTDZ($A$1,$B40,Y$1,$B$1)</f>
        <v>-855</v>
      </c>
      <c r="Z40">
        <f>_xll.EQNXTDZ($A$1,$B40,Z$1,$B$1)</f>
        <v>-993</v>
      </c>
      <c r="AA40">
        <f>_xll.EQNXTDZ($A$1,$B40,AA$1,$B$1)</f>
        <v>-1591</v>
      </c>
      <c r="AB40">
        <f>_xll.EQNXTDZ($A$1,$B40,AB$1,$B$1)</f>
        <v>-2093</v>
      </c>
      <c r="AC40">
        <f>_xll.EQNXTDZ($A$1,$B40,AC$1,$B$1)</f>
        <v>676</v>
      </c>
      <c r="AD40">
        <f>_xll.EQNXTDZ($A$1,$B40,AD$1,$B$1)</f>
        <v>61773</v>
      </c>
      <c r="AE40">
        <f>_xll.EQNXTDZ($A$1,$B40,AE$1,$B$1)</f>
        <v>-81</v>
      </c>
      <c r="AF40">
        <f>_xll.EQNXTDZ($A$1,$B40,AF$1,$B$1)</f>
        <v>-786</v>
      </c>
      <c r="AG40">
        <f>_xll.EQNXTDZ($A$1,$B40,AG$1,$B$1)</f>
        <v>-2156</v>
      </c>
      <c r="AH40">
        <f>_xll.EQNXTDZ($A$1,$B40,AH$1,$B$1)</f>
        <v>18316</v>
      </c>
      <c r="AI40">
        <f>_xll.EQNXTDZ($A$1,$B40,AI$1,$B$1)</f>
        <v>17670</v>
      </c>
      <c r="AJ40">
        <f>_xll.EQNXTDZ($A$1,$B40,AJ$1,$B$1)</f>
        <v>24429</v>
      </c>
      <c r="AK40">
        <f>_xll.EQNXTDZ($A$1,$B40,AK$1,$B$1)</f>
        <v>-8543</v>
      </c>
      <c r="AL40">
        <f>_xll.EQNXTDZ($A$1,$B40,AL$1,$B$1)</f>
        <v>242</v>
      </c>
      <c r="AM40">
        <f>_xll.EQNXTDZ($A$1,$B40,AM$1,$B$1)</f>
        <v>3084</v>
      </c>
      <c r="AN40">
        <f>_xll.EQNXTDZ($A$1,$B40,AN$1,$B$1)</f>
        <v>16080</v>
      </c>
      <c r="AO40">
        <f>_xll.EQNXTDZ($A$1,$B40,AO$1,$B$1)</f>
        <v>-5454</v>
      </c>
      <c r="AP40">
        <f>_xll.EQNXTDZ($A$1,$B40,AP$1,$B$1)</f>
        <v>8550</v>
      </c>
      <c r="AQ40">
        <f>_xll.EQNXTDZ($A$1,$B40,AQ$1,$B$1)</f>
        <v>-6514</v>
      </c>
      <c r="AR40">
        <f>_xll.EQNXTDZ($A$1,$B40,AR$1,$B$1)</f>
        <v>-9558</v>
      </c>
      <c r="AS40">
        <f>_xll.EQNXTDZ($A$1,$B40,AS$1,$B$1)</f>
        <v>4481</v>
      </c>
      <c r="AT40">
        <f>_xll.EQNXTDZ($A$1,$B40,AT$1,$B$1)</f>
        <v>-7221</v>
      </c>
      <c r="AU40">
        <f>_xll.EQNXTDZ($A$1,$B40,AU$1,$B$1)</f>
        <v>1347</v>
      </c>
      <c r="AV40">
        <f>_xll.EQNXTDZ($A$1,$B40,AV$1,$B$1)</f>
        <v>-1131</v>
      </c>
      <c r="AW40">
        <f>_xll.EQNXTDZ($A$1,$B40,AW$1,$B$1)</f>
        <v>450</v>
      </c>
      <c r="AX40">
        <f>_xll.EQNXTDZ($A$1,$B40,AX$1,$B$1)</f>
        <v>3003</v>
      </c>
      <c r="AY40">
        <f>_xll.EQNXTDZ($A$1,$B40,AY$1,$B$1)</f>
        <v>297</v>
      </c>
      <c r="AZ40">
        <f>_xll.EQNXTDZ($A$1,$B40,AZ$1,$B$1)</f>
        <v>-1506</v>
      </c>
      <c r="BA40">
        <f>_xll.EQNXTDZ($A$1,$B40,BA$1,$B$1)</f>
        <v>-1920</v>
      </c>
      <c r="BB40">
        <f>_xll.EQNXTDZ($A$1,$B40,BB$1,$B$1)</f>
        <v>693</v>
      </c>
      <c r="BC40">
        <f>_xll.EQNXTDZ($A$1,$B40,BC$1,$B$1)</f>
        <v>351</v>
      </c>
      <c r="BD40">
        <f>_xll.EQNXTDZ($A$1,$B40,BD$1,$B$1)</f>
        <v>-4140</v>
      </c>
      <c r="BE40">
        <f>_xll.EQNXTDZ($A$1,$B40,BE$1,$B$1)</f>
        <v>-567</v>
      </c>
      <c r="BF40">
        <f>_xll.EQNXTDZ($A$1,$B40,BF$1,$B$1)</f>
        <v>-7191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6225</v>
      </c>
      <c r="P41">
        <f>_xll.EQNXTDZ($A$1,$B41,P$1,$B$1)</f>
        <v>10314</v>
      </c>
      <c r="Q41">
        <f>_xll.EQNXTDZ($A$1,$B41,Q$1,$B$1)</f>
        <v>6801</v>
      </c>
      <c r="R41">
        <f>_xll.EQNXTDZ($A$1,$B41,R$1,$B$1)</f>
        <v>6630</v>
      </c>
      <c r="S41">
        <f>_xll.EQNXTDZ($A$1,$B41,S$1,$B$1)</f>
        <v>7464</v>
      </c>
      <c r="T41">
        <f>_xll.EQNXTDZ($A$1,$B41,T$1,$B$1)</f>
        <v>7593</v>
      </c>
      <c r="U41">
        <f>_xll.EQNXTDZ($A$1,$B41,U$1,$B$1)</f>
        <v>7364</v>
      </c>
      <c r="V41">
        <f>_xll.EQNXTDZ($A$1,$B41,V$1,$B$1)</f>
        <v>9303</v>
      </c>
      <c r="W41">
        <f>_xll.EQNXTDZ($A$1,$B41,W$1,$B$1)</f>
        <v>10087</v>
      </c>
      <c r="X41">
        <f>_xll.EQNXTDZ($A$1,$B41,X$1,$B$1)</f>
        <v>7344</v>
      </c>
      <c r="Y41">
        <f>_xll.EQNXTDZ($A$1,$B41,Y$1,$B$1)</f>
        <v>8569</v>
      </c>
      <c r="Z41">
        <f>_xll.EQNXTDZ($A$1,$B41,Z$1,$B$1)</f>
        <v>8438</v>
      </c>
      <c r="AA41">
        <f>_xll.EQNXTDZ($A$1,$B41,AA$1,$B$1)</f>
        <v>7867</v>
      </c>
      <c r="AB41">
        <f>_xll.EQNXTDZ($A$1,$B41,AB$1,$B$1)</f>
        <v>7424</v>
      </c>
      <c r="AC41">
        <f>_xll.EQNXTDZ($A$1,$B41,AC$1,$B$1)</f>
        <v>10938</v>
      </c>
      <c r="AD41">
        <f>_xll.EQNXTDZ($A$1,$B41,AD$1,$B$1)</f>
        <v>72132</v>
      </c>
      <c r="AE41">
        <f>_xll.EQNXTDZ($A$1,$B41,AE$1,$B$1)</f>
        <v>10028</v>
      </c>
      <c r="AF41">
        <f>_xll.EQNXTDZ($A$1,$B41,AF$1,$B$1)</f>
        <v>10475</v>
      </c>
      <c r="AG41">
        <f>_xll.EQNXTDZ($A$1,$B41,AG$1,$B$1)</f>
        <v>9488</v>
      </c>
      <c r="AH41">
        <f>_xll.EQNXTDZ($A$1,$B41,AH$1,$B$1)</f>
        <v>24674</v>
      </c>
      <c r="AI41">
        <f>_xll.EQNXTDZ($A$1,$B41,AI$1,$B$1)</f>
        <v>30900</v>
      </c>
      <c r="AJ41">
        <f>_xll.EQNXTDZ($A$1,$B41,AJ$1,$B$1)</f>
        <v>34011</v>
      </c>
      <c r="AK41">
        <f>_xll.EQNXTDZ($A$1,$B41,AK$1,$B$1)</f>
        <v>4528</v>
      </c>
      <c r="AL41">
        <f>_xll.EQNXTDZ($A$1,$B41,AL$1,$B$1)</f>
        <v>13538</v>
      </c>
      <c r="AM41">
        <f>_xll.EQNXTDZ($A$1,$B41,AM$1,$B$1)</f>
        <v>15351</v>
      </c>
      <c r="AN41">
        <f>_xll.EQNXTDZ($A$1,$B41,AN$1,$B$1)</f>
        <v>29730</v>
      </c>
      <c r="AO41">
        <f>_xll.EQNXTDZ($A$1,$B41,AO$1,$B$1)</f>
        <v>13128</v>
      </c>
      <c r="AP41">
        <f>_xll.EQNXTDZ($A$1,$B41,AP$1,$B$1)</f>
        <v>24681</v>
      </c>
      <c r="AQ41">
        <f>_xll.EQNXTDZ($A$1,$B41,AQ$1,$B$1)</f>
        <v>11481</v>
      </c>
      <c r="AR41">
        <f>_xll.EQNXTDZ($A$1,$B41,AR$1,$B$1)</f>
        <v>4095</v>
      </c>
      <c r="AS41">
        <f>_xll.EQNXTDZ($A$1,$B41,AS$1,$B$1)</f>
        <v>20271</v>
      </c>
      <c r="AT41">
        <f>_xll.EQNXTDZ($A$1,$B41,AT$1,$B$1)</f>
        <v>12072</v>
      </c>
      <c r="AU41">
        <f>_xll.EQNXTDZ($A$1,$B41,AU$1,$B$1)</f>
        <v>17352</v>
      </c>
      <c r="AV41">
        <f>_xll.EQNXTDZ($A$1,$B41,AV$1,$B$1)</f>
        <v>16251</v>
      </c>
      <c r="AW41">
        <f>_xll.EQNXTDZ($A$1,$B41,AW$1,$B$1)</f>
        <v>17730</v>
      </c>
      <c r="AX41">
        <f>_xll.EQNXTDZ($A$1,$B41,AX$1,$B$1)</f>
        <v>21855</v>
      </c>
      <c r="AY41">
        <f>_xll.EQNXTDZ($A$1,$B41,AY$1,$B$1)</f>
        <v>15462</v>
      </c>
      <c r="AZ41">
        <f>_xll.EQNXTDZ($A$1,$B41,AZ$1,$B$1)</f>
        <v>15228</v>
      </c>
      <c r="BA41">
        <f>_xll.EQNXTDZ($A$1,$B41,BA$1,$B$1)</f>
        <v>16527</v>
      </c>
      <c r="BB41">
        <f>_xll.EQNXTDZ($A$1,$B41,BB$1,$B$1)</f>
        <v>19998</v>
      </c>
      <c r="BC41">
        <f>_xll.EQNXTDZ($A$1,$B41,BC$1,$B$1)</f>
        <v>27360</v>
      </c>
      <c r="BD41">
        <f>_xll.EQNXTDZ($A$1,$B41,BD$1,$B$1)</f>
        <v>13980</v>
      </c>
      <c r="BE41">
        <f>_xll.EQNXTDZ($A$1,$B41,BE$1,$B$1)</f>
        <v>18102</v>
      </c>
      <c r="BF41">
        <f>_xll.EQNXTDZ($A$1,$B41,BF$1,$B$1)</f>
        <v>9396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4503</v>
      </c>
      <c r="D42">
        <f>_xll.EQNXTDZ($A$1,$B42,D$1,$B$1)</f>
        <v>5409</v>
      </c>
      <c r="E42">
        <f>_xll.EQNXTDZ($A$1,$B42,E$1,$B$1)</f>
        <v>5502</v>
      </c>
      <c r="F42">
        <f>_xll.EQNXTDZ($A$1,$B42,F$1,$B$1)</f>
        <v>5589</v>
      </c>
      <c r="G42">
        <f>_xll.EQNXTDZ($A$1,$B42,G$1,$B$1)</f>
        <v>5237</v>
      </c>
      <c r="H42">
        <f>_xll.EQNXTDZ($A$1,$B42,H$1,$B$1)</f>
        <v>5873</v>
      </c>
      <c r="I42">
        <f>_xll.EQNXTDZ($A$1,$B42,I$1,$B$1)</f>
        <v>5502</v>
      </c>
      <c r="J42">
        <f>_xll.EQNXTDZ($A$1,$B42,J$1,$B$1)</f>
        <v>5881</v>
      </c>
      <c r="K42">
        <f>_xll.EQNXTDZ($A$1,$B42,K$1,$B$1)</f>
        <v>5957</v>
      </c>
      <c r="L42">
        <f>_xll.EQNXTDZ($A$1,$B42,L$1,$B$1)</f>
        <v>5972</v>
      </c>
      <c r="M42">
        <f>_xll.EQNXTDZ($A$1,$B42,M$1,$B$1)</f>
        <v>5256</v>
      </c>
      <c r="N42">
        <f>_xll.EQNXTDZ($A$1,$B42,N$1,$B$1)</f>
        <v>6381</v>
      </c>
      <c r="O42">
        <f>_xll.EQNXTDZ($A$1,$B42,O$1,$B$1)</f>
        <v>6024</v>
      </c>
      <c r="P42">
        <f>_xll.EQNXTDZ($A$1,$B42,P$1,$B$1)</f>
        <v>9345</v>
      </c>
      <c r="Q42">
        <f>_xll.EQNXTDZ($A$1,$B42,Q$1,$B$1)</f>
        <v>7245</v>
      </c>
      <c r="R42">
        <f>_xll.EQNXTDZ($A$1,$B42,R$1,$B$1)</f>
        <v>7167</v>
      </c>
      <c r="S42">
        <f>_xll.EQNXTDZ($A$1,$B42,S$1,$B$1)</f>
        <v>7113</v>
      </c>
      <c r="T42">
        <f>_xll.EQNXTDZ($A$1,$B42,T$1,$B$1)</f>
        <v>7209</v>
      </c>
      <c r="U42">
        <f>_xll.EQNXTDZ($A$1,$B42,U$1,$B$1)</f>
        <v>7533</v>
      </c>
      <c r="V42">
        <f>_xll.EQNXTDZ($A$1,$B42,V$1,$B$1)</f>
        <v>8046</v>
      </c>
      <c r="W42">
        <f>_xll.EQNXTDZ($A$1,$B42,W$1,$B$1)</f>
        <v>9108</v>
      </c>
      <c r="X42">
        <f>_xll.EQNXTDZ($A$1,$B42,X$1,$B$1)</f>
        <v>8109</v>
      </c>
      <c r="Y42">
        <f>_xll.EQNXTDZ($A$1,$B42,Y$1,$B$1)</f>
        <v>9420</v>
      </c>
      <c r="Z42">
        <f>_xll.EQNXTDZ($A$1,$B42,Z$1,$B$1)</f>
        <v>9438</v>
      </c>
      <c r="AA42">
        <f>_xll.EQNXTDZ($A$1,$B42,AA$1,$B$1)</f>
        <v>9459</v>
      </c>
      <c r="AB42">
        <f>_xll.EQNXTDZ($A$1,$B42,AB$1,$B$1)</f>
        <v>9516</v>
      </c>
      <c r="AC42">
        <f>_xll.EQNXTDZ($A$1,$B42,AC$1,$B$1)</f>
        <v>10251</v>
      </c>
      <c r="AD42">
        <f>_xll.EQNXTDZ($A$1,$B42,AD$1,$B$1)</f>
        <v>10362</v>
      </c>
      <c r="AE42">
        <f>_xll.EQNXTDZ($A$1,$B42,AE$1,$B$1)</f>
        <v>10104</v>
      </c>
      <c r="AF42">
        <f>_xll.EQNXTDZ($A$1,$B42,AF$1,$B$1)</f>
        <v>11262</v>
      </c>
      <c r="AG42">
        <f>_xll.EQNXTDZ($A$1,$B42,AG$1,$B$1)</f>
        <v>11640</v>
      </c>
      <c r="AH42">
        <f>_xll.EQNXTDZ($A$1,$B42,AH$1,$B$1)</f>
        <v>6348</v>
      </c>
      <c r="AI42">
        <f>_xll.EQNXTDZ($A$1,$B42,AI$1,$B$1)</f>
        <v>13233</v>
      </c>
      <c r="AJ42">
        <f>_xll.EQNXTDZ($A$1,$B42,AJ$1,$B$1)</f>
        <v>9567</v>
      </c>
      <c r="AK42">
        <f>_xll.EQNXTDZ($A$1,$B42,AK$1,$B$1)</f>
        <v>13101</v>
      </c>
      <c r="AL42">
        <f>_xll.EQNXTDZ($A$1,$B42,AL$1,$B$1)</f>
        <v>13227</v>
      </c>
      <c r="AM42">
        <f>_xll.EQNXTDZ($A$1,$B42,AM$1,$B$1)</f>
        <v>12273</v>
      </c>
      <c r="AN42">
        <f>_xll.EQNXTDZ($A$1,$B42,AN$1,$B$1)</f>
        <v>13680</v>
      </c>
      <c r="AO42">
        <f>_xll.EQNXTDZ($A$1,$B42,AO$1,$B$1)</f>
        <v>18549</v>
      </c>
      <c r="AP42">
        <f>_xll.EQNXTDZ($A$1,$B42,AP$1,$B$1)</f>
        <v>16203</v>
      </c>
      <c r="AQ42">
        <f>_xll.EQNXTDZ($A$1,$B42,AQ$1,$B$1)</f>
        <v>17955</v>
      </c>
      <c r="AR42">
        <f>_xll.EQNXTDZ($A$1,$B42,AR$1,$B$1)</f>
        <v>13656</v>
      </c>
      <c r="AS42">
        <f>_xll.EQNXTDZ($A$1,$B42,AS$1,$B$1)</f>
        <v>15792</v>
      </c>
      <c r="AT42">
        <f>_xll.EQNXTDZ($A$1,$B42,AT$1,$B$1)</f>
        <v>19299</v>
      </c>
      <c r="AU42">
        <f>_xll.EQNXTDZ($A$1,$B42,AU$1,$B$1)</f>
        <v>16011</v>
      </c>
      <c r="AV42">
        <f>_xll.EQNXTDZ($A$1,$B42,AV$1,$B$1)</f>
        <v>17394</v>
      </c>
      <c r="AW42">
        <f>_xll.EQNXTDZ($A$1,$B42,AW$1,$B$1)</f>
        <v>17265</v>
      </c>
      <c r="AX42">
        <f>_xll.EQNXTDZ($A$1,$B42,AX$1,$B$1)</f>
        <v>18951</v>
      </c>
      <c r="AY42">
        <f>_xll.EQNXTDZ($A$1,$B42,AY$1,$B$1)</f>
        <v>15138</v>
      </c>
      <c r="AZ42">
        <f>_xll.EQNXTDZ($A$1,$B42,AZ$1,$B$1)</f>
        <v>16563</v>
      </c>
      <c r="BA42">
        <f>_xll.EQNXTDZ($A$1,$B42,BA$1,$B$1)</f>
        <v>18540</v>
      </c>
      <c r="BB42">
        <f>_xll.EQNXTDZ($A$1,$B42,BB$1,$B$1)</f>
        <v>19407</v>
      </c>
      <c r="BC42">
        <f>_xll.EQNXTDZ($A$1,$B42,BC$1,$B$1)</f>
        <v>26994</v>
      </c>
      <c r="BD42">
        <f>_xll.EQNXTDZ($A$1,$B42,BD$1,$B$1)</f>
        <v>18165</v>
      </c>
      <c r="BE42">
        <f>_xll.EQNXTDZ($A$1,$B42,BE$1,$B$1)</f>
        <v>18645</v>
      </c>
      <c r="BF42">
        <f>_xll.EQNXTDZ($A$1,$B42,BF$1,$B$1)</f>
        <v>16971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3242</v>
      </c>
      <c r="D45">
        <f>_xll.EQNXTDZ($A$1,$B45,D$1,$B$1)</f>
        <v>3236</v>
      </c>
      <c r="E45">
        <f>_xll.EQNXTDZ($A$1,$B45,E$1,$B$1)</f>
        <v>3228</v>
      </c>
      <c r="F45">
        <f>_xll.EQNXTDZ($A$1,$B45,F$1,$B$1)</f>
        <v>3229</v>
      </c>
      <c r="G45">
        <f>_xll.EQNXTDZ($A$1,$B45,G$1,$B$1)</f>
        <v>3229</v>
      </c>
      <c r="H45">
        <f>_xll.EQNXTDZ($A$1,$B45,H$1,$B$1)</f>
        <v>3231</v>
      </c>
      <c r="I45">
        <f>_xll.EQNXTDZ($A$1,$B45,I$1,$B$1)</f>
        <v>3231</v>
      </c>
      <c r="J45">
        <f>_xll.EQNXTDZ($A$1,$B45,J$1,$B$1)</f>
        <v>3232</v>
      </c>
      <c r="K45">
        <f>_xll.EQNXTDZ($A$1,$B45,K$1,$B$1)</f>
        <v>3233</v>
      </c>
      <c r="L45">
        <f>_xll.EQNXTDZ($A$1,$B45,L$1,$B$1)</f>
        <v>3234</v>
      </c>
      <c r="M45">
        <f>_xll.EQNXTDZ($A$1,$B45,M$1,$B$1)</f>
        <v>3235</v>
      </c>
      <c r="N45">
        <f>_xll.EQNXTDZ($A$1,$B45,N$1,$B$1)</f>
        <v>3236</v>
      </c>
      <c r="O45">
        <f>_xll.EQNXTDZ($A$1,$B45,O$1,$B$1)</f>
        <v>2944</v>
      </c>
      <c r="P45">
        <f>_xll.EQNXTDZ($A$1,$B45,P$1,$B$1)</f>
        <v>2946</v>
      </c>
      <c r="Q45">
        <f>_xll.EQNXTDZ($A$1,$B45,Q$1,$B$1)</f>
        <v>2947</v>
      </c>
      <c r="R45">
        <f>_xll.EQNXTDZ($A$1,$B45,R$1,$B$1)</f>
        <v>2948</v>
      </c>
      <c r="S45">
        <f>_xll.EQNXTDZ($A$1,$B45,S$1,$B$1)</f>
        <v>2950</v>
      </c>
      <c r="T45">
        <f>_xll.EQNXTDZ($A$1,$B45,T$1,$B$1)</f>
        <v>2951</v>
      </c>
      <c r="U45">
        <f>_xll.EQNXTDZ($A$1,$B45,U$1,$B$1)</f>
        <v>2951</v>
      </c>
      <c r="V45">
        <f>_xll.EQNXTDZ($A$1,$B45,V$1,$B$1)</f>
        <v>2959</v>
      </c>
      <c r="W45">
        <f>_xll.EQNXTDZ($A$1,$B45,W$1,$B$1)</f>
        <v>2959</v>
      </c>
      <c r="X45">
        <f>_xll.EQNXTDZ($A$1,$B45,X$1,$B$1)</f>
        <v>5920</v>
      </c>
      <c r="Y45">
        <f>_xll.EQNXTDZ($A$1,$B45,Y$1,$B$1)</f>
        <v>5921</v>
      </c>
      <c r="Z45">
        <f>_xll.EQNXTDZ($A$1,$B45,Z$1,$B$1)</f>
        <v>5922</v>
      </c>
      <c r="AA45">
        <f>_xll.EQNXTDZ($A$1,$B45,AA$1,$B$1)</f>
        <v>5924</v>
      </c>
      <c r="AB45">
        <f>_xll.EQNXTDZ($A$1,$B45,AB$1,$B$1)</f>
        <v>5926</v>
      </c>
      <c r="AC45">
        <f>_xll.EQNXTDZ($A$1,$B45,AC$1,$B$1)</f>
        <v>5927</v>
      </c>
      <c r="AD45">
        <f>_xll.EQNXTDZ($A$1,$B45,AD$1,$B$1)</f>
        <v>5926</v>
      </c>
      <c r="AE45">
        <f>_xll.EQNXTDZ($A$1,$B45,AE$1,$B$1)</f>
        <v>5926</v>
      </c>
      <c r="AF45">
        <f>_xll.EQNXTDZ($A$1,$B45,AF$1,$B$1)</f>
        <v>6339</v>
      </c>
      <c r="AG45">
        <f>_xll.EQNXTDZ($A$1,$B45,AG$1,$B$1)</f>
        <v>6339</v>
      </c>
      <c r="AH45">
        <f>_xll.EQNXTDZ($A$1,$B45,AH$1,$B$1)</f>
        <v>6339</v>
      </c>
      <c r="AI45">
        <f>_xll.EQNXTDZ($A$1,$B45,AI$1,$B$1)</f>
        <v>6445</v>
      </c>
      <c r="AJ45">
        <f>_xll.EQNXTDZ($A$1,$B45,AJ$1,$B$1)</f>
        <v>6445</v>
      </c>
      <c r="AK45">
        <f>_xll.EQNXTDZ($A$1,$B45,AK$1,$B$1)</f>
        <v>6445</v>
      </c>
      <c r="AL45">
        <f>_xll.EQNXTDZ($A$1,$B45,AL$1,$B$1)</f>
        <v>6445</v>
      </c>
      <c r="AM45">
        <f>_xll.EQNXTDZ($A$1,$B45,AM$1,$B$1)</f>
        <v>6550</v>
      </c>
      <c r="AN45">
        <f>_xll.EQNXTDZ($A$1,$B45,AN$1,$B$1)</f>
        <v>6551</v>
      </c>
      <c r="AO45">
        <f>_xll.EQNXTDZ($A$1,$B45,AO$1,$B$1)</f>
        <v>6765</v>
      </c>
      <c r="AP45">
        <f>_xll.EQNXTDZ($A$1,$B45,AP$1,$B$1)</f>
        <v>6765</v>
      </c>
      <c r="AQ45">
        <f>_xll.EQNXTDZ($A$1,$B45,AQ$1,$B$1)</f>
        <v>6765</v>
      </c>
      <c r="AR45">
        <f>_xll.EQNXTDZ($A$1,$B45,AR$1,$B$1)</f>
        <v>6766</v>
      </c>
      <c r="AS45">
        <f>_xll.EQNXTDZ($A$1,$B45,AS$1,$B$1)</f>
        <v>6766</v>
      </c>
      <c r="AT45">
        <f>_xll.EQNXTDZ($A$1,$B45,AT$1,$B$1)</f>
        <v>6766</v>
      </c>
      <c r="AU45">
        <f>_xll.EQNXTDZ($A$1,$B45,AU$1,$B$1)</f>
        <v>6766</v>
      </c>
      <c r="AV45">
        <f>_xll.EQNXTDZ($A$1,$B45,AV$1,$B$1)</f>
        <v>6766</v>
      </c>
      <c r="AW45">
        <f>_xll.EQNXTDZ($A$1,$B45,AW$1,$B$1)</f>
        <v>6766</v>
      </c>
      <c r="AX45">
        <f>_xll.EQNXTDZ($A$1,$B45,AX$1,$B$1)</f>
        <v>6766</v>
      </c>
      <c r="AY45">
        <f>_xll.EQNXTDZ($A$1,$B45,AY$1,$B$1)</f>
        <v>6766</v>
      </c>
      <c r="AZ45">
        <f>_xll.EQNXTDZ($A$1,$B45,AZ$1,$B$1)</f>
        <v>6766</v>
      </c>
      <c r="BA45">
        <f>_xll.EQNXTDZ($A$1,$B45,BA$1,$B$1)</f>
        <v>13532</v>
      </c>
      <c r="BB45">
        <f>_xll.EQNXTDZ($A$1,$B45,BB$1,$B$1)</f>
        <v>13532</v>
      </c>
      <c r="BC45">
        <f>_xll.EQNXTDZ($A$1,$B45,BC$1,$B$1)</f>
        <v>13532</v>
      </c>
      <c r="BD45">
        <f>_xll.EQNXTDZ($A$1,$B45,BD$1,$B$1)</f>
        <v>13532</v>
      </c>
      <c r="BE45">
        <f>_xll.EQNXTDZ($A$1,$B45,BE$1,$B$1)</f>
        <v>13532</v>
      </c>
      <c r="BF45">
        <f>_xll.EQNXTDZ($A$1,$B45,BF$1,$B$1)</f>
        <v>13532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182.62466314283901</v>
      </c>
      <c r="D48" s="55">
        <f>_xll.EQNXTDZ($A$1,$B48,D$5)</f>
        <v>207.20327568189501</v>
      </c>
      <c r="E48" s="55">
        <f>_xll.EQNXTDZ($A$1,$B48,E$5)</f>
        <v>207.797619964955</v>
      </c>
      <c r="F48" s="55">
        <f>_xll.EQNXTDZ($A$1,$B48,F$5)</f>
        <v>191.60173825156201</v>
      </c>
      <c r="G48" s="55">
        <f>_xll.EQNXTDZ($A$1,$B48,G$5)</f>
        <v>213.43150848146399</v>
      </c>
      <c r="H48" s="55">
        <f>_xll.EQNXTDZ($A$1,$B48,H$5)</f>
        <v>203.64959215609699</v>
      </c>
      <c r="I48" s="55">
        <f>_xll.EQNXTDZ($A$1,$B48,I$5)</f>
        <v>221.59136020098001</v>
      </c>
      <c r="J48" s="55">
        <f>_xll.EQNXTDZ($A$1,$B48,J$5)</f>
        <v>230.184587960226</v>
      </c>
      <c r="K48" s="55">
        <f>_xll.EQNXTDZ($A$1,$B48,K$5)</f>
        <v>251.28381000886699</v>
      </c>
      <c r="L48" s="55">
        <f>_xll.EQNXTDZ($A$1,$B48,L$5)</f>
        <v>234.109736662937</v>
      </c>
      <c r="M48" s="55">
        <f>_xll.EQNXTDZ($A$1,$B48,M$5)</f>
        <v>220.687461603825</v>
      </c>
      <c r="N48" s="55">
        <f>_xll.EQNXTDZ($A$1,$B48,N$5)</f>
        <v>204.231554266594</v>
      </c>
      <c r="O48" s="55">
        <f>_xll.EQNXTDZ($A$1,$B48,O$5)</f>
        <v>247.75489082819601</v>
      </c>
      <c r="P48" s="55">
        <f>_xll.EQNXTDZ($A$1,$B48,P$5)</f>
        <v>213.097189822243</v>
      </c>
      <c r="Q48" s="55">
        <f>_xll.EQNXTDZ($A$1,$B48,Q$5)</f>
        <v>250.763758761189</v>
      </c>
      <c r="R48" s="55">
        <f>_xll.EQNXTDZ($A$1,$B48,R$5)</f>
        <v>258.84931744532201</v>
      </c>
      <c r="S48" s="55">
        <f>_xll.EQNXTDZ($A$1,$B48,S$5)</f>
        <v>240.07794383866701</v>
      </c>
      <c r="T48" s="55">
        <f>_xll.EQNXTDZ($A$1,$B48,T$5)</f>
        <v>267.97497862480998</v>
      </c>
      <c r="U48" s="55">
        <f>_xll.EQNXTDZ($A$1,$B48,U$5)</f>
        <v>267.47969172225999</v>
      </c>
      <c r="V48" s="55">
        <f>_xll.EQNXTDZ($A$1,$B48,V$5)</f>
        <v>326.69124092214201</v>
      </c>
      <c r="W48" s="55">
        <f>_xll.EQNXTDZ($A$1,$B48,W$5)</f>
        <v>341.809873622488</v>
      </c>
      <c r="X48" s="55">
        <f>_xll.EQNXTDZ($A$1,$B48,X$5)</f>
        <v>387.38865082967402</v>
      </c>
      <c r="Y48" s="55">
        <f>_xll.EQNXTDZ($A$1,$B48,Y$5)</f>
        <v>456.18400159390302</v>
      </c>
      <c r="Z48" s="55">
        <f>_xll.EQNXTDZ($A$1,$B48,Z$5)</f>
        <v>437.23927757135601</v>
      </c>
      <c r="AA48" s="55">
        <f>_xll.EQNXTDZ($A$1,$B48,AA$5)</f>
        <v>481.88939183626098</v>
      </c>
      <c r="AB48" s="55">
        <f>_xll.EQNXTDZ($A$1,$B48,AB$5)</f>
        <v>623.16998078871802</v>
      </c>
      <c r="AC48" s="55">
        <f>_xll.EQNXTDZ($A$1,$B48,AC$5)</f>
        <v>555.24138210395199</v>
      </c>
      <c r="AD48" s="55">
        <f>_xll.EQNXTDZ($A$1,$B48,AD$5)</f>
        <v>675.10081252111104</v>
      </c>
      <c r="AE48" s="55">
        <f>_xll.EQNXTDZ($A$1,$B48,AE$5)</f>
        <v>620.09920199290696</v>
      </c>
      <c r="AF48" s="55">
        <f>_xll.EQNXTDZ($A$1,$B48,AF$5)</f>
        <v>660.01932633845604</v>
      </c>
      <c r="AG48" s="55">
        <f>_xll.EQNXTDZ($A$1,$B48,AG$5)</f>
        <v>749.91389915132595</v>
      </c>
      <c r="AH48" s="55">
        <f>_xll.EQNXTDZ($A$1,$B48,AH$5)</f>
        <v>550.98191474201997</v>
      </c>
      <c r="AI48" s="55">
        <f>_xll.EQNXTDZ($A$1,$B48,AI$5)</f>
        <v>851.67499999999995</v>
      </c>
      <c r="AJ48" s="55">
        <f>_xll.EQNXTDZ($A$1,$B48,AJ$5)</f>
        <v>1116.875</v>
      </c>
      <c r="AK48" s="55">
        <f>_xll.EQNXTDZ($A$1,$B48,AK$5)</f>
        <v>992.32500000000005</v>
      </c>
      <c r="AL48" s="55">
        <f>_xll.EQNXTDZ($A$1,$B48,AL$5)</f>
        <v>1001.6</v>
      </c>
      <c r="AM48" s="55">
        <f>_xll.EQNXTDZ($A$1,$B48,AM$5)</f>
        <v>1055.45</v>
      </c>
      <c r="AN48" s="55">
        <f>_xll.EQNXTDZ($A$1,$B48,AN$5)</f>
        <v>1258.5</v>
      </c>
      <c r="AO48" s="55">
        <f>_xll.EQNXTDZ($A$1,$B48,AO$5)</f>
        <v>1184.075</v>
      </c>
      <c r="AP48" s="55">
        <f>_xll.EQNXTDZ($A$1,$B48,AP$5)</f>
        <v>1316.9749999999999</v>
      </c>
      <c r="AQ48" s="55">
        <f>_xll.EQNXTDZ($A$1,$B48,AQ$5)</f>
        <v>1297.0250000000001</v>
      </c>
      <c r="AR48" s="55">
        <f>_xll.EQNXTDZ($A$1,$B48,AR$5)</f>
        <v>1188.8499999999999</v>
      </c>
      <c r="AS48" s="55">
        <f>_xll.EQNXTDZ($A$1,$B48,AS$5)</f>
        <v>1274.0999999999999</v>
      </c>
      <c r="AT48" s="55">
        <f>_xll.EQNXTDZ($A$1,$B48,AT$5)</f>
        <v>1165.5250000000001</v>
      </c>
      <c r="AU48" s="55">
        <f>_xll.EQNXTDZ($A$1,$B48,AU$5)</f>
        <v>1275.3499999999999</v>
      </c>
      <c r="AV48" s="55">
        <f>_xll.EQNXTDZ($A$1,$B48,AV$5)</f>
        <v>1173.25</v>
      </c>
      <c r="AW48" s="55">
        <f>_xll.EQNXTDZ($A$1,$B48,AW$5)</f>
        <v>1292.425</v>
      </c>
      <c r="AX48" s="55">
        <f>_xll.EQNXTDZ($A$1,$B48,AX$5)</f>
        <v>1488.4</v>
      </c>
      <c r="AY48" s="55">
        <f>_xll.EQNXTDZ($A$1,$B48,AY$5)</f>
        <v>1565.925</v>
      </c>
      <c r="AZ48" s="55">
        <f>_xll.EQNXTDZ($A$1,$B48,AZ$5)</f>
        <v>1476.9</v>
      </c>
      <c r="BA48" s="55">
        <f>_xll.EQNXTDZ($A$1,$B48,BA$5)</f>
        <v>1215.45</v>
      </c>
      <c r="BB48" s="55">
        <f>_xll.EQNXTDZ($A$1,$B48,BB$5)</f>
        <v>1275</v>
      </c>
      <c r="BC48" s="55">
        <f>_xll.EQNXTDZ($A$1,$B48,BC$5)</f>
        <v>1500.65</v>
      </c>
      <c r="BD48" s="55">
        <f>_xll.EQNXTDZ($A$1,$B48,BD$5)</f>
        <v>1363.8</v>
      </c>
      <c r="BE48" s="55">
        <f>_xll.EQNXTDZ($A$1,$B48,BE$5)</f>
        <v>1569.4</v>
      </c>
      <c r="BF48" s="55">
        <f>_xll.EQNXTDZ($A$1,$B48,BF$5)</f>
        <v>1344.25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45.15</v>
      </c>
      <c r="D49" s="55">
        <f>_xll.EQNXTDZ($A$1,$B49,D$5)</f>
        <v>45.24</v>
      </c>
      <c r="E49" s="55">
        <f>_xll.EQNXTDZ($A$1,$B49,E$5)</f>
        <v>45.34</v>
      </c>
      <c r="F49" s="55">
        <f>_xll.EQNXTDZ($A$1,$B49,F$5)</f>
        <v>45.34</v>
      </c>
      <c r="G49" s="55">
        <f>_xll.EQNXTDZ($A$1,$B49,G$5)</f>
        <v>45.33</v>
      </c>
      <c r="H49" s="55">
        <f>_xll.EQNXTDZ($A$1,$B49,H$5)</f>
        <v>45.31</v>
      </c>
      <c r="I49" s="55">
        <f>_xll.EQNXTDZ($A$1,$B49,I$5)</f>
        <v>45.31</v>
      </c>
      <c r="J49" s="55">
        <f>_xll.EQNXTDZ($A$1,$B49,J$5)</f>
        <v>45.3</v>
      </c>
      <c r="K49" s="55">
        <f>_xll.EQNXTDZ($A$1,$B49,K$5)</f>
        <v>45.29</v>
      </c>
      <c r="L49" s="55">
        <f>_xll.EQNXTDZ($A$1,$B49,L$5)</f>
        <v>45.26</v>
      </c>
      <c r="M49" s="55">
        <f>_xll.EQNXTDZ($A$1,$B49,M$5)</f>
        <v>45.25</v>
      </c>
      <c r="N49" s="55">
        <f>_xll.EQNXTDZ($A$1,$B49,N$5)</f>
        <v>45.24</v>
      </c>
      <c r="O49" s="55">
        <f>_xll.EQNXTDZ($A$1,$B49,O$5)</f>
        <v>45.23</v>
      </c>
      <c r="P49" s="55">
        <f>_xll.EQNXTDZ($A$1,$B49,P$5)</f>
        <v>45.21</v>
      </c>
      <c r="Q49" s="55">
        <f>_xll.EQNXTDZ($A$1,$B49,Q$5)</f>
        <v>46.66</v>
      </c>
      <c r="R49" s="55">
        <f>_xll.EQNXTDZ($A$1,$B49,R$5)</f>
        <v>46.53</v>
      </c>
      <c r="S49" s="55">
        <f>_xll.EQNXTDZ($A$1,$B49,S$5)</f>
        <v>46.49</v>
      </c>
      <c r="T49" s="55">
        <f>_xll.EQNXTDZ($A$1,$B49,T$5)</f>
        <v>46.48</v>
      </c>
      <c r="U49" s="55">
        <f>_xll.EQNXTDZ($A$1,$B49,U$5)</f>
        <v>46.48</v>
      </c>
      <c r="V49" s="55">
        <f>_xll.EQNXTDZ($A$1,$B49,V$5)</f>
        <v>46.32</v>
      </c>
      <c r="W49" s="55">
        <f>_xll.EQNXTDZ($A$1,$B49,W$5)</f>
        <v>46.3</v>
      </c>
      <c r="X49" s="55">
        <f>_xll.EQNXTDZ($A$1,$B49,X$5)</f>
        <v>47.55</v>
      </c>
      <c r="Y49" s="55">
        <f>_xll.EQNXTDZ($A$1,$B49,Y$5)</f>
        <v>47.48</v>
      </c>
      <c r="Z49" s="55">
        <f>_xll.EQNXTDZ($A$1,$B49,Z$5)</f>
        <v>47.45</v>
      </c>
      <c r="AA49" s="55">
        <f>_xll.EQNXTDZ($A$1,$B49,AA$5)</f>
        <v>47.35</v>
      </c>
      <c r="AB49" s="55">
        <f>_xll.EQNXTDZ($A$1,$B49,AB$5)</f>
        <v>47.27</v>
      </c>
      <c r="AC49" s="55">
        <f>_xll.EQNXTDZ($A$1,$B49,AC$5)</f>
        <v>47.19</v>
      </c>
      <c r="AD49" s="55">
        <f>_xll.EQNXTDZ($A$1,$B49,AD$5)</f>
        <v>47.27</v>
      </c>
      <c r="AE49" s="55">
        <f>_xll.EQNXTDZ($A$1,$B49,AE$5)</f>
        <v>47.29</v>
      </c>
      <c r="AF49" s="55">
        <f>_xll.EQNXTDZ($A$1,$B49,AF$5)</f>
        <v>50.05</v>
      </c>
      <c r="AG49" s="55">
        <f>_xll.EQNXTDZ($A$1,$B49,AG$5)</f>
        <v>50.03</v>
      </c>
      <c r="AH49" s="55">
        <f>_xll.EQNXTDZ($A$1,$B49,AH$5)</f>
        <v>50.07</v>
      </c>
      <c r="AI49" s="55">
        <f>_xll.EQNXTDZ($A$1,$B49,AI$5)</f>
        <v>50.37</v>
      </c>
      <c r="AJ49" s="55">
        <f>_xll.EQNXTDZ($A$1,$B49,AJ$5)</f>
        <v>50.49</v>
      </c>
      <c r="AK49" s="55">
        <f>_xll.EQNXTDZ($A$1,$B49,AK$5)</f>
        <v>50.54</v>
      </c>
      <c r="AL49" s="55">
        <f>_xll.EQNXTDZ($A$1,$B49,AL$5)</f>
        <v>50.58</v>
      </c>
      <c r="AM49" s="55">
        <f>_xll.EQNXTDZ($A$1,$B49,AM$5)</f>
        <v>50.59</v>
      </c>
      <c r="AN49" s="55">
        <f>_xll.EQNXTDZ($A$1,$B49,AN$5)</f>
        <v>50.61</v>
      </c>
      <c r="AO49" s="55">
        <f>_xll.EQNXTDZ($A$1,$B49,AO$5)</f>
        <v>50.62</v>
      </c>
      <c r="AP49" s="55">
        <f>_xll.EQNXTDZ($A$1,$B49,AP$5)</f>
        <v>50.66</v>
      </c>
      <c r="AQ49" s="55">
        <f>_xll.EQNXTDZ($A$1,$B49,AQ$5)</f>
        <v>50.62</v>
      </c>
      <c r="AR49" s="55">
        <f>_xll.EQNXTDZ($A$1,$B49,AR$5)</f>
        <v>50.57</v>
      </c>
      <c r="AS49" s="55">
        <f>_xll.EQNXTDZ($A$1,$B49,AS$5)</f>
        <v>50.49</v>
      </c>
      <c r="AT49" s="55">
        <f>_xll.EQNXTDZ($A$1,$B49,AT$5)</f>
        <v>50.41</v>
      </c>
      <c r="AU49" s="55">
        <f>_xll.EQNXTDZ($A$1,$B49,AU$5)</f>
        <v>50.39</v>
      </c>
      <c r="AV49" s="55">
        <f>_xll.EQNXTDZ($A$1,$B49,AV$5)</f>
        <v>50.27</v>
      </c>
      <c r="AW49" s="55">
        <f>_xll.EQNXTDZ($A$1,$B49,AW$5)</f>
        <v>50.3</v>
      </c>
      <c r="AX49" s="55">
        <f>_xll.EQNXTDZ($A$1,$B49,AX$5)</f>
        <v>50.31</v>
      </c>
      <c r="AY49" s="55">
        <f>_xll.EQNXTDZ($A$1,$B49,AY$5)</f>
        <v>50.33</v>
      </c>
      <c r="AZ49" s="55">
        <f>_xll.EQNXTDZ($A$1,$B49,AZ$5)</f>
        <v>50.24</v>
      </c>
      <c r="BA49" s="55">
        <f>_xll.EQNXTDZ($A$1,$B49,BA$5)</f>
        <v>50.13</v>
      </c>
      <c r="BB49" s="55">
        <f>_xll.EQNXTDZ($A$1,$B49,BB$5)</f>
        <v>50.11</v>
      </c>
      <c r="BC49" s="55">
        <f>_xll.EQNXTDZ($A$1,$B49,BC$5)</f>
        <v>50.07</v>
      </c>
      <c r="BD49" s="55">
        <f>_xll.EQNXTDZ($A$1,$B49,BD$5)</f>
        <v>50.01</v>
      </c>
      <c r="BE49" s="55">
        <f>_xll.EQNXTDZ($A$1,$B49,BE$5)</f>
        <v>50.01</v>
      </c>
      <c r="BF49" s="55">
        <f>_xll.EQNXTDZ($A$1,$B49,BF$5)</f>
        <v>50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3236</v>
      </c>
      <c r="E56" s="55">
        <f>_xll.EQNXTDZ($A$1,$B56,E$5,$B$1)</f>
        <v>0</v>
      </c>
      <c r="F56" s="55">
        <f>_xll.EQNXTDZ($A$1,$B56,F$5,$B$1)</f>
        <v>2936</v>
      </c>
      <c r="G56" s="55">
        <f>_xll.EQNXTDZ($A$1,$B56,G$5,$B$1)</f>
        <v>0</v>
      </c>
      <c r="H56" s="55">
        <f>_xll.EQNXTDZ($A$1,$B56,H$5,$B$1)</f>
        <v>3231</v>
      </c>
      <c r="I56" s="55">
        <f>_xll.EQNXTDZ($A$1,$B56,I$5,$B$1)</f>
        <v>0</v>
      </c>
      <c r="J56" s="55">
        <f>_xll.EQNXTDZ($A$1,$B56,J$5,$B$1)</f>
        <v>2940</v>
      </c>
      <c r="K56" s="55">
        <f>_xll.EQNXTDZ($A$1,$B56,K$5,$B$1)</f>
        <v>0</v>
      </c>
      <c r="L56" s="55">
        <f>_xll.EQNXTDZ($A$1,$B56,L$5,$B$1)</f>
        <v>2942</v>
      </c>
      <c r="M56" s="55">
        <f>_xll.EQNXTDZ($A$1,$B56,M$5,$B$1)</f>
        <v>0</v>
      </c>
      <c r="N56" s="55">
        <f>_xll.EQNXTDZ($A$1,$B56,N$5,$B$1)</f>
        <v>2943</v>
      </c>
      <c r="O56" s="55">
        <f>_xll.EQNXTDZ($A$1,$B56,O$5,$B$1)</f>
        <v>0</v>
      </c>
      <c r="P56" s="55">
        <f>_xll.EQNXTDZ($A$1,$B56,P$5,$B$1)</f>
        <v>2946</v>
      </c>
      <c r="Q56" s="55">
        <f>_xll.EQNXTDZ($A$1,$B56,Q$5,$B$1)</f>
        <v>0</v>
      </c>
      <c r="R56" s="55">
        <f>_xll.EQNXTDZ($A$1,$B56,R$5,$B$1)</f>
        <v>2948</v>
      </c>
      <c r="S56" s="55">
        <f>_xll.EQNXTDZ($A$1,$B56,S$5,$B$1)</f>
        <v>0</v>
      </c>
      <c r="T56" s="55">
        <f>_xll.EQNXTDZ($A$1,$B56,T$5,$B$1)</f>
        <v>2951</v>
      </c>
      <c r="U56" s="55">
        <f>_xll.EQNXTDZ($A$1,$B56,U$5,$B$1)</f>
        <v>0</v>
      </c>
      <c r="V56" s="55">
        <f>_xll.EQNXTDZ($A$1,$B56,V$5,$B$1)</f>
        <v>2959</v>
      </c>
      <c r="W56" s="55">
        <f>_xll.EQNXTDZ($A$1,$B56,W$5,$B$1)</f>
        <v>0</v>
      </c>
      <c r="X56" s="55">
        <f>_xll.EQNXTDZ($A$1,$B56,X$5,$B$1)</f>
        <v>5920</v>
      </c>
      <c r="Y56" s="55">
        <f>_xll.EQNXTDZ($A$1,$B56,Y$5,$B$1)</f>
        <v>0</v>
      </c>
      <c r="Z56" s="55">
        <f>_xll.EQNXTDZ($A$1,$B56,Z$5,$B$1)</f>
        <v>5922</v>
      </c>
      <c r="AA56" s="55">
        <f>_xll.EQNXTDZ($A$1,$B56,AA$5,$B$1)</f>
        <v>0</v>
      </c>
      <c r="AB56" s="55">
        <f>_xll.EQNXTDZ($A$1,$B56,AB$5,$B$1)</f>
        <v>5926</v>
      </c>
      <c r="AC56" s="55">
        <f>_xll.EQNXTDZ($A$1,$B56,AC$5,$B$1)</f>
        <v>0</v>
      </c>
      <c r="AD56" s="55">
        <f>_xll.EQNXTDZ($A$1,$B56,AD$5,$B$1)</f>
        <v>5926</v>
      </c>
      <c r="AE56" s="55">
        <f>_xll.EQNXTDZ($A$1,$B56,AE$5,$B$1)</f>
        <v>0</v>
      </c>
      <c r="AF56" s="55">
        <f>_xll.EQNXTDZ($A$1,$B56,AF$5,$B$1)</f>
        <v>6339</v>
      </c>
      <c r="AG56" s="55">
        <f>_xll.EQNXTDZ($A$1,$B56,AG$5,$B$1)</f>
        <v>0</v>
      </c>
      <c r="AH56" s="55">
        <f>_xll.EQNXTDZ($A$1,$B56,AH$5,$B$1)</f>
        <v>6339</v>
      </c>
      <c r="AI56" s="55">
        <f>_xll.EQNXTDZ($A$1,$B56,AI$5,$B$1)</f>
        <v>0</v>
      </c>
      <c r="AJ56" s="55">
        <f>_xll.EQNXTDZ($A$1,$B56,AJ$5,$B$1)</f>
        <v>6445</v>
      </c>
      <c r="AK56" s="55">
        <f>_xll.EQNXTDZ($A$1,$B56,AK$5,$B$1)</f>
        <v>0</v>
      </c>
      <c r="AL56" s="55">
        <f>_xll.EQNXTDZ($A$1,$B56,AL$5,$B$1)</f>
        <v>6445</v>
      </c>
      <c r="AM56" s="55">
        <f>_xll.EQNXTDZ($A$1,$B56,AM$5,$B$1)</f>
        <v>0</v>
      </c>
      <c r="AN56" s="55">
        <f>_xll.EQNXTDZ($A$1,$B56,AN$5,$B$1)</f>
        <v>6551</v>
      </c>
      <c r="AO56" s="55">
        <f>_xll.EQNXTDZ($A$1,$B56,AO$5,$B$1)</f>
        <v>0</v>
      </c>
      <c r="AP56" s="55">
        <f>_xll.EQNXTDZ($A$1,$B56,AP$5,$B$1)</f>
        <v>6765</v>
      </c>
      <c r="AQ56" s="55">
        <f>_xll.EQNXTDZ($A$1,$B56,AQ$5,$B$1)</f>
        <v>0</v>
      </c>
      <c r="AR56" s="55">
        <f>_xll.EQNXTDZ($A$1,$B56,AR$5,$B$1)</f>
        <v>6766</v>
      </c>
      <c r="AS56" s="55">
        <f>_xll.EQNXTDZ($A$1,$B56,AS$5,$B$1)</f>
        <v>0</v>
      </c>
      <c r="AT56" s="55">
        <f>_xll.EQNXTDZ($A$1,$B56,AT$5,$B$1)</f>
        <v>6766</v>
      </c>
      <c r="AU56" s="55">
        <f>_xll.EQNXTDZ($A$1,$B56,AU$5,$B$1)</f>
        <v>0</v>
      </c>
      <c r="AV56" s="55">
        <f>_xll.EQNXTDZ($A$1,$B56,AV$5,$B$1)</f>
        <v>6766</v>
      </c>
      <c r="AW56" s="55">
        <f>_xll.EQNXTDZ($A$1,$B56,AW$5,$B$1)</f>
        <v>0</v>
      </c>
      <c r="AX56" s="55">
        <f>_xll.EQNXTDZ($A$1,$B56,AX$5,$B$1)</f>
        <v>6766</v>
      </c>
      <c r="AY56" s="55">
        <f>_xll.EQNXTDZ($A$1,$B56,AY$5,$B$1)</f>
        <v>0</v>
      </c>
      <c r="AZ56" s="55">
        <f>_xll.EQNXTDZ($A$1,$B56,AZ$5,$B$1)</f>
        <v>6766</v>
      </c>
      <c r="BA56" s="55">
        <f>_xll.EQNXTDZ($A$1,$B56,BA$5,$B$1)</f>
        <v>0</v>
      </c>
      <c r="BB56" s="55">
        <f>_xll.EQNXTDZ($A$1,$B56,BB$5,$B$1)</f>
        <v>13532</v>
      </c>
      <c r="BC56" s="55">
        <f>_xll.EQNXTDZ($A$1,$B56,BC$5,$B$1)</f>
        <v>0</v>
      </c>
      <c r="BD56" s="55">
        <f>_xll.EQNXTDZ($A$1,$B56,BD$5,$B$1)</f>
        <v>13532</v>
      </c>
      <c r="BE56" s="55">
        <f>_xll.EQNXTDZ($A$1,$B56,BE$5,$B$1)</f>
        <v>0</v>
      </c>
      <c r="BF56" s="55">
        <f>_xll.EQNXTDZ($A$1,$B56,BF$5,$B$1)</f>
        <v>13532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25</v>
      </c>
      <c r="G57" s="55">
        <f>_xll.EQNXTDZ($A$1,$B57,G$5,$B$1)</f>
        <v>0</v>
      </c>
      <c r="H57" s="55">
        <f>_xll.EQNXTDZ($A$1,$B57,H$5,$B$1)</f>
        <v>15</v>
      </c>
      <c r="I57" s="55">
        <f>_xll.EQNXTDZ($A$1,$B57,I$5,$B$1)</f>
        <v>0</v>
      </c>
      <c r="J57" s="55">
        <f>_xll.EQNXTDZ($A$1,$B57,J$5,$B$1)</f>
        <v>17</v>
      </c>
      <c r="K57" s="55">
        <f>_xll.EQNXTDZ($A$1,$B57,K$5,$B$1)</f>
        <v>0</v>
      </c>
      <c r="L57" s="55">
        <f>_xll.EQNXTDZ($A$1,$B57,L$5,$B$1)</f>
        <v>24</v>
      </c>
      <c r="M57" s="55">
        <f>_xll.EQNXTDZ($A$1,$B57,M$5,$B$1)</f>
        <v>0</v>
      </c>
      <c r="N57" s="55">
        <f>_xll.EQNXTDZ($A$1,$B57,N$5,$B$1)</f>
        <v>17</v>
      </c>
      <c r="O57" s="55">
        <f>_xll.EQNXTDZ($A$1,$B57,O$5,$B$1)</f>
        <v>0</v>
      </c>
      <c r="P57" s="55">
        <f>_xll.EQNXTDZ($A$1,$B57,P$5,$B$1)</f>
        <v>26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169167</v>
      </c>
      <c r="E58" s="55">
        <f>_xll.EQNXTDZ($A$1,$B58,E$5,$B$1)</f>
        <v>0</v>
      </c>
      <c r="F58" s="55">
        <f>_xll.EQNXTDZ($A$1,$B58,F$5,$B$1)</f>
        <v>179094</v>
      </c>
      <c r="G58" s="55">
        <f>_xll.EQNXTDZ($A$1,$B58,G$5,$B$1)</f>
        <v>0</v>
      </c>
      <c r="H58" s="55">
        <f>_xll.EQNXTDZ($A$1,$B58,H$5,$B$1)</f>
        <v>186808</v>
      </c>
      <c r="I58" s="55">
        <f>_xll.EQNXTDZ($A$1,$B58,I$5,$B$1)</f>
        <v>0</v>
      </c>
      <c r="J58" s="55">
        <f>_xll.EQNXTDZ($A$1,$B58,J$5,$B$1)</f>
        <v>195730</v>
      </c>
      <c r="K58" s="55">
        <f>_xll.EQNXTDZ($A$1,$B58,K$5,$B$1)</f>
        <v>0</v>
      </c>
      <c r="L58" s="55">
        <f>_xll.EQNXTDZ($A$1,$B58,L$5,$B$1)</f>
        <v>207144</v>
      </c>
      <c r="M58" s="55">
        <f>_xll.EQNXTDZ($A$1,$B58,M$5,$B$1)</f>
        <v>0</v>
      </c>
      <c r="N58" s="55">
        <f>_xll.EQNXTDZ($A$1,$B58,N$5,$B$1)</f>
        <v>215539</v>
      </c>
      <c r="O58" s="55">
        <f>_xll.EQNXTDZ($A$1,$B58,O$5,$B$1)</f>
        <v>0</v>
      </c>
      <c r="P58" s="55">
        <f>_xll.EQNXTDZ($A$1,$B58,P$5,$B$1)</f>
        <v>228598</v>
      </c>
      <c r="Q58" s="55">
        <f>_xll.EQNXTDZ($A$1,$B58,Q$5,$B$1)</f>
        <v>0</v>
      </c>
      <c r="R58" s="55">
        <f>_xll.EQNXTDZ($A$1,$B58,R$5,$B$1)</f>
        <v>228608</v>
      </c>
      <c r="S58" s="55">
        <f>_xll.EQNXTDZ($A$1,$B58,S$5,$B$1)</f>
        <v>0</v>
      </c>
      <c r="T58" s="55">
        <f>_xll.EQNXTDZ($A$1,$B58,T$5,$B$1)</f>
        <v>251871</v>
      </c>
      <c r="U58" s="55">
        <f>_xll.EQNXTDZ($A$1,$B58,U$5,$B$1)</f>
        <v>0</v>
      </c>
      <c r="V58" s="55">
        <f>_xll.EQNXTDZ($A$1,$B58,V$5,$B$1)</f>
        <v>260750</v>
      </c>
      <c r="W58" s="55">
        <f>_xll.EQNXTDZ($A$1,$B58,W$5,$B$1)</f>
        <v>0</v>
      </c>
      <c r="X58" s="55">
        <f>_xll.EQNXTDZ($A$1,$B58,X$5,$B$1)</f>
        <v>270389</v>
      </c>
      <c r="Y58" s="55">
        <f>_xll.EQNXTDZ($A$1,$B58,Y$5,$B$1)</f>
        <v>0</v>
      </c>
      <c r="Z58" s="55">
        <f>_xll.EQNXTDZ($A$1,$B58,Z$5,$B$1)</f>
        <v>287584</v>
      </c>
      <c r="AA58" s="55">
        <f>_xll.EQNXTDZ($A$1,$B58,AA$5,$B$1)</f>
        <v>0</v>
      </c>
      <c r="AB58" s="55">
        <f>_xll.EQNXTDZ($A$1,$B58,AB$5,$B$1)</f>
        <v>298426</v>
      </c>
      <c r="AC58" s="55">
        <f>_xll.EQNXTDZ($A$1,$B58,AC$5,$B$1)</f>
        <v>0</v>
      </c>
      <c r="AD58" s="55">
        <f>_xll.EQNXTDZ($A$1,$B58,AD$5,$B$1)</f>
        <v>381186</v>
      </c>
      <c r="AE58" s="55">
        <f>_xll.EQNXTDZ($A$1,$B58,AE$5,$B$1)</f>
        <v>0</v>
      </c>
      <c r="AF58" s="55">
        <f>_xll.EQNXTDZ($A$1,$B58,AF$5,$B$1)</f>
        <v>399034</v>
      </c>
      <c r="AG58" s="55">
        <f>_xll.EQNXTDZ($A$1,$B58,AG$5,$B$1)</f>
        <v>0</v>
      </c>
      <c r="AH58" s="55">
        <f>_xll.EQNXTDZ($A$1,$B58,AH$5,$B$1)</f>
        <v>442827</v>
      </c>
      <c r="AI58" s="55">
        <f>_xll.EQNXTDZ($A$1,$B58,AI$5,$B$1)</f>
        <v>0</v>
      </c>
      <c r="AJ58" s="55">
        <f>_xll.EQNXTDZ($A$1,$B58,AJ$5,$B$1)</f>
        <v>606977</v>
      </c>
      <c r="AK58" s="55">
        <f>_xll.EQNXTDZ($A$1,$B58,AK$5,$B$1)</f>
        <v>0</v>
      </c>
      <c r="AL58" s="55">
        <f>_xll.EQNXTDZ($A$1,$B58,AL$5,$B$1)</f>
        <v>693727</v>
      </c>
      <c r="AM58" s="55">
        <f>_xll.EQNXTDZ($A$1,$B58,AM$5,$B$1)</f>
        <v>0</v>
      </c>
      <c r="AN58" s="55">
        <f>_xll.EQNXTDZ($A$1,$B58,AN$5,$B$1)</f>
        <v>735257</v>
      </c>
      <c r="AO58" s="55">
        <f>_xll.EQNXTDZ($A$1,$B58,AO$5,$B$1)</f>
        <v>0</v>
      </c>
      <c r="AP58" s="55">
        <f>_xll.EQNXTDZ($A$1,$B58,AP$5,$B$1)</f>
        <v>772720</v>
      </c>
      <c r="AQ58" s="55">
        <f>_xll.EQNXTDZ($A$1,$B58,AQ$5,$B$1)</f>
        <v>0</v>
      </c>
      <c r="AR58" s="55">
        <f>_xll.EQNXTDZ($A$1,$B58,AR$5,$B$1)</f>
        <v>783283</v>
      </c>
      <c r="AS58" s="55">
        <f>_xll.EQNXTDZ($A$1,$B58,AS$5,$B$1)</f>
        <v>0</v>
      </c>
      <c r="AT58" s="55">
        <f>_xll.EQNXTDZ($A$1,$B58,AT$5,$B$1)</f>
        <v>709106</v>
      </c>
      <c r="AU58" s="55">
        <f>_xll.EQNXTDZ($A$1,$B58,AU$5,$B$1)</f>
        <v>0</v>
      </c>
      <c r="AV58" s="55">
        <f>_xll.EQNXTDZ($A$1,$B58,AV$5,$B$1)</f>
        <v>744456</v>
      </c>
      <c r="AW58" s="55">
        <f>_xll.EQNXTDZ($A$1,$B58,AW$5,$B$1)</f>
        <v>0</v>
      </c>
      <c r="AX58" s="55">
        <f>_xll.EQNXTDZ($A$1,$B58,AX$5,$B$1)</f>
        <v>786715</v>
      </c>
      <c r="AY58" s="55">
        <f>_xll.EQNXTDZ($A$1,$B58,AY$5,$B$1)</f>
        <v>0</v>
      </c>
      <c r="AZ58" s="55">
        <f>_xll.EQNXTDZ($A$1,$B58,AZ$5,$B$1)</f>
        <v>812687</v>
      </c>
      <c r="BA58" s="55">
        <f>_xll.EQNXTDZ($A$1,$B58,BA$5,$B$1)</f>
        <v>0</v>
      </c>
      <c r="BB58" s="55">
        <f>_xll.EQNXTDZ($A$1,$B58,BB$5,$B$1)</f>
        <v>829668</v>
      </c>
      <c r="BC58" s="55">
        <f>_xll.EQNXTDZ($A$1,$B58,BC$5,$B$1)</f>
        <v>0</v>
      </c>
      <c r="BD58" s="55">
        <f>_xll.EQNXTDZ($A$1,$B58,BD$5,$B$1)</f>
        <v>863748</v>
      </c>
      <c r="BE58" s="55">
        <f>_xll.EQNXTDZ($A$1,$B58,BE$5,$B$1)</f>
        <v>0</v>
      </c>
      <c r="BF58" s="55">
        <f>_xll.EQNXTDZ($A$1,$B58,BF$5,$B$1)</f>
        <v>890498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172403</v>
      </c>
      <c r="E59" s="55">
        <f>_xll.EQNXTDZ($A$1,$B59,E$5,$B$1)</f>
        <v>0</v>
      </c>
      <c r="F59" s="55">
        <f>_xll.EQNXTDZ($A$1,$B59,F$5,$B$1)</f>
        <v>182055</v>
      </c>
      <c r="G59" s="55">
        <f>_xll.EQNXTDZ($A$1,$B59,G$5,$B$1)</f>
        <v>0</v>
      </c>
      <c r="H59" s="55">
        <f>_xll.EQNXTDZ($A$1,$B59,H$5,$B$1)</f>
        <v>190054</v>
      </c>
      <c r="I59" s="55">
        <f>_xll.EQNXTDZ($A$1,$B59,I$5,$B$1)</f>
        <v>0</v>
      </c>
      <c r="J59" s="55">
        <f>_xll.EQNXTDZ($A$1,$B59,J$5,$B$1)</f>
        <v>198687</v>
      </c>
      <c r="K59" s="55">
        <f>_xll.EQNXTDZ($A$1,$B59,K$5,$B$1)</f>
        <v>0</v>
      </c>
      <c r="L59" s="55">
        <f>_xll.EQNXTDZ($A$1,$B59,L$5,$B$1)</f>
        <v>210110</v>
      </c>
      <c r="M59" s="55">
        <f>_xll.EQNXTDZ($A$1,$B59,M$5,$B$1)</f>
        <v>0</v>
      </c>
      <c r="N59" s="55">
        <f>_xll.EQNXTDZ($A$1,$B59,N$5,$B$1)</f>
        <v>218499</v>
      </c>
      <c r="O59" s="55">
        <f>_xll.EQNXTDZ($A$1,$B59,O$5,$B$1)</f>
        <v>0</v>
      </c>
      <c r="P59" s="55">
        <f>_xll.EQNXTDZ($A$1,$B59,P$5,$B$1)</f>
        <v>231570</v>
      </c>
      <c r="Q59" s="55">
        <f>_xll.EQNXTDZ($A$1,$B59,Q$5,$B$1)</f>
        <v>0</v>
      </c>
      <c r="R59" s="55">
        <f>_xll.EQNXTDZ($A$1,$B59,R$5,$B$1)</f>
        <v>231556</v>
      </c>
      <c r="S59" s="55">
        <f>_xll.EQNXTDZ($A$1,$B59,S$5,$B$1)</f>
        <v>0</v>
      </c>
      <c r="T59" s="55">
        <f>_xll.EQNXTDZ($A$1,$B59,T$5,$B$1)</f>
        <v>254822</v>
      </c>
      <c r="U59" s="55">
        <f>_xll.EQNXTDZ($A$1,$B59,U$5,$B$1)</f>
        <v>0</v>
      </c>
      <c r="V59" s="55">
        <f>_xll.EQNXTDZ($A$1,$B59,V$5,$B$1)</f>
        <v>263709</v>
      </c>
      <c r="W59" s="55">
        <f>_xll.EQNXTDZ($A$1,$B59,W$5,$B$1)</f>
        <v>0</v>
      </c>
      <c r="X59" s="55">
        <f>_xll.EQNXTDZ($A$1,$B59,X$5,$B$1)</f>
        <v>276309</v>
      </c>
      <c r="Y59" s="55">
        <f>_xll.EQNXTDZ($A$1,$B59,Y$5,$B$1)</f>
        <v>0</v>
      </c>
      <c r="Z59" s="55">
        <f>_xll.EQNXTDZ($A$1,$B59,Z$5,$B$1)</f>
        <v>293506</v>
      </c>
      <c r="AA59" s="55">
        <f>_xll.EQNXTDZ($A$1,$B59,AA$5,$B$1)</f>
        <v>0</v>
      </c>
      <c r="AB59" s="55">
        <f>_xll.EQNXTDZ($A$1,$B59,AB$5,$B$1)</f>
        <v>304352</v>
      </c>
      <c r="AC59" s="55">
        <f>_xll.EQNXTDZ($A$1,$B59,AC$5,$B$1)</f>
        <v>0</v>
      </c>
      <c r="AD59" s="55">
        <f>_xll.EQNXTDZ($A$1,$B59,AD$5,$B$1)</f>
        <v>387112</v>
      </c>
      <c r="AE59" s="55">
        <f>_xll.EQNXTDZ($A$1,$B59,AE$5,$B$1)</f>
        <v>0</v>
      </c>
      <c r="AF59" s="55">
        <f>_xll.EQNXTDZ($A$1,$B59,AF$5,$B$1)</f>
        <v>405373</v>
      </c>
      <c r="AG59" s="55">
        <f>_xll.EQNXTDZ($A$1,$B59,AG$5,$B$1)</f>
        <v>0</v>
      </c>
      <c r="AH59" s="55">
        <f>_xll.EQNXTDZ($A$1,$B59,AH$5,$B$1)</f>
        <v>449166</v>
      </c>
      <c r="AI59" s="55">
        <f>_xll.EQNXTDZ($A$1,$B59,AI$5,$B$1)</f>
        <v>0</v>
      </c>
      <c r="AJ59" s="55">
        <f>_xll.EQNXTDZ($A$1,$B59,AJ$5,$B$1)</f>
        <v>613422</v>
      </c>
      <c r="AK59" s="55">
        <f>_xll.EQNXTDZ($A$1,$B59,AK$5,$B$1)</f>
        <v>0</v>
      </c>
      <c r="AL59" s="55">
        <f>_xll.EQNXTDZ($A$1,$B59,AL$5,$B$1)</f>
        <v>700172</v>
      </c>
      <c r="AM59" s="55">
        <f>_xll.EQNXTDZ($A$1,$B59,AM$5,$B$1)</f>
        <v>0</v>
      </c>
      <c r="AN59" s="55">
        <f>_xll.EQNXTDZ($A$1,$B59,AN$5,$B$1)</f>
        <v>741808</v>
      </c>
      <c r="AO59" s="55">
        <f>_xll.EQNXTDZ($A$1,$B59,AO$5,$B$1)</f>
        <v>0</v>
      </c>
      <c r="AP59" s="55">
        <f>_xll.EQNXTDZ($A$1,$B59,AP$5,$B$1)</f>
        <v>779485</v>
      </c>
      <c r="AQ59" s="55">
        <f>_xll.EQNXTDZ($A$1,$B59,AQ$5,$B$1)</f>
        <v>0</v>
      </c>
      <c r="AR59" s="55">
        <f>_xll.EQNXTDZ($A$1,$B59,AR$5,$B$1)</f>
        <v>790049</v>
      </c>
      <c r="AS59" s="55">
        <f>_xll.EQNXTDZ($A$1,$B59,AS$5,$B$1)</f>
        <v>0</v>
      </c>
      <c r="AT59" s="55">
        <f>_xll.EQNXTDZ($A$1,$B59,AT$5,$B$1)</f>
        <v>715872</v>
      </c>
      <c r="AU59" s="55">
        <f>_xll.EQNXTDZ($A$1,$B59,AU$5,$B$1)</f>
        <v>0</v>
      </c>
      <c r="AV59" s="55">
        <f>_xll.EQNXTDZ($A$1,$B59,AV$5,$B$1)</f>
        <v>751222</v>
      </c>
      <c r="AW59" s="55">
        <f>_xll.EQNXTDZ($A$1,$B59,AW$5,$B$1)</f>
        <v>0</v>
      </c>
      <c r="AX59" s="55">
        <f>_xll.EQNXTDZ($A$1,$B59,AX$5,$B$1)</f>
        <v>793481</v>
      </c>
      <c r="AY59" s="55">
        <f>_xll.EQNXTDZ($A$1,$B59,AY$5,$B$1)</f>
        <v>0</v>
      </c>
      <c r="AZ59" s="55">
        <f>_xll.EQNXTDZ($A$1,$B59,AZ$5,$B$1)</f>
        <v>819453</v>
      </c>
      <c r="BA59" s="55">
        <f>_xll.EQNXTDZ($A$1,$B59,BA$5,$B$1)</f>
        <v>0</v>
      </c>
      <c r="BB59" s="55">
        <f>_xll.EQNXTDZ($A$1,$B59,BB$5,$B$1)</f>
        <v>843200</v>
      </c>
      <c r="BC59" s="55">
        <f>_xll.EQNXTDZ($A$1,$B59,BC$5,$B$1)</f>
        <v>0</v>
      </c>
      <c r="BD59" s="55">
        <f>_xll.EQNXTDZ($A$1,$B59,BD$5,$B$1)</f>
        <v>877280</v>
      </c>
      <c r="BE59" s="55">
        <f>_xll.EQNXTDZ($A$1,$B59,BE$5,$B$1)</f>
        <v>0</v>
      </c>
      <c r="BF59" s="55">
        <f>_xll.EQNXTDZ($A$1,$B59,BF$5,$B$1)</f>
        <v>904030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949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959</v>
      </c>
      <c r="K60" s="55">
        <f>_xll.EQNXTDZ($A$1,$B60,K$5,$B$1)</f>
        <v>0</v>
      </c>
      <c r="L60" s="55">
        <f>_xll.EQNXTDZ($A$1,$B60,L$5,$B$1)</f>
        <v>2990</v>
      </c>
      <c r="M60" s="55">
        <f>_xll.EQNXTDZ($A$1,$B60,M$5,$B$1)</f>
        <v>0</v>
      </c>
      <c r="N60" s="55">
        <f>_xll.EQNXTDZ($A$1,$B60,N$5,$B$1)</f>
        <v>3038</v>
      </c>
      <c r="O60" s="55">
        <f>_xll.EQNXTDZ($A$1,$B60,O$5,$B$1)</f>
        <v>0</v>
      </c>
      <c r="P60" s="55">
        <f>_xll.EQNXTDZ($A$1,$B60,P$5,$B$1)</f>
        <v>3059</v>
      </c>
      <c r="Q60" s="55">
        <f>_xll.EQNXTDZ($A$1,$B60,Q$5,$B$1)</f>
        <v>0</v>
      </c>
      <c r="R60" s="55">
        <f>_xll.EQNXTDZ($A$1,$B60,R$5,$B$1)</f>
        <v>3356</v>
      </c>
      <c r="S60" s="55">
        <f>_xll.EQNXTDZ($A$1,$B60,S$5,$B$1)</f>
        <v>0</v>
      </c>
      <c r="T60" s="55">
        <f>_xll.EQNXTDZ($A$1,$B60,T$5,$B$1)</f>
        <v>3004</v>
      </c>
      <c r="U60" s="55">
        <f>_xll.EQNXTDZ($A$1,$B60,U$5,$B$1)</f>
        <v>0</v>
      </c>
      <c r="V60" s="55">
        <f>_xll.EQNXTDZ($A$1,$B60,V$5,$B$1)</f>
        <v>2917</v>
      </c>
      <c r="W60" s="55">
        <f>_xll.EQNXTDZ($A$1,$B60,W$5,$B$1)</f>
        <v>0</v>
      </c>
      <c r="X60" s="55">
        <f>_xll.EQNXTDZ($A$1,$B60,X$5,$B$1)</f>
        <v>2723</v>
      </c>
      <c r="Y60" s="55">
        <f>_xll.EQNXTDZ($A$1,$B60,Y$5,$B$1)</f>
        <v>0</v>
      </c>
      <c r="Z60" s="55">
        <f>_xll.EQNXTDZ($A$1,$B60,Z$5,$B$1)</f>
        <v>3539</v>
      </c>
      <c r="AA60" s="55">
        <f>_xll.EQNXTDZ($A$1,$B60,AA$5,$B$1)</f>
        <v>0</v>
      </c>
      <c r="AB60" s="55">
        <f>_xll.EQNXTDZ($A$1,$B60,AB$5,$B$1)</f>
        <v>5886</v>
      </c>
      <c r="AC60" s="55">
        <f>_xll.EQNXTDZ($A$1,$B60,AC$5,$B$1)</f>
        <v>0</v>
      </c>
      <c r="AD60" s="55">
        <f>_xll.EQNXTDZ($A$1,$B60,AD$5,$B$1)</f>
        <v>8280</v>
      </c>
      <c r="AE60" s="55">
        <f>_xll.EQNXTDZ($A$1,$B60,AE$5,$B$1)</f>
        <v>0</v>
      </c>
      <c r="AF60" s="55">
        <f>_xll.EQNXTDZ($A$1,$B60,AF$5,$B$1)</f>
        <v>8459</v>
      </c>
      <c r="AG60" s="55">
        <f>_xll.EQNXTDZ($A$1,$B60,AG$5,$B$1)</f>
        <v>0</v>
      </c>
      <c r="AH60" s="55">
        <f>_xll.EQNXTDZ($A$1,$B60,AH$5,$B$1)</f>
        <v>12181</v>
      </c>
      <c r="AI60" s="55">
        <f>_xll.EQNXTDZ($A$1,$B60,AI$5,$B$1)</f>
        <v>0</v>
      </c>
      <c r="AJ60" s="55">
        <f>_xll.EQNXTDZ($A$1,$B60,AJ$5,$B$1)</f>
        <v>50005</v>
      </c>
      <c r="AK60" s="55">
        <f>_xll.EQNXTDZ($A$1,$B60,AK$5,$B$1)</f>
        <v>0</v>
      </c>
      <c r="AL60" s="55">
        <f>_xll.EQNXTDZ($A$1,$B60,AL$5,$B$1)</f>
        <v>99260</v>
      </c>
      <c r="AM60" s="55">
        <f>_xll.EQNXTDZ($A$1,$B60,AM$5,$B$1)</f>
        <v>0</v>
      </c>
      <c r="AN60" s="55">
        <f>_xll.EQNXTDZ($A$1,$B60,AN$5,$B$1)</f>
        <v>103803</v>
      </c>
      <c r="AO60" s="55">
        <f>_xll.EQNXTDZ($A$1,$B60,AO$5,$B$1)</f>
        <v>0</v>
      </c>
      <c r="AP60" s="55">
        <f>_xll.EQNXTDZ($A$1,$B60,AP$5,$B$1)</f>
        <v>109499</v>
      </c>
      <c r="AQ60" s="55">
        <f>_xll.EQNXTDZ($A$1,$B60,AQ$5,$B$1)</f>
        <v>0</v>
      </c>
      <c r="AR60" s="55">
        <f>_xll.EQNXTDZ($A$1,$B60,AR$5,$B$1)</f>
        <v>112716</v>
      </c>
      <c r="AS60" s="55">
        <f>_xll.EQNXTDZ($A$1,$B60,AS$5,$B$1)</f>
        <v>0</v>
      </c>
      <c r="AT60" s="55">
        <f>_xll.EQNXTDZ($A$1,$B60,AT$5,$B$1)</f>
        <v>113009</v>
      </c>
      <c r="AU60" s="55">
        <f>_xll.EQNXTDZ($A$1,$B60,AU$5,$B$1)</f>
        <v>0</v>
      </c>
      <c r="AV60" s="55">
        <f>_xll.EQNXTDZ($A$1,$B60,AV$5,$B$1)</f>
        <v>126053</v>
      </c>
      <c r="AW60" s="55">
        <f>_xll.EQNXTDZ($A$1,$B60,AW$5,$B$1)</f>
        <v>0</v>
      </c>
      <c r="AX60" s="55">
        <f>_xll.EQNXTDZ($A$1,$B60,AX$5,$B$1)</f>
        <v>132307</v>
      </c>
      <c r="AY60" s="55">
        <f>_xll.EQNXTDZ($A$1,$B60,AY$5,$B$1)</f>
        <v>0</v>
      </c>
      <c r="AZ60" s="55">
        <f>_xll.EQNXTDZ($A$1,$B60,AZ$5,$B$1)</f>
        <v>134871</v>
      </c>
      <c r="BA60" s="55">
        <f>_xll.EQNXTDZ($A$1,$B60,BA$5,$B$1)</f>
        <v>0</v>
      </c>
      <c r="BB60" s="55">
        <f>_xll.EQNXTDZ($A$1,$B60,BB$5,$B$1)</f>
        <v>166426</v>
      </c>
      <c r="BC60" s="55">
        <f>_xll.EQNXTDZ($A$1,$B60,BC$5,$B$1)</f>
        <v>0</v>
      </c>
      <c r="BD60" s="55">
        <f>_xll.EQNXTDZ($A$1,$B60,BD$5,$B$1)</f>
        <v>173447</v>
      </c>
      <c r="BE60" s="55">
        <f>_xll.EQNXTDZ($A$1,$B60,BE$5,$B$1)</f>
        <v>0</v>
      </c>
      <c r="BF60" s="55">
        <f>_xll.EQNXTDZ($A$1,$B60,BF$5,$B$1)</f>
        <v>181836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44682</v>
      </c>
      <c r="E61" s="55">
        <f>_xll.EQNXTDZ($A$1,$B61,E$5,$B$1)</f>
        <v>0</v>
      </c>
      <c r="F61" s="55">
        <f>_xll.EQNXTDZ($A$1,$B61,F$5,$B$1)</f>
        <v>70960</v>
      </c>
      <c r="G61" s="55">
        <f>_xll.EQNXTDZ($A$1,$B61,G$5,$B$1)</f>
        <v>0</v>
      </c>
      <c r="H61" s="55">
        <f>_xll.EQNXTDZ($A$1,$B61,H$5,$B$1)</f>
        <v>52690</v>
      </c>
      <c r="I61" s="55">
        <f>_xll.EQNXTDZ($A$1,$B61,I$5,$B$1)</f>
        <v>0</v>
      </c>
      <c r="J61" s="55">
        <f>_xll.EQNXTDZ($A$1,$B61,J$5,$B$1)</f>
        <v>101019</v>
      </c>
      <c r="K61" s="55">
        <f>_xll.EQNXTDZ($A$1,$B61,K$5,$B$1)</f>
        <v>0</v>
      </c>
      <c r="L61" s="55">
        <f>_xll.EQNXTDZ($A$1,$B61,L$5,$B$1)</f>
        <v>113398</v>
      </c>
      <c r="M61" s="55">
        <f>_xll.EQNXTDZ($A$1,$B61,M$5,$B$1)</f>
        <v>0</v>
      </c>
      <c r="N61" s="55">
        <f>_xll.EQNXTDZ($A$1,$B61,N$5,$B$1)</f>
        <v>128165</v>
      </c>
      <c r="O61" s="55">
        <f>_xll.EQNXTDZ($A$1,$B61,O$5,$B$1)</f>
        <v>0</v>
      </c>
      <c r="P61" s="55">
        <f>_xll.EQNXTDZ($A$1,$B61,P$5,$B$1)</f>
        <v>140899</v>
      </c>
      <c r="Q61" s="55">
        <f>_xll.EQNXTDZ($A$1,$B61,Q$5,$B$1)</f>
        <v>0</v>
      </c>
      <c r="R61" s="55">
        <f>_xll.EQNXTDZ($A$1,$B61,R$5,$B$1)</f>
        <v>141647</v>
      </c>
      <c r="S61" s="55">
        <f>_xll.EQNXTDZ($A$1,$B61,S$5,$B$1)</f>
        <v>0</v>
      </c>
      <c r="T61" s="55">
        <f>_xll.EQNXTDZ($A$1,$B61,T$5,$B$1)</f>
        <v>154548</v>
      </c>
      <c r="U61" s="55">
        <f>_xll.EQNXTDZ($A$1,$B61,U$5,$B$1)</f>
        <v>0</v>
      </c>
      <c r="V61" s="55">
        <f>_xll.EQNXTDZ($A$1,$B61,V$5,$B$1)</f>
        <v>152148</v>
      </c>
      <c r="W61" s="55">
        <f>_xll.EQNXTDZ($A$1,$B61,W$5,$B$1)</f>
        <v>0</v>
      </c>
      <c r="X61" s="55">
        <f>_xll.EQNXTDZ($A$1,$B61,X$5,$B$1)</f>
        <v>141348</v>
      </c>
      <c r="Y61" s="55">
        <f>_xll.EQNXTDZ($A$1,$B61,Y$5,$B$1)</f>
        <v>0</v>
      </c>
      <c r="Z61" s="55">
        <f>_xll.EQNXTDZ($A$1,$B61,Z$5,$B$1)</f>
        <v>144175</v>
      </c>
      <c r="AA61" s="55">
        <f>_xll.EQNXTDZ($A$1,$B61,AA$5,$B$1)</f>
        <v>0</v>
      </c>
      <c r="AB61" s="55">
        <f>_xll.EQNXTDZ($A$1,$B61,AB$5,$B$1)</f>
        <v>182715</v>
      </c>
      <c r="AC61" s="55">
        <f>_xll.EQNXTDZ($A$1,$B61,AC$5,$B$1)</f>
        <v>0</v>
      </c>
      <c r="AD61" s="55">
        <f>_xll.EQNXTDZ($A$1,$B61,AD$5,$B$1)</f>
        <v>207506</v>
      </c>
      <c r="AE61" s="55">
        <f>_xll.EQNXTDZ($A$1,$B61,AE$5,$B$1)</f>
        <v>0</v>
      </c>
      <c r="AF61" s="55">
        <f>_xll.EQNXTDZ($A$1,$B61,AF$5,$B$1)</f>
        <v>186948</v>
      </c>
      <c r="AG61" s="55">
        <f>_xll.EQNXTDZ($A$1,$B61,AG$5,$B$1)</f>
        <v>0</v>
      </c>
      <c r="AH61" s="55">
        <f>_xll.EQNXTDZ($A$1,$B61,AH$5,$B$1)</f>
        <v>197631</v>
      </c>
      <c r="AI61" s="55">
        <f>_xll.EQNXTDZ($A$1,$B61,AI$5,$B$1)</f>
        <v>0</v>
      </c>
      <c r="AJ61" s="55">
        <f>_xll.EQNXTDZ($A$1,$B61,AJ$5,$B$1)</f>
        <v>170913</v>
      </c>
      <c r="AK61" s="55">
        <f>_xll.EQNXTDZ($A$1,$B61,AK$5,$B$1)</f>
        <v>0</v>
      </c>
      <c r="AL61" s="55">
        <f>_xll.EQNXTDZ($A$1,$B61,AL$5,$B$1)</f>
        <v>163683</v>
      </c>
      <c r="AM61" s="55">
        <f>_xll.EQNXTDZ($A$1,$B61,AM$5,$B$1)</f>
        <v>0</v>
      </c>
      <c r="AN61" s="55">
        <f>_xll.EQNXTDZ($A$1,$B61,AN$5,$B$1)</f>
        <v>155654</v>
      </c>
      <c r="AO61" s="55">
        <f>_xll.EQNXTDZ($A$1,$B61,AO$5,$B$1)</f>
        <v>0</v>
      </c>
      <c r="AP61" s="55">
        <f>_xll.EQNXTDZ($A$1,$B61,AP$5,$B$1)</f>
        <v>187699</v>
      </c>
      <c r="AQ61" s="55">
        <f>_xll.EQNXTDZ($A$1,$B61,AQ$5,$B$1)</f>
        <v>0</v>
      </c>
      <c r="AR61" s="55">
        <f>_xll.EQNXTDZ($A$1,$B61,AR$5,$B$1)</f>
        <v>178394</v>
      </c>
      <c r="AS61" s="55">
        <f>_xll.EQNXTDZ($A$1,$B61,AS$5,$B$1)</f>
        <v>0</v>
      </c>
      <c r="AT61" s="55">
        <f>_xll.EQNXTDZ($A$1,$B61,AT$5,$B$1)</f>
        <v>183176</v>
      </c>
      <c r="AU61" s="55">
        <f>_xll.EQNXTDZ($A$1,$B61,AU$5,$B$1)</f>
        <v>0</v>
      </c>
      <c r="AV61" s="55">
        <f>_xll.EQNXTDZ($A$1,$B61,AV$5,$B$1)</f>
        <v>224018</v>
      </c>
      <c r="AW61" s="55">
        <f>_xll.EQNXTDZ($A$1,$B61,AW$5,$B$1)</f>
        <v>0</v>
      </c>
      <c r="AX61" s="55">
        <f>_xll.EQNXTDZ($A$1,$B61,AX$5,$B$1)</f>
        <v>222712</v>
      </c>
      <c r="AY61" s="55">
        <f>_xll.EQNXTDZ($A$1,$B61,AY$5,$B$1)</f>
        <v>0</v>
      </c>
      <c r="AZ61" s="55">
        <f>_xll.EQNXTDZ($A$1,$B61,AZ$5,$B$1)</f>
        <v>203928</v>
      </c>
      <c r="BA61" s="55">
        <f>_xll.EQNXTDZ($A$1,$B61,BA$5,$B$1)</f>
        <v>0</v>
      </c>
      <c r="BB61" s="55">
        <f>_xll.EQNXTDZ($A$1,$B61,BB$5,$B$1)</f>
        <v>236899</v>
      </c>
      <c r="BC61" s="55">
        <f>_xll.EQNXTDZ($A$1,$B61,BC$5,$B$1)</f>
        <v>0</v>
      </c>
      <c r="BD61" s="55">
        <f>_xll.EQNXTDZ($A$1,$B61,BD$5,$B$1)</f>
        <v>259457</v>
      </c>
      <c r="BE61" s="55">
        <f>_xll.EQNXTDZ($A$1,$B61,BE$5,$B$1)</f>
        <v>0</v>
      </c>
      <c r="BF61" s="55">
        <f>_xll.EQNXTDZ($A$1,$B61,BF$5,$B$1)</f>
        <v>270751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44682</v>
      </c>
      <c r="E63" s="55">
        <f>_xll.EQNXTDZ($A$1,$B63,E$5,$B$1)</f>
        <v>0</v>
      </c>
      <c r="F63" s="55">
        <f>_xll.EQNXTDZ($A$1,$B63,F$5,$B$1)</f>
        <v>70960</v>
      </c>
      <c r="G63" s="55">
        <f>_xll.EQNXTDZ($A$1,$B63,G$5,$B$1)</f>
        <v>0</v>
      </c>
      <c r="H63" s="55">
        <f>_xll.EQNXTDZ($A$1,$B63,H$5,$B$1)</f>
        <v>52690</v>
      </c>
      <c r="I63" s="55">
        <f>_xll.EQNXTDZ($A$1,$B63,I$5,$B$1)</f>
        <v>0</v>
      </c>
      <c r="J63" s="55">
        <f>_xll.EQNXTDZ($A$1,$B63,J$5,$B$1)</f>
        <v>101019</v>
      </c>
      <c r="K63" s="55">
        <f>_xll.EQNXTDZ($A$1,$B63,K$5,$B$1)</f>
        <v>0</v>
      </c>
      <c r="L63" s="55">
        <f>_xll.EQNXTDZ($A$1,$B63,L$5,$B$1)</f>
        <v>113398</v>
      </c>
      <c r="M63" s="55">
        <f>_xll.EQNXTDZ($A$1,$B63,M$5,$B$1)</f>
        <v>0</v>
      </c>
      <c r="N63" s="55">
        <f>_xll.EQNXTDZ($A$1,$B63,N$5,$B$1)</f>
        <v>128165</v>
      </c>
      <c r="O63" s="55">
        <f>_xll.EQNXTDZ($A$1,$B63,O$5,$B$1)</f>
        <v>0</v>
      </c>
      <c r="P63" s="55">
        <f>_xll.EQNXTDZ($A$1,$B63,P$5,$B$1)</f>
        <v>140899</v>
      </c>
      <c r="Q63" s="55">
        <f>_xll.EQNXTDZ($A$1,$B63,Q$5,$B$1)</f>
        <v>0</v>
      </c>
      <c r="R63" s="55">
        <f>_xll.EQNXTDZ($A$1,$B63,R$5,$B$1)</f>
        <v>141647</v>
      </c>
      <c r="S63" s="55">
        <f>_xll.EQNXTDZ($A$1,$B63,S$5,$B$1)</f>
        <v>0</v>
      </c>
      <c r="T63" s="55">
        <f>_xll.EQNXTDZ($A$1,$B63,T$5,$B$1)</f>
        <v>154548</v>
      </c>
      <c r="U63" s="55">
        <f>_xll.EQNXTDZ($A$1,$B63,U$5,$B$1)</f>
        <v>0</v>
      </c>
      <c r="V63" s="55">
        <f>_xll.EQNXTDZ($A$1,$B63,V$5,$B$1)</f>
        <v>152148</v>
      </c>
      <c r="W63" s="55">
        <f>_xll.EQNXTDZ($A$1,$B63,W$5,$B$1)</f>
        <v>0</v>
      </c>
      <c r="X63" s="55">
        <f>_xll.EQNXTDZ($A$1,$B63,X$5,$B$1)</f>
        <v>141348</v>
      </c>
      <c r="Y63" s="55">
        <f>_xll.EQNXTDZ($A$1,$B63,Y$5,$B$1)</f>
        <v>0</v>
      </c>
      <c r="Z63" s="55">
        <f>_xll.EQNXTDZ($A$1,$B63,Z$5,$B$1)</f>
        <v>144175</v>
      </c>
      <c r="AA63" s="55">
        <f>_xll.EQNXTDZ($A$1,$B63,AA$5,$B$1)</f>
        <v>0</v>
      </c>
      <c r="AB63" s="55">
        <f>_xll.EQNXTDZ($A$1,$B63,AB$5,$B$1)</f>
        <v>182715</v>
      </c>
      <c r="AC63" s="55">
        <f>_xll.EQNXTDZ($A$1,$B63,AC$5,$B$1)</f>
        <v>0</v>
      </c>
      <c r="AD63" s="55">
        <f>_xll.EQNXTDZ($A$1,$B63,AD$5,$B$1)</f>
        <v>207506</v>
      </c>
      <c r="AE63" s="55">
        <f>_xll.EQNXTDZ($A$1,$B63,AE$5,$B$1)</f>
        <v>0</v>
      </c>
      <c r="AF63" s="55">
        <f>_xll.EQNXTDZ($A$1,$B63,AF$5,$B$1)</f>
        <v>186948</v>
      </c>
      <c r="AG63" s="55">
        <f>_xll.EQNXTDZ($A$1,$B63,AG$5,$B$1)</f>
        <v>0</v>
      </c>
      <c r="AH63" s="55">
        <f>_xll.EQNXTDZ($A$1,$B63,AH$5,$B$1)</f>
        <v>197631</v>
      </c>
      <c r="AI63" s="55">
        <f>_xll.EQNXTDZ($A$1,$B63,AI$5,$B$1)</f>
        <v>0</v>
      </c>
      <c r="AJ63" s="55">
        <f>_xll.EQNXTDZ($A$1,$B63,AJ$5,$B$1)</f>
        <v>170913</v>
      </c>
      <c r="AK63" s="55">
        <f>_xll.EQNXTDZ($A$1,$B63,AK$5,$B$1)</f>
        <v>0</v>
      </c>
      <c r="AL63" s="55">
        <f>_xll.EQNXTDZ($A$1,$B63,AL$5,$B$1)</f>
        <v>163683</v>
      </c>
      <c r="AM63" s="55">
        <f>_xll.EQNXTDZ($A$1,$B63,AM$5,$B$1)</f>
        <v>0</v>
      </c>
      <c r="AN63" s="55">
        <f>_xll.EQNXTDZ($A$1,$B63,AN$5,$B$1)</f>
        <v>155654</v>
      </c>
      <c r="AO63" s="55">
        <f>_xll.EQNXTDZ($A$1,$B63,AO$5,$B$1)</f>
        <v>0</v>
      </c>
      <c r="AP63" s="55">
        <f>_xll.EQNXTDZ($A$1,$B63,AP$5,$B$1)</f>
        <v>187699</v>
      </c>
      <c r="AQ63" s="55">
        <f>_xll.EQNXTDZ($A$1,$B63,AQ$5,$B$1)</f>
        <v>0</v>
      </c>
      <c r="AR63" s="55">
        <f>_xll.EQNXTDZ($A$1,$B63,AR$5,$B$1)</f>
        <v>178394</v>
      </c>
      <c r="AS63" s="55">
        <f>_xll.EQNXTDZ($A$1,$B63,AS$5,$B$1)</f>
        <v>0</v>
      </c>
      <c r="AT63" s="55">
        <f>_xll.EQNXTDZ($A$1,$B63,AT$5,$B$1)</f>
        <v>183176</v>
      </c>
      <c r="AU63" s="55">
        <f>_xll.EQNXTDZ($A$1,$B63,AU$5,$B$1)</f>
        <v>0</v>
      </c>
      <c r="AV63" s="55">
        <f>_xll.EQNXTDZ($A$1,$B63,AV$5,$B$1)</f>
        <v>224018</v>
      </c>
      <c r="AW63" s="55">
        <f>_xll.EQNXTDZ($A$1,$B63,AW$5,$B$1)</f>
        <v>0</v>
      </c>
      <c r="AX63" s="55">
        <f>_xll.EQNXTDZ($A$1,$B63,AX$5,$B$1)</f>
        <v>222712</v>
      </c>
      <c r="AY63" s="55">
        <f>_xll.EQNXTDZ($A$1,$B63,AY$5,$B$1)</f>
        <v>0</v>
      </c>
      <c r="AZ63" s="55">
        <f>_xll.EQNXTDZ($A$1,$B63,AZ$5,$B$1)</f>
        <v>203928</v>
      </c>
      <c r="BA63" s="55">
        <f>_xll.EQNXTDZ($A$1,$B63,BA$5,$B$1)</f>
        <v>0</v>
      </c>
      <c r="BB63" s="55">
        <f>_xll.EQNXTDZ($A$1,$B63,BB$5,$B$1)</f>
        <v>236899</v>
      </c>
      <c r="BC63" s="55">
        <f>_xll.EQNXTDZ($A$1,$B63,BC$5,$B$1)</f>
        <v>0</v>
      </c>
      <c r="BD63" s="55">
        <f>_xll.EQNXTDZ($A$1,$B63,BD$5,$B$1)</f>
        <v>259457</v>
      </c>
      <c r="BE63" s="55">
        <f>_xll.EQNXTDZ($A$1,$B63,BE$5,$B$1)</f>
        <v>0</v>
      </c>
      <c r="BF63" s="55">
        <f>_xll.EQNXTDZ($A$1,$B63,BF$5,$B$1)</f>
        <v>270751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807</v>
      </c>
      <c r="K64" s="55">
        <f>_xll.EQNXTDZ($A$1,$B64,K$5,$B$1)</f>
        <v>0</v>
      </c>
      <c r="L64" s="55">
        <f>_xll.EQNXTDZ($A$1,$B64,L$5,$B$1)</f>
        <v>1493</v>
      </c>
      <c r="M64" s="55">
        <f>_xll.EQNXTDZ($A$1,$B64,M$5,$B$1)</f>
        <v>0</v>
      </c>
      <c r="N64" s="55">
        <f>_xll.EQNXTDZ($A$1,$B64,N$5,$B$1)</f>
        <v>1703</v>
      </c>
      <c r="O64" s="55">
        <f>_xll.EQNXTDZ($A$1,$B64,O$5,$B$1)</f>
        <v>0</v>
      </c>
      <c r="P64" s="55">
        <f>_xll.EQNXTDZ($A$1,$B64,P$5,$B$1)</f>
        <v>2241</v>
      </c>
      <c r="Q64" s="55">
        <f>_xll.EQNXTDZ($A$1,$B64,Q$5,$B$1)</f>
        <v>0</v>
      </c>
      <c r="R64" s="55">
        <f>_xll.EQNXTDZ($A$1,$B64,R$5,$B$1)</f>
        <v>15559</v>
      </c>
      <c r="S64" s="55">
        <f>_xll.EQNXTDZ($A$1,$B64,S$5,$B$1)</f>
        <v>0</v>
      </c>
      <c r="T64" s="55">
        <f>_xll.EQNXTDZ($A$1,$B64,T$5,$B$1)</f>
        <v>17163</v>
      </c>
      <c r="U64" s="55">
        <f>_xll.EQNXTDZ($A$1,$B64,U$5,$B$1)</f>
        <v>0</v>
      </c>
      <c r="V64" s="55">
        <f>_xll.EQNXTDZ($A$1,$B64,V$5,$B$1)</f>
        <v>29162</v>
      </c>
      <c r="W64" s="55">
        <f>_xll.EQNXTDZ($A$1,$B64,W$5,$B$1)</f>
        <v>0</v>
      </c>
      <c r="X64" s="55">
        <f>_xll.EQNXTDZ($A$1,$B64,X$5,$B$1)</f>
        <v>29305</v>
      </c>
      <c r="Y64" s="55">
        <f>_xll.EQNXTDZ($A$1,$B64,Y$5,$B$1)</f>
        <v>0</v>
      </c>
      <c r="Z64" s="55">
        <f>_xll.EQNXTDZ($A$1,$B64,Z$5,$B$1)</f>
        <v>28752</v>
      </c>
      <c r="AA64" s="55">
        <f>_xll.EQNXTDZ($A$1,$B64,AA$5,$B$1)</f>
        <v>0</v>
      </c>
      <c r="AB64" s="55">
        <f>_xll.EQNXTDZ($A$1,$B64,AB$5,$B$1)</f>
        <v>33714</v>
      </c>
      <c r="AC64" s="55">
        <f>_xll.EQNXTDZ($A$1,$B64,AC$5,$B$1)</f>
        <v>0</v>
      </c>
      <c r="AD64" s="55">
        <f>_xll.EQNXTDZ($A$1,$B64,AD$5,$B$1)</f>
        <v>29407</v>
      </c>
      <c r="AE64" s="55">
        <f>_xll.EQNXTDZ($A$1,$B64,AE$5,$B$1)</f>
        <v>0</v>
      </c>
      <c r="AF64" s="55">
        <f>_xll.EQNXTDZ($A$1,$B64,AF$5,$B$1)</f>
        <v>39955</v>
      </c>
      <c r="AG64" s="55">
        <f>_xll.EQNXTDZ($A$1,$B64,AG$5,$B$1)</f>
        <v>0</v>
      </c>
      <c r="AH64" s="55">
        <f>_xll.EQNXTDZ($A$1,$B64,AH$5,$B$1)</f>
        <v>38108</v>
      </c>
      <c r="AI64" s="55">
        <f>_xll.EQNXTDZ($A$1,$B64,AI$5,$B$1)</f>
        <v>0</v>
      </c>
      <c r="AJ64" s="55">
        <f>_xll.EQNXTDZ($A$1,$B64,AJ$5,$B$1)</f>
        <v>40385</v>
      </c>
      <c r="AK64" s="55">
        <f>_xll.EQNXTDZ($A$1,$B64,AK$5,$B$1)</f>
        <v>0</v>
      </c>
      <c r="AL64" s="55">
        <f>_xll.EQNXTDZ($A$1,$B64,AL$5,$B$1)</f>
        <v>40903</v>
      </c>
      <c r="AM64" s="55">
        <f>_xll.EQNXTDZ($A$1,$B64,AM$5,$B$1)</f>
        <v>0</v>
      </c>
      <c r="AN64" s="55">
        <f>_xll.EQNXTDZ($A$1,$B64,AN$5,$B$1)</f>
        <v>70554</v>
      </c>
      <c r="AO64" s="55">
        <f>_xll.EQNXTDZ($A$1,$B64,AO$5,$B$1)</f>
        <v>0</v>
      </c>
      <c r="AP64" s="55">
        <f>_xll.EQNXTDZ($A$1,$B64,AP$5,$B$1)</f>
        <v>62823</v>
      </c>
      <c r="AQ64" s="55">
        <f>_xll.EQNXTDZ($A$1,$B64,AQ$5,$B$1)</f>
        <v>0</v>
      </c>
      <c r="AR64" s="55">
        <f>_xll.EQNXTDZ($A$1,$B64,AR$5,$B$1)</f>
        <v>142562</v>
      </c>
      <c r="AS64" s="55">
        <f>_xll.EQNXTDZ($A$1,$B64,AS$5,$B$1)</f>
        <v>0</v>
      </c>
      <c r="AT64" s="55">
        <f>_xll.EQNXTDZ($A$1,$B64,AT$5,$B$1)</f>
        <v>137700</v>
      </c>
      <c r="AU64" s="55">
        <f>_xll.EQNXTDZ($A$1,$B64,AU$5,$B$1)</f>
        <v>0</v>
      </c>
      <c r="AV64" s="55">
        <f>_xll.EQNXTDZ($A$1,$B64,AV$5,$B$1)</f>
        <v>135782</v>
      </c>
      <c r="AW64" s="55">
        <f>_xll.EQNXTDZ($A$1,$B64,AW$5,$B$1)</f>
        <v>0</v>
      </c>
      <c r="AX64" s="55">
        <f>_xll.EQNXTDZ($A$1,$B64,AX$5,$B$1)</f>
        <v>135834</v>
      </c>
      <c r="AY64" s="55">
        <f>_xll.EQNXTDZ($A$1,$B64,AY$5,$B$1)</f>
        <v>0</v>
      </c>
      <c r="AZ64" s="55">
        <f>_xll.EQNXTDZ($A$1,$B64,AZ$5,$B$1)</f>
        <v>134661</v>
      </c>
      <c r="BA64" s="55">
        <f>_xll.EQNXTDZ($A$1,$B64,BA$5,$B$1)</f>
        <v>0</v>
      </c>
      <c r="BB64" s="55">
        <f>_xll.EQNXTDZ($A$1,$B64,BB$5,$B$1)</f>
        <v>138102</v>
      </c>
      <c r="BC64" s="55">
        <f>_xll.EQNXTDZ($A$1,$B64,BC$5,$B$1)</f>
        <v>0</v>
      </c>
      <c r="BD64" s="55">
        <f>_xll.EQNXTDZ($A$1,$B64,BD$5,$B$1)</f>
        <v>147629</v>
      </c>
      <c r="BE64" s="55">
        <f>_xll.EQNXTDZ($A$1,$B64,BE$5,$B$1)</f>
        <v>0</v>
      </c>
      <c r="BF64" s="55">
        <f>_xll.EQNXTDZ($A$1,$B64,BF$5,$B$1)</f>
        <v>160515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531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290</v>
      </c>
      <c r="K66" s="55">
        <f>_xll.EQNXTDZ($A$1,$B66,K$5,$B$1)</f>
        <v>0</v>
      </c>
      <c r="L66" s="55">
        <f>_xll.EQNXTDZ($A$1,$B66,L$5,$B$1)</f>
        <v>115</v>
      </c>
      <c r="M66" s="55">
        <f>_xll.EQNXTDZ($A$1,$B66,M$5,$B$1)</f>
        <v>0</v>
      </c>
      <c r="N66" s="55">
        <f>_xll.EQNXTDZ($A$1,$B66,N$5,$B$1)</f>
        <v>1554</v>
      </c>
      <c r="O66" s="55">
        <f>_xll.EQNXTDZ($A$1,$B66,O$5,$B$1)</f>
        <v>0</v>
      </c>
      <c r="P66" s="55">
        <f>_xll.EQNXTDZ($A$1,$B66,P$5,$B$1)</f>
        <v>1624</v>
      </c>
      <c r="Q66" s="55">
        <f>_xll.EQNXTDZ($A$1,$B66,Q$5,$B$1)</f>
        <v>0</v>
      </c>
      <c r="R66" s="55">
        <f>_xll.EQNXTDZ($A$1,$B66,R$5,$B$1)</f>
        <v>1231</v>
      </c>
      <c r="S66" s="55">
        <f>_xll.EQNXTDZ($A$1,$B66,S$5,$B$1)</f>
        <v>0</v>
      </c>
      <c r="T66" s="55">
        <f>_xll.EQNXTDZ($A$1,$B66,T$5,$B$1)</f>
        <v>1282</v>
      </c>
      <c r="U66" s="55">
        <f>_xll.EQNXTDZ($A$1,$B66,U$5,$B$1)</f>
        <v>0</v>
      </c>
      <c r="V66" s="55">
        <f>_xll.EQNXTDZ($A$1,$B66,V$5,$B$1)</f>
        <v>2353</v>
      </c>
      <c r="W66" s="55">
        <f>_xll.EQNXTDZ($A$1,$B66,W$5,$B$1)</f>
        <v>0</v>
      </c>
      <c r="X66" s="55">
        <f>_xll.EQNXTDZ($A$1,$B66,X$5,$B$1)</f>
        <v>2392</v>
      </c>
      <c r="Y66" s="55">
        <f>_xll.EQNXTDZ($A$1,$B66,Y$5,$B$1)</f>
        <v>0</v>
      </c>
      <c r="Z66" s="55">
        <f>_xll.EQNXTDZ($A$1,$B66,Z$5,$B$1)</f>
        <v>2906</v>
      </c>
      <c r="AA66" s="55">
        <f>_xll.EQNXTDZ($A$1,$B66,AA$5,$B$1)</f>
        <v>0</v>
      </c>
      <c r="AB66" s="55">
        <f>_xll.EQNXTDZ($A$1,$B66,AB$5,$B$1)</f>
        <v>3337</v>
      </c>
      <c r="AC66" s="55">
        <f>_xll.EQNXTDZ($A$1,$B66,AC$5,$B$1)</f>
        <v>0</v>
      </c>
      <c r="AD66" s="55">
        <f>_xll.EQNXTDZ($A$1,$B66,AD$5,$B$1)</f>
        <v>2856</v>
      </c>
      <c r="AE66" s="55">
        <f>_xll.EQNXTDZ($A$1,$B66,AE$5,$B$1)</f>
        <v>0</v>
      </c>
      <c r="AF66" s="55">
        <f>_xll.EQNXTDZ($A$1,$B66,AF$5,$B$1)</f>
        <v>1639</v>
      </c>
      <c r="AG66" s="55">
        <f>_xll.EQNXTDZ($A$1,$B66,AG$5,$B$1)</f>
        <v>0</v>
      </c>
      <c r="AH66" s="55">
        <f>_xll.EQNXTDZ($A$1,$B66,AH$5,$B$1)</f>
        <v>1790</v>
      </c>
      <c r="AI66" s="55">
        <f>_xll.EQNXTDZ($A$1,$B66,AI$5,$B$1)</f>
        <v>0</v>
      </c>
      <c r="AJ66" s="55">
        <f>_xll.EQNXTDZ($A$1,$B66,AJ$5,$B$1)</f>
        <v>1747</v>
      </c>
      <c r="AK66" s="55">
        <f>_xll.EQNXTDZ($A$1,$B66,AK$5,$B$1)</f>
        <v>0</v>
      </c>
      <c r="AL66" s="55">
        <f>_xll.EQNXTDZ($A$1,$B66,AL$5,$B$1)</f>
        <v>2625</v>
      </c>
      <c r="AM66" s="55">
        <f>_xll.EQNXTDZ($A$1,$B66,AM$5,$B$1)</f>
        <v>0</v>
      </c>
      <c r="AN66" s="55">
        <f>_xll.EQNXTDZ($A$1,$B66,AN$5,$B$1)</f>
        <v>2684</v>
      </c>
      <c r="AO66" s="55">
        <f>_xll.EQNXTDZ($A$1,$B66,AO$5,$B$1)</f>
        <v>0</v>
      </c>
      <c r="AP66" s="55">
        <f>_xll.EQNXTDZ($A$1,$B66,AP$5,$B$1)</f>
        <v>1853</v>
      </c>
      <c r="AQ66" s="55">
        <f>_xll.EQNXTDZ($A$1,$B66,AQ$5,$B$1)</f>
        <v>0</v>
      </c>
      <c r="AR66" s="55">
        <f>_xll.EQNXTDZ($A$1,$B66,AR$5,$B$1)</f>
        <v>1503</v>
      </c>
      <c r="AS66" s="55">
        <f>_xll.EQNXTDZ($A$1,$B66,AS$5,$B$1)</f>
        <v>0</v>
      </c>
      <c r="AT66" s="55">
        <f>_xll.EQNXTDZ($A$1,$B66,AT$5,$B$1)</f>
        <v>1607</v>
      </c>
      <c r="AU66" s="55">
        <f>_xll.EQNXTDZ($A$1,$B66,AU$5,$B$1)</f>
        <v>0</v>
      </c>
      <c r="AV66" s="55">
        <f>_xll.EQNXTDZ($A$1,$B66,AV$5,$B$1)</f>
        <v>2101</v>
      </c>
      <c r="AW66" s="55">
        <f>_xll.EQNXTDZ($A$1,$B66,AW$5,$B$1)</f>
        <v>0</v>
      </c>
      <c r="AX66" s="55">
        <f>_xll.EQNXTDZ($A$1,$B66,AX$5,$B$1)</f>
        <v>2044</v>
      </c>
      <c r="AY66" s="55">
        <f>_xll.EQNXTDZ($A$1,$B66,AY$5,$B$1)</f>
        <v>0</v>
      </c>
      <c r="AZ66" s="55">
        <f>_xll.EQNXTDZ($A$1,$B66,AZ$5,$B$1)</f>
        <v>2063</v>
      </c>
      <c r="BA66" s="55">
        <f>_xll.EQNXTDZ($A$1,$B66,BA$5,$B$1)</f>
        <v>0</v>
      </c>
      <c r="BB66" s="55">
        <f>_xll.EQNXTDZ($A$1,$B66,BB$5,$B$1)</f>
        <v>28304</v>
      </c>
      <c r="BC66" s="55">
        <f>_xll.EQNXTDZ($A$1,$B66,BC$5,$B$1)</f>
        <v>0</v>
      </c>
      <c r="BD66" s="55">
        <f>_xll.EQNXTDZ($A$1,$B66,BD$5,$B$1)</f>
        <v>26556</v>
      </c>
      <c r="BE66" s="55">
        <f>_xll.EQNXTDZ($A$1,$B66,BE$5,$B$1)</f>
        <v>0</v>
      </c>
      <c r="BF66" s="55">
        <f>_xll.EQNXTDZ($A$1,$B66,BF$5,$B$1)</f>
        <v>21793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217085</v>
      </c>
      <c r="E67" s="55">
        <f>_xll.EQNXTDZ($A$1,$B67,E$5,$B$1)</f>
        <v>0</v>
      </c>
      <c r="F67" s="55">
        <f>_xll.EQNXTDZ($A$1,$B67,F$5,$B$1)</f>
        <v>254495</v>
      </c>
      <c r="G67" s="55">
        <f>_xll.EQNXTDZ($A$1,$B67,G$5,$B$1)</f>
        <v>0</v>
      </c>
      <c r="H67" s="55">
        <f>_xll.EQNXTDZ($A$1,$B67,H$5,$B$1)</f>
        <v>242744</v>
      </c>
      <c r="I67" s="55">
        <f>_xll.EQNXTDZ($A$1,$B67,I$5,$B$1)</f>
        <v>0</v>
      </c>
      <c r="J67" s="55">
        <f>_xll.EQNXTDZ($A$1,$B67,J$5,$B$1)</f>
        <v>301762</v>
      </c>
      <c r="K67" s="55">
        <f>_xll.EQNXTDZ($A$1,$B67,K$5,$B$1)</f>
        <v>0</v>
      </c>
      <c r="L67" s="55">
        <f>_xll.EQNXTDZ($A$1,$B67,L$5,$B$1)</f>
        <v>328106</v>
      </c>
      <c r="M67" s="55">
        <f>_xll.EQNXTDZ($A$1,$B67,M$5,$B$1)</f>
        <v>0</v>
      </c>
      <c r="N67" s="55">
        <f>_xll.EQNXTDZ($A$1,$B67,N$5,$B$1)</f>
        <v>352959</v>
      </c>
      <c r="O67" s="55">
        <f>_xll.EQNXTDZ($A$1,$B67,O$5,$B$1)</f>
        <v>0</v>
      </c>
      <c r="P67" s="55">
        <f>_xll.EQNXTDZ($A$1,$B67,P$5,$B$1)</f>
        <v>379393</v>
      </c>
      <c r="Q67" s="55">
        <f>_xll.EQNXTDZ($A$1,$B67,Q$5,$B$1)</f>
        <v>0</v>
      </c>
      <c r="R67" s="55">
        <f>_xll.EQNXTDZ($A$1,$B67,R$5,$B$1)</f>
        <v>393349</v>
      </c>
      <c r="S67" s="55">
        <f>_xll.EQNXTDZ($A$1,$B67,S$5,$B$1)</f>
        <v>0</v>
      </c>
      <c r="T67" s="55">
        <f>_xll.EQNXTDZ($A$1,$B67,T$5,$B$1)</f>
        <v>430819</v>
      </c>
      <c r="U67" s="55">
        <f>_xll.EQNXTDZ($A$1,$B67,U$5,$B$1)</f>
        <v>0</v>
      </c>
      <c r="V67" s="55">
        <f>_xll.EQNXTDZ($A$1,$B67,V$5,$B$1)</f>
        <v>450289</v>
      </c>
      <c r="W67" s="55">
        <f>_xll.EQNXTDZ($A$1,$B67,W$5,$B$1)</f>
        <v>0</v>
      </c>
      <c r="X67" s="55">
        <f>_xll.EQNXTDZ($A$1,$B67,X$5,$B$1)</f>
        <v>452077</v>
      </c>
      <c r="Y67" s="55">
        <f>_xll.EQNXTDZ($A$1,$B67,Y$5,$B$1)</f>
        <v>0</v>
      </c>
      <c r="Z67" s="55">
        <f>_xll.EQNXTDZ($A$1,$B67,Z$5,$B$1)</f>
        <v>816348</v>
      </c>
      <c r="AA67" s="55">
        <f>_xll.EQNXTDZ($A$1,$B67,AA$5,$B$1)</f>
        <v>0</v>
      </c>
      <c r="AB67" s="55">
        <f>_xll.EQNXTDZ($A$1,$B67,AB$5,$B$1)</f>
        <v>530004</v>
      </c>
      <c r="AC67" s="55">
        <f>_xll.EQNXTDZ($A$1,$B67,AC$5,$B$1)</f>
        <v>0</v>
      </c>
      <c r="AD67" s="55">
        <f>_xll.EQNXTDZ($A$1,$B67,AD$5,$B$1)</f>
        <v>635161</v>
      </c>
      <c r="AE67" s="55">
        <f>_xll.EQNXTDZ($A$1,$B67,AE$5,$B$1)</f>
        <v>0</v>
      </c>
      <c r="AF67" s="55">
        <f>_xll.EQNXTDZ($A$1,$B67,AF$5,$B$1)</f>
        <v>642374</v>
      </c>
      <c r="AG67" s="55">
        <f>_xll.EQNXTDZ($A$1,$B67,AG$5,$B$1)</f>
        <v>0</v>
      </c>
      <c r="AH67" s="55">
        <f>_xll.EQNXTDZ($A$1,$B67,AH$5,$B$1)</f>
        <v>698876</v>
      </c>
      <c r="AI67" s="55">
        <f>_xll.EQNXTDZ($A$1,$B67,AI$5,$B$1)</f>
        <v>0</v>
      </c>
      <c r="AJ67" s="55">
        <f>_xll.EQNXTDZ($A$1,$B67,AJ$5,$B$1)</f>
        <v>876472</v>
      </c>
      <c r="AK67" s="55">
        <f>_xll.EQNXTDZ($A$1,$B67,AK$5,$B$1)</f>
        <v>0</v>
      </c>
      <c r="AL67" s="55">
        <f>_xll.EQNXTDZ($A$1,$B67,AL$5,$B$1)</f>
        <v>1006643</v>
      </c>
      <c r="AM67" s="55">
        <f>_xll.EQNXTDZ($A$1,$B67,AM$5,$B$1)</f>
        <v>0</v>
      </c>
      <c r="AN67" s="55">
        <f>_xll.EQNXTDZ($A$1,$B67,AN$5,$B$1)</f>
        <v>1074503</v>
      </c>
      <c r="AO67" s="55">
        <f>_xll.EQNXTDZ($A$1,$B67,AO$5,$B$1)</f>
        <v>0</v>
      </c>
      <c r="AP67" s="55">
        <f>_xll.EQNXTDZ($A$1,$B67,AP$5,$B$1)</f>
        <v>1141359</v>
      </c>
      <c r="AQ67" s="55">
        <f>_xll.EQNXTDZ($A$1,$B67,AQ$5,$B$1)</f>
        <v>0</v>
      </c>
      <c r="AR67" s="55">
        <f>_xll.EQNXTDZ($A$1,$B67,AR$5,$B$1)</f>
        <v>1225224</v>
      </c>
      <c r="AS67" s="55">
        <f>_xll.EQNXTDZ($A$1,$B67,AS$5,$B$1)</f>
        <v>0</v>
      </c>
      <c r="AT67" s="55">
        <f>_xll.EQNXTDZ($A$1,$B67,AT$5,$B$1)</f>
        <v>1151364</v>
      </c>
      <c r="AU67" s="55">
        <f>_xll.EQNXTDZ($A$1,$B67,AU$5,$B$1)</f>
        <v>0</v>
      </c>
      <c r="AV67" s="55">
        <f>_xll.EQNXTDZ($A$1,$B67,AV$5,$B$1)</f>
        <v>1239176</v>
      </c>
      <c r="AW67" s="55">
        <f>_xll.EQNXTDZ($A$1,$B67,AW$5,$B$1)</f>
        <v>0</v>
      </c>
      <c r="AX67" s="55">
        <f>_xll.EQNXTDZ($A$1,$B67,AX$5,$B$1)</f>
        <v>1286378</v>
      </c>
      <c r="AY67" s="55">
        <f>_xll.EQNXTDZ($A$1,$B67,AY$5,$B$1)</f>
        <v>0</v>
      </c>
      <c r="AZ67" s="55">
        <f>_xll.EQNXTDZ($A$1,$B67,AZ$5,$B$1)</f>
        <v>1294976</v>
      </c>
      <c r="BA67" s="55">
        <f>_xll.EQNXTDZ($A$1,$B67,BA$5,$B$1)</f>
        <v>0</v>
      </c>
      <c r="BB67" s="55">
        <f>_xll.EQNXTDZ($A$1,$B67,BB$5,$B$1)</f>
        <v>1412931</v>
      </c>
      <c r="BC67" s="55">
        <f>_xll.EQNXTDZ($A$1,$B67,BC$5,$B$1)</f>
        <v>0</v>
      </c>
      <c r="BD67" s="55">
        <f>_xll.EQNXTDZ($A$1,$B67,BD$5,$B$1)</f>
        <v>1484369</v>
      </c>
      <c r="BE67" s="55">
        <f>_xll.EQNXTDZ($A$1,$B67,BE$5,$B$1)</f>
        <v>0</v>
      </c>
      <c r="BF67" s="55">
        <f>_xll.EQNXTDZ($A$1,$B67,BF$5,$B$1)</f>
        <v>1538925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124061</v>
      </c>
      <c r="E68" s="55">
        <f>_xll.EQNXTDZ($A$1,$B68,E$5,$B$1)</f>
        <v>0</v>
      </c>
      <c r="F68" s="55">
        <f>_xll.EQNXTDZ($A$1,$B68,F$5,$B$1)</f>
        <v>183439</v>
      </c>
      <c r="G68" s="55">
        <f>_xll.EQNXTDZ($A$1,$B68,G$5,$B$1)</f>
        <v>0</v>
      </c>
      <c r="H68" s="55">
        <f>_xll.EQNXTDZ($A$1,$B68,H$5,$B$1)</f>
        <v>143039</v>
      </c>
      <c r="I68" s="55">
        <f>_xll.EQNXTDZ($A$1,$B68,I$5,$B$1)</f>
        <v>0</v>
      </c>
      <c r="J68" s="55">
        <f>_xll.EQNXTDZ($A$1,$B68,J$5,$B$1)</f>
        <v>232911</v>
      </c>
      <c r="K68" s="55">
        <f>_xll.EQNXTDZ($A$1,$B68,K$5,$B$1)</f>
        <v>0</v>
      </c>
      <c r="L68" s="55">
        <f>_xll.EQNXTDZ($A$1,$B68,L$5,$B$1)</f>
        <v>271680</v>
      </c>
      <c r="M68" s="55">
        <f>_xll.EQNXTDZ($A$1,$B68,M$5,$B$1)</f>
        <v>0</v>
      </c>
      <c r="N68" s="55">
        <f>_xll.EQNXTDZ($A$1,$B68,N$5,$B$1)</f>
        <v>318523</v>
      </c>
      <c r="O68" s="55">
        <f>_xll.EQNXTDZ($A$1,$B68,O$5,$B$1)</f>
        <v>0</v>
      </c>
      <c r="P68" s="55">
        <f>_xll.EQNXTDZ($A$1,$B68,P$5,$B$1)</f>
        <v>367702</v>
      </c>
      <c r="Q68" s="55">
        <f>_xll.EQNXTDZ($A$1,$B68,Q$5,$B$1)</f>
        <v>0</v>
      </c>
      <c r="R68" s="55">
        <f>_xll.EQNXTDZ($A$1,$B68,R$5,$B$1)</f>
        <v>238956</v>
      </c>
      <c r="S68" s="55">
        <f>_xll.EQNXTDZ($A$1,$B68,S$5,$B$1)</f>
        <v>0</v>
      </c>
      <c r="T68" s="55">
        <f>_xll.EQNXTDZ($A$1,$B68,T$5,$B$1)</f>
        <v>259310</v>
      </c>
      <c r="U68" s="55">
        <f>_xll.EQNXTDZ($A$1,$B68,U$5,$B$1)</f>
        <v>0</v>
      </c>
      <c r="V68" s="55">
        <f>_xll.EQNXTDZ($A$1,$B68,V$5,$B$1)</f>
        <v>268094</v>
      </c>
      <c r="W68" s="55">
        <f>_xll.EQNXTDZ($A$1,$B68,W$5,$B$1)</f>
        <v>0</v>
      </c>
      <c r="X68" s="55">
        <f>_xll.EQNXTDZ($A$1,$B68,X$5,$B$1)</f>
        <v>363404</v>
      </c>
      <c r="Y68" s="55">
        <f>_xll.EQNXTDZ($A$1,$B68,Y$5,$B$1)</f>
        <v>0</v>
      </c>
      <c r="Z68" s="55">
        <f>_xll.EQNXTDZ($A$1,$B68,Z$5,$B$1)</f>
        <v>418874</v>
      </c>
      <c r="AA68" s="55">
        <f>_xll.EQNXTDZ($A$1,$B68,AA$5,$B$1)</f>
        <v>0</v>
      </c>
      <c r="AB68" s="55">
        <f>_xll.EQNXTDZ($A$1,$B68,AB$5,$B$1)</f>
        <v>447679</v>
      </c>
      <c r="AC68" s="55">
        <f>_xll.EQNXTDZ($A$1,$B68,AC$5,$B$1)</f>
        <v>0</v>
      </c>
      <c r="AD68" s="55">
        <f>_xll.EQNXTDZ($A$1,$B68,AD$5,$B$1)</f>
        <v>415662</v>
      </c>
      <c r="AE68" s="55">
        <f>_xll.EQNXTDZ($A$1,$B68,AE$5,$B$1)</f>
        <v>0</v>
      </c>
      <c r="AF68" s="55">
        <f>_xll.EQNXTDZ($A$1,$B68,AF$5,$B$1)</f>
        <v>468196</v>
      </c>
      <c r="AG68" s="55">
        <f>_xll.EQNXTDZ($A$1,$B68,AG$5,$B$1)</f>
        <v>0</v>
      </c>
      <c r="AH68" s="55">
        <f>_xll.EQNXTDZ($A$1,$B68,AH$5,$B$1)</f>
        <v>572409</v>
      </c>
      <c r="AI68" s="55">
        <f>_xll.EQNXTDZ($A$1,$B68,AI$5,$B$1)</f>
        <v>0</v>
      </c>
      <c r="AJ68" s="55">
        <f>_xll.EQNXTDZ($A$1,$B68,AJ$5,$B$1)</f>
        <v>580329</v>
      </c>
      <c r="AK68" s="55">
        <f>_xll.EQNXTDZ($A$1,$B68,AK$5,$B$1)</f>
        <v>0</v>
      </c>
      <c r="AL68" s="55">
        <f>_xll.EQNXTDZ($A$1,$B68,AL$5,$B$1)</f>
        <v>585828</v>
      </c>
      <c r="AM68" s="55">
        <f>_xll.EQNXTDZ($A$1,$B68,AM$5,$B$1)</f>
        <v>0</v>
      </c>
      <c r="AN68" s="55">
        <f>_xll.EQNXTDZ($A$1,$B68,AN$5,$B$1)</f>
        <v>664565</v>
      </c>
      <c r="AO68" s="55">
        <f>_xll.EQNXTDZ($A$1,$B68,AO$5,$B$1)</f>
        <v>0</v>
      </c>
      <c r="AP68" s="55">
        <f>_xll.EQNXTDZ($A$1,$B68,AP$5,$B$1)</f>
        <v>610913</v>
      </c>
      <c r="AQ68" s="55">
        <f>_xll.EQNXTDZ($A$1,$B68,AQ$5,$B$1)</f>
        <v>0</v>
      </c>
      <c r="AR68" s="55">
        <f>_xll.EQNXTDZ($A$1,$B68,AR$5,$B$1)</f>
        <v>843213</v>
      </c>
      <c r="AS68" s="55">
        <f>_xll.EQNXTDZ($A$1,$B68,AS$5,$B$1)</f>
        <v>0</v>
      </c>
      <c r="AT68" s="55">
        <f>_xll.EQNXTDZ($A$1,$B68,AT$5,$B$1)</f>
        <v>688320</v>
      </c>
      <c r="AU68" s="55">
        <f>_xll.EQNXTDZ($A$1,$B68,AU$5,$B$1)</f>
        <v>0</v>
      </c>
      <c r="AV68" s="55">
        <f>_xll.EQNXTDZ($A$1,$B68,AV$5,$B$1)</f>
        <v>710502</v>
      </c>
      <c r="AW68" s="55">
        <f>_xll.EQNXTDZ($A$1,$B68,AW$5,$B$1)</f>
        <v>0</v>
      </c>
      <c r="AX68" s="55">
        <f>_xll.EQNXTDZ($A$1,$B68,AX$5,$B$1)</f>
        <v>752015</v>
      </c>
      <c r="AY68" s="55">
        <f>_xll.EQNXTDZ($A$1,$B68,AY$5,$B$1)</f>
        <v>0</v>
      </c>
      <c r="AZ68" s="55">
        <f>_xll.EQNXTDZ($A$1,$B68,AZ$5,$B$1)</f>
        <v>753093</v>
      </c>
      <c r="BA68" s="55">
        <f>_xll.EQNXTDZ($A$1,$B68,BA$5,$B$1)</f>
        <v>0</v>
      </c>
      <c r="BB68" s="55">
        <f>_xll.EQNXTDZ($A$1,$B68,BB$5,$B$1)</f>
        <v>866213</v>
      </c>
      <c r="BC68" s="55">
        <f>_xll.EQNXTDZ($A$1,$B68,BC$5,$B$1)</f>
        <v>0</v>
      </c>
      <c r="BD68" s="55">
        <f>_xll.EQNXTDZ($A$1,$B68,BD$5,$B$1)</f>
        <v>872721</v>
      </c>
      <c r="BE68" s="55">
        <f>_xll.EQNXTDZ($A$1,$B68,BE$5,$B$1)</f>
        <v>0</v>
      </c>
      <c r="BF68" s="55">
        <f>_xll.EQNXTDZ($A$1,$B68,BF$5,$B$1)</f>
        <v>945001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124061</v>
      </c>
      <c r="E71" s="55">
        <f>_xll.EQNXTDZ($A$1,$B71,E$5,$B$1)</f>
        <v>0</v>
      </c>
      <c r="F71" s="55">
        <f>_xll.EQNXTDZ($A$1,$B71,F$5,$B$1)</f>
        <v>183439</v>
      </c>
      <c r="G71" s="55">
        <f>_xll.EQNXTDZ($A$1,$B71,G$5,$B$1)</f>
        <v>0</v>
      </c>
      <c r="H71" s="55">
        <f>_xll.EQNXTDZ($A$1,$B71,H$5,$B$1)</f>
        <v>143039</v>
      </c>
      <c r="I71" s="55">
        <f>_xll.EQNXTDZ($A$1,$B71,I$5,$B$1)</f>
        <v>0</v>
      </c>
      <c r="J71" s="55">
        <f>_xll.EQNXTDZ($A$1,$B71,J$5,$B$1)</f>
        <v>232911</v>
      </c>
      <c r="K71" s="55">
        <f>_xll.EQNXTDZ($A$1,$B71,K$5,$B$1)</f>
        <v>0</v>
      </c>
      <c r="L71" s="55">
        <f>_xll.EQNXTDZ($A$1,$B71,L$5,$B$1)</f>
        <v>271680</v>
      </c>
      <c r="M71" s="55">
        <f>_xll.EQNXTDZ($A$1,$B71,M$5,$B$1)</f>
        <v>0</v>
      </c>
      <c r="N71" s="55">
        <f>_xll.EQNXTDZ($A$1,$B71,N$5,$B$1)</f>
        <v>318523</v>
      </c>
      <c r="O71" s="55">
        <f>_xll.EQNXTDZ($A$1,$B71,O$5,$B$1)</f>
        <v>0</v>
      </c>
      <c r="P71" s="55">
        <f>_xll.EQNXTDZ($A$1,$B71,P$5,$B$1)</f>
        <v>367702</v>
      </c>
      <c r="Q71" s="55">
        <f>_xll.EQNXTDZ($A$1,$B71,Q$5,$B$1)</f>
        <v>0</v>
      </c>
      <c r="R71" s="55">
        <f>_xll.EQNXTDZ($A$1,$B71,R$5,$B$1)</f>
        <v>238956</v>
      </c>
      <c r="S71" s="55">
        <f>_xll.EQNXTDZ($A$1,$B71,S$5,$B$1)</f>
        <v>0</v>
      </c>
      <c r="T71" s="55">
        <f>_xll.EQNXTDZ($A$1,$B71,T$5,$B$1)</f>
        <v>259310</v>
      </c>
      <c r="U71" s="55">
        <f>_xll.EQNXTDZ($A$1,$B71,U$5,$B$1)</f>
        <v>0</v>
      </c>
      <c r="V71" s="55">
        <f>_xll.EQNXTDZ($A$1,$B71,V$5,$B$1)</f>
        <v>268094</v>
      </c>
      <c r="W71" s="55">
        <f>_xll.EQNXTDZ($A$1,$B71,W$5,$B$1)</f>
        <v>0</v>
      </c>
      <c r="X71" s="55">
        <f>_xll.EQNXTDZ($A$1,$B71,X$5,$B$1)</f>
        <v>363404</v>
      </c>
      <c r="Y71" s="55">
        <f>_xll.EQNXTDZ($A$1,$B71,Y$5,$B$1)</f>
        <v>0</v>
      </c>
      <c r="Z71" s="55">
        <f>_xll.EQNXTDZ($A$1,$B71,Z$5,$B$1)</f>
        <v>316031</v>
      </c>
      <c r="AA71" s="55">
        <f>_xll.EQNXTDZ($A$1,$B71,AA$5,$B$1)</f>
        <v>0</v>
      </c>
      <c r="AB71" s="55">
        <f>_xll.EQNXTDZ($A$1,$B71,AB$5,$B$1)</f>
        <v>447679</v>
      </c>
      <c r="AC71" s="55">
        <f>_xll.EQNXTDZ($A$1,$B71,AC$5,$B$1)</f>
        <v>0</v>
      </c>
      <c r="AD71" s="55">
        <f>_xll.EQNXTDZ($A$1,$B71,AD$5,$B$1)</f>
        <v>415662</v>
      </c>
      <c r="AE71" s="55">
        <f>_xll.EQNXTDZ($A$1,$B71,AE$5,$B$1)</f>
        <v>0</v>
      </c>
      <c r="AF71" s="55">
        <f>_xll.EQNXTDZ($A$1,$B71,AF$5,$B$1)</f>
        <v>468196</v>
      </c>
      <c r="AG71" s="55">
        <f>_xll.EQNXTDZ($A$1,$B71,AG$5,$B$1)</f>
        <v>0</v>
      </c>
      <c r="AH71" s="55">
        <f>_xll.EQNXTDZ($A$1,$B71,AH$5,$B$1)</f>
        <v>572409</v>
      </c>
      <c r="AI71" s="55">
        <f>_xll.EQNXTDZ($A$1,$B71,AI$5,$B$1)</f>
        <v>0</v>
      </c>
      <c r="AJ71" s="55">
        <f>_xll.EQNXTDZ($A$1,$B71,AJ$5,$B$1)</f>
        <v>580329</v>
      </c>
      <c r="AK71" s="55">
        <f>_xll.EQNXTDZ($A$1,$B71,AK$5,$B$1)</f>
        <v>0</v>
      </c>
      <c r="AL71" s="55">
        <f>_xll.EQNXTDZ($A$1,$B71,AL$5,$B$1)</f>
        <v>585828</v>
      </c>
      <c r="AM71" s="55">
        <f>_xll.EQNXTDZ($A$1,$B71,AM$5,$B$1)</f>
        <v>0</v>
      </c>
      <c r="AN71" s="55">
        <f>_xll.EQNXTDZ($A$1,$B71,AN$5,$B$1)</f>
        <v>664565</v>
      </c>
      <c r="AO71" s="55">
        <f>_xll.EQNXTDZ($A$1,$B71,AO$5,$B$1)</f>
        <v>0</v>
      </c>
      <c r="AP71" s="55">
        <f>_xll.EQNXTDZ($A$1,$B71,AP$5,$B$1)</f>
        <v>610913</v>
      </c>
      <c r="AQ71" s="55">
        <f>_xll.EQNXTDZ($A$1,$B71,AQ$5,$B$1)</f>
        <v>0</v>
      </c>
      <c r="AR71" s="55">
        <f>_xll.EQNXTDZ($A$1,$B71,AR$5,$B$1)</f>
        <v>843213</v>
      </c>
      <c r="AS71" s="55">
        <f>_xll.EQNXTDZ($A$1,$B71,AS$5,$B$1)</f>
        <v>0</v>
      </c>
      <c r="AT71" s="55">
        <f>_xll.EQNXTDZ($A$1,$B71,AT$5,$B$1)</f>
        <v>688320</v>
      </c>
      <c r="AU71" s="55">
        <f>_xll.EQNXTDZ($A$1,$B71,AU$5,$B$1)</f>
        <v>0</v>
      </c>
      <c r="AV71" s="55">
        <f>_xll.EQNXTDZ($A$1,$B71,AV$5,$B$1)</f>
        <v>710502</v>
      </c>
      <c r="AW71" s="55">
        <f>_xll.EQNXTDZ($A$1,$B71,AW$5,$B$1)</f>
        <v>0</v>
      </c>
      <c r="AX71" s="55">
        <f>_xll.EQNXTDZ($A$1,$B71,AX$5,$B$1)</f>
        <v>752015</v>
      </c>
      <c r="AY71" s="55">
        <f>_xll.EQNXTDZ($A$1,$B71,AY$5,$B$1)</f>
        <v>0</v>
      </c>
      <c r="AZ71" s="55">
        <f>_xll.EQNXTDZ($A$1,$B71,AZ$5,$B$1)</f>
        <v>753093</v>
      </c>
      <c r="BA71" s="55">
        <f>_xll.EQNXTDZ($A$1,$B71,BA$5,$B$1)</f>
        <v>0</v>
      </c>
      <c r="BB71" s="55">
        <f>_xll.EQNXTDZ($A$1,$B71,BB$5,$B$1)</f>
        <v>866213</v>
      </c>
      <c r="BC71" s="55">
        <f>_xll.EQNXTDZ($A$1,$B71,BC$5,$B$1)</f>
        <v>0</v>
      </c>
      <c r="BD71" s="55">
        <f>_xll.EQNXTDZ($A$1,$B71,BD$5,$B$1)</f>
        <v>872721</v>
      </c>
      <c r="BE71" s="55">
        <f>_xll.EQNXTDZ($A$1,$B71,BE$5,$B$1)</f>
        <v>0</v>
      </c>
      <c r="BF71" s="55">
        <f>_xll.EQNXTDZ($A$1,$B71,BF$5,$B$1)</f>
        <v>945001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4397</v>
      </c>
      <c r="M72" s="55">
        <f>_xll.EQNXTDZ($A$1,$B72,M$5,$B$1)</f>
        <v>0</v>
      </c>
      <c r="N72" s="55">
        <f>_xll.EQNXTDZ($A$1,$B72,N$5,$B$1)</f>
        <v>4397</v>
      </c>
      <c r="O72" s="55">
        <f>_xll.EQNXTDZ($A$1,$B72,O$5,$B$1)</f>
        <v>0</v>
      </c>
      <c r="P72" s="55">
        <f>_xll.EQNXTDZ($A$1,$B72,P$5,$B$1)</f>
        <v>4419</v>
      </c>
      <c r="Q72" s="55">
        <f>_xll.EQNXTDZ($A$1,$B72,Q$5,$B$1)</f>
        <v>0</v>
      </c>
      <c r="R72" s="55">
        <f>_xll.EQNXTDZ($A$1,$B72,R$5,$B$1)</f>
        <v>4254</v>
      </c>
      <c r="S72" s="55">
        <f>_xll.EQNXTDZ($A$1,$B72,S$5,$B$1)</f>
        <v>0</v>
      </c>
      <c r="T72" s="55">
        <f>_xll.EQNXTDZ($A$1,$B72,T$5,$B$1)</f>
        <v>4919</v>
      </c>
      <c r="U72" s="55">
        <f>_xll.EQNXTDZ($A$1,$B72,U$5,$B$1)</f>
        <v>0</v>
      </c>
      <c r="V72" s="55">
        <f>_xll.EQNXTDZ($A$1,$B72,V$5,$B$1)</f>
        <v>4892</v>
      </c>
      <c r="W72" s="55">
        <f>_xll.EQNXTDZ($A$1,$B72,W$5,$B$1)</f>
        <v>0</v>
      </c>
      <c r="X72" s="55">
        <f>_xll.EQNXTDZ($A$1,$B72,X$5,$B$1)</f>
        <v>4639</v>
      </c>
      <c r="Y72" s="55">
        <f>_xll.EQNXTDZ($A$1,$B72,Y$5,$B$1)</f>
        <v>0</v>
      </c>
      <c r="Z72" s="55">
        <f>_xll.EQNXTDZ($A$1,$B72,Z$5,$B$1)</f>
        <v>5813</v>
      </c>
      <c r="AA72" s="55">
        <f>_xll.EQNXTDZ($A$1,$B72,AA$5,$B$1)</f>
        <v>0</v>
      </c>
      <c r="AB72" s="55">
        <f>_xll.EQNXTDZ($A$1,$B72,AB$5,$B$1)</f>
        <v>10040</v>
      </c>
      <c r="AC72" s="55">
        <f>_xll.EQNXTDZ($A$1,$B72,AC$5,$B$1)</f>
        <v>0</v>
      </c>
      <c r="AD72" s="55">
        <f>_xll.EQNXTDZ($A$1,$B72,AD$5,$B$1)</f>
        <v>11997</v>
      </c>
      <c r="AE72" s="55">
        <f>_xll.EQNXTDZ($A$1,$B72,AE$5,$B$1)</f>
        <v>0</v>
      </c>
      <c r="AF72" s="55">
        <f>_xll.EQNXTDZ($A$1,$B72,AF$5,$B$1)</f>
        <v>9603</v>
      </c>
      <c r="AG72" s="55">
        <f>_xll.EQNXTDZ($A$1,$B72,AG$5,$B$1)</f>
        <v>0</v>
      </c>
      <c r="AH72" s="55">
        <f>_xll.EQNXTDZ($A$1,$B72,AH$5,$B$1)</f>
        <v>10259</v>
      </c>
      <c r="AI72" s="55">
        <f>_xll.EQNXTDZ($A$1,$B72,AI$5,$B$1)</f>
        <v>0</v>
      </c>
      <c r="AJ72" s="55">
        <f>_xll.EQNXTDZ($A$1,$B72,AJ$5,$B$1)</f>
        <v>10259</v>
      </c>
      <c r="AK72" s="55">
        <f>_xll.EQNXTDZ($A$1,$B72,AK$5,$B$1)</f>
        <v>0</v>
      </c>
      <c r="AL72" s="55">
        <f>_xll.EQNXTDZ($A$1,$B72,AL$5,$B$1)</f>
        <v>10212</v>
      </c>
      <c r="AM72" s="55">
        <f>_xll.EQNXTDZ($A$1,$B72,AM$5,$B$1)</f>
        <v>0</v>
      </c>
      <c r="AN72" s="55">
        <f>_xll.EQNXTDZ($A$1,$B72,AN$5,$B$1)</f>
        <v>11165</v>
      </c>
      <c r="AO72" s="55">
        <f>_xll.EQNXTDZ($A$1,$B72,AO$5,$B$1)</f>
        <v>0</v>
      </c>
      <c r="AP72" s="55">
        <f>_xll.EQNXTDZ($A$1,$B72,AP$5,$B$1)</f>
        <v>13009</v>
      </c>
      <c r="AQ72" s="55">
        <f>_xll.EQNXTDZ($A$1,$B72,AQ$5,$B$1)</f>
        <v>0</v>
      </c>
      <c r="AR72" s="55">
        <f>_xll.EQNXTDZ($A$1,$B72,AR$5,$B$1)</f>
        <v>13001</v>
      </c>
      <c r="AS72" s="55">
        <f>_xll.EQNXTDZ($A$1,$B72,AS$5,$B$1)</f>
        <v>0</v>
      </c>
      <c r="AT72" s="55">
        <f>_xll.EQNXTDZ($A$1,$B72,AT$5,$B$1)</f>
        <v>15270</v>
      </c>
      <c r="AU72" s="55">
        <f>_xll.EQNXTDZ($A$1,$B72,AU$5,$B$1)</f>
        <v>0</v>
      </c>
      <c r="AV72" s="55">
        <f>_xll.EQNXTDZ($A$1,$B72,AV$5,$B$1)</f>
        <v>14904</v>
      </c>
      <c r="AW72" s="55">
        <f>_xll.EQNXTDZ($A$1,$B72,AW$5,$B$1)</f>
        <v>0</v>
      </c>
      <c r="AX72" s="55">
        <f>_xll.EQNXTDZ($A$1,$B72,AX$5,$B$1)</f>
        <v>14989</v>
      </c>
      <c r="AY72" s="55">
        <f>_xll.EQNXTDZ($A$1,$B72,AY$5,$B$1)</f>
        <v>0</v>
      </c>
      <c r="AZ72" s="55">
        <f>_xll.EQNXTDZ($A$1,$B72,AZ$5,$B$1)</f>
        <v>14763</v>
      </c>
      <c r="BA72" s="55">
        <f>_xll.EQNXTDZ($A$1,$B72,BA$5,$B$1)</f>
        <v>0</v>
      </c>
      <c r="BB72" s="55">
        <f>_xll.EQNXTDZ($A$1,$B72,BB$5,$B$1)</f>
        <v>24530</v>
      </c>
      <c r="BC72" s="55">
        <f>_xll.EQNXTDZ($A$1,$B72,BC$5,$B$1)</f>
        <v>0</v>
      </c>
      <c r="BD72" s="55">
        <f>_xll.EQNXTDZ($A$1,$B72,BD$5,$B$1)</f>
        <v>24572</v>
      </c>
      <c r="BE72" s="55">
        <f>_xll.EQNXTDZ($A$1,$B72,BE$5,$B$1)</f>
        <v>0</v>
      </c>
      <c r="BF72" s="55">
        <f>_xll.EQNXTDZ($A$1,$B72,BF$5,$B$1)</f>
        <v>28462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170397</v>
      </c>
      <c r="S74" s="55">
        <f>_xll.EQNXTDZ($A$1,$B74,S$5,$B$1)</f>
        <v>0</v>
      </c>
      <c r="T74" s="55">
        <f>_xll.EQNXTDZ($A$1,$B74,T$5,$B$1)</f>
        <v>205571</v>
      </c>
      <c r="U74" s="55">
        <f>_xll.EQNXTDZ($A$1,$B74,U$5,$B$1)</f>
        <v>0</v>
      </c>
      <c r="V74" s="55">
        <f>_xll.EQNXTDZ($A$1,$B74,V$5,$B$1)</f>
        <v>250377</v>
      </c>
      <c r="W74" s="55">
        <f>_xll.EQNXTDZ($A$1,$B74,W$5,$B$1)</f>
        <v>0</v>
      </c>
      <c r="X74" s="55">
        <f>_xll.EQNXTDZ($A$1,$B74,X$5,$B$1)</f>
        <v>190001</v>
      </c>
      <c r="Y74" s="55">
        <f>_xll.EQNXTDZ($A$1,$B74,Y$5,$B$1)</f>
        <v>0</v>
      </c>
      <c r="Z74" s="55">
        <f>_xll.EQNXTDZ($A$1,$B74,Z$5,$B$1)</f>
        <v>166220</v>
      </c>
      <c r="AA74" s="55">
        <f>_xll.EQNXTDZ($A$1,$B74,AA$5,$B$1)</f>
        <v>0</v>
      </c>
      <c r="AB74" s="55">
        <f>_xll.EQNXTDZ($A$1,$B74,AB$5,$B$1)</f>
        <v>197543</v>
      </c>
      <c r="AC74" s="55">
        <f>_xll.EQNXTDZ($A$1,$B74,AC$5,$B$1)</f>
        <v>0</v>
      </c>
      <c r="AD74" s="55">
        <f>_xll.EQNXTDZ($A$1,$B74,AD$5,$B$1)</f>
        <v>150178</v>
      </c>
      <c r="AE74" s="55">
        <f>_xll.EQNXTDZ($A$1,$B74,AE$5,$B$1)</f>
        <v>0</v>
      </c>
      <c r="AF74" s="55">
        <f>_xll.EQNXTDZ($A$1,$B74,AF$5,$B$1)</f>
        <v>138705</v>
      </c>
      <c r="AG74" s="55">
        <f>_xll.EQNXTDZ($A$1,$B74,AG$5,$B$1)</f>
        <v>0</v>
      </c>
      <c r="AH74" s="55">
        <f>_xll.EQNXTDZ($A$1,$B74,AH$5,$B$1)</f>
        <v>59096</v>
      </c>
      <c r="AI74" s="55">
        <f>_xll.EQNXTDZ($A$1,$B74,AI$5,$B$1)</f>
        <v>0</v>
      </c>
      <c r="AJ74" s="55">
        <f>_xll.EQNXTDZ($A$1,$B74,AJ$5,$B$1)</f>
        <v>66680</v>
      </c>
      <c r="AK74" s="55">
        <f>_xll.EQNXTDZ($A$1,$B74,AK$5,$B$1)</f>
        <v>0</v>
      </c>
      <c r="AL74" s="55">
        <f>_xll.EQNXTDZ($A$1,$B74,AL$5,$B$1)</f>
        <v>71171</v>
      </c>
      <c r="AM74" s="55">
        <f>_xll.EQNXTDZ($A$1,$B74,AM$5,$B$1)</f>
        <v>0</v>
      </c>
      <c r="AN74" s="55">
        <f>_xll.EQNXTDZ($A$1,$B74,AN$5,$B$1)</f>
        <v>77685</v>
      </c>
      <c r="AO74" s="55">
        <f>_xll.EQNXTDZ($A$1,$B74,AO$5,$B$1)</f>
        <v>0</v>
      </c>
      <c r="AP74" s="55">
        <f>_xll.EQNXTDZ($A$1,$B74,AP$5,$B$1)</f>
        <v>68052</v>
      </c>
      <c r="AQ74" s="55">
        <f>_xll.EQNXTDZ($A$1,$B74,AQ$5,$B$1)</f>
        <v>0</v>
      </c>
      <c r="AR74" s="55">
        <f>_xll.EQNXTDZ($A$1,$B74,AR$5,$B$1)</f>
        <v>82199</v>
      </c>
      <c r="AS74" s="55">
        <f>_xll.EQNXTDZ($A$1,$B74,AS$5,$B$1)</f>
        <v>0</v>
      </c>
      <c r="AT74" s="55">
        <f>_xll.EQNXTDZ($A$1,$B74,AT$5,$B$1)</f>
        <v>117259</v>
      </c>
      <c r="AU74" s="55">
        <f>_xll.EQNXTDZ($A$1,$B74,AU$5,$B$1)</f>
        <v>0</v>
      </c>
      <c r="AV74" s="55">
        <f>_xll.EQNXTDZ($A$1,$B74,AV$5,$B$1)</f>
        <v>161344</v>
      </c>
      <c r="AW74" s="55">
        <f>_xll.EQNXTDZ($A$1,$B74,AW$5,$B$1)</f>
        <v>0</v>
      </c>
      <c r="AX74" s="55">
        <f>_xll.EQNXTDZ($A$1,$B74,AX$5,$B$1)</f>
        <v>152382</v>
      </c>
      <c r="AY74" s="55">
        <f>_xll.EQNXTDZ($A$1,$B74,AY$5,$B$1)</f>
        <v>0</v>
      </c>
      <c r="AZ74" s="55">
        <f>_xll.EQNXTDZ($A$1,$B74,AZ$5,$B$1)</f>
        <v>198873</v>
      </c>
      <c r="BA74" s="55">
        <f>_xll.EQNXTDZ($A$1,$B74,BA$5,$B$1)</f>
        <v>0</v>
      </c>
      <c r="BB74" s="55">
        <f>_xll.EQNXTDZ($A$1,$B74,BB$5,$B$1)</f>
        <v>169710</v>
      </c>
      <c r="BC74" s="55">
        <f>_xll.EQNXTDZ($A$1,$B74,BC$5,$B$1)</f>
        <v>0</v>
      </c>
      <c r="BD74" s="55">
        <f>_xll.EQNXTDZ($A$1,$B74,BD$5,$B$1)</f>
        <v>217097</v>
      </c>
      <c r="BE74" s="55">
        <f>_xll.EQNXTDZ($A$1,$B74,BE$5,$B$1)</f>
        <v>0</v>
      </c>
      <c r="BF74" s="55">
        <f>_xll.EQNXTDZ($A$1,$B74,BF$5,$B$1)</f>
        <v>192287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28788</v>
      </c>
      <c r="E77" s="55">
        <f>_xll.EQNXTDZ($A$1,$B77,E$5,$B$1)</f>
        <v>0</v>
      </c>
      <c r="F77" s="55">
        <f>_xll.EQNXTDZ($A$1,$B77,F$5,$B$1)</f>
        <v>13979</v>
      </c>
      <c r="G77" s="55">
        <f>_xll.EQNXTDZ($A$1,$B77,G$5,$B$1)</f>
        <v>0</v>
      </c>
      <c r="H77" s="55">
        <f>_xll.EQNXTDZ($A$1,$B77,H$5,$B$1)</f>
        <v>31210</v>
      </c>
      <c r="I77" s="55">
        <f>_xll.EQNXTDZ($A$1,$B77,I$5,$B$1)</f>
        <v>0</v>
      </c>
      <c r="J77" s="55">
        <f>_xll.EQNXTDZ($A$1,$B77,J$5,$B$1)</f>
        <v>26867</v>
      </c>
      <c r="K77" s="55">
        <f>_xll.EQNXTDZ($A$1,$B77,K$5,$B$1)</f>
        <v>0</v>
      </c>
      <c r="L77" s="55">
        <f>_xll.EQNXTDZ($A$1,$B77,L$5,$B$1)</f>
        <v>26469</v>
      </c>
      <c r="M77" s="55">
        <f>_xll.EQNXTDZ($A$1,$B77,M$5,$B$1)</f>
        <v>0</v>
      </c>
      <c r="N77" s="55">
        <f>_xll.EQNXTDZ($A$1,$B77,N$5,$B$1)</f>
        <v>25437</v>
      </c>
      <c r="O77" s="55">
        <f>_xll.EQNXTDZ($A$1,$B77,O$5,$B$1)</f>
        <v>0</v>
      </c>
      <c r="P77" s="55">
        <f>_xll.EQNXTDZ($A$1,$B77,P$5,$B$1)</f>
        <v>27439</v>
      </c>
      <c r="Q77" s="55">
        <f>_xll.EQNXTDZ($A$1,$B77,Q$5,$B$1)</f>
        <v>0</v>
      </c>
      <c r="R77" s="55">
        <f>_xll.EQNXTDZ($A$1,$B77,R$5,$B$1)</f>
        <v>41512</v>
      </c>
      <c r="S77" s="55">
        <f>_xll.EQNXTDZ($A$1,$B77,S$5,$B$1)</f>
        <v>0</v>
      </c>
      <c r="T77" s="55">
        <f>_xll.EQNXTDZ($A$1,$B77,T$5,$B$1)</f>
        <v>38703</v>
      </c>
      <c r="U77" s="55">
        <f>_xll.EQNXTDZ($A$1,$B77,U$5,$B$1)</f>
        <v>0</v>
      </c>
      <c r="V77" s="55">
        <f>_xll.EQNXTDZ($A$1,$B77,V$5,$B$1)</f>
        <v>25639</v>
      </c>
      <c r="W77" s="55">
        <f>_xll.EQNXTDZ($A$1,$B77,W$5,$B$1)</f>
        <v>0</v>
      </c>
      <c r="X77" s="55">
        <f>_xll.EQNXTDZ($A$1,$B77,X$5,$B$1)</f>
        <v>22624</v>
      </c>
      <c r="Y77" s="55">
        <f>_xll.EQNXTDZ($A$1,$B77,Y$5,$B$1)</f>
        <v>0</v>
      </c>
      <c r="Z77" s="55">
        <f>_xll.EQNXTDZ($A$1,$B77,Z$5,$B$1)</f>
        <v>25259</v>
      </c>
      <c r="AA77" s="55">
        <f>_xll.EQNXTDZ($A$1,$B77,AA$5,$B$1)</f>
        <v>0</v>
      </c>
      <c r="AB77" s="55">
        <f>_xll.EQNXTDZ($A$1,$B77,AB$5,$B$1)</f>
        <v>25395</v>
      </c>
      <c r="AC77" s="55">
        <f>_xll.EQNXTDZ($A$1,$B77,AC$5,$B$1)</f>
        <v>0</v>
      </c>
      <c r="AD77" s="55">
        <f>_xll.EQNXTDZ($A$1,$B77,AD$5,$B$1)</f>
        <v>164612</v>
      </c>
      <c r="AE77" s="55">
        <f>_xll.EQNXTDZ($A$1,$B77,AE$5,$B$1)</f>
        <v>0</v>
      </c>
      <c r="AF77" s="55">
        <f>_xll.EQNXTDZ($A$1,$B77,AF$5,$B$1)</f>
        <v>149062</v>
      </c>
      <c r="AG77" s="55">
        <f>_xll.EQNXTDZ($A$1,$B77,AG$5,$B$1)</f>
        <v>0</v>
      </c>
      <c r="AH77" s="55">
        <f>_xll.EQNXTDZ($A$1,$B77,AH$5,$B$1)</f>
        <v>203852</v>
      </c>
      <c r="AI77" s="55">
        <f>_xll.EQNXTDZ($A$1,$B77,AI$5,$B$1)</f>
        <v>0</v>
      </c>
      <c r="AJ77" s="55">
        <f>_xll.EQNXTDZ($A$1,$B77,AJ$5,$B$1)</f>
        <v>228407</v>
      </c>
      <c r="AK77" s="55">
        <f>_xll.EQNXTDZ($A$1,$B77,AK$5,$B$1)</f>
        <v>0</v>
      </c>
      <c r="AL77" s="55">
        <f>_xll.EQNXTDZ($A$1,$B77,AL$5,$B$1)</f>
        <v>212382</v>
      </c>
      <c r="AM77" s="55">
        <f>_xll.EQNXTDZ($A$1,$B77,AM$5,$B$1)</f>
        <v>0</v>
      </c>
      <c r="AN77" s="55">
        <f>_xll.EQNXTDZ($A$1,$B77,AN$5,$B$1)</f>
        <v>248693</v>
      </c>
      <c r="AO77" s="55">
        <f>_xll.EQNXTDZ($A$1,$B77,AO$5,$B$1)</f>
        <v>0</v>
      </c>
      <c r="AP77" s="55">
        <f>_xll.EQNXTDZ($A$1,$B77,AP$5,$B$1)</f>
        <v>286146</v>
      </c>
      <c r="AQ77" s="55">
        <f>_xll.EQNXTDZ($A$1,$B77,AQ$5,$B$1)</f>
        <v>0</v>
      </c>
      <c r="AR77" s="55">
        <f>_xll.EQNXTDZ($A$1,$B77,AR$5,$B$1)</f>
        <v>275108</v>
      </c>
      <c r="AS77" s="55">
        <f>_xll.EQNXTDZ($A$1,$B77,AS$5,$B$1)</f>
        <v>0</v>
      </c>
      <c r="AT77" s="55">
        <f>_xll.EQNXTDZ($A$1,$B77,AT$5,$B$1)</f>
        <v>117087</v>
      </c>
      <c r="AU77" s="55">
        <f>_xll.EQNXTDZ($A$1,$B77,AU$5,$B$1)</f>
        <v>0</v>
      </c>
      <c r="AV77" s="55">
        <f>_xll.EQNXTDZ($A$1,$B77,AV$5,$B$1)</f>
        <v>111349</v>
      </c>
      <c r="AW77" s="55">
        <f>_xll.EQNXTDZ($A$1,$B77,AW$5,$B$1)</f>
        <v>0</v>
      </c>
      <c r="AX77" s="55">
        <f>_xll.EQNXTDZ($A$1,$B77,AX$5,$B$1)</f>
        <v>119502</v>
      </c>
      <c r="AY77" s="55">
        <f>_xll.EQNXTDZ($A$1,$B77,AY$5,$B$1)</f>
        <v>0</v>
      </c>
      <c r="AZ77" s="55">
        <f>_xll.EQNXTDZ($A$1,$B77,AZ$5,$B$1)</f>
        <v>120122</v>
      </c>
      <c r="BA77" s="55">
        <f>_xll.EQNXTDZ($A$1,$B77,BA$5,$B$1)</f>
        <v>0</v>
      </c>
      <c r="BB77" s="55">
        <f>_xll.EQNXTDZ($A$1,$B77,BB$5,$B$1)</f>
        <v>123672</v>
      </c>
      <c r="BC77" s="55">
        <f>_xll.EQNXTDZ($A$1,$B77,BC$5,$B$1)</f>
        <v>0</v>
      </c>
      <c r="BD77" s="55">
        <f>_xll.EQNXTDZ($A$1,$B77,BD$5,$B$1)</f>
        <v>143964</v>
      </c>
      <c r="BE77" s="55">
        <f>_xll.EQNXTDZ($A$1,$B77,BE$5,$B$1)</f>
        <v>0</v>
      </c>
      <c r="BF77" s="55">
        <f>_xll.EQNXTDZ($A$1,$B77,BF$5,$B$1)</f>
        <v>150901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15853</v>
      </c>
      <c r="E78" s="55">
        <f>_xll.EQNXTDZ($A$1,$B78,E$5,$B$1)</f>
        <v>0</v>
      </c>
      <c r="F78" s="55">
        <f>_xll.EQNXTDZ($A$1,$B78,F$5,$B$1)</f>
        <v>9025</v>
      </c>
      <c r="G78" s="55">
        <f>_xll.EQNXTDZ($A$1,$B78,G$5,$B$1)</f>
        <v>0</v>
      </c>
      <c r="H78" s="55">
        <f>_xll.EQNXTDZ($A$1,$B78,H$5,$B$1)</f>
        <v>24549</v>
      </c>
      <c r="I78" s="55">
        <f>_xll.EQNXTDZ($A$1,$B78,I$5,$B$1)</f>
        <v>0</v>
      </c>
      <c r="J78" s="55">
        <f>_xll.EQNXTDZ($A$1,$B78,J$5,$B$1)</f>
        <v>17996</v>
      </c>
      <c r="K78" s="55">
        <f>_xll.EQNXTDZ($A$1,$B78,K$5,$B$1)</f>
        <v>0</v>
      </c>
      <c r="L78" s="55">
        <f>_xll.EQNXTDZ($A$1,$B78,L$5,$B$1)</f>
        <v>16154</v>
      </c>
      <c r="M78" s="55">
        <f>_xll.EQNXTDZ($A$1,$B78,M$5,$B$1)</f>
        <v>0</v>
      </c>
      <c r="N78" s="55">
        <f>_xll.EQNXTDZ($A$1,$B78,N$5,$B$1)</f>
        <v>19538</v>
      </c>
      <c r="O78" s="55">
        <f>_xll.EQNXTDZ($A$1,$B78,O$5,$B$1)</f>
        <v>0</v>
      </c>
      <c r="P78" s="55">
        <f>_xll.EQNXTDZ($A$1,$B78,P$5,$B$1)</f>
        <v>14379</v>
      </c>
      <c r="Q78" s="55">
        <f>_xll.EQNXTDZ($A$1,$B78,Q$5,$B$1)</f>
        <v>0</v>
      </c>
      <c r="R78" s="55">
        <f>_xll.EQNXTDZ($A$1,$B78,R$5,$B$1)</f>
        <v>2032</v>
      </c>
      <c r="S78" s="55">
        <f>_xll.EQNXTDZ($A$1,$B78,S$5,$B$1)</f>
        <v>0</v>
      </c>
      <c r="T78" s="55">
        <f>_xll.EQNXTDZ($A$1,$B78,T$5,$B$1)</f>
        <v>2253</v>
      </c>
      <c r="U78" s="55">
        <f>_xll.EQNXTDZ($A$1,$B78,U$5,$B$1)</f>
        <v>0</v>
      </c>
      <c r="V78" s="55">
        <f>_xll.EQNXTDZ($A$1,$B78,V$5,$B$1)</f>
        <v>2708</v>
      </c>
      <c r="W78" s="55">
        <f>_xll.EQNXTDZ($A$1,$B78,W$5,$B$1)</f>
        <v>0</v>
      </c>
      <c r="X78" s="55">
        <f>_xll.EQNXTDZ($A$1,$B78,X$5,$B$1)</f>
        <v>3125</v>
      </c>
      <c r="Y78" s="55">
        <f>_xll.EQNXTDZ($A$1,$B78,Y$5,$B$1)</f>
        <v>0</v>
      </c>
      <c r="Z78" s="55">
        <f>_xll.EQNXTDZ($A$1,$B78,Z$5,$B$1)</f>
        <v>2668</v>
      </c>
      <c r="AA78" s="55">
        <f>_xll.EQNXTDZ($A$1,$B78,AA$5,$B$1)</f>
        <v>0</v>
      </c>
      <c r="AB78" s="55">
        <f>_xll.EQNXTDZ($A$1,$B78,AB$5,$B$1)</f>
        <v>2369</v>
      </c>
      <c r="AC78" s="55">
        <f>_xll.EQNXTDZ($A$1,$B78,AC$5,$B$1)</f>
        <v>0</v>
      </c>
      <c r="AD78" s="55">
        <f>_xll.EQNXTDZ($A$1,$B78,AD$5,$B$1)</f>
        <v>5452</v>
      </c>
      <c r="AE78" s="55">
        <f>_xll.EQNXTDZ($A$1,$B78,AE$5,$B$1)</f>
        <v>0</v>
      </c>
      <c r="AF78" s="55">
        <f>_xll.EQNXTDZ($A$1,$B78,AF$5,$B$1)</f>
        <v>20676</v>
      </c>
      <c r="AG78" s="55">
        <f>_xll.EQNXTDZ($A$1,$B78,AG$5,$B$1)</f>
        <v>0</v>
      </c>
      <c r="AH78" s="55">
        <f>_xll.EQNXTDZ($A$1,$B78,AH$5,$B$1)</f>
        <v>21732</v>
      </c>
      <c r="AI78" s="55">
        <f>_xll.EQNXTDZ($A$1,$B78,AI$5,$B$1)</f>
        <v>0</v>
      </c>
      <c r="AJ78" s="55">
        <f>_xll.EQNXTDZ($A$1,$B78,AJ$5,$B$1)</f>
        <v>20517</v>
      </c>
      <c r="AK78" s="55">
        <f>_xll.EQNXTDZ($A$1,$B78,AK$5,$B$1)</f>
        <v>0</v>
      </c>
      <c r="AL78" s="55">
        <f>_xll.EQNXTDZ($A$1,$B78,AL$5,$B$1)</f>
        <v>1117</v>
      </c>
      <c r="AM78" s="55">
        <f>_xll.EQNXTDZ($A$1,$B78,AM$5,$B$1)</f>
        <v>0</v>
      </c>
      <c r="AN78" s="55">
        <f>_xll.EQNXTDZ($A$1,$B78,AN$5,$B$1)</f>
        <v>861</v>
      </c>
      <c r="AO78" s="55">
        <f>_xll.EQNXTDZ($A$1,$B78,AO$5,$B$1)</f>
        <v>0</v>
      </c>
      <c r="AP78" s="55">
        <f>_xll.EQNXTDZ($A$1,$B78,AP$5,$B$1)</f>
        <v>1588</v>
      </c>
      <c r="AQ78" s="55">
        <f>_xll.EQNXTDZ($A$1,$B78,AQ$5,$B$1)</f>
        <v>0</v>
      </c>
      <c r="AR78" s="55">
        <f>_xll.EQNXTDZ($A$1,$B78,AR$5,$B$1)</f>
        <v>1578</v>
      </c>
      <c r="AS78" s="55">
        <f>_xll.EQNXTDZ($A$1,$B78,AS$5,$B$1)</f>
        <v>0</v>
      </c>
      <c r="AT78" s="55">
        <f>_xll.EQNXTDZ($A$1,$B78,AT$5,$B$1)</f>
        <v>1525</v>
      </c>
      <c r="AU78" s="55">
        <f>_xll.EQNXTDZ($A$1,$B78,AU$5,$B$1)</f>
        <v>0</v>
      </c>
      <c r="AV78" s="55">
        <f>_xll.EQNXTDZ($A$1,$B78,AV$5,$B$1)</f>
        <v>1552</v>
      </c>
      <c r="AW78" s="55">
        <f>_xll.EQNXTDZ($A$1,$B78,AW$5,$B$1)</f>
        <v>0</v>
      </c>
      <c r="AX78" s="55">
        <f>_xll.EQNXTDZ($A$1,$B78,AX$5,$B$1)</f>
        <v>899</v>
      </c>
      <c r="AY78" s="55">
        <f>_xll.EQNXTDZ($A$1,$B78,AY$5,$B$1)</f>
        <v>0</v>
      </c>
      <c r="AZ78" s="55">
        <f>_xll.EQNXTDZ($A$1,$B78,AZ$5,$B$1)</f>
        <v>750</v>
      </c>
      <c r="BA78" s="55">
        <f>_xll.EQNXTDZ($A$1,$B78,BA$5,$B$1)</f>
        <v>0</v>
      </c>
      <c r="BB78" s="55">
        <f>_xll.EQNXTDZ($A$1,$B78,BB$5,$B$1)</f>
        <v>742</v>
      </c>
      <c r="BC78" s="55">
        <f>_xll.EQNXTDZ($A$1,$B78,BC$5,$B$1)</f>
        <v>0</v>
      </c>
      <c r="BD78" s="55">
        <f>_xll.EQNXTDZ($A$1,$B78,BD$5,$B$1)</f>
        <v>790</v>
      </c>
      <c r="BE78" s="55">
        <f>_xll.EQNXTDZ($A$1,$B78,BE$5,$B$1)</f>
        <v>0</v>
      </c>
      <c r="BF78" s="55">
        <f>_xll.EQNXTDZ($A$1,$B78,BF$5,$B$1)</f>
        <v>826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4</v>
      </c>
      <c r="M79" s="55">
        <f>_xll.EQNXTDZ($A$1,$B79,M$5,$B$1)</f>
        <v>0</v>
      </c>
      <c r="N79" s="55">
        <f>_xll.EQNXTDZ($A$1,$B79,N$5,$B$1)</f>
        <v>14</v>
      </c>
      <c r="O79" s="55">
        <f>_xll.EQNXTDZ($A$1,$B79,O$5,$B$1)</f>
        <v>0</v>
      </c>
      <c r="P79" s="55">
        <f>_xll.EQNXTDZ($A$1,$B79,P$5,$B$1)</f>
        <v>17</v>
      </c>
      <c r="Q79" s="55">
        <f>_xll.EQNXTDZ($A$1,$B79,Q$5,$B$1)</f>
        <v>0</v>
      </c>
      <c r="R79" s="55">
        <f>_xll.EQNXTDZ($A$1,$B79,R$5,$B$1)</f>
        <v>14061</v>
      </c>
      <c r="S79" s="55">
        <f>_xll.EQNXTDZ($A$1,$B79,S$5,$B$1)</f>
        <v>0</v>
      </c>
      <c r="T79" s="55">
        <f>_xll.EQNXTDZ($A$1,$B79,T$5,$B$1)</f>
        <v>8975</v>
      </c>
      <c r="U79" s="55">
        <f>_xll.EQNXTDZ($A$1,$B79,U$5,$B$1)</f>
        <v>0</v>
      </c>
      <c r="V79" s="55">
        <f>_xll.EQNXTDZ($A$1,$B79,V$5,$B$1)</f>
        <v>8279</v>
      </c>
      <c r="W79" s="55">
        <f>_xll.EQNXTDZ($A$1,$B79,W$5,$B$1)</f>
        <v>0</v>
      </c>
      <c r="X79" s="55">
        <f>_xll.EQNXTDZ($A$1,$B79,X$5,$B$1)</f>
        <v>6427</v>
      </c>
      <c r="Y79" s="55">
        <f>_xll.EQNXTDZ($A$1,$B79,Y$5,$B$1)</f>
        <v>0</v>
      </c>
      <c r="Z79" s="55">
        <f>_xll.EQNXTDZ($A$1,$B79,Z$5,$B$1)</f>
        <v>8653</v>
      </c>
      <c r="AA79" s="55">
        <f>_xll.EQNXTDZ($A$1,$B79,AA$5,$B$1)</f>
        <v>0</v>
      </c>
      <c r="AB79" s="55">
        <f>_xll.EQNXTDZ($A$1,$B79,AB$5,$B$1)</f>
        <v>8365</v>
      </c>
      <c r="AC79" s="55">
        <f>_xll.EQNXTDZ($A$1,$B79,AC$5,$B$1)</f>
        <v>0</v>
      </c>
      <c r="AD79" s="55">
        <f>_xll.EQNXTDZ($A$1,$B79,AD$5,$B$1)</f>
        <v>17676</v>
      </c>
      <c r="AE79" s="55">
        <f>_xll.EQNXTDZ($A$1,$B79,AE$5,$B$1)</f>
        <v>0</v>
      </c>
      <c r="AF79" s="55">
        <f>_xll.EQNXTDZ($A$1,$B79,AF$5,$B$1)</f>
        <v>36998</v>
      </c>
      <c r="AG79" s="55">
        <f>_xll.EQNXTDZ($A$1,$B79,AG$5,$B$1)</f>
        <v>0</v>
      </c>
      <c r="AH79" s="55">
        <f>_xll.EQNXTDZ($A$1,$B79,AH$5,$B$1)</f>
        <v>37407</v>
      </c>
      <c r="AI79" s="55">
        <f>_xll.EQNXTDZ($A$1,$B79,AI$5,$B$1)</f>
        <v>0</v>
      </c>
      <c r="AJ79" s="55">
        <f>_xll.EQNXTDZ($A$1,$B79,AJ$5,$B$1)</f>
        <v>30148</v>
      </c>
      <c r="AK79" s="55">
        <f>_xll.EQNXTDZ($A$1,$B79,AK$5,$B$1)</f>
        <v>0</v>
      </c>
      <c r="AL79" s="55">
        <f>_xll.EQNXTDZ($A$1,$B79,AL$5,$B$1)</f>
        <v>66344</v>
      </c>
      <c r="AM79" s="55">
        <f>_xll.EQNXTDZ($A$1,$B79,AM$5,$B$1)</f>
        <v>0</v>
      </c>
      <c r="AN79" s="55">
        <f>_xll.EQNXTDZ($A$1,$B79,AN$5,$B$1)</f>
        <v>53841</v>
      </c>
      <c r="AO79" s="55">
        <f>_xll.EQNXTDZ($A$1,$B79,AO$5,$B$1)</f>
        <v>0</v>
      </c>
      <c r="AP79" s="55">
        <f>_xll.EQNXTDZ($A$1,$B79,AP$5,$B$1)</f>
        <v>171895</v>
      </c>
      <c r="AQ79" s="55">
        <f>_xll.EQNXTDZ($A$1,$B79,AQ$5,$B$1)</f>
        <v>0</v>
      </c>
      <c r="AR79" s="55">
        <f>_xll.EQNXTDZ($A$1,$B79,AR$5,$B$1)</f>
        <v>59573</v>
      </c>
      <c r="AS79" s="55">
        <f>_xll.EQNXTDZ($A$1,$B79,AS$5,$B$1)</f>
        <v>0</v>
      </c>
      <c r="AT79" s="55">
        <f>_xll.EQNXTDZ($A$1,$B79,AT$5,$B$1)</f>
        <v>241125</v>
      </c>
      <c r="AU79" s="55">
        <f>_xll.EQNXTDZ($A$1,$B79,AU$5,$B$1)</f>
        <v>0</v>
      </c>
      <c r="AV79" s="55">
        <f>_xll.EQNXTDZ($A$1,$B79,AV$5,$B$1)</f>
        <v>241880</v>
      </c>
      <c r="AW79" s="55">
        <f>_xll.EQNXTDZ($A$1,$B79,AW$5,$B$1)</f>
        <v>0</v>
      </c>
      <c r="AX79" s="55">
        <f>_xll.EQNXTDZ($A$1,$B79,AX$5,$B$1)</f>
        <v>245161</v>
      </c>
      <c r="AY79" s="55">
        <f>_xll.EQNXTDZ($A$1,$B79,AY$5,$B$1)</f>
        <v>0</v>
      </c>
      <c r="AZ79" s="55">
        <f>_xll.EQNXTDZ($A$1,$B79,AZ$5,$B$1)</f>
        <v>248456</v>
      </c>
      <c r="BA79" s="55">
        <f>_xll.EQNXTDZ($A$1,$B79,BA$5,$B$1)</f>
        <v>0</v>
      </c>
      <c r="BB79" s="55">
        <f>_xll.EQNXTDZ($A$1,$B79,BB$5,$B$1)</f>
        <v>265576</v>
      </c>
      <c r="BC79" s="55">
        <f>_xll.EQNXTDZ($A$1,$B79,BC$5,$B$1)</f>
        <v>0</v>
      </c>
      <c r="BD79" s="55">
        <f>_xll.EQNXTDZ($A$1,$B79,BD$5,$B$1)</f>
        <v>267838</v>
      </c>
      <c r="BE79" s="55">
        <f>_xll.EQNXTDZ($A$1,$B79,BE$5,$B$1)</f>
        <v>0</v>
      </c>
      <c r="BF79" s="55">
        <f>_xll.EQNXTDZ($A$1,$B79,BF$5,$B$1)</f>
        <v>265820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28410</v>
      </c>
      <c r="E80" s="55">
        <f>_xll.EQNXTDZ($A$1,$B80,E$5,$B$1)</f>
        <v>0</v>
      </c>
      <c r="F80" s="55">
        <f>_xll.EQNXTDZ($A$1,$B80,F$5,$B$1)</f>
        <v>28869</v>
      </c>
      <c r="G80" s="55">
        <f>_xll.EQNXTDZ($A$1,$B80,G$5,$B$1)</f>
        <v>0</v>
      </c>
      <c r="H80" s="55">
        <f>_xll.EQNXTDZ($A$1,$B80,H$5,$B$1)</f>
        <v>34951</v>
      </c>
      <c r="I80" s="55">
        <f>_xll.EQNXTDZ($A$1,$B80,I$5,$B$1)</f>
        <v>0</v>
      </c>
      <c r="J80" s="55">
        <f>_xll.EQNXTDZ($A$1,$B80,J$5,$B$1)</f>
        <v>33735</v>
      </c>
      <c r="K80" s="55">
        <f>_xll.EQNXTDZ($A$1,$B80,K$5,$B$1)</f>
        <v>0</v>
      </c>
      <c r="L80" s="55">
        <f>_xll.EQNXTDZ($A$1,$B80,L$5,$B$1)</f>
        <v>39045</v>
      </c>
      <c r="M80" s="55">
        <f>_xll.EQNXTDZ($A$1,$B80,M$5,$B$1)</f>
        <v>0</v>
      </c>
      <c r="N80" s="55">
        <f>_xll.EQNXTDZ($A$1,$B80,N$5,$B$1)</f>
        <v>51014</v>
      </c>
      <c r="O80" s="55">
        <f>_xll.EQNXTDZ($A$1,$B80,O$5,$B$1)</f>
        <v>0</v>
      </c>
      <c r="P80" s="55">
        <f>_xll.EQNXTDZ($A$1,$B80,P$5,$B$1)</f>
        <v>53071</v>
      </c>
      <c r="Q80" s="55">
        <f>_xll.EQNXTDZ($A$1,$B80,Q$5,$B$1)</f>
        <v>0</v>
      </c>
      <c r="R80" s="55">
        <f>_xll.EQNXTDZ($A$1,$B80,R$5,$B$1)</f>
        <v>42503</v>
      </c>
      <c r="S80" s="55">
        <f>_xll.EQNXTDZ($A$1,$B80,S$5,$B$1)</f>
        <v>0</v>
      </c>
      <c r="T80" s="55">
        <f>_xll.EQNXTDZ($A$1,$B80,T$5,$B$1)</f>
        <v>43655</v>
      </c>
      <c r="U80" s="55">
        <f>_xll.EQNXTDZ($A$1,$B80,U$5,$B$1)</f>
        <v>0</v>
      </c>
      <c r="V80" s="55">
        <f>_xll.EQNXTDZ($A$1,$B80,V$5,$B$1)</f>
        <v>57260</v>
      </c>
      <c r="W80" s="55">
        <f>_xll.EQNXTDZ($A$1,$B80,W$5,$B$1)</f>
        <v>0</v>
      </c>
      <c r="X80" s="55">
        <f>_xll.EQNXTDZ($A$1,$B80,X$5,$B$1)</f>
        <v>57989</v>
      </c>
      <c r="Y80" s="55">
        <f>_xll.EQNXTDZ($A$1,$B80,Y$5,$B$1)</f>
        <v>0</v>
      </c>
      <c r="Z80" s="55">
        <f>_xll.EQNXTDZ($A$1,$B80,Z$5,$B$1)</f>
        <v>57603</v>
      </c>
      <c r="AA80" s="55">
        <f>_xll.EQNXTDZ($A$1,$B80,AA$5,$B$1)</f>
        <v>0</v>
      </c>
      <c r="AB80" s="55">
        <f>_xll.EQNXTDZ($A$1,$B80,AB$5,$B$1)</f>
        <v>56599</v>
      </c>
      <c r="AC80" s="55">
        <f>_xll.EQNXTDZ($A$1,$B80,AC$5,$B$1)</f>
        <v>0</v>
      </c>
      <c r="AD80" s="55">
        <f>_xll.EQNXTDZ($A$1,$B80,AD$5,$B$1)</f>
        <v>71023</v>
      </c>
      <c r="AE80" s="55">
        <f>_xll.EQNXTDZ($A$1,$B80,AE$5,$B$1)</f>
        <v>0</v>
      </c>
      <c r="AF80" s="55">
        <f>_xll.EQNXTDZ($A$1,$B80,AF$5,$B$1)</f>
        <v>68631</v>
      </c>
      <c r="AG80" s="55">
        <f>_xll.EQNXTDZ($A$1,$B80,AG$5,$B$1)</f>
        <v>0</v>
      </c>
      <c r="AH80" s="55">
        <f>_xll.EQNXTDZ($A$1,$B80,AH$5,$B$1)</f>
        <v>72915</v>
      </c>
      <c r="AI80" s="55">
        <f>_xll.EQNXTDZ($A$1,$B80,AI$5,$B$1)</f>
        <v>0</v>
      </c>
      <c r="AJ80" s="55">
        <f>_xll.EQNXTDZ($A$1,$B80,AJ$5,$B$1)</f>
        <v>117917</v>
      </c>
      <c r="AK80" s="55">
        <f>_xll.EQNXTDZ($A$1,$B80,AK$5,$B$1)</f>
        <v>0</v>
      </c>
      <c r="AL80" s="55">
        <f>_xll.EQNXTDZ($A$1,$B80,AL$5,$B$1)</f>
        <v>152446</v>
      </c>
      <c r="AM80" s="55">
        <f>_xll.EQNXTDZ($A$1,$B80,AM$5,$B$1)</f>
        <v>0</v>
      </c>
      <c r="AN80" s="55">
        <f>_xll.EQNXTDZ($A$1,$B80,AN$5,$B$1)</f>
        <v>152807</v>
      </c>
      <c r="AO80" s="55">
        <f>_xll.EQNXTDZ($A$1,$B80,AO$5,$B$1)</f>
        <v>0</v>
      </c>
      <c r="AP80" s="55">
        <f>_xll.EQNXTDZ($A$1,$B80,AP$5,$B$1)</f>
        <v>108118</v>
      </c>
      <c r="AQ80" s="55">
        <f>_xll.EQNXTDZ($A$1,$B80,AQ$5,$B$1)</f>
        <v>0</v>
      </c>
      <c r="AR80" s="55">
        <f>_xll.EQNXTDZ($A$1,$B80,AR$5,$B$1)</f>
        <v>70005</v>
      </c>
      <c r="AS80" s="55">
        <f>_xll.EQNXTDZ($A$1,$B80,AS$5,$B$1)</f>
        <v>0</v>
      </c>
      <c r="AT80" s="55">
        <f>_xll.EQNXTDZ($A$1,$B80,AT$5,$B$1)</f>
        <v>118473</v>
      </c>
      <c r="AU80" s="55">
        <f>_xll.EQNXTDZ($A$1,$B80,AU$5,$B$1)</f>
        <v>0</v>
      </c>
      <c r="AV80" s="55">
        <f>_xll.EQNXTDZ($A$1,$B80,AV$5,$B$1)</f>
        <v>104107</v>
      </c>
      <c r="AW80" s="55">
        <f>_xll.EQNXTDZ($A$1,$B80,AW$5,$B$1)</f>
        <v>0</v>
      </c>
      <c r="AX80" s="55">
        <f>_xll.EQNXTDZ($A$1,$B80,AX$5,$B$1)</f>
        <v>106170</v>
      </c>
      <c r="AY80" s="55">
        <f>_xll.EQNXTDZ($A$1,$B80,AY$5,$B$1)</f>
        <v>0</v>
      </c>
      <c r="AZ80" s="55">
        <f>_xll.EQNXTDZ($A$1,$B80,AZ$5,$B$1)</f>
        <v>124437</v>
      </c>
      <c r="BA80" s="55">
        <f>_xll.EQNXTDZ($A$1,$B80,BA$5,$B$1)</f>
        <v>0</v>
      </c>
      <c r="BB80" s="55">
        <f>_xll.EQNXTDZ($A$1,$B80,BB$5,$B$1)</f>
        <v>118709</v>
      </c>
      <c r="BC80" s="55">
        <f>_xll.EQNXTDZ($A$1,$B80,BC$5,$B$1)</f>
        <v>0</v>
      </c>
      <c r="BD80" s="55">
        <f>_xll.EQNXTDZ($A$1,$B80,BD$5,$B$1)</f>
        <v>112371</v>
      </c>
      <c r="BE80" s="55">
        <f>_xll.EQNXTDZ($A$1,$B80,BE$5,$B$1)</f>
        <v>0</v>
      </c>
      <c r="BF80" s="55">
        <f>_xll.EQNXTDZ($A$1,$B80,BF$5,$B$1)</f>
        <v>97431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39632</v>
      </c>
      <c r="E81" s="55">
        <f>_xll.EQNXTDZ($A$1,$B81,E$5,$B$1)</f>
        <v>0</v>
      </c>
      <c r="F81" s="55">
        <f>_xll.EQNXTDZ($A$1,$B81,F$5,$B$1)</f>
        <v>54601</v>
      </c>
      <c r="G81" s="55">
        <f>_xll.EQNXTDZ($A$1,$B81,G$5,$B$1)</f>
        <v>0</v>
      </c>
      <c r="H81" s="55">
        <f>_xll.EQNXTDZ($A$1,$B81,H$5,$B$1)</f>
        <v>47077</v>
      </c>
      <c r="I81" s="55">
        <f>_xll.EQNXTDZ($A$1,$B81,I$5,$B$1)</f>
        <v>0</v>
      </c>
      <c r="J81" s="55">
        <f>_xll.EQNXTDZ($A$1,$B81,J$5,$B$1)</f>
        <v>56720</v>
      </c>
      <c r="K81" s="55">
        <f>_xll.EQNXTDZ($A$1,$B81,K$5,$B$1)</f>
        <v>0</v>
      </c>
      <c r="L81" s="55">
        <f>_xll.EQNXTDZ($A$1,$B81,L$5,$B$1)</f>
        <v>62330</v>
      </c>
      <c r="M81" s="55">
        <f>_xll.EQNXTDZ($A$1,$B81,M$5,$B$1)</f>
        <v>0</v>
      </c>
      <c r="N81" s="55">
        <f>_xll.EQNXTDZ($A$1,$B81,N$5,$B$1)</f>
        <v>53248</v>
      </c>
      <c r="O81" s="55">
        <f>_xll.EQNXTDZ($A$1,$B81,O$5,$B$1)</f>
        <v>0</v>
      </c>
      <c r="P81" s="55">
        <f>_xll.EQNXTDZ($A$1,$B81,P$5,$B$1)</f>
        <v>55152</v>
      </c>
      <c r="Q81" s="55">
        <f>_xll.EQNXTDZ($A$1,$B81,Q$5,$B$1)</f>
        <v>0</v>
      </c>
      <c r="R81" s="55">
        <f>_xll.EQNXTDZ($A$1,$B81,R$5,$B$1)</f>
        <v>46486</v>
      </c>
      <c r="S81" s="55">
        <f>_xll.EQNXTDZ($A$1,$B81,S$5,$B$1)</f>
        <v>0</v>
      </c>
      <c r="T81" s="55">
        <f>_xll.EQNXTDZ($A$1,$B81,T$5,$B$1)</f>
        <v>51624</v>
      </c>
      <c r="U81" s="55">
        <f>_xll.EQNXTDZ($A$1,$B81,U$5,$B$1)</f>
        <v>0</v>
      </c>
      <c r="V81" s="55">
        <f>_xll.EQNXTDZ($A$1,$B81,V$5,$B$1)</f>
        <v>48951</v>
      </c>
      <c r="W81" s="55">
        <f>_xll.EQNXTDZ($A$1,$B81,W$5,$B$1)</f>
        <v>0</v>
      </c>
      <c r="X81" s="55">
        <f>_xll.EQNXTDZ($A$1,$B81,X$5,$B$1)</f>
        <v>53129</v>
      </c>
      <c r="Y81" s="55">
        <f>_xll.EQNXTDZ($A$1,$B81,Y$5,$B$1)</f>
        <v>0</v>
      </c>
      <c r="Z81" s="55">
        <f>_xll.EQNXTDZ($A$1,$B81,Z$5,$B$1)</f>
        <v>60837</v>
      </c>
      <c r="AA81" s="55">
        <f>_xll.EQNXTDZ($A$1,$B81,AA$5,$B$1)</f>
        <v>0</v>
      </c>
      <c r="AB81" s="55">
        <f>_xll.EQNXTDZ($A$1,$B81,AB$5,$B$1)</f>
        <v>76252</v>
      </c>
      <c r="AC81" s="55">
        <f>_xll.EQNXTDZ($A$1,$B81,AC$5,$B$1)</f>
        <v>0</v>
      </c>
      <c r="AD81" s="55">
        <f>_xll.EQNXTDZ($A$1,$B81,AD$5,$B$1)</f>
        <v>67561</v>
      </c>
      <c r="AE81" s="55">
        <f>_xll.EQNXTDZ($A$1,$B81,AE$5,$B$1)</f>
        <v>0</v>
      </c>
      <c r="AF81" s="55">
        <f>_xll.EQNXTDZ($A$1,$B81,AF$5,$B$1)</f>
        <v>72231</v>
      </c>
      <c r="AG81" s="55">
        <f>_xll.EQNXTDZ($A$1,$B81,AG$5,$B$1)</f>
        <v>0</v>
      </c>
      <c r="AH81" s="55">
        <f>_xll.EQNXTDZ($A$1,$B81,AH$5,$B$1)</f>
        <v>73903</v>
      </c>
      <c r="AI81" s="55">
        <f>_xll.EQNXTDZ($A$1,$B81,AI$5,$B$1)</f>
        <v>0</v>
      </c>
      <c r="AJ81" s="55">
        <f>_xll.EQNXTDZ($A$1,$B81,AJ$5,$B$1)</f>
        <v>76390</v>
      </c>
      <c r="AK81" s="55">
        <f>_xll.EQNXTDZ($A$1,$B81,AK$5,$B$1)</f>
        <v>0</v>
      </c>
      <c r="AL81" s="55">
        <f>_xll.EQNXTDZ($A$1,$B81,AL$5,$B$1)</f>
        <v>81672</v>
      </c>
      <c r="AM81" s="55">
        <f>_xll.EQNXTDZ($A$1,$B81,AM$5,$B$1)</f>
        <v>0</v>
      </c>
      <c r="AN81" s="55">
        <f>_xll.EQNXTDZ($A$1,$B81,AN$5,$B$1)</f>
        <v>92622</v>
      </c>
      <c r="AO81" s="55">
        <f>_xll.EQNXTDZ($A$1,$B81,AO$5,$B$1)</f>
        <v>0</v>
      </c>
      <c r="AP81" s="55">
        <f>_xll.EQNXTDZ($A$1,$B81,AP$5,$B$1)</f>
        <v>107778</v>
      </c>
      <c r="AQ81" s="55">
        <f>_xll.EQNXTDZ($A$1,$B81,AQ$5,$B$1)</f>
        <v>0</v>
      </c>
      <c r="AR81" s="55">
        <f>_xll.EQNXTDZ($A$1,$B81,AR$5,$B$1)</f>
        <v>132817</v>
      </c>
      <c r="AS81" s="55">
        <f>_xll.EQNXTDZ($A$1,$B81,AS$5,$B$1)</f>
        <v>0</v>
      </c>
      <c r="AT81" s="55">
        <f>_xll.EQNXTDZ($A$1,$B81,AT$5,$B$1)</f>
        <v>140008</v>
      </c>
      <c r="AU81" s="55">
        <f>_xll.EQNXTDZ($A$1,$B81,AU$5,$B$1)</f>
        <v>0</v>
      </c>
      <c r="AV81" s="55">
        <f>_xll.EQNXTDZ($A$1,$B81,AV$5,$B$1)</f>
        <v>146258</v>
      </c>
      <c r="AW81" s="55">
        <f>_xll.EQNXTDZ($A$1,$B81,AW$5,$B$1)</f>
        <v>0</v>
      </c>
      <c r="AX81" s="55">
        <f>_xll.EQNXTDZ($A$1,$B81,AX$5,$B$1)</f>
        <v>152770</v>
      </c>
      <c r="AY81" s="55">
        <f>_xll.EQNXTDZ($A$1,$B81,AY$5,$B$1)</f>
        <v>0</v>
      </c>
      <c r="AZ81" s="55">
        <f>_xll.EQNXTDZ($A$1,$B81,AZ$5,$B$1)</f>
        <v>160950</v>
      </c>
      <c r="BA81" s="55">
        <f>_xll.EQNXTDZ($A$1,$B81,BA$5,$B$1)</f>
        <v>0</v>
      </c>
      <c r="BB81" s="55">
        <f>_xll.EQNXTDZ($A$1,$B81,BB$5,$B$1)</f>
        <v>146062</v>
      </c>
      <c r="BC81" s="55">
        <f>_xll.EQNXTDZ($A$1,$B81,BC$5,$B$1)</f>
        <v>0</v>
      </c>
      <c r="BD81" s="55">
        <f>_xll.EQNXTDZ($A$1,$B81,BD$5,$B$1)</f>
        <v>161508</v>
      </c>
      <c r="BE81" s="55">
        <f>_xll.EQNXTDZ($A$1,$B81,BE$5,$B$1)</f>
        <v>0</v>
      </c>
      <c r="BF81" s="55">
        <f>_xll.EQNXTDZ($A$1,$B81,BF$5,$B$1)</f>
        <v>166941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17105</v>
      </c>
      <c r="E82" s="55">
        <f>_xll.EQNXTDZ($A$1,$B82,E$5,$B$1)</f>
        <v>0</v>
      </c>
      <c r="F82" s="55">
        <f>_xll.EQNXTDZ($A$1,$B82,F$5,$B$1)</f>
        <v>9750</v>
      </c>
      <c r="G82" s="55">
        <f>_xll.EQNXTDZ($A$1,$B82,G$5,$B$1)</f>
        <v>0</v>
      </c>
      <c r="H82" s="55">
        <f>_xll.EQNXTDZ($A$1,$B82,H$5,$B$1)</f>
        <v>11016</v>
      </c>
      <c r="I82" s="55">
        <f>_xll.EQNXTDZ($A$1,$B82,I$5,$B$1)</f>
        <v>0</v>
      </c>
      <c r="J82" s="55">
        <f>_xll.EQNXTDZ($A$1,$B82,J$5,$B$1)</f>
        <v>9411</v>
      </c>
      <c r="K82" s="55">
        <f>_xll.EQNXTDZ($A$1,$B82,K$5,$B$1)</f>
        <v>0</v>
      </c>
      <c r="L82" s="55">
        <f>_xll.EQNXTDZ($A$1,$B82,L$5,$B$1)</f>
        <v>10921</v>
      </c>
      <c r="M82" s="55">
        <f>_xll.EQNXTDZ($A$1,$B82,M$5,$B$1)</f>
        <v>0</v>
      </c>
      <c r="N82" s="55">
        <f>_xll.EQNXTDZ($A$1,$B82,N$5,$B$1)</f>
        <v>5315</v>
      </c>
      <c r="O82" s="55">
        <f>_xll.EQNXTDZ($A$1,$B82,O$5,$B$1)</f>
        <v>0</v>
      </c>
      <c r="P82" s="55">
        <f>_xll.EQNXTDZ($A$1,$B82,P$5,$B$1)</f>
        <v>9161</v>
      </c>
      <c r="Q82" s="55">
        <f>_xll.EQNXTDZ($A$1,$B82,Q$5,$B$1)</f>
        <v>0</v>
      </c>
      <c r="R82" s="55">
        <f>_xll.EQNXTDZ($A$1,$B82,R$5,$B$1)</f>
        <v>4465</v>
      </c>
      <c r="S82" s="55">
        <f>_xll.EQNXTDZ($A$1,$B82,S$5,$B$1)</f>
        <v>0</v>
      </c>
      <c r="T82" s="55">
        <f>_xll.EQNXTDZ($A$1,$B82,T$5,$B$1)</f>
        <v>6197</v>
      </c>
      <c r="U82" s="55">
        <f>_xll.EQNXTDZ($A$1,$B82,U$5,$B$1)</f>
        <v>0</v>
      </c>
      <c r="V82" s="55">
        <f>_xll.EQNXTDZ($A$1,$B82,V$5,$B$1)</f>
        <v>8177</v>
      </c>
      <c r="W82" s="55">
        <f>_xll.EQNXTDZ($A$1,$B82,W$5,$B$1)</f>
        <v>0</v>
      </c>
      <c r="X82" s="55">
        <f>_xll.EQNXTDZ($A$1,$B82,X$5,$B$1)</f>
        <v>11345</v>
      </c>
      <c r="Y82" s="55">
        <f>_xll.EQNXTDZ($A$1,$B82,Y$5,$B$1)</f>
        <v>0</v>
      </c>
      <c r="Z82" s="55">
        <f>_xll.EQNXTDZ($A$1,$B82,Z$5,$B$1)</f>
        <v>17555</v>
      </c>
      <c r="AA82" s="55">
        <f>_xll.EQNXTDZ($A$1,$B82,AA$5,$B$1)</f>
        <v>0</v>
      </c>
      <c r="AB82" s="55">
        <f>_xll.EQNXTDZ($A$1,$B82,AB$5,$B$1)</f>
        <v>21309</v>
      </c>
      <c r="AC82" s="55">
        <f>_xll.EQNXTDZ($A$1,$B82,AC$5,$B$1)</f>
        <v>0</v>
      </c>
      <c r="AD82" s="55">
        <f>_xll.EQNXTDZ($A$1,$B82,AD$5,$B$1)</f>
        <v>30089</v>
      </c>
      <c r="AE82" s="55">
        <f>_xll.EQNXTDZ($A$1,$B82,AE$5,$B$1)</f>
        <v>0</v>
      </c>
      <c r="AF82" s="55">
        <f>_xll.EQNXTDZ($A$1,$B82,AF$5,$B$1)</f>
        <v>21364</v>
      </c>
      <c r="AG82" s="55">
        <f>_xll.EQNXTDZ($A$1,$B82,AG$5,$B$1)</f>
        <v>0</v>
      </c>
      <c r="AH82" s="55">
        <f>_xll.EQNXTDZ($A$1,$B82,AH$5,$B$1)</f>
        <v>19656</v>
      </c>
      <c r="AI82" s="55">
        <f>_xll.EQNXTDZ($A$1,$B82,AI$5,$B$1)</f>
        <v>0</v>
      </c>
      <c r="AJ82" s="55">
        <f>_xll.EQNXTDZ($A$1,$B82,AJ$5,$B$1)</f>
        <v>15636</v>
      </c>
      <c r="AK82" s="55">
        <f>_xll.EQNXTDZ($A$1,$B82,AK$5,$B$1)</f>
        <v>0</v>
      </c>
      <c r="AL82" s="55">
        <f>_xll.EQNXTDZ($A$1,$B82,AL$5,$B$1)</f>
        <v>19014</v>
      </c>
      <c r="AM82" s="55">
        <f>_xll.EQNXTDZ($A$1,$B82,AM$5,$B$1)</f>
        <v>0</v>
      </c>
      <c r="AN82" s="55">
        <f>_xll.EQNXTDZ($A$1,$B82,AN$5,$B$1)</f>
        <v>17475</v>
      </c>
      <c r="AO82" s="55">
        <f>_xll.EQNXTDZ($A$1,$B82,AO$5,$B$1)</f>
        <v>0</v>
      </c>
      <c r="AP82" s="55">
        <f>_xll.EQNXTDZ($A$1,$B82,AP$5,$B$1)</f>
        <v>23640</v>
      </c>
      <c r="AQ82" s="55">
        <f>_xll.EQNXTDZ($A$1,$B82,AQ$5,$B$1)</f>
        <v>0</v>
      </c>
      <c r="AR82" s="55">
        <f>_xll.EQNXTDZ($A$1,$B82,AR$5,$B$1)</f>
        <v>25836</v>
      </c>
      <c r="AS82" s="55">
        <f>_xll.EQNXTDZ($A$1,$B82,AS$5,$B$1)</f>
        <v>0</v>
      </c>
      <c r="AT82" s="55">
        <f>_xll.EQNXTDZ($A$1,$B82,AT$5,$B$1)</f>
        <v>28448</v>
      </c>
      <c r="AU82" s="55">
        <f>_xll.EQNXTDZ($A$1,$B82,AU$5,$B$1)</f>
        <v>0</v>
      </c>
      <c r="AV82" s="55">
        <f>_xll.EQNXTDZ($A$1,$B82,AV$5,$B$1)</f>
        <v>36936</v>
      </c>
      <c r="AW82" s="55">
        <f>_xll.EQNXTDZ($A$1,$B82,AW$5,$B$1)</f>
        <v>0</v>
      </c>
      <c r="AX82" s="55">
        <f>_xll.EQNXTDZ($A$1,$B82,AX$5,$B$1)</f>
        <v>31628</v>
      </c>
      <c r="AY82" s="55">
        <f>_xll.EQNXTDZ($A$1,$B82,AY$5,$B$1)</f>
        <v>0</v>
      </c>
      <c r="AZ82" s="55">
        <f>_xll.EQNXTDZ($A$1,$B82,AZ$5,$B$1)</f>
        <v>30121</v>
      </c>
      <c r="BA82" s="55">
        <f>_xll.EQNXTDZ($A$1,$B82,BA$5,$B$1)</f>
        <v>0</v>
      </c>
      <c r="BB82" s="55">
        <f>_xll.EQNXTDZ($A$1,$B82,BB$5,$B$1)</f>
        <v>42121</v>
      </c>
      <c r="BC82" s="55">
        <f>_xll.EQNXTDZ($A$1,$B82,BC$5,$B$1)</f>
        <v>0</v>
      </c>
      <c r="BD82" s="55">
        <f>_xll.EQNXTDZ($A$1,$B82,BD$5,$B$1)</f>
        <v>44903</v>
      </c>
      <c r="BE82" s="55">
        <f>_xll.EQNXTDZ($A$1,$B82,BE$5,$B$1)</f>
        <v>0</v>
      </c>
      <c r="BF82" s="55">
        <f>_xll.EQNXTDZ($A$1,$B82,BF$5,$B$1)</f>
        <v>58491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43643</v>
      </c>
      <c r="E83" s="55">
        <f>_xll.EQNXTDZ($A$1,$B83,E$5,$B$1)</f>
        <v>0</v>
      </c>
      <c r="F83" s="55">
        <f>_xll.EQNXTDZ($A$1,$B83,F$5,$B$1)</f>
        <v>50456</v>
      </c>
      <c r="G83" s="55">
        <f>_xll.EQNXTDZ($A$1,$B83,G$5,$B$1)</f>
        <v>0</v>
      </c>
      <c r="H83" s="55">
        <f>_xll.EQNXTDZ($A$1,$B83,H$5,$B$1)</f>
        <v>43429</v>
      </c>
      <c r="I83" s="55">
        <f>_xll.EQNXTDZ($A$1,$B83,I$5,$B$1)</f>
        <v>0</v>
      </c>
      <c r="J83" s="55">
        <f>_xll.EQNXTDZ($A$1,$B83,J$5,$B$1)</f>
        <v>37984</v>
      </c>
      <c r="K83" s="55">
        <f>_xll.EQNXTDZ($A$1,$B83,K$5,$B$1)</f>
        <v>0</v>
      </c>
      <c r="L83" s="55">
        <f>_xll.EQNXTDZ($A$1,$B83,L$5,$B$1)</f>
        <v>27322</v>
      </c>
      <c r="M83" s="55">
        <f>_xll.EQNXTDZ($A$1,$B83,M$5,$B$1)</f>
        <v>0</v>
      </c>
      <c r="N83" s="55">
        <f>_xll.EQNXTDZ($A$1,$B83,N$5,$B$1)</f>
        <v>12545</v>
      </c>
      <c r="O83" s="55">
        <f>_xll.EQNXTDZ($A$1,$B83,O$5,$B$1)</f>
        <v>0</v>
      </c>
      <c r="P83" s="55">
        <f>_xll.EQNXTDZ($A$1,$B83,P$5,$B$1)</f>
        <v>7401</v>
      </c>
      <c r="Q83" s="55">
        <f>_xll.EQNXTDZ($A$1,$B83,Q$5,$B$1)</f>
        <v>0</v>
      </c>
      <c r="R83" s="55">
        <f>_xll.EQNXTDZ($A$1,$B83,R$5,$B$1)</f>
        <v>11028</v>
      </c>
      <c r="S83" s="55">
        <f>_xll.EQNXTDZ($A$1,$B83,S$5,$B$1)</f>
        <v>0</v>
      </c>
      <c r="T83" s="55">
        <f>_xll.EQNXTDZ($A$1,$B83,T$5,$B$1)</f>
        <v>5359</v>
      </c>
      <c r="U83" s="55">
        <f>_xll.EQNXTDZ($A$1,$B83,U$5,$B$1)</f>
        <v>0</v>
      </c>
      <c r="V83" s="55">
        <f>_xll.EQNXTDZ($A$1,$B83,V$5,$B$1)</f>
        <v>3023</v>
      </c>
      <c r="W83" s="55">
        <f>_xll.EQNXTDZ($A$1,$B83,W$5,$B$1)</f>
        <v>0</v>
      </c>
      <c r="X83" s="55">
        <f>_xll.EQNXTDZ($A$1,$B83,X$5,$B$1)</f>
        <v>1998</v>
      </c>
      <c r="Y83" s="55">
        <f>_xll.EQNXTDZ($A$1,$B83,Y$5,$B$1)</f>
        <v>0</v>
      </c>
      <c r="Z83" s="55">
        <f>_xll.EQNXTDZ($A$1,$B83,Z$5,$B$1)</f>
        <v>4255</v>
      </c>
      <c r="AA83" s="55">
        <f>_xll.EQNXTDZ($A$1,$B83,AA$5,$B$1)</f>
        <v>0</v>
      </c>
      <c r="AB83" s="55">
        <f>_xll.EQNXTDZ($A$1,$B83,AB$5,$B$1)</f>
        <v>4061</v>
      </c>
      <c r="AC83" s="55">
        <f>_xll.EQNXTDZ($A$1,$B83,AC$5,$B$1)</f>
        <v>0</v>
      </c>
      <c r="AD83" s="55">
        <f>_xll.EQNXTDZ($A$1,$B83,AD$5,$B$1)</f>
        <v>11081</v>
      </c>
      <c r="AE83" s="55">
        <f>_xll.EQNXTDZ($A$1,$B83,AE$5,$B$1)</f>
        <v>0</v>
      </c>
      <c r="AF83" s="55">
        <f>_xll.EQNXTDZ($A$1,$B83,AF$5,$B$1)</f>
        <v>12781</v>
      </c>
      <c r="AG83" s="55">
        <f>_xll.EQNXTDZ($A$1,$B83,AG$5,$B$1)</f>
        <v>0</v>
      </c>
      <c r="AH83" s="55">
        <f>_xll.EQNXTDZ($A$1,$B83,AH$5,$B$1)</f>
        <v>30920</v>
      </c>
      <c r="AI83" s="55">
        <f>_xll.EQNXTDZ($A$1,$B83,AI$5,$B$1)</f>
        <v>0</v>
      </c>
      <c r="AJ83" s="55">
        <f>_xll.EQNXTDZ($A$1,$B83,AJ$5,$B$1)</f>
        <v>15874</v>
      </c>
      <c r="AK83" s="55">
        <f>_xll.EQNXTDZ($A$1,$B83,AK$5,$B$1)</f>
        <v>0</v>
      </c>
      <c r="AL83" s="55">
        <f>_xll.EQNXTDZ($A$1,$B83,AL$5,$B$1)</f>
        <v>17397</v>
      </c>
      <c r="AM83" s="55">
        <f>_xll.EQNXTDZ($A$1,$B83,AM$5,$B$1)</f>
        <v>0</v>
      </c>
      <c r="AN83" s="55">
        <f>_xll.EQNXTDZ($A$1,$B83,AN$5,$B$1)</f>
        <v>19074</v>
      </c>
      <c r="AO83" s="55">
        <f>_xll.EQNXTDZ($A$1,$B83,AO$5,$B$1)</f>
        <v>0</v>
      </c>
      <c r="AP83" s="55">
        <f>_xll.EQNXTDZ($A$1,$B83,AP$5,$B$1)</f>
        <v>36178</v>
      </c>
      <c r="AQ83" s="55">
        <f>_xll.EQNXTDZ($A$1,$B83,AQ$5,$B$1)</f>
        <v>0</v>
      </c>
      <c r="AR83" s="55">
        <f>_xll.EQNXTDZ($A$1,$B83,AR$5,$B$1)</f>
        <v>48258</v>
      </c>
      <c r="AS83" s="55">
        <f>_xll.EQNXTDZ($A$1,$B83,AS$5,$B$1)</f>
        <v>0</v>
      </c>
      <c r="AT83" s="55">
        <f>_xll.EQNXTDZ($A$1,$B83,AT$5,$B$1)</f>
        <v>68664</v>
      </c>
      <c r="AU83" s="55">
        <f>_xll.EQNXTDZ($A$1,$B83,AU$5,$B$1)</f>
        <v>0</v>
      </c>
      <c r="AV83" s="55">
        <f>_xll.EQNXTDZ($A$1,$B83,AV$5,$B$1)</f>
        <v>68827</v>
      </c>
      <c r="AW83" s="55">
        <f>_xll.EQNXTDZ($A$1,$B83,AW$5,$B$1)</f>
        <v>0</v>
      </c>
      <c r="AX83" s="55">
        <f>_xll.EQNXTDZ($A$1,$B83,AX$5,$B$1)</f>
        <v>97225</v>
      </c>
      <c r="AY83" s="55">
        <f>_xll.EQNXTDZ($A$1,$B83,AY$5,$B$1)</f>
        <v>0</v>
      </c>
      <c r="AZ83" s="55">
        <f>_xll.EQNXTDZ($A$1,$B83,AZ$5,$B$1)</f>
        <v>90353</v>
      </c>
      <c r="BA83" s="55">
        <f>_xll.EQNXTDZ($A$1,$B83,BA$5,$B$1)</f>
        <v>0</v>
      </c>
      <c r="BB83" s="55">
        <f>_xll.EQNXTDZ($A$1,$B83,BB$5,$B$1)</f>
        <v>106502</v>
      </c>
      <c r="BC83" s="55">
        <f>_xll.EQNXTDZ($A$1,$B83,BC$5,$B$1)</f>
        <v>0</v>
      </c>
      <c r="BD83" s="55">
        <f>_xll.EQNXTDZ($A$1,$B83,BD$5,$B$1)</f>
        <v>111500</v>
      </c>
      <c r="BE83" s="55">
        <f>_xll.EQNXTDZ($A$1,$B83,BE$5,$B$1)</f>
        <v>0</v>
      </c>
      <c r="BF83" s="55">
        <f>_xll.EQNXTDZ($A$1,$B83,BF$5,$B$1)</f>
        <v>145977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523</v>
      </c>
      <c r="E84" s="55">
        <f>_xll.EQNXTDZ($A$1,$B84,E$5,$B$1)</f>
        <v>0</v>
      </c>
      <c r="F84" s="55">
        <f>_xll.EQNXTDZ($A$1,$B84,F$5,$B$1)</f>
        <v>1783</v>
      </c>
      <c r="G84" s="55">
        <f>_xll.EQNXTDZ($A$1,$B84,G$5,$B$1)</f>
        <v>0</v>
      </c>
      <c r="H84" s="55">
        <f>_xll.EQNXTDZ($A$1,$B84,H$5,$B$1)</f>
        <v>624</v>
      </c>
      <c r="I84" s="55">
        <f>_xll.EQNXTDZ($A$1,$B84,I$5,$B$1)</f>
        <v>0</v>
      </c>
      <c r="J84" s="55">
        <f>_xll.EQNXTDZ($A$1,$B84,J$5,$B$1)</f>
        <v>3254</v>
      </c>
      <c r="K84" s="55">
        <f>_xll.EQNXTDZ($A$1,$B84,K$5,$B$1)</f>
        <v>0</v>
      </c>
      <c r="L84" s="55">
        <f>_xll.EQNXTDZ($A$1,$B84,L$5,$B$1)</f>
        <v>3351</v>
      </c>
      <c r="M84" s="55">
        <f>_xll.EQNXTDZ($A$1,$B84,M$5,$B$1)</f>
        <v>0</v>
      </c>
      <c r="N84" s="55">
        <f>_xll.EQNXTDZ($A$1,$B84,N$5,$B$1)</f>
        <v>3284</v>
      </c>
      <c r="O84" s="55">
        <f>_xll.EQNXTDZ($A$1,$B84,O$5,$B$1)</f>
        <v>0</v>
      </c>
      <c r="P84" s="55">
        <f>_xll.EQNXTDZ($A$1,$B84,P$5,$B$1)</f>
        <v>10383</v>
      </c>
      <c r="Q84" s="55">
        <f>_xll.EQNXTDZ($A$1,$B84,Q$5,$B$1)</f>
        <v>0</v>
      </c>
      <c r="R84" s="55">
        <f>_xll.EQNXTDZ($A$1,$B84,R$5,$B$1)</f>
        <v>22462</v>
      </c>
      <c r="S84" s="55">
        <f>_xll.EQNXTDZ($A$1,$B84,S$5,$B$1)</f>
        <v>0</v>
      </c>
      <c r="T84" s="55">
        <f>_xll.EQNXTDZ($A$1,$B84,T$5,$B$1)</f>
        <v>24528</v>
      </c>
      <c r="U84" s="55">
        <f>_xll.EQNXTDZ($A$1,$B84,U$5,$B$1)</f>
        <v>0</v>
      </c>
      <c r="V84" s="55">
        <f>_xll.EQNXTDZ($A$1,$B84,V$5,$B$1)</f>
        <v>28406</v>
      </c>
      <c r="W84" s="55">
        <f>_xll.EQNXTDZ($A$1,$B84,W$5,$B$1)</f>
        <v>0</v>
      </c>
      <c r="X84" s="55">
        <f>_xll.EQNXTDZ($A$1,$B84,X$5,$B$1)</f>
        <v>34918</v>
      </c>
      <c r="Y84" s="55">
        <f>_xll.EQNXTDZ($A$1,$B84,Y$5,$B$1)</f>
        <v>0</v>
      </c>
      <c r="Z84" s="55">
        <f>_xll.EQNXTDZ($A$1,$B84,Z$5,$B$1)</f>
        <v>41209</v>
      </c>
      <c r="AA84" s="55">
        <f>_xll.EQNXTDZ($A$1,$B84,AA$5,$B$1)</f>
        <v>0</v>
      </c>
      <c r="AB84" s="55">
        <f>_xll.EQNXTDZ($A$1,$B84,AB$5,$B$1)</f>
        <v>46938</v>
      </c>
      <c r="AC84" s="55">
        <f>_xll.EQNXTDZ($A$1,$B84,AC$5,$B$1)</f>
        <v>0</v>
      </c>
      <c r="AD84" s="55">
        <f>_xll.EQNXTDZ($A$1,$B84,AD$5,$B$1)</f>
        <v>51754</v>
      </c>
      <c r="AE84" s="55">
        <f>_xll.EQNXTDZ($A$1,$B84,AE$5,$B$1)</f>
        <v>0</v>
      </c>
      <c r="AF84" s="55">
        <f>_xll.EQNXTDZ($A$1,$B84,AF$5,$B$1)</f>
        <v>39924</v>
      </c>
      <c r="AG84" s="55">
        <f>_xll.EQNXTDZ($A$1,$B84,AG$5,$B$1)</f>
        <v>0</v>
      </c>
      <c r="AH84" s="55">
        <f>_xll.EQNXTDZ($A$1,$B84,AH$5,$B$1)</f>
        <v>60197</v>
      </c>
      <c r="AI84" s="55">
        <f>_xll.EQNXTDZ($A$1,$B84,AI$5,$B$1)</f>
        <v>0</v>
      </c>
      <c r="AJ84" s="55">
        <f>_xll.EQNXTDZ($A$1,$B84,AJ$5,$B$1)</f>
        <v>62927</v>
      </c>
      <c r="AK84" s="55">
        <f>_xll.EQNXTDZ($A$1,$B84,AK$5,$B$1)</f>
        <v>0</v>
      </c>
      <c r="AL84" s="55">
        <f>_xll.EQNXTDZ($A$1,$B84,AL$5,$B$1)</f>
        <v>102417</v>
      </c>
      <c r="AM84" s="55">
        <f>_xll.EQNXTDZ($A$1,$B84,AM$5,$B$1)</f>
        <v>0</v>
      </c>
      <c r="AN84" s="55">
        <f>_xll.EQNXTDZ($A$1,$B84,AN$5,$B$1)</f>
        <v>89597</v>
      </c>
      <c r="AO84" s="55">
        <f>_xll.EQNXTDZ($A$1,$B84,AO$5,$B$1)</f>
        <v>0</v>
      </c>
      <c r="AP84" s="55">
        <f>_xll.EQNXTDZ($A$1,$B84,AP$5,$B$1)</f>
        <v>71175</v>
      </c>
      <c r="AQ84" s="55">
        <f>_xll.EQNXTDZ($A$1,$B84,AQ$5,$B$1)</f>
        <v>0</v>
      </c>
      <c r="AR84" s="55">
        <f>_xll.EQNXTDZ($A$1,$B84,AR$5,$B$1)</f>
        <v>73344</v>
      </c>
      <c r="AS84" s="55">
        <f>_xll.EQNXTDZ($A$1,$B84,AS$5,$B$1)</f>
        <v>0</v>
      </c>
      <c r="AT84" s="55">
        <f>_xll.EQNXTDZ($A$1,$B84,AT$5,$B$1)</f>
        <v>69527</v>
      </c>
      <c r="AU84" s="55">
        <f>_xll.EQNXTDZ($A$1,$B84,AU$5,$B$1)</f>
        <v>0</v>
      </c>
      <c r="AV84" s="55">
        <f>_xll.EQNXTDZ($A$1,$B84,AV$5,$B$1)</f>
        <v>81358</v>
      </c>
      <c r="AW84" s="55">
        <f>_xll.EQNXTDZ($A$1,$B84,AW$5,$B$1)</f>
        <v>0</v>
      </c>
      <c r="AX84" s="55">
        <f>_xll.EQNXTDZ($A$1,$B84,AX$5,$B$1)</f>
        <v>79790</v>
      </c>
      <c r="AY84" s="55">
        <f>_xll.EQNXTDZ($A$1,$B84,AY$5,$B$1)</f>
        <v>0</v>
      </c>
      <c r="AZ84" s="55">
        <f>_xll.EQNXTDZ($A$1,$B84,AZ$5,$B$1)</f>
        <v>67910</v>
      </c>
      <c r="BA84" s="55">
        <f>_xll.EQNXTDZ($A$1,$B84,BA$5,$B$1)</f>
        <v>0</v>
      </c>
      <c r="BB84" s="55">
        <f>_xll.EQNXTDZ($A$1,$B84,BB$5,$B$1)</f>
        <v>80694</v>
      </c>
      <c r="BC84" s="55">
        <f>_xll.EQNXTDZ($A$1,$B84,BC$5,$B$1)</f>
        <v>0</v>
      </c>
      <c r="BD84" s="55">
        <f>_xll.EQNXTDZ($A$1,$B84,BD$5,$B$1)</f>
        <v>76089</v>
      </c>
      <c r="BE84" s="55">
        <f>_xll.EQNXTDZ($A$1,$B84,BE$5,$B$1)</f>
        <v>0</v>
      </c>
      <c r="BF84" s="55">
        <f>_xll.EQNXTDZ($A$1,$B84,BF$5,$B$1)</f>
        <v>120539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13372</v>
      </c>
      <c r="E85" s="55">
        <f>_xll.EQNXTDZ($A$1,$B85,E$5,$B$1)</f>
        <v>0</v>
      </c>
      <c r="F85" s="55">
        <f>_xll.EQNXTDZ($A$1,$B85,F$5,$B$1)</f>
        <v>10455</v>
      </c>
      <c r="G85" s="55">
        <f>_xll.EQNXTDZ($A$1,$B85,G$5,$B$1)</f>
        <v>0</v>
      </c>
      <c r="H85" s="55">
        <f>_xll.EQNXTDZ($A$1,$B85,H$5,$B$1)</f>
        <v>15363</v>
      </c>
      <c r="I85" s="55">
        <f>_xll.EQNXTDZ($A$1,$B85,I$5,$B$1)</f>
        <v>0</v>
      </c>
      <c r="J85" s="55">
        <f>_xll.EQNXTDZ($A$1,$B85,J$5,$B$1)</f>
        <v>9965</v>
      </c>
      <c r="K85" s="55">
        <f>_xll.EQNXTDZ($A$1,$B85,K$5,$B$1)</f>
        <v>0</v>
      </c>
      <c r="L85" s="55">
        <f>_xll.EQNXTDZ($A$1,$B85,L$5,$B$1)</f>
        <v>11343</v>
      </c>
      <c r="M85" s="55">
        <f>_xll.EQNXTDZ($A$1,$B85,M$5,$B$1)</f>
        <v>0</v>
      </c>
      <c r="N85" s="55">
        <f>_xll.EQNXTDZ($A$1,$B85,N$5,$B$1)</f>
        <v>11171</v>
      </c>
      <c r="O85" s="55">
        <f>_xll.EQNXTDZ($A$1,$B85,O$5,$B$1)</f>
        <v>0</v>
      </c>
      <c r="P85" s="55">
        <f>_xll.EQNXTDZ($A$1,$B85,P$5,$B$1)</f>
        <v>14219</v>
      </c>
      <c r="Q85" s="55">
        <f>_xll.EQNXTDZ($A$1,$B85,Q$5,$B$1)</f>
        <v>0</v>
      </c>
      <c r="R85" s="55">
        <f>_xll.EQNXTDZ($A$1,$B85,R$5,$B$1)</f>
        <v>841</v>
      </c>
      <c r="S85" s="55">
        <f>_xll.EQNXTDZ($A$1,$B85,S$5,$B$1)</f>
        <v>0</v>
      </c>
      <c r="T85" s="55">
        <f>_xll.EQNXTDZ($A$1,$B85,T$5,$B$1)</f>
        <v>693</v>
      </c>
      <c r="U85" s="55">
        <f>_xll.EQNXTDZ($A$1,$B85,U$5,$B$1)</f>
        <v>0</v>
      </c>
      <c r="V85" s="55">
        <f>_xll.EQNXTDZ($A$1,$B85,V$5,$B$1)</f>
        <v>996</v>
      </c>
      <c r="W85" s="55">
        <f>_xll.EQNXTDZ($A$1,$B85,W$5,$B$1)</f>
        <v>0</v>
      </c>
      <c r="X85" s="55">
        <f>_xll.EQNXTDZ($A$1,$B85,X$5,$B$1)</f>
        <v>2425</v>
      </c>
      <c r="Y85" s="55">
        <f>_xll.EQNXTDZ($A$1,$B85,Y$5,$B$1)</f>
        <v>0</v>
      </c>
      <c r="Z85" s="55">
        <f>_xll.EQNXTDZ($A$1,$B85,Z$5,$B$1)</f>
        <v>2327</v>
      </c>
      <c r="AA85" s="55">
        <f>_xll.EQNXTDZ($A$1,$B85,AA$5,$B$1)</f>
        <v>0</v>
      </c>
      <c r="AB85" s="55">
        <f>_xll.EQNXTDZ($A$1,$B85,AB$5,$B$1)</f>
        <v>1664</v>
      </c>
      <c r="AC85" s="55">
        <f>_xll.EQNXTDZ($A$1,$B85,AC$5,$B$1)</f>
        <v>0</v>
      </c>
      <c r="AD85" s="55">
        <f>_xll.EQNXTDZ($A$1,$B85,AD$5,$B$1)</f>
        <v>545</v>
      </c>
      <c r="AE85" s="55">
        <f>_xll.EQNXTDZ($A$1,$B85,AE$5,$B$1)</f>
        <v>0</v>
      </c>
      <c r="AF85" s="55">
        <f>_xll.EQNXTDZ($A$1,$B85,AF$5,$B$1)</f>
        <v>621</v>
      </c>
      <c r="AG85" s="55">
        <f>_xll.EQNXTDZ($A$1,$B85,AG$5,$B$1)</f>
        <v>0</v>
      </c>
      <c r="AH85" s="55">
        <f>_xll.EQNXTDZ($A$1,$B85,AH$5,$B$1)</f>
        <v>669</v>
      </c>
      <c r="AI85" s="55">
        <f>_xll.EQNXTDZ($A$1,$B85,AI$5,$B$1)</f>
        <v>0</v>
      </c>
      <c r="AJ85" s="55">
        <f>_xll.EQNXTDZ($A$1,$B85,AJ$5,$B$1)</f>
        <v>175</v>
      </c>
      <c r="AK85" s="55">
        <f>_xll.EQNXTDZ($A$1,$B85,AK$5,$B$1)</f>
        <v>0</v>
      </c>
      <c r="AL85" s="55">
        <f>_xll.EQNXTDZ($A$1,$B85,AL$5,$B$1)</f>
        <v>65</v>
      </c>
      <c r="AM85" s="55">
        <f>_xll.EQNXTDZ($A$1,$B85,AM$5,$B$1)</f>
        <v>0</v>
      </c>
      <c r="AN85" s="55">
        <f>_xll.EQNXTDZ($A$1,$B85,AN$5,$B$1)</f>
        <v>65</v>
      </c>
      <c r="AO85" s="55">
        <f>_xll.EQNXTDZ($A$1,$B85,AO$5,$B$1)</f>
        <v>0</v>
      </c>
      <c r="AP85" s="55">
        <f>_xll.EQNXTDZ($A$1,$B85,AP$5,$B$1)</f>
        <v>130</v>
      </c>
      <c r="AQ85" s="55">
        <f>_xll.EQNXTDZ($A$1,$B85,AQ$5,$B$1)</f>
        <v>0</v>
      </c>
      <c r="AR85" s="55">
        <f>_xll.EQNXTDZ($A$1,$B85,AR$5,$B$1)</f>
        <v>251</v>
      </c>
      <c r="AS85" s="55">
        <f>_xll.EQNXTDZ($A$1,$B85,AS$5,$B$1)</f>
        <v>0</v>
      </c>
      <c r="AT85" s="55">
        <f>_xll.EQNXTDZ($A$1,$B85,AT$5,$B$1)</f>
        <v>176</v>
      </c>
      <c r="AU85" s="55">
        <f>_xll.EQNXTDZ($A$1,$B85,AU$5,$B$1)</f>
        <v>0</v>
      </c>
      <c r="AV85" s="55">
        <f>_xll.EQNXTDZ($A$1,$B85,AV$5,$B$1)</f>
        <v>2258</v>
      </c>
      <c r="AW85" s="55">
        <f>_xll.EQNXTDZ($A$1,$B85,AW$5,$B$1)</f>
        <v>0</v>
      </c>
      <c r="AX85" s="55">
        <f>_xll.EQNXTDZ($A$1,$B85,AX$5,$B$1)</f>
        <v>2517</v>
      </c>
      <c r="AY85" s="55">
        <f>_xll.EQNXTDZ($A$1,$B85,AY$5,$B$1)</f>
        <v>0</v>
      </c>
      <c r="AZ85" s="55">
        <f>_xll.EQNXTDZ($A$1,$B85,AZ$5,$B$1)</f>
        <v>4641</v>
      </c>
      <c r="BA85" s="55">
        <f>_xll.EQNXTDZ($A$1,$B85,BA$5,$B$1)</f>
        <v>0</v>
      </c>
      <c r="BB85" s="55">
        <f>_xll.EQNXTDZ($A$1,$B85,BB$5,$B$1)</f>
        <v>5182</v>
      </c>
      <c r="BC85" s="55">
        <f>_xll.EQNXTDZ($A$1,$B85,BC$5,$B$1)</f>
        <v>0</v>
      </c>
      <c r="BD85" s="55">
        <f>_xll.EQNXTDZ($A$1,$B85,BD$5,$B$1)</f>
        <v>5593</v>
      </c>
      <c r="BE85" s="55">
        <f>_xll.EQNXTDZ($A$1,$B85,BE$5,$B$1)</f>
        <v>0</v>
      </c>
      <c r="BF85" s="55">
        <f>_xll.EQNXTDZ($A$1,$B85,BF$5,$B$1)</f>
        <v>4870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142685</v>
      </c>
      <c r="E86" s="55">
        <f>_xll.EQNXTDZ($A$1,$B86,E$5,$B$1)</f>
        <v>0</v>
      </c>
      <c r="F86" s="55">
        <f>_xll.EQNXTDZ($A$1,$B86,F$5,$B$1)</f>
        <v>155914</v>
      </c>
      <c r="G86" s="55">
        <f>_xll.EQNXTDZ($A$1,$B86,G$5,$B$1)</f>
        <v>0</v>
      </c>
      <c r="H86" s="55">
        <f>_xll.EQNXTDZ($A$1,$B86,H$5,$B$1)</f>
        <v>152460</v>
      </c>
      <c r="I86" s="55">
        <f>_xll.EQNXTDZ($A$1,$B86,I$5,$B$1)</f>
        <v>0</v>
      </c>
      <c r="J86" s="55">
        <f>_xll.EQNXTDZ($A$1,$B86,J$5,$B$1)</f>
        <v>151069</v>
      </c>
      <c r="K86" s="55">
        <f>_xll.EQNXTDZ($A$1,$B86,K$5,$B$1)</f>
        <v>0</v>
      </c>
      <c r="L86" s="55">
        <f>_xll.EQNXTDZ($A$1,$B86,L$5,$B$1)</f>
        <v>154312</v>
      </c>
      <c r="M86" s="55">
        <f>_xll.EQNXTDZ($A$1,$B86,M$5,$B$1)</f>
        <v>0</v>
      </c>
      <c r="N86" s="55">
        <f>_xll.EQNXTDZ($A$1,$B86,N$5,$B$1)</f>
        <v>136577</v>
      </c>
      <c r="O86" s="55">
        <f>_xll.EQNXTDZ($A$1,$B86,O$5,$B$1)</f>
        <v>0</v>
      </c>
      <c r="P86" s="55">
        <f>_xll.EQNXTDZ($A$1,$B86,P$5,$B$1)</f>
        <v>149387</v>
      </c>
      <c r="Q86" s="55">
        <f>_xll.EQNXTDZ($A$1,$B86,Q$5,$B$1)</f>
        <v>0</v>
      </c>
      <c r="R86" s="55">
        <f>_xll.EQNXTDZ($A$1,$B86,R$5,$B$1)</f>
        <v>127785</v>
      </c>
      <c r="S86" s="55">
        <f>_xll.EQNXTDZ($A$1,$B86,S$5,$B$1)</f>
        <v>0</v>
      </c>
      <c r="T86" s="55">
        <f>_xll.EQNXTDZ($A$1,$B86,T$5,$B$1)</f>
        <v>132056</v>
      </c>
      <c r="U86" s="55">
        <f>_xll.EQNXTDZ($A$1,$B86,U$5,$B$1)</f>
        <v>0</v>
      </c>
      <c r="V86" s="55">
        <f>_xll.EQNXTDZ($A$1,$B86,V$5,$B$1)</f>
        <v>146813</v>
      </c>
      <c r="W86" s="55">
        <f>_xll.EQNXTDZ($A$1,$B86,W$5,$B$1)</f>
        <v>0</v>
      </c>
      <c r="X86" s="55">
        <f>_xll.EQNXTDZ($A$1,$B86,X$5,$B$1)</f>
        <v>161804</v>
      </c>
      <c r="Y86" s="55">
        <f>_xll.EQNXTDZ($A$1,$B86,Y$5,$B$1)</f>
        <v>0</v>
      </c>
      <c r="Z86" s="55">
        <f>_xll.EQNXTDZ($A$1,$B86,Z$5,$B$1)</f>
        <v>183786</v>
      </c>
      <c r="AA86" s="55">
        <f>_xll.EQNXTDZ($A$1,$B86,AA$5,$B$1)</f>
        <v>0</v>
      </c>
      <c r="AB86" s="55">
        <f>_xll.EQNXTDZ($A$1,$B86,AB$5,$B$1)</f>
        <v>206823</v>
      </c>
      <c r="AC86" s="55">
        <f>_xll.EQNXTDZ($A$1,$B86,AC$5,$B$1)</f>
        <v>0</v>
      </c>
      <c r="AD86" s="55">
        <f>_xll.EQNXTDZ($A$1,$B86,AD$5,$B$1)</f>
        <v>232053</v>
      </c>
      <c r="AE86" s="55">
        <f>_xll.EQNXTDZ($A$1,$B86,AE$5,$B$1)</f>
        <v>0</v>
      </c>
      <c r="AF86" s="55">
        <f>_xll.EQNXTDZ($A$1,$B86,AF$5,$B$1)</f>
        <v>215552</v>
      </c>
      <c r="AG86" s="55">
        <f>_xll.EQNXTDZ($A$1,$B86,AG$5,$B$1)</f>
        <v>0</v>
      </c>
      <c r="AH86" s="55">
        <f>_xll.EQNXTDZ($A$1,$B86,AH$5,$B$1)</f>
        <v>258260</v>
      </c>
      <c r="AI86" s="55">
        <f>_xll.EQNXTDZ($A$1,$B86,AI$5,$B$1)</f>
        <v>0</v>
      </c>
      <c r="AJ86" s="55">
        <f>_xll.EQNXTDZ($A$1,$B86,AJ$5,$B$1)</f>
        <v>288919</v>
      </c>
      <c r="AK86" s="55">
        <f>_xll.EQNXTDZ($A$1,$B86,AK$5,$B$1)</f>
        <v>0</v>
      </c>
      <c r="AL86" s="55">
        <f>_xll.EQNXTDZ($A$1,$B86,AL$5,$B$1)</f>
        <v>373011</v>
      </c>
      <c r="AM86" s="55">
        <f>_xll.EQNXTDZ($A$1,$B86,AM$5,$B$1)</f>
        <v>0</v>
      </c>
      <c r="AN86" s="55">
        <f>_xll.EQNXTDZ($A$1,$B86,AN$5,$B$1)</f>
        <v>371640</v>
      </c>
      <c r="AO86" s="55">
        <f>_xll.EQNXTDZ($A$1,$B86,AO$5,$B$1)</f>
        <v>0</v>
      </c>
      <c r="AP86" s="55">
        <f>_xll.EQNXTDZ($A$1,$B86,AP$5,$B$1)</f>
        <v>347019</v>
      </c>
      <c r="AQ86" s="55">
        <f>_xll.EQNXTDZ($A$1,$B86,AQ$5,$B$1)</f>
        <v>0</v>
      </c>
      <c r="AR86" s="55">
        <f>_xll.EQNXTDZ($A$1,$B86,AR$5,$B$1)</f>
        <v>350511</v>
      </c>
      <c r="AS86" s="55">
        <f>_xll.EQNXTDZ($A$1,$B86,AS$5,$B$1)</f>
        <v>0</v>
      </c>
      <c r="AT86" s="55">
        <f>_xll.EQNXTDZ($A$1,$B86,AT$5,$B$1)</f>
        <v>425296</v>
      </c>
      <c r="AU86" s="55">
        <f>_xll.EQNXTDZ($A$1,$B86,AU$5,$B$1)</f>
        <v>0</v>
      </c>
      <c r="AV86" s="55">
        <f>_xll.EQNXTDZ($A$1,$B86,AV$5,$B$1)</f>
        <v>439744</v>
      </c>
      <c r="AW86" s="55">
        <f>_xll.EQNXTDZ($A$1,$B86,AW$5,$B$1)</f>
        <v>0</v>
      </c>
      <c r="AX86" s="55">
        <f>_xll.EQNXTDZ($A$1,$B86,AX$5,$B$1)</f>
        <v>470100</v>
      </c>
      <c r="AY86" s="55">
        <f>_xll.EQNXTDZ($A$1,$B86,AY$5,$B$1)</f>
        <v>0</v>
      </c>
      <c r="AZ86" s="55">
        <f>_xll.EQNXTDZ($A$1,$B86,AZ$5,$B$1)</f>
        <v>478412</v>
      </c>
      <c r="BA86" s="55">
        <f>_xll.EQNXTDZ($A$1,$B86,BA$5,$B$1)</f>
        <v>0</v>
      </c>
      <c r="BB86" s="55">
        <f>_xll.EQNXTDZ($A$1,$B86,BB$5,$B$1)</f>
        <v>499270</v>
      </c>
      <c r="BC86" s="55">
        <f>_xll.EQNXTDZ($A$1,$B86,BC$5,$B$1)</f>
        <v>0</v>
      </c>
      <c r="BD86" s="55">
        <f>_xll.EQNXTDZ($A$1,$B86,BD$5,$B$1)</f>
        <v>511964</v>
      </c>
      <c r="BE86" s="55">
        <f>_xll.EQNXTDZ($A$1,$B86,BE$5,$B$1)</f>
        <v>0</v>
      </c>
      <c r="BF86" s="55">
        <f>_xll.EQNXTDZ($A$1,$B86,BF$5,$B$1)</f>
        <v>594249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68922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11849</v>
      </c>
      <c r="E88" s="55">
        <f>_xll.EQNXTDZ($A$1,$B88,E$5,$B$1)</f>
        <v>0</v>
      </c>
      <c r="F88" s="55">
        <f>_xll.EQNXTDZ($A$1,$B88,F$5,$B$1)</f>
        <v>18362</v>
      </c>
      <c r="G88" s="55">
        <f>_xll.EQNXTDZ($A$1,$B88,G$5,$B$1)</f>
        <v>0</v>
      </c>
      <c r="H88" s="55">
        <f>_xll.EQNXTDZ($A$1,$B88,H$5,$B$1)</f>
        <v>14735</v>
      </c>
      <c r="I88" s="55">
        <f>_xll.EQNXTDZ($A$1,$B88,I$5,$B$1)</f>
        <v>0</v>
      </c>
      <c r="J88" s="55">
        <f>_xll.EQNXTDZ($A$1,$B88,J$5,$B$1)</f>
        <v>32792</v>
      </c>
      <c r="K88" s="55">
        <f>_xll.EQNXTDZ($A$1,$B88,K$5,$B$1)</f>
        <v>0</v>
      </c>
      <c r="L88" s="55">
        <f>_xll.EQNXTDZ($A$1,$B88,L$5,$B$1)</f>
        <v>27016</v>
      </c>
      <c r="M88" s="55">
        <f>_xll.EQNXTDZ($A$1,$B88,M$5,$B$1)</f>
        <v>0</v>
      </c>
      <c r="N88" s="55">
        <f>_xll.EQNXTDZ($A$1,$B88,N$5,$B$1)</f>
        <v>27965</v>
      </c>
      <c r="O88" s="55">
        <f>_xll.EQNXTDZ($A$1,$B88,O$5,$B$1)</f>
        <v>0</v>
      </c>
      <c r="P88" s="55">
        <f>_xll.EQNXTDZ($A$1,$B88,P$5,$B$1)</f>
        <v>29681</v>
      </c>
      <c r="Q88" s="55">
        <f>_xll.EQNXTDZ($A$1,$B88,Q$5,$B$1)</f>
        <v>0</v>
      </c>
      <c r="R88" s="55">
        <f>_xll.EQNXTDZ($A$1,$B88,R$5,$B$1)</f>
        <v>23545</v>
      </c>
      <c r="S88" s="55">
        <f>_xll.EQNXTDZ($A$1,$B88,S$5,$B$1)</f>
        <v>0</v>
      </c>
      <c r="T88" s="55">
        <f>_xll.EQNXTDZ($A$1,$B88,T$5,$B$1)</f>
        <v>26634</v>
      </c>
      <c r="U88" s="55">
        <f>_xll.EQNXTDZ($A$1,$B88,U$5,$B$1)</f>
        <v>0</v>
      </c>
      <c r="V88" s="55">
        <f>_xll.EQNXTDZ($A$1,$B88,V$5,$B$1)</f>
        <v>31528</v>
      </c>
      <c r="W88" s="55">
        <f>_xll.EQNXTDZ($A$1,$B88,W$5,$B$1)</f>
        <v>0</v>
      </c>
      <c r="X88" s="55">
        <f>_xll.EQNXTDZ($A$1,$B88,X$5,$B$1)</f>
        <v>39904</v>
      </c>
      <c r="Y88" s="55">
        <f>_xll.EQNXTDZ($A$1,$B88,Y$5,$B$1)</f>
        <v>0</v>
      </c>
      <c r="Z88" s="55">
        <f>_xll.EQNXTDZ($A$1,$B88,Z$5,$B$1)</f>
        <v>37429</v>
      </c>
      <c r="AA88" s="55">
        <f>_xll.EQNXTDZ($A$1,$B88,AA$5,$B$1)</f>
        <v>0</v>
      </c>
      <c r="AB88" s="55">
        <f>_xll.EQNXTDZ($A$1,$B88,AB$5,$B$1)</f>
        <v>51401</v>
      </c>
      <c r="AC88" s="55">
        <f>_xll.EQNXTDZ($A$1,$B88,AC$5,$B$1)</f>
        <v>0</v>
      </c>
      <c r="AD88" s="55">
        <f>_xll.EQNXTDZ($A$1,$B88,AD$5,$B$1)</f>
        <v>64436</v>
      </c>
      <c r="AE88" s="55">
        <f>_xll.EQNXTDZ($A$1,$B88,AE$5,$B$1)</f>
        <v>0</v>
      </c>
      <c r="AF88" s="55">
        <f>_xll.EQNXTDZ($A$1,$B88,AF$5,$B$1)</f>
        <v>65242</v>
      </c>
      <c r="AG88" s="55">
        <f>_xll.EQNXTDZ($A$1,$B88,AG$5,$B$1)</f>
        <v>0</v>
      </c>
      <c r="AH88" s="55">
        <f>_xll.EQNXTDZ($A$1,$B88,AH$5,$B$1)</f>
        <v>93786</v>
      </c>
      <c r="AI88" s="55">
        <f>_xll.EQNXTDZ($A$1,$B88,AI$5,$B$1)</f>
        <v>0</v>
      </c>
      <c r="AJ88" s="55">
        <f>_xll.EQNXTDZ($A$1,$B88,AJ$5,$B$1)</f>
        <v>84328</v>
      </c>
      <c r="AK88" s="55">
        <f>_xll.EQNXTDZ($A$1,$B88,AK$5,$B$1)</f>
        <v>0</v>
      </c>
      <c r="AL88" s="55">
        <f>_xll.EQNXTDZ($A$1,$B88,AL$5,$B$1)</f>
        <v>88128</v>
      </c>
      <c r="AM88" s="55">
        <f>_xll.EQNXTDZ($A$1,$B88,AM$5,$B$1)</f>
        <v>0</v>
      </c>
      <c r="AN88" s="55">
        <f>_xll.EQNXTDZ($A$1,$B88,AN$5,$B$1)</f>
        <v>100237</v>
      </c>
      <c r="AO88" s="55">
        <f>_xll.EQNXTDZ($A$1,$B88,AO$5,$B$1)</f>
        <v>0</v>
      </c>
      <c r="AP88" s="55">
        <f>_xll.EQNXTDZ($A$1,$B88,AP$5,$B$1)</f>
        <v>78606</v>
      </c>
      <c r="AQ88" s="55">
        <f>_xll.EQNXTDZ($A$1,$B88,AQ$5,$B$1)</f>
        <v>0</v>
      </c>
      <c r="AR88" s="55">
        <f>_xll.EQNXTDZ($A$1,$B88,AR$5,$B$1)</f>
        <v>116465</v>
      </c>
      <c r="AS88" s="55">
        <f>_xll.EQNXTDZ($A$1,$B88,AS$5,$B$1)</f>
        <v>0</v>
      </c>
      <c r="AT88" s="55">
        <f>_xll.EQNXTDZ($A$1,$B88,AT$5,$B$1)</f>
        <v>130790</v>
      </c>
      <c r="AU88" s="55">
        <f>_xll.EQNXTDZ($A$1,$B88,AU$5,$B$1)</f>
        <v>0</v>
      </c>
      <c r="AV88" s="55">
        <f>_xll.EQNXTDZ($A$1,$B88,AV$5,$B$1)</f>
        <v>71669</v>
      </c>
      <c r="AW88" s="55">
        <f>_xll.EQNXTDZ($A$1,$B88,AW$5,$B$1)</f>
        <v>0</v>
      </c>
      <c r="AX88" s="55">
        <f>_xll.EQNXTDZ($A$1,$B88,AX$5,$B$1)</f>
        <v>101910</v>
      </c>
      <c r="AY88" s="55">
        <f>_xll.EQNXTDZ($A$1,$B88,AY$5,$B$1)</f>
        <v>0</v>
      </c>
      <c r="AZ88" s="55">
        <f>_xll.EQNXTDZ($A$1,$B88,AZ$5,$B$1)</f>
        <v>132409</v>
      </c>
      <c r="BA88" s="55">
        <f>_xll.EQNXTDZ($A$1,$B88,BA$5,$B$1)</f>
        <v>0</v>
      </c>
      <c r="BB88" s="55">
        <f>_xll.EQNXTDZ($A$1,$B88,BB$5,$B$1)</f>
        <v>110631</v>
      </c>
      <c r="BC88" s="55">
        <f>_xll.EQNXTDZ($A$1,$B88,BC$5,$B$1)</f>
        <v>0</v>
      </c>
      <c r="BD88" s="55">
        <f>_xll.EQNXTDZ($A$1,$B88,BD$5,$B$1)</f>
        <v>88773</v>
      </c>
      <c r="BE88" s="55">
        <f>_xll.EQNXTDZ($A$1,$B88,BE$5,$B$1)</f>
        <v>0</v>
      </c>
      <c r="BF88" s="55">
        <f>_xll.EQNXTDZ($A$1,$B88,BF$5,$B$1)</f>
        <v>103670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49700</v>
      </c>
      <c r="G89" s="55">
        <f>_xll.EQNXTDZ($A$1,$B89,G$5,$B$1)</f>
        <v>0</v>
      </c>
      <c r="H89" s="55">
        <f>_xll.EQNXTDZ($A$1,$B89,H$5,$B$1)</f>
        <v>59157</v>
      </c>
      <c r="I89" s="55">
        <f>_xll.EQNXTDZ($A$1,$B89,I$5,$B$1)</f>
        <v>0</v>
      </c>
      <c r="J89" s="55">
        <f>_xll.EQNXTDZ($A$1,$B89,J$5,$B$1)</f>
        <v>60860</v>
      </c>
      <c r="K89" s="55">
        <f>_xll.EQNXTDZ($A$1,$B89,K$5,$B$1)</f>
        <v>0</v>
      </c>
      <c r="L89" s="55">
        <f>_xll.EQNXTDZ($A$1,$B89,L$5,$B$1)</f>
        <v>72925</v>
      </c>
      <c r="M89" s="55">
        <f>_xll.EQNXTDZ($A$1,$B89,M$5,$B$1)</f>
        <v>0</v>
      </c>
      <c r="N89" s="55">
        <f>_xll.EQNXTDZ($A$1,$B89,N$5,$B$1)</f>
        <v>59407</v>
      </c>
      <c r="O89" s="55">
        <f>_xll.EQNXTDZ($A$1,$B89,O$5,$B$1)</f>
        <v>0</v>
      </c>
      <c r="P89" s="55">
        <f>_xll.EQNXTDZ($A$1,$B89,P$5,$B$1)</f>
        <v>62587</v>
      </c>
      <c r="Q89" s="55">
        <f>_xll.EQNXTDZ($A$1,$B89,Q$5,$B$1)</f>
        <v>0</v>
      </c>
      <c r="R89" s="55">
        <f>_xll.EQNXTDZ($A$1,$B89,R$5,$B$1)</f>
        <v>60296</v>
      </c>
      <c r="S89" s="55">
        <f>_xll.EQNXTDZ($A$1,$B89,S$5,$B$1)</f>
        <v>0</v>
      </c>
      <c r="T89" s="55">
        <f>_xll.EQNXTDZ($A$1,$B89,T$5,$B$1)</f>
        <v>67512</v>
      </c>
      <c r="U89" s="55">
        <f>_xll.EQNXTDZ($A$1,$B89,U$5,$B$1)</f>
        <v>0</v>
      </c>
      <c r="V89" s="55">
        <f>_xll.EQNXTDZ($A$1,$B89,V$5,$B$1)</f>
        <v>76595</v>
      </c>
      <c r="W89" s="55">
        <f>_xll.EQNXTDZ($A$1,$B89,W$5,$B$1)</f>
        <v>0</v>
      </c>
      <c r="X89" s="55">
        <f>_xll.EQNXTDZ($A$1,$B89,X$5,$B$1)</f>
        <v>84655</v>
      </c>
      <c r="Y89" s="55">
        <f>_xll.EQNXTDZ($A$1,$B89,Y$5,$B$1)</f>
        <v>0</v>
      </c>
      <c r="Z89" s="55">
        <f>_xll.EQNXTDZ($A$1,$B89,Z$5,$B$1)</f>
        <v>106861</v>
      </c>
      <c r="AA89" s="55">
        <f>_xll.EQNXTDZ($A$1,$B89,AA$5,$B$1)</f>
        <v>0</v>
      </c>
      <c r="AB89" s="55">
        <f>_xll.EQNXTDZ($A$1,$B89,AB$5,$B$1)</f>
        <v>128261</v>
      </c>
      <c r="AC89" s="55">
        <f>_xll.EQNXTDZ($A$1,$B89,AC$5,$B$1)</f>
        <v>0</v>
      </c>
      <c r="AD89" s="55">
        <f>_xll.EQNXTDZ($A$1,$B89,AD$5,$B$1)</f>
        <v>108309</v>
      </c>
      <c r="AE89" s="55">
        <f>_xll.EQNXTDZ($A$1,$B89,AE$5,$B$1)</f>
        <v>0</v>
      </c>
      <c r="AF89" s="55">
        <f>_xll.EQNXTDZ($A$1,$B89,AF$5,$B$1)</f>
        <v>103122</v>
      </c>
      <c r="AG89" s="55">
        <f>_xll.EQNXTDZ($A$1,$B89,AG$5,$B$1)</f>
        <v>0</v>
      </c>
      <c r="AH89" s="55">
        <f>_xll.EQNXTDZ($A$1,$B89,AH$5,$B$1)</f>
        <v>96799</v>
      </c>
      <c r="AI89" s="55">
        <f>_xll.EQNXTDZ($A$1,$B89,AI$5,$B$1)</f>
        <v>0</v>
      </c>
      <c r="AJ89" s="55">
        <f>_xll.EQNXTDZ($A$1,$B89,AJ$5,$B$1)</f>
        <v>72966</v>
      </c>
      <c r="AK89" s="55">
        <f>_xll.EQNXTDZ($A$1,$B89,AK$5,$B$1)</f>
        <v>0</v>
      </c>
      <c r="AL89" s="55">
        <f>_xll.EQNXTDZ($A$1,$B89,AL$5,$B$1)</f>
        <v>108897</v>
      </c>
      <c r="AM89" s="55">
        <f>_xll.EQNXTDZ($A$1,$B89,AM$5,$B$1)</f>
        <v>0</v>
      </c>
      <c r="AN89" s="55">
        <f>_xll.EQNXTDZ($A$1,$B89,AN$5,$B$1)</f>
        <v>132134</v>
      </c>
      <c r="AO89" s="55">
        <f>_xll.EQNXTDZ($A$1,$B89,AO$5,$B$1)</f>
        <v>0</v>
      </c>
      <c r="AP89" s="55">
        <f>_xll.EQNXTDZ($A$1,$B89,AP$5,$B$1)</f>
        <v>159330</v>
      </c>
      <c r="AQ89" s="55">
        <f>_xll.EQNXTDZ($A$1,$B89,AQ$5,$B$1)</f>
        <v>0</v>
      </c>
      <c r="AR89" s="55">
        <f>_xll.EQNXTDZ($A$1,$B89,AR$5,$B$1)</f>
        <v>150711</v>
      </c>
      <c r="AS89" s="55">
        <f>_xll.EQNXTDZ($A$1,$B89,AS$5,$B$1)</f>
        <v>0</v>
      </c>
      <c r="AT89" s="55">
        <f>_xll.EQNXTDZ($A$1,$B89,AT$5,$B$1)</f>
        <v>147172</v>
      </c>
      <c r="AU89" s="55">
        <f>_xll.EQNXTDZ($A$1,$B89,AU$5,$B$1)</f>
        <v>0</v>
      </c>
      <c r="AV89" s="55">
        <f>_xll.EQNXTDZ($A$1,$B89,AV$5,$B$1)</f>
        <v>158101</v>
      </c>
      <c r="AW89" s="55">
        <f>_xll.EQNXTDZ($A$1,$B89,AW$5,$B$1)</f>
        <v>0</v>
      </c>
      <c r="AX89" s="55">
        <f>_xll.EQNXTDZ($A$1,$B89,AX$5,$B$1)</f>
        <v>178377</v>
      </c>
      <c r="AY89" s="55">
        <f>_xll.EQNXTDZ($A$1,$B89,AY$5,$B$1)</f>
        <v>0</v>
      </c>
      <c r="AZ89" s="55">
        <f>_xll.EQNXTDZ($A$1,$B89,AZ$5,$B$1)</f>
        <v>175576</v>
      </c>
      <c r="BA89" s="55">
        <f>_xll.EQNXTDZ($A$1,$B89,BA$5,$B$1)</f>
        <v>0</v>
      </c>
      <c r="BB89" s="55">
        <f>_xll.EQNXTDZ($A$1,$B89,BB$5,$B$1)</f>
        <v>186789</v>
      </c>
      <c r="BC89" s="55">
        <f>_xll.EQNXTDZ($A$1,$B89,BC$5,$B$1)</f>
        <v>0</v>
      </c>
      <c r="BD89" s="55">
        <f>_xll.EQNXTDZ($A$1,$B89,BD$5,$B$1)</f>
        <v>214512</v>
      </c>
      <c r="BE89" s="55">
        <f>_xll.EQNXTDZ($A$1,$B89,BE$5,$B$1)</f>
        <v>0</v>
      </c>
      <c r="BF89" s="55">
        <f>_xll.EQNXTDZ($A$1,$B89,BF$5,$B$1)</f>
        <v>158842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23655</v>
      </c>
      <c r="G91" s="55">
        <f>_xll.EQNXTDZ($A$1,$B91,G$5,$B$1)</f>
        <v>0</v>
      </c>
      <c r="H91" s="55">
        <f>_xll.EQNXTDZ($A$1,$B91,H$5,$B$1)</f>
        <v>21170</v>
      </c>
      <c r="I91" s="55">
        <f>_xll.EQNXTDZ($A$1,$B91,I$5,$B$1)</f>
        <v>0</v>
      </c>
      <c r="J91" s="55">
        <f>_xll.EQNXTDZ($A$1,$B91,J$5,$B$1)</f>
        <v>17058</v>
      </c>
      <c r="K91" s="55">
        <f>_xll.EQNXTDZ($A$1,$B91,K$5,$B$1)</f>
        <v>0</v>
      </c>
      <c r="L91" s="55">
        <f>_xll.EQNXTDZ($A$1,$B91,L$5,$B$1)</f>
        <v>30857</v>
      </c>
      <c r="M91" s="55">
        <f>_xll.EQNXTDZ($A$1,$B91,M$5,$B$1)</f>
        <v>0</v>
      </c>
      <c r="N91" s="55">
        <f>_xll.EQNXTDZ($A$1,$B91,N$5,$B$1)</f>
        <v>45789</v>
      </c>
      <c r="O91" s="55">
        <f>_xll.EQNXTDZ($A$1,$B91,O$5,$B$1)</f>
        <v>0</v>
      </c>
      <c r="P91" s="55">
        <f>_xll.EQNXTDZ($A$1,$B91,P$5,$B$1)</f>
        <v>78199</v>
      </c>
      <c r="Q91" s="55">
        <f>_xll.EQNXTDZ($A$1,$B91,Q$5,$B$1)</f>
        <v>0</v>
      </c>
      <c r="R91" s="55">
        <f>_xll.EQNXTDZ($A$1,$B91,R$5,$B$1)</f>
        <v>99538</v>
      </c>
      <c r="S91" s="55">
        <f>_xll.EQNXTDZ($A$1,$B91,S$5,$B$1)</f>
        <v>0</v>
      </c>
      <c r="T91" s="55">
        <f>_xll.EQNXTDZ($A$1,$B91,T$5,$B$1)</f>
        <v>98376</v>
      </c>
      <c r="U91" s="55">
        <f>_xll.EQNXTDZ($A$1,$B91,U$5,$B$1)</f>
        <v>0</v>
      </c>
      <c r="V91" s="55">
        <f>_xll.EQNXTDZ($A$1,$B91,V$5,$B$1)</f>
        <v>125423</v>
      </c>
      <c r="W91" s="55">
        <f>_xll.EQNXTDZ($A$1,$B91,W$5,$B$1)</f>
        <v>0</v>
      </c>
      <c r="X91" s="55">
        <f>_xll.EQNXTDZ($A$1,$B91,X$5,$B$1)</f>
        <v>151469</v>
      </c>
      <c r="Y91" s="55">
        <f>_xll.EQNXTDZ($A$1,$B91,Y$5,$B$1)</f>
        <v>0</v>
      </c>
      <c r="Z91" s="55">
        <f>_xll.EQNXTDZ($A$1,$B91,Z$5,$B$1)</f>
        <v>168330</v>
      </c>
      <c r="AA91" s="55">
        <f>_xll.EQNXTDZ($A$1,$B91,AA$5,$B$1)</f>
        <v>0</v>
      </c>
      <c r="AB91" s="55">
        <f>_xll.EQNXTDZ($A$1,$B91,AB$5,$B$1)</f>
        <v>160593</v>
      </c>
      <c r="AC91" s="55">
        <f>_xll.EQNXTDZ($A$1,$B91,AC$5,$B$1)</f>
        <v>0</v>
      </c>
      <c r="AD91" s="55">
        <f>_xll.EQNXTDZ($A$1,$B91,AD$5,$B$1)</f>
        <v>143251</v>
      </c>
      <c r="AE91" s="55">
        <f>_xll.EQNXTDZ($A$1,$B91,AE$5,$B$1)</f>
        <v>0</v>
      </c>
      <c r="AF91" s="55">
        <f>_xll.EQNXTDZ($A$1,$B91,AF$5,$B$1)</f>
        <v>176894</v>
      </c>
      <c r="AG91" s="55">
        <f>_xll.EQNXTDZ($A$1,$B91,AG$5,$B$1)</f>
        <v>0</v>
      </c>
      <c r="AH91" s="55">
        <f>_xll.EQNXTDZ($A$1,$B91,AH$5,$B$1)</f>
        <v>220441</v>
      </c>
      <c r="AI91" s="55">
        <f>_xll.EQNXTDZ($A$1,$B91,AI$5,$B$1)</f>
        <v>0</v>
      </c>
      <c r="AJ91" s="55">
        <f>_xll.EQNXTDZ($A$1,$B91,AJ$5,$B$1)</f>
        <v>139351</v>
      </c>
      <c r="AK91" s="55">
        <f>_xll.EQNXTDZ($A$1,$B91,AK$5,$B$1)</f>
        <v>0</v>
      </c>
      <c r="AL91" s="55">
        <f>_xll.EQNXTDZ($A$1,$B91,AL$5,$B$1)</f>
        <v>78039</v>
      </c>
      <c r="AM91" s="55">
        <f>_xll.EQNXTDZ($A$1,$B91,AM$5,$B$1)</f>
        <v>0</v>
      </c>
      <c r="AN91" s="55">
        <f>_xll.EQNXTDZ($A$1,$B91,AN$5,$B$1)</f>
        <v>79049</v>
      </c>
      <c r="AO91" s="55">
        <f>_xll.EQNXTDZ($A$1,$B91,AO$5,$B$1)</f>
        <v>0</v>
      </c>
      <c r="AP91" s="55">
        <f>_xll.EQNXTDZ($A$1,$B91,AP$5,$B$1)</f>
        <v>68790</v>
      </c>
      <c r="AQ91" s="55">
        <f>_xll.EQNXTDZ($A$1,$B91,AQ$5,$B$1)</f>
        <v>0</v>
      </c>
      <c r="AR91" s="55">
        <f>_xll.EQNXTDZ($A$1,$B91,AR$5,$B$1)</f>
        <v>77566</v>
      </c>
      <c r="AS91" s="55">
        <f>_xll.EQNXTDZ($A$1,$B91,AS$5,$B$1)</f>
        <v>0</v>
      </c>
      <c r="AT91" s="55">
        <f>_xll.EQNXTDZ($A$1,$B91,AT$5,$B$1)</f>
        <v>115603</v>
      </c>
      <c r="AU91" s="55">
        <f>_xll.EQNXTDZ($A$1,$B91,AU$5,$B$1)</f>
        <v>0</v>
      </c>
      <c r="AV91" s="55">
        <f>_xll.EQNXTDZ($A$1,$B91,AV$5,$B$1)</f>
        <v>143343</v>
      </c>
      <c r="AW91" s="55">
        <f>_xll.EQNXTDZ($A$1,$B91,AW$5,$B$1)</f>
        <v>0</v>
      </c>
      <c r="AX91" s="55">
        <f>_xll.EQNXTDZ($A$1,$B91,AX$5,$B$1)</f>
        <v>114905</v>
      </c>
      <c r="AY91" s="55">
        <f>_xll.EQNXTDZ($A$1,$B91,AY$5,$B$1)</f>
        <v>0</v>
      </c>
      <c r="AZ91" s="55">
        <f>_xll.EQNXTDZ($A$1,$B91,AZ$5,$B$1)</f>
        <v>131450</v>
      </c>
      <c r="BA91" s="55">
        <f>_xll.EQNXTDZ($A$1,$B91,BA$5,$B$1)</f>
        <v>0</v>
      </c>
      <c r="BB91" s="55">
        <f>_xll.EQNXTDZ($A$1,$B91,BB$5,$B$1)</f>
        <v>152170</v>
      </c>
      <c r="BC91" s="55">
        <f>_xll.EQNXTDZ($A$1,$B91,BC$5,$B$1)</f>
        <v>0</v>
      </c>
      <c r="BD91" s="55">
        <f>_xll.EQNXTDZ($A$1,$B91,BD$5,$B$1)</f>
        <v>157246</v>
      </c>
      <c r="BE91" s="55">
        <f>_xll.EQNXTDZ($A$1,$B91,BE$5,$B$1)</f>
        <v>0</v>
      </c>
      <c r="BF91" s="55">
        <f>_xll.EQNXTDZ($A$1,$B91,BF$5,$B$1)</f>
        <v>273544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1465</v>
      </c>
      <c r="E92" s="55">
        <f>_xll.EQNXTDZ($A$1,$B92,E$5,$B$1)</f>
        <v>0</v>
      </c>
      <c r="F92" s="55">
        <f>_xll.EQNXTDZ($A$1,$B92,F$5,$B$1)</f>
        <v>4557</v>
      </c>
      <c r="G92" s="55">
        <f>_xll.EQNXTDZ($A$1,$B92,G$5,$B$1)</f>
        <v>0</v>
      </c>
      <c r="H92" s="55">
        <f>_xll.EQNXTDZ($A$1,$B92,H$5,$B$1)</f>
        <v>1395</v>
      </c>
      <c r="I92" s="55">
        <f>_xll.EQNXTDZ($A$1,$B92,I$5,$B$1)</f>
        <v>0</v>
      </c>
      <c r="J92" s="55">
        <f>_xll.EQNXTDZ($A$1,$B92,J$5,$B$1)</f>
        <v>4446</v>
      </c>
      <c r="K92" s="55">
        <f>_xll.EQNXTDZ($A$1,$B92,K$5,$B$1)</f>
        <v>0</v>
      </c>
      <c r="L92" s="55">
        <f>_xll.EQNXTDZ($A$1,$B92,L$5,$B$1)</f>
        <v>1721</v>
      </c>
      <c r="M92" s="55">
        <f>_xll.EQNXTDZ($A$1,$B92,M$5,$B$1)</f>
        <v>0</v>
      </c>
      <c r="N92" s="55">
        <f>_xll.EQNXTDZ($A$1,$B92,N$5,$B$1)</f>
        <v>5392</v>
      </c>
      <c r="O92" s="55">
        <f>_xll.EQNXTDZ($A$1,$B92,O$5,$B$1)</f>
        <v>0</v>
      </c>
      <c r="P92" s="55">
        <f>_xll.EQNXTDZ($A$1,$B92,P$5,$B$1)</f>
        <v>1935</v>
      </c>
      <c r="Q92" s="55">
        <f>_xll.EQNXTDZ($A$1,$B92,Q$5,$B$1)</f>
        <v>0</v>
      </c>
      <c r="R92" s="55">
        <f>_xll.EQNXTDZ($A$1,$B92,R$5,$B$1)</f>
        <v>1775</v>
      </c>
      <c r="S92" s="55">
        <f>_xll.EQNXTDZ($A$1,$B92,S$5,$B$1)</f>
        <v>0</v>
      </c>
      <c r="T92" s="55">
        <f>_xll.EQNXTDZ($A$1,$B92,T$5,$B$1)</f>
        <v>1828</v>
      </c>
      <c r="U92" s="55">
        <f>_xll.EQNXTDZ($A$1,$B92,U$5,$B$1)</f>
        <v>0</v>
      </c>
      <c r="V92" s="55">
        <f>_xll.EQNXTDZ($A$1,$B92,V$5,$B$1)</f>
        <v>1769</v>
      </c>
      <c r="W92" s="55">
        <f>_xll.EQNXTDZ($A$1,$B92,W$5,$B$1)</f>
        <v>0</v>
      </c>
      <c r="X92" s="55">
        <f>_xll.EQNXTDZ($A$1,$B92,X$5,$B$1)</f>
        <v>1608</v>
      </c>
      <c r="Y92" s="55">
        <f>_xll.EQNXTDZ($A$1,$B92,Y$5,$B$1)</f>
        <v>0</v>
      </c>
      <c r="Z92" s="55">
        <f>_xll.EQNXTDZ($A$1,$B92,Z$5,$B$1)</f>
        <v>1232</v>
      </c>
      <c r="AA92" s="55">
        <f>_xll.EQNXTDZ($A$1,$B92,AA$5,$B$1)</f>
        <v>0</v>
      </c>
      <c r="AB92" s="55">
        <f>_xll.EQNXTDZ($A$1,$B92,AB$5,$B$1)</f>
        <v>1490</v>
      </c>
      <c r="AC92" s="55">
        <f>_xll.EQNXTDZ($A$1,$B92,AC$5,$B$1)</f>
        <v>0</v>
      </c>
      <c r="AD92" s="55">
        <f>_xll.EQNXTDZ($A$1,$B92,AD$5,$B$1)</f>
        <v>1326</v>
      </c>
      <c r="AE92" s="55">
        <f>_xll.EQNXTDZ($A$1,$B92,AE$5,$B$1)</f>
        <v>0</v>
      </c>
      <c r="AF92" s="55">
        <f>_xll.EQNXTDZ($A$1,$B92,AF$5,$B$1)</f>
        <v>3311</v>
      </c>
      <c r="AG92" s="55">
        <f>_xll.EQNXTDZ($A$1,$B92,AG$5,$B$1)</f>
        <v>0</v>
      </c>
      <c r="AH92" s="55">
        <f>_xll.EQNXTDZ($A$1,$B92,AH$5,$B$1)</f>
        <v>1890</v>
      </c>
      <c r="AI92" s="55">
        <f>_xll.EQNXTDZ($A$1,$B92,AI$5,$B$1)</f>
        <v>0</v>
      </c>
      <c r="AJ92" s="55">
        <f>_xll.EQNXTDZ($A$1,$B92,AJ$5,$B$1)</f>
        <v>1994</v>
      </c>
      <c r="AK92" s="55">
        <f>_xll.EQNXTDZ($A$1,$B92,AK$5,$B$1)</f>
        <v>0</v>
      </c>
      <c r="AL92" s="55">
        <f>_xll.EQNXTDZ($A$1,$B92,AL$5,$B$1)</f>
        <v>2504</v>
      </c>
      <c r="AM92" s="55">
        <f>_xll.EQNXTDZ($A$1,$B92,AM$5,$B$1)</f>
        <v>0</v>
      </c>
      <c r="AN92" s="55">
        <f>_xll.EQNXTDZ($A$1,$B92,AN$5,$B$1)</f>
        <v>4535</v>
      </c>
      <c r="AO92" s="55">
        <f>_xll.EQNXTDZ($A$1,$B92,AO$5,$B$1)</f>
        <v>0</v>
      </c>
      <c r="AP92" s="55">
        <f>_xll.EQNXTDZ($A$1,$B92,AP$5,$B$1)</f>
        <v>1936</v>
      </c>
      <c r="AQ92" s="55">
        <f>_xll.EQNXTDZ($A$1,$B92,AQ$5,$B$1)</f>
        <v>0</v>
      </c>
      <c r="AR92" s="55">
        <f>_xll.EQNXTDZ($A$1,$B92,AR$5,$B$1)</f>
        <v>2246</v>
      </c>
      <c r="AS92" s="55">
        <f>_xll.EQNXTDZ($A$1,$B92,AS$5,$B$1)</f>
        <v>0</v>
      </c>
      <c r="AT92" s="55">
        <f>_xll.EQNXTDZ($A$1,$B92,AT$5,$B$1)</f>
        <v>2178</v>
      </c>
      <c r="AU92" s="55">
        <f>_xll.EQNXTDZ($A$1,$B92,AU$5,$B$1)</f>
        <v>0</v>
      </c>
      <c r="AV92" s="55">
        <f>_xll.EQNXTDZ($A$1,$B92,AV$5,$B$1)</f>
        <v>4400</v>
      </c>
      <c r="AW92" s="55">
        <f>_xll.EQNXTDZ($A$1,$B92,AW$5,$B$1)</f>
        <v>0</v>
      </c>
      <c r="AX92" s="55">
        <f>_xll.EQNXTDZ($A$1,$B92,AX$5,$B$1)</f>
        <v>2175</v>
      </c>
      <c r="AY92" s="55">
        <f>_xll.EQNXTDZ($A$1,$B92,AY$5,$B$1)</f>
        <v>0</v>
      </c>
      <c r="AZ92" s="55">
        <f>_xll.EQNXTDZ($A$1,$B92,AZ$5,$B$1)</f>
        <v>3325</v>
      </c>
      <c r="BA92" s="55">
        <f>_xll.EQNXTDZ($A$1,$B92,BA$5,$B$1)</f>
        <v>0</v>
      </c>
      <c r="BB92" s="55">
        <f>_xll.EQNXTDZ($A$1,$B92,BB$5,$B$1)</f>
        <v>4147</v>
      </c>
      <c r="BC92" s="55">
        <f>_xll.EQNXTDZ($A$1,$B92,BC$5,$B$1)</f>
        <v>0</v>
      </c>
      <c r="BD92" s="55">
        <f>_xll.EQNXTDZ($A$1,$B92,BD$5,$B$1)</f>
        <v>4763</v>
      </c>
      <c r="BE92" s="55">
        <f>_xll.EQNXTDZ($A$1,$B92,BE$5,$B$1)</f>
        <v>0</v>
      </c>
      <c r="BF92" s="55">
        <f>_xll.EQNXTDZ($A$1,$B92,BF$5,$B$1)</f>
        <v>5198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82236</v>
      </c>
      <c r="E93" s="55">
        <f>_xll.EQNXTDZ($A$1,$B93,E$5,$B$1)</f>
        <v>0</v>
      </c>
      <c r="F93" s="55">
        <f>_xll.EQNXTDZ($A$1,$B93,F$5,$B$1)</f>
        <v>96274</v>
      </c>
      <c r="G93" s="55">
        <f>_xll.EQNXTDZ($A$1,$B93,G$5,$B$1)</f>
        <v>0</v>
      </c>
      <c r="H93" s="55">
        <f>_xll.EQNXTDZ($A$1,$B93,H$5,$B$1)</f>
        <v>96457</v>
      </c>
      <c r="I93" s="55">
        <f>_xll.EQNXTDZ($A$1,$B93,I$5,$B$1)</f>
        <v>0</v>
      </c>
      <c r="J93" s="55">
        <f>_xll.EQNXTDZ($A$1,$B93,J$5,$B$1)</f>
        <v>115156</v>
      </c>
      <c r="K93" s="55">
        <f>_xll.EQNXTDZ($A$1,$B93,K$5,$B$1)</f>
        <v>0</v>
      </c>
      <c r="L93" s="55">
        <f>_xll.EQNXTDZ($A$1,$B93,L$5,$B$1)</f>
        <v>132519</v>
      </c>
      <c r="M93" s="55">
        <f>_xll.EQNXTDZ($A$1,$B93,M$5,$B$1)</f>
        <v>0</v>
      </c>
      <c r="N93" s="55">
        <f>_xll.EQNXTDZ($A$1,$B93,N$5,$B$1)</f>
        <v>138553</v>
      </c>
      <c r="O93" s="55">
        <f>_xll.EQNXTDZ($A$1,$B93,O$5,$B$1)</f>
        <v>0</v>
      </c>
      <c r="P93" s="55">
        <f>_xll.EQNXTDZ($A$1,$B93,P$5,$B$1)</f>
        <v>172402</v>
      </c>
      <c r="Q93" s="55">
        <f>_xll.EQNXTDZ($A$1,$B93,Q$5,$B$1)</f>
        <v>0</v>
      </c>
      <c r="R93" s="55">
        <f>_xll.EQNXTDZ($A$1,$B93,R$5,$B$1)</f>
        <v>185154</v>
      </c>
      <c r="S93" s="55">
        <f>_xll.EQNXTDZ($A$1,$B93,S$5,$B$1)</f>
        <v>0</v>
      </c>
      <c r="T93" s="55">
        <f>_xll.EQNXTDZ($A$1,$B93,T$5,$B$1)</f>
        <v>194350</v>
      </c>
      <c r="U93" s="55">
        <f>_xll.EQNXTDZ($A$1,$B93,U$5,$B$1)</f>
        <v>0</v>
      </c>
      <c r="V93" s="55">
        <f>_xll.EQNXTDZ($A$1,$B93,V$5,$B$1)</f>
        <v>235315</v>
      </c>
      <c r="W93" s="55">
        <f>_xll.EQNXTDZ($A$1,$B93,W$5,$B$1)</f>
        <v>0</v>
      </c>
      <c r="X93" s="55">
        <f>_xll.EQNXTDZ($A$1,$B93,X$5,$B$1)</f>
        <v>277636</v>
      </c>
      <c r="Y93" s="55">
        <f>_xll.EQNXTDZ($A$1,$B93,Y$5,$B$1)</f>
        <v>0</v>
      </c>
      <c r="Z93" s="55">
        <f>_xll.EQNXTDZ($A$1,$B93,Z$5,$B$1)</f>
        <v>313852</v>
      </c>
      <c r="AA93" s="55">
        <f>_xll.EQNXTDZ($A$1,$B93,AA$5,$B$1)</f>
        <v>0</v>
      </c>
      <c r="AB93" s="55">
        <f>_xll.EQNXTDZ($A$1,$B93,AB$5,$B$1)</f>
        <v>341745</v>
      </c>
      <c r="AC93" s="55">
        <f>_xll.EQNXTDZ($A$1,$B93,AC$5,$B$1)</f>
        <v>0</v>
      </c>
      <c r="AD93" s="55">
        <f>_xll.EQNXTDZ($A$1,$B93,AD$5,$B$1)</f>
        <v>317322</v>
      </c>
      <c r="AE93" s="55">
        <f>_xll.EQNXTDZ($A$1,$B93,AE$5,$B$1)</f>
        <v>0</v>
      </c>
      <c r="AF93" s="55">
        <f>_xll.EQNXTDZ($A$1,$B93,AF$5,$B$1)</f>
        <v>348569</v>
      </c>
      <c r="AG93" s="55">
        <f>_xll.EQNXTDZ($A$1,$B93,AG$5,$B$1)</f>
        <v>0</v>
      </c>
      <c r="AH93" s="55">
        <f>_xll.EQNXTDZ($A$1,$B93,AH$5,$B$1)</f>
        <v>412916</v>
      </c>
      <c r="AI93" s="55">
        <f>_xll.EQNXTDZ($A$1,$B93,AI$5,$B$1)</f>
        <v>0</v>
      </c>
      <c r="AJ93" s="55">
        <f>_xll.EQNXTDZ($A$1,$B93,AJ$5,$B$1)</f>
        <v>298639</v>
      </c>
      <c r="AK93" s="55">
        <f>_xll.EQNXTDZ($A$1,$B93,AK$5,$B$1)</f>
        <v>0</v>
      </c>
      <c r="AL93" s="55">
        <f>_xll.EQNXTDZ($A$1,$B93,AL$5,$B$1)</f>
        <v>277568</v>
      </c>
      <c r="AM93" s="55">
        <f>_xll.EQNXTDZ($A$1,$B93,AM$5,$B$1)</f>
        <v>0</v>
      </c>
      <c r="AN93" s="55">
        <f>_xll.EQNXTDZ($A$1,$B93,AN$5,$B$1)</f>
        <v>315955</v>
      </c>
      <c r="AO93" s="55">
        <f>_xll.EQNXTDZ($A$1,$B93,AO$5,$B$1)</f>
        <v>0</v>
      </c>
      <c r="AP93" s="55">
        <f>_xll.EQNXTDZ($A$1,$B93,AP$5,$B$1)</f>
        <v>308662</v>
      </c>
      <c r="AQ93" s="55">
        <f>_xll.EQNXTDZ($A$1,$B93,AQ$5,$B$1)</f>
        <v>0</v>
      </c>
      <c r="AR93" s="55">
        <f>_xll.EQNXTDZ($A$1,$B93,AR$5,$B$1)</f>
        <v>346988</v>
      </c>
      <c r="AS93" s="55">
        <f>_xll.EQNXTDZ($A$1,$B93,AS$5,$B$1)</f>
        <v>0</v>
      </c>
      <c r="AT93" s="55">
        <f>_xll.EQNXTDZ($A$1,$B93,AT$5,$B$1)</f>
        <v>395743</v>
      </c>
      <c r="AU93" s="55">
        <f>_xll.EQNXTDZ($A$1,$B93,AU$5,$B$1)</f>
        <v>0</v>
      </c>
      <c r="AV93" s="55">
        <f>_xll.EQNXTDZ($A$1,$B93,AV$5,$B$1)</f>
        <v>377513</v>
      </c>
      <c r="AW93" s="55">
        <f>_xll.EQNXTDZ($A$1,$B93,AW$5,$B$1)</f>
        <v>0</v>
      </c>
      <c r="AX93" s="55">
        <f>_xll.EQNXTDZ($A$1,$B93,AX$5,$B$1)</f>
        <v>397367</v>
      </c>
      <c r="AY93" s="55">
        <f>_xll.EQNXTDZ($A$1,$B93,AY$5,$B$1)</f>
        <v>0</v>
      </c>
      <c r="AZ93" s="55">
        <f>_xll.EQNXTDZ($A$1,$B93,AZ$5,$B$1)</f>
        <v>442760</v>
      </c>
      <c r="BA93" s="55">
        <f>_xll.EQNXTDZ($A$1,$B93,BA$5,$B$1)</f>
        <v>0</v>
      </c>
      <c r="BB93" s="55">
        <f>_xll.EQNXTDZ($A$1,$B93,BB$5,$B$1)</f>
        <v>453737</v>
      </c>
      <c r="BC93" s="55">
        <f>_xll.EQNXTDZ($A$1,$B93,BC$5,$B$1)</f>
        <v>0</v>
      </c>
      <c r="BD93" s="55">
        <f>_xll.EQNXTDZ($A$1,$B93,BD$5,$B$1)</f>
        <v>465294</v>
      </c>
      <c r="BE93" s="55">
        <f>_xll.EQNXTDZ($A$1,$B93,BE$5,$B$1)</f>
        <v>0</v>
      </c>
      <c r="BF93" s="55">
        <f>_xll.EQNXTDZ($A$1,$B93,BF$5,$B$1)</f>
        <v>541254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60449</v>
      </c>
      <c r="E94" s="55">
        <f>_xll.EQNXTDZ($A$1,$B94,E$5,$B$1)</f>
        <v>0</v>
      </c>
      <c r="F94" s="55">
        <f>_xll.EQNXTDZ($A$1,$B94,F$5,$B$1)</f>
        <v>59640</v>
      </c>
      <c r="G94" s="55">
        <f>_xll.EQNXTDZ($A$1,$B94,G$5,$B$1)</f>
        <v>0</v>
      </c>
      <c r="H94" s="55">
        <f>_xll.EQNXTDZ($A$1,$B94,H$5,$B$1)</f>
        <v>56003</v>
      </c>
      <c r="I94" s="55">
        <f>_xll.EQNXTDZ($A$1,$B94,I$5,$B$1)</f>
        <v>0</v>
      </c>
      <c r="J94" s="55">
        <f>_xll.EQNXTDZ($A$1,$B94,J$5,$B$1)</f>
        <v>35913</v>
      </c>
      <c r="K94" s="55">
        <f>_xll.EQNXTDZ($A$1,$B94,K$5,$B$1)</f>
        <v>0</v>
      </c>
      <c r="L94" s="55">
        <f>_xll.EQNXTDZ($A$1,$B94,L$5,$B$1)</f>
        <v>21793</v>
      </c>
      <c r="M94" s="55">
        <f>_xll.EQNXTDZ($A$1,$B94,M$5,$B$1)</f>
        <v>0</v>
      </c>
      <c r="N94" s="55">
        <f>_xll.EQNXTDZ($A$1,$B94,N$5,$B$1)</f>
        <v>-1976</v>
      </c>
      <c r="O94" s="55">
        <f>_xll.EQNXTDZ($A$1,$B94,O$5,$B$1)</f>
        <v>0</v>
      </c>
      <c r="P94" s="55">
        <f>_xll.EQNXTDZ($A$1,$B94,P$5,$B$1)</f>
        <v>-23015</v>
      </c>
      <c r="Q94" s="55">
        <f>_xll.EQNXTDZ($A$1,$B94,Q$5,$B$1)</f>
        <v>0</v>
      </c>
      <c r="R94" s="55">
        <f>_xll.EQNXTDZ($A$1,$B94,R$5,$B$1)</f>
        <v>-57369</v>
      </c>
      <c r="S94" s="55">
        <f>_xll.EQNXTDZ($A$1,$B94,S$5,$B$1)</f>
        <v>0</v>
      </c>
      <c r="T94" s="55">
        <f>_xll.EQNXTDZ($A$1,$B94,T$5,$B$1)</f>
        <v>-62294</v>
      </c>
      <c r="U94" s="55">
        <f>_xll.EQNXTDZ($A$1,$B94,U$5,$B$1)</f>
        <v>0</v>
      </c>
      <c r="V94" s="55">
        <f>_xll.EQNXTDZ($A$1,$B94,V$5,$B$1)</f>
        <v>-88502</v>
      </c>
      <c r="W94" s="55">
        <f>_xll.EQNXTDZ($A$1,$B94,W$5,$B$1)</f>
        <v>0</v>
      </c>
      <c r="X94" s="55">
        <f>_xll.EQNXTDZ($A$1,$B94,X$5,$B$1)</f>
        <v>-115832</v>
      </c>
      <c r="Y94" s="55">
        <f>_xll.EQNXTDZ($A$1,$B94,Y$5,$B$1)</f>
        <v>0</v>
      </c>
      <c r="Z94" s="55">
        <f>_xll.EQNXTDZ($A$1,$B94,Z$5,$B$1)</f>
        <v>-130066</v>
      </c>
      <c r="AA94" s="55">
        <f>_xll.EQNXTDZ($A$1,$B94,AA$5,$B$1)</f>
        <v>0</v>
      </c>
      <c r="AB94" s="55">
        <f>_xll.EQNXTDZ($A$1,$B94,AB$5,$B$1)</f>
        <v>-134922</v>
      </c>
      <c r="AC94" s="55">
        <f>_xll.EQNXTDZ($A$1,$B94,AC$5,$B$1)</f>
        <v>0</v>
      </c>
      <c r="AD94" s="55">
        <f>_xll.EQNXTDZ($A$1,$B94,AD$5,$B$1)</f>
        <v>-85269</v>
      </c>
      <c r="AE94" s="55">
        <f>_xll.EQNXTDZ($A$1,$B94,AE$5,$B$1)</f>
        <v>0</v>
      </c>
      <c r="AF94" s="55">
        <f>_xll.EQNXTDZ($A$1,$B94,AF$5,$B$1)</f>
        <v>-133017</v>
      </c>
      <c r="AG94" s="55">
        <f>_xll.EQNXTDZ($A$1,$B94,AG$5,$B$1)</f>
        <v>0</v>
      </c>
      <c r="AH94" s="55">
        <f>_xll.EQNXTDZ($A$1,$B94,AH$5,$B$1)</f>
        <v>-154656</v>
      </c>
      <c r="AI94" s="55">
        <f>_xll.EQNXTDZ($A$1,$B94,AI$5,$B$1)</f>
        <v>0</v>
      </c>
      <c r="AJ94" s="55">
        <f>_xll.EQNXTDZ($A$1,$B94,AJ$5,$B$1)</f>
        <v>-9720</v>
      </c>
      <c r="AK94" s="55">
        <f>_xll.EQNXTDZ($A$1,$B94,AK$5,$B$1)</f>
        <v>0</v>
      </c>
      <c r="AL94" s="55">
        <f>_xll.EQNXTDZ($A$1,$B94,AL$5,$B$1)</f>
        <v>95443</v>
      </c>
      <c r="AM94" s="55">
        <f>_xll.EQNXTDZ($A$1,$B94,AM$5,$B$1)</f>
        <v>0</v>
      </c>
      <c r="AN94" s="55">
        <f>_xll.EQNXTDZ($A$1,$B94,AN$5,$B$1)</f>
        <v>55685</v>
      </c>
      <c r="AO94" s="55">
        <f>_xll.EQNXTDZ($A$1,$B94,AO$5,$B$1)</f>
        <v>0</v>
      </c>
      <c r="AP94" s="55">
        <f>_xll.EQNXTDZ($A$1,$B94,AP$5,$B$1)</f>
        <v>38357</v>
      </c>
      <c r="AQ94" s="55">
        <f>_xll.EQNXTDZ($A$1,$B94,AQ$5,$B$1)</f>
        <v>0</v>
      </c>
      <c r="AR94" s="55">
        <f>_xll.EQNXTDZ($A$1,$B94,AR$5,$B$1)</f>
        <v>3523</v>
      </c>
      <c r="AS94" s="55">
        <f>_xll.EQNXTDZ($A$1,$B94,AS$5,$B$1)</f>
        <v>0</v>
      </c>
      <c r="AT94" s="55">
        <f>_xll.EQNXTDZ($A$1,$B94,AT$5,$B$1)</f>
        <v>29553</v>
      </c>
      <c r="AU94" s="55">
        <f>_xll.EQNXTDZ($A$1,$B94,AU$5,$B$1)</f>
        <v>0</v>
      </c>
      <c r="AV94" s="55">
        <f>_xll.EQNXTDZ($A$1,$B94,AV$5,$B$1)</f>
        <v>62231</v>
      </c>
      <c r="AW94" s="55">
        <f>_xll.EQNXTDZ($A$1,$B94,AW$5,$B$1)</f>
        <v>0</v>
      </c>
      <c r="AX94" s="55">
        <f>_xll.EQNXTDZ($A$1,$B94,AX$5,$B$1)</f>
        <v>72733</v>
      </c>
      <c r="AY94" s="55">
        <f>_xll.EQNXTDZ($A$1,$B94,AY$5,$B$1)</f>
        <v>0</v>
      </c>
      <c r="AZ94" s="55">
        <f>_xll.EQNXTDZ($A$1,$B94,AZ$5,$B$1)</f>
        <v>35652</v>
      </c>
      <c r="BA94" s="55">
        <f>_xll.EQNXTDZ($A$1,$B94,BA$5,$B$1)</f>
        <v>0</v>
      </c>
      <c r="BB94" s="55">
        <f>_xll.EQNXTDZ($A$1,$B94,BB$5,$B$1)</f>
        <v>45533</v>
      </c>
      <c r="BC94" s="55">
        <f>_xll.EQNXTDZ($A$1,$B94,BC$5,$B$1)</f>
        <v>0</v>
      </c>
      <c r="BD94" s="55">
        <f>_xll.EQNXTDZ($A$1,$B94,BD$5,$B$1)</f>
        <v>46670</v>
      </c>
      <c r="BE94" s="55">
        <f>_xll.EQNXTDZ($A$1,$B94,BE$5,$B$1)</f>
        <v>0</v>
      </c>
      <c r="BF94" s="55">
        <f>_xll.EQNXTDZ($A$1,$B94,BF$5,$B$1)</f>
        <v>52995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-12066</v>
      </c>
      <c r="E96" s="55">
        <f>_xll.EQNXTDZ($A$1,$B96,E$5,$B$1)</f>
        <v>0</v>
      </c>
      <c r="F96" s="55">
        <f>_xll.EQNXTDZ($A$1,$B96,F$5,$B$1)</f>
        <v>-11588</v>
      </c>
      <c r="G96" s="55">
        <f>_xll.EQNXTDZ($A$1,$B96,G$5,$B$1)</f>
        <v>0</v>
      </c>
      <c r="H96" s="55">
        <f>_xll.EQNXTDZ($A$1,$B96,H$5,$B$1)</f>
        <v>-12057</v>
      </c>
      <c r="I96" s="55">
        <f>_xll.EQNXTDZ($A$1,$B96,I$5,$B$1)</f>
        <v>0</v>
      </c>
      <c r="J96" s="55">
        <f>_xll.EQNXTDZ($A$1,$B96,J$5,$B$1)</f>
        <v>-11925</v>
      </c>
      <c r="K96" s="55">
        <f>_xll.EQNXTDZ($A$1,$B96,K$5,$B$1)</f>
        <v>0</v>
      </c>
      <c r="L96" s="55">
        <f>_xll.EQNXTDZ($A$1,$B96,L$5,$B$1)</f>
        <v>-12391</v>
      </c>
      <c r="M96" s="55">
        <f>_xll.EQNXTDZ($A$1,$B96,M$5,$B$1)</f>
        <v>0</v>
      </c>
      <c r="N96" s="55">
        <f>_xll.EQNXTDZ($A$1,$B96,N$5,$B$1)</f>
        <v>-12974</v>
      </c>
      <c r="O96" s="55">
        <f>_xll.EQNXTDZ($A$1,$B96,O$5,$B$1)</f>
        <v>0</v>
      </c>
      <c r="P96" s="55">
        <f>_xll.EQNXTDZ($A$1,$B96,P$5,$B$1)</f>
        <v>-11548</v>
      </c>
      <c r="Q96" s="55">
        <f>_xll.EQNXTDZ($A$1,$B96,Q$5,$B$1)</f>
        <v>0</v>
      </c>
      <c r="R96" s="55">
        <f>_xll.EQNXTDZ($A$1,$B96,R$5,$B$1)</f>
        <v>-20494</v>
      </c>
      <c r="S96" s="55">
        <f>_xll.EQNXTDZ($A$1,$B96,S$5,$B$1)</f>
        <v>0</v>
      </c>
      <c r="T96" s="55">
        <f>_xll.EQNXTDZ($A$1,$B96,T$5,$B$1)</f>
        <v>-26618</v>
      </c>
      <c r="U96" s="55">
        <f>_xll.EQNXTDZ($A$1,$B96,U$5,$B$1)</f>
        <v>0</v>
      </c>
      <c r="V96" s="55">
        <f>_xll.EQNXTDZ($A$1,$B96,V$5,$B$1)</f>
        <v>-21198</v>
      </c>
      <c r="W96" s="55">
        <f>_xll.EQNXTDZ($A$1,$B96,W$5,$B$1)</f>
        <v>0</v>
      </c>
      <c r="X96" s="55">
        <f>_xll.EQNXTDZ($A$1,$B96,X$5,$B$1)</f>
        <v>-22311</v>
      </c>
      <c r="Y96" s="55">
        <f>_xll.EQNXTDZ($A$1,$B96,Y$5,$B$1)</f>
        <v>0</v>
      </c>
      <c r="Z96" s="55">
        <f>_xll.EQNXTDZ($A$1,$B96,Z$5,$B$1)</f>
        <v>-24543</v>
      </c>
      <c r="AA96" s="55">
        <f>_xll.EQNXTDZ($A$1,$B96,AA$5,$B$1)</f>
        <v>0</v>
      </c>
      <c r="AB96" s="55">
        <f>_xll.EQNXTDZ($A$1,$B96,AB$5,$B$1)</f>
        <v>-26465</v>
      </c>
      <c r="AC96" s="55">
        <f>_xll.EQNXTDZ($A$1,$B96,AC$5,$B$1)</f>
        <v>0</v>
      </c>
      <c r="AD96" s="55">
        <f>_xll.EQNXTDZ($A$1,$B96,AD$5,$B$1)</f>
        <v>-45147</v>
      </c>
      <c r="AE96" s="55">
        <f>_xll.EQNXTDZ($A$1,$B96,AE$5,$B$1)</f>
        <v>0</v>
      </c>
      <c r="AF96" s="55">
        <f>_xll.EQNXTDZ($A$1,$B96,AF$5,$B$1)</f>
        <v>-47849</v>
      </c>
      <c r="AG96" s="55">
        <f>_xll.EQNXTDZ($A$1,$B96,AG$5,$B$1)</f>
        <v>0</v>
      </c>
      <c r="AH96" s="55">
        <f>_xll.EQNXTDZ($A$1,$B96,AH$5,$B$1)</f>
        <v>-51223</v>
      </c>
      <c r="AI96" s="55">
        <f>_xll.EQNXTDZ($A$1,$B96,AI$5,$B$1)</f>
        <v>0</v>
      </c>
      <c r="AJ96" s="55">
        <f>_xll.EQNXTDZ($A$1,$B96,AJ$5,$B$1)</f>
        <v>-50148</v>
      </c>
      <c r="AK96" s="55">
        <f>_xll.EQNXTDZ($A$1,$B96,AK$5,$B$1)</f>
        <v>0</v>
      </c>
      <c r="AL96" s="55">
        <f>_xll.EQNXTDZ($A$1,$B96,AL$5,$B$1)</f>
        <v>-35854</v>
      </c>
      <c r="AM96" s="55">
        <f>_xll.EQNXTDZ($A$1,$B96,AM$5,$B$1)</f>
        <v>0</v>
      </c>
      <c r="AN96" s="55">
        <f>_xll.EQNXTDZ($A$1,$B96,AN$5,$B$1)</f>
        <v>-37992</v>
      </c>
      <c r="AO96" s="55">
        <f>_xll.EQNXTDZ($A$1,$B96,AO$5,$B$1)</f>
        <v>0</v>
      </c>
      <c r="AP96" s="55">
        <f>_xll.EQNXTDZ($A$1,$B96,AP$5,$B$1)</f>
        <v>-48601</v>
      </c>
      <c r="AQ96" s="55">
        <f>_xll.EQNXTDZ($A$1,$B96,AQ$5,$B$1)</f>
        <v>0</v>
      </c>
      <c r="AR96" s="55">
        <f>_xll.EQNXTDZ($A$1,$B96,AR$5,$B$1)</f>
        <v>-52971</v>
      </c>
      <c r="AS96" s="55">
        <f>_xll.EQNXTDZ($A$1,$B96,AS$5,$B$1)</f>
        <v>0</v>
      </c>
      <c r="AT96" s="55">
        <f>_xll.EQNXTDZ($A$1,$B96,AT$5,$B$1)</f>
        <v>-58775</v>
      </c>
      <c r="AU96" s="55">
        <f>_xll.EQNXTDZ($A$1,$B96,AU$5,$B$1)</f>
        <v>0</v>
      </c>
      <c r="AV96" s="55">
        <f>_xll.EQNXTDZ($A$1,$B96,AV$5,$B$1)</f>
        <v>-64586</v>
      </c>
      <c r="AW96" s="55">
        <f>_xll.EQNXTDZ($A$1,$B96,AW$5,$B$1)</f>
        <v>0</v>
      </c>
      <c r="AX96" s="55">
        <f>_xll.EQNXTDZ($A$1,$B96,AX$5,$B$1)</f>
        <v>-71303</v>
      </c>
      <c r="AY96" s="55">
        <f>_xll.EQNXTDZ($A$1,$B96,AY$5,$B$1)</f>
        <v>0</v>
      </c>
      <c r="AZ96" s="55">
        <f>_xll.EQNXTDZ($A$1,$B96,AZ$5,$B$1)</f>
        <v>-76733</v>
      </c>
      <c r="BA96" s="55">
        <f>_xll.EQNXTDZ($A$1,$B96,BA$5,$B$1)</f>
        <v>0</v>
      </c>
      <c r="BB96" s="55">
        <f>_xll.EQNXTDZ($A$1,$B96,BB$5,$B$1)</f>
        <v>-83045</v>
      </c>
      <c r="BC96" s="55">
        <f>_xll.EQNXTDZ($A$1,$B96,BC$5,$B$1)</f>
        <v>0</v>
      </c>
      <c r="BD96" s="55">
        <f>_xll.EQNXTDZ($A$1,$B96,BD$5,$B$1)</f>
        <v>-89283</v>
      </c>
      <c r="BE96" s="55">
        <f>_xll.EQNXTDZ($A$1,$B96,BE$5,$B$1)</f>
        <v>0</v>
      </c>
      <c r="BF96" s="55">
        <f>_xll.EQNXTDZ($A$1,$B96,BF$5,$B$1)</f>
        <v>-97367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217085</v>
      </c>
      <c r="E97" s="55">
        <f>_xll.EQNXTDZ($A$1,$B97,E$5,$B$1)</f>
        <v>0</v>
      </c>
      <c r="F97" s="55">
        <f>_xll.EQNXTDZ($A$1,$B97,F$5,$B$1)</f>
        <v>254495</v>
      </c>
      <c r="G97" s="55">
        <f>_xll.EQNXTDZ($A$1,$B97,G$5,$B$1)</f>
        <v>0</v>
      </c>
      <c r="H97" s="55">
        <f>_xll.EQNXTDZ($A$1,$B97,H$5,$B$1)</f>
        <v>242744</v>
      </c>
      <c r="I97" s="55">
        <f>_xll.EQNXTDZ($A$1,$B97,I$5,$B$1)</f>
        <v>0</v>
      </c>
      <c r="J97" s="55">
        <f>_xll.EQNXTDZ($A$1,$B97,J$5,$B$1)</f>
        <v>301762</v>
      </c>
      <c r="K97" s="55">
        <f>_xll.EQNXTDZ($A$1,$B97,K$5,$B$1)</f>
        <v>0</v>
      </c>
      <c r="L97" s="55">
        <f>_xll.EQNXTDZ($A$1,$B97,L$5,$B$1)</f>
        <v>328106</v>
      </c>
      <c r="M97" s="55">
        <f>_xll.EQNXTDZ($A$1,$B97,M$5,$B$1)</f>
        <v>0</v>
      </c>
      <c r="N97" s="55">
        <f>_xll.EQNXTDZ($A$1,$B97,N$5,$B$1)</f>
        <v>352959</v>
      </c>
      <c r="O97" s="55">
        <f>_xll.EQNXTDZ($A$1,$B97,O$5,$B$1)</f>
        <v>0</v>
      </c>
      <c r="P97" s="55">
        <f>_xll.EQNXTDZ($A$1,$B97,P$5,$B$1)</f>
        <v>379393</v>
      </c>
      <c r="Q97" s="55">
        <f>_xll.EQNXTDZ($A$1,$B97,Q$5,$B$1)</f>
        <v>0</v>
      </c>
      <c r="R97" s="55">
        <f>_xll.EQNXTDZ($A$1,$B97,R$5,$B$1)</f>
        <v>393349</v>
      </c>
      <c r="S97" s="55">
        <f>_xll.EQNXTDZ($A$1,$B97,S$5,$B$1)</f>
        <v>0</v>
      </c>
      <c r="T97" s="55">
        <f>_xll.EQNXTDZ($A$1,$B97,T$5,$B$1)</f>
        <v>430819</v>
      </c>
      <c r="U97" s="55">
        <f>_xll.EQNXTDZ($A$1,$B97,U$5,$B$1)</f>
        <v>0</v>
      </c>
      <c r="V97" s="55">
        <f>_xll.EQNXTDZ($A$1,$B97,V$5,$B$1)</f>
        <v>450289</v>
      </c>
      <c r="W97" s="55">
        <f>_xll.EQNXTDZ($A$1,$B97,W$5,$B$1)</f>
        <v>0</v>
      </c>
      <c r="X97" s="55">
        <f>_xll.EQNXTDZ($A$1,$B97,X$5,$B$1)</f>
        <v>452077</v>
      </c>
      <c r="Y97" s="55">
        <f>_xll.EQNXTDZ($A$1,$B97,Y$5,$B$1)</f>
        <v>0</v>
      </c>
      <c r="Z97" s="55">
        <f>_xll.EQNXTDZ($A$1,$B97,Z$5,$B$1)</f>
        <v>816348</v>
      </c>
      <c r="AA97" s="55">
        <f>_xll.EQNXTDZ($A$1,$B97,AA$5,$B$1)</f>
        <v>0</v>
      </c>
      <c r="AB97" s="55">
        <f>_xll.EQNXTDZ($A$1,$B97,AB$5,$B$1)</f>
        <v>530004</v>
      </c>
      <c r="AC97" s="55">
        <f>_xll.EQNXTDZ($A$1,$B97,AC$5,$B$1)</f>
        <v>0</v>
      </c>
      <c r="AD97" s="55">
        <f>_xll.EQNXTDZ($A$1,$B97,AD$5,$B$1)</f>
        <v>635161</v>
      </c>
      <c r="AE97" s="55">
        <f>_xll.EQNXTDZ($A$1,$B97,AE$5,$B$1)</f>
        <v>0</v>
      </c>
      <c r="AF97" s="55">
        <f>_xll.EQNXTDZ($A$1,$B97,AF$5,$B$1)</f>
        <v>642374</v>
      </c>
      <c r="AG97" s="55">
        <f>_xll.EQNXTDZ($A$1,$B97,AG$5,$B$1)</f>
        <v>0</v>
      </c>
      <c r="AH97" s="55">
        <f>_xll.EQNXTDZ($A$1,$B97,AH$5,$B$1)</f>
        <v>698876</v>
      </c>
      <c r="AI97" s="55">
        <f>_xll.EQNXTDZ($A$1,$B97,AI$5,$B$1)</f>
        <v>0</v>
      </c>
      <c r="AJ97" s="55">
        <f>_xll.EQNXTDZ($A$1,$B97,AJ$5,$B$1)</f>
        <v>876472</v>
      </c>
      <c r="AK97" s="55">
        <f>_xll.EQNXTDZ($A$1,$B97,AK$5,$B$1)</f>
        <v>0</v>
      </c>
      <c r="AL97" s="55">
        <f>_xll.EQNXTDZ($A$1,$B97,AL$5,$B$1)</f>
        <v>1006643</v>
      </c>
      <c r="AM97" s="55">
        <f>_xll.EQNXTDZ($A$1,$B97,AM$5,$B$1)</f>
        <v>0</v>
      </c>
      <c r="AN97" s="55">
        <f>_xll.EQNXTDZ($A$1,$B97,AN$5,$B$1)</f>
        <v>1074503</v>
      </c>
      <c r="AO97" s="55">
        <f>_xll.EQNXTDZ($A$1,$B97,AO$5,$B$1)</f>
        <v>0</v>
      </c>
      <c r="AP97" s="55">
        <f>_xll.EQNXTDZ($A$1,$B97,AP$5,$B$1)</f>
        <v>1141359</v>
      </c>
      <c r="AQ97" s="55">
        <f>_xll.EQNXTDZ($A$1,$B97,AQ$5,$B$1)</f>
        <v>0</v>
      </c>
      <c r="AR97" s="55">
        <f>_xll.EQNXTDZ($A$1,$B97,AR$5,$B$1)</f>
        <v>1225224</v>
      </c>
      <c r="AS97" s="55">
        <f>_xll.EQNXTDZ($A$1,$B97,AS$5,$B$1)</f>
        <v>0</v>
      </c>
      <c r="AT97" s="55">
        <f>_xll.EQNXTDZ($A$1,$B97,AT$5,$B$1)</f>
        <v>1151364</v>
      </c>
      <c r="AU97" s="55">
        <f>_xll.EQNXTDZ($A$1,$B97,AU$5,$B$1)</f>
        <v>0</v>
      </c>
      <c r="AV97" s="55">
        <f>_xll.EQNXTDZ($A$1,$B97,AV$5,$B$1)</f>
        <v>1239176</v>
      </c>
      <c r="AW97" s="55">
        <f>_xll.EQNXTDZ($A$1,$B97,AW$5,$B$1)</f>
        <v>0</v>
      </c>
      <c r="AX97" s="55">
        <f>_xll.EQNXTDZ($A$1,$B97,AX$5,$B$1)</f>
        <v>1286378</v>
      </c>
      <c r="AY97" s="55">
        <f>_xll.EQNXTDZ($A$1,$B97,AY$5,$B$1)</f>
        <v>0</v>
      </c>
      <c r="AZ97" s="55">
        <f>_xll.EQNXTDZ($A$1,$B97,AZ$5,$B$1)</f>
        <v>1294976</v>
      </c>
      <c r="BA97" s="55">
        <f>_xll.EQNXTDZ($A$1,$B97,BA$5,$B$1)</f>
        <v>0</v>
      </c>
      <c r="BB97" s="55">
        <f>_xll.EQNXTDZ($A$1,$B97,BB$5,$B$1)</f>
        <v>1412931</v>
      </c>
      <c r="BC97" s="55">
        <f>_xll.EQNXTDZ($A$1,$B97,BC$5,$B$1)</f>
        <v>0</v>
      </c>
      <c r="BD97" s="55">
        <f>_xll.EQNXTDZ($A$1,$B97,BD$5,$B$1)</f>
        <v>1484369</v>
      </c>
      <c r="BE97" s="55">
        <f>_xll.EQNXTDZ($A$1,$B97,BE$5,$B$1)</f>
        <v>0</v>
      </c>
      <c r="BF97" s="55">
        <f>_xll.EQNXTDZ($A$1,$B97,BF$5,$B$1)</f>
        <v>1538925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100325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Reliance Industries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28008.25</v>
      </c>
      <c r="D6" s="100">
        <f>_xll.EQNXTDZ($A$1,$B6,D$1,$B$1)</f>
        <v>57126.48</v>
      </c>
      <c r="E6" s="100">
        <f>_xll.EQNXTDZ($A$1,$B6,E$1,$B$1)</f>
        <v>65073.72</v>
      </c>
      <c r="F6" s="100">
        <f>_xll.EQNXTDZ($A$1,$B6,F$1,$B$1)</f>
        <v>74641.710000000006</v>
      </c>
      <c r="G6" s="100">
        <f>_xll.EQNXTDZ($A$1,$B6,G$1,$B$1)</f>
        <v>73710.460000000006</v>
      </c>
      <c r="H6" s="100">
        <f>_xll.EQNXTDZ($A$1,$B6,H$1,$B$1)</f>
        <v>90937.94</v>
      </c>
      <c r="I6" s="100">
        <f>_xll.EQNXTDZ($A$1,$B6,I$1,$B$1)</f>
        <v>120431.1</v>
      </c>
      <c r="J6" s="100">
        <f>_xll.EQNXTDZ($A$1,$B6,J$1,$B$1)</f>
        <v>143004.98000000001</v>
      </c>
      <c r="K6" s="100">
        <f>_xll.EQNXTDZ($A$1,$B6,K$1,$B$1)</f>
        <v>155788.51</v>
      </c>
      <c r="L6" s="100">
        <f>_xll.EQNXTDZ($A$1,$B6,L$1,$B$1)</f>
        <v>211727.07</v>
      </c>
      <c r="M6" s="100">
        <f>_xll.EQNXTDZ($A$1,$B6,M$1,$B$1)</f>
        <v>276372</v>
      </c>
      <c r="N6" s="100">
        <f>_xll.EQNXTDZ($A$1,$B6,N$1,$B$1)</f>
        <v>368571</v>
      </c>
      <c r="O6" s="100">
        <f>_xll.EQNXTDZ($A$1,$B6,O$1,$B$1)</f>
        <v>408392</v>
      </c>
      <c r="P6" s="100">
        <f>_xll.EQNXTDZ($A$1,$B6,P$1,$B$1)</f>
        <v>446339</v>
      </c>
      <c r="Q6" s="100">
        <f>_xll.EQNXTDZ($A$1,$B6,Q$1,$B$1)</f>
        <v>388494</v>
      </c>
      <c r="R6" s="100">
        <f>_xll.EQNXTDZ($A$1,$B6,R$1,$B$1)</f>
        <v>293298</v>
      </c>
      <c r="S6" s="100">
        <f>_xll.EQNXTDZ($A$1,$B6,S$1,$B$1)</f>
        <v>330180</v>
      </c>
      <c r="T6" s="100">
        <f>_xll.EQNXTDZ($A$1,$B6,T$1,$B$1)</f>
        <v>430731</v>
      </c>
      <c r="U6" s="100">
        <f>_xll.EQNXTDZ($A$1,$B6,U$1,$B$1)</f>
        <v>625212</v>
      </c>
      <c r="V6" s="100">
        <f>_xll.EQNXTDZ($A$1,$B6,V$1,$B$1)</f>
        <v>659997</v>
      </c>
      <c r="W6" s="100">
        <f>_xll.EQNXTDZ($A$1,$B6,W$1,$B$1)</f>
        <v>539238</v>
      </c>
      <c r="X6" s="100">
        <f>_xll.EQNXTDZ($A$1,$B6,X$1,$B$1)</f>
        <v>788743</v>
      </c>
      <c r="Y6" s="100">
        <f>_xll.EQNXTDZ($A$1,$B6,Y$1,$B$1)</f>
        <v>974864</v>
      </c>
      <c r="Z6" s="100">
        <f>_xll.EQNXTDZ($A$1,$B6,Z$1,$B$1)</f>
        <v>1000122</v>
      </c>
      <c r="AA6" s="100">
        <f>_xll.EQNXTDZ($A$1,$B6,AA$1,$B$1)</f>
        <v>1071174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4984.08</v>
      </c>
      <c r="D7" s="100">
        <f>_xll.EQNXTDZ($A$1,$B7,D$1,$B$1)</f>
        <v>11715.69</v>
      </c>
      <c r="E7" s="100">
        <f>_xll.EQNXTDZ($A$1,$B7,E$1,$B$1)</f>
        <v>14965.63</v>
      </c>
      <c r="F7" s="100">
        <f>_xll.EQNXTDZ($A$1,$B7,F$1,$B$1)</f>
        <v>18170.87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2582.8200000000002</v>
      </c>
      <c r="D9" s="100">
        <f>_xll.EQNXTDZ($A$1,$B9,D$1,$B$1)</f>
        <v>3314.98</v>
      </c>
      <c r="E9" s="100">
        <f>_xll.EQNXTDZ($A$1,$B9,E$1,$B$1)</f>
        <v>4198.0200000000004</v>
      </c>
      <c r="F9" s="100">
        <f>_xll.EQNXTDZ($A$1,$B9,F$1,$B$1)</f>
        <v>4445.5</v>
      </c>
      <c r="G9" s="100">
        <f>_xll.EQNXTDZ($A$1,$B9,G$1,$B$1)</f>
        <v>7112.8</v>
      </c>
      <c r="H9" s="100">
        <f>_xll.EQNXTDZ($A$1,$B9,H$1,$B$1)</f>
        <v>7913.13</v>
      </c>
      <c r="I9" s="100">
        <f>_xll.EQNXTDZ($A$1,$B9,I$1,$B$1)</f>
        <v>6660.99</v>
      </c>
      <c r="J9" s="100">
        <f>_xll.EQNXTDZ($A$1,$B9,J$1,$B$1)</f>
        <v>5858.32</v>
      </c>
      <c r="K9" s="100">
        <f>_xll.EQNXTDZ($A$1,$B9,K$1,$B$1)</f>
        <v>4564.5</v>
      </c>
      <c r="L9" s="100">
        <f>_xll.EQNXTDZ($A$1,$B9,L$1,$B$1)</f>
        <v>7987.35</v>
      </c>
      <c r="M9" s="100">
        <f>_xll.EQNXTDZ($A$1,$B9,M$1,$B$1)</f>
        <v>10561</v>
      </c>
      <c r="N9" s="100">
        <f>_xll.EQNXTDZ($A$1,$B9,N$1,$B$1)</f>
        <v>10070</v>
      </c>
      <c r="O9" s="100">
        <f>_xll.EQNXTDZ($A$1,$B9,O$1,$B$1)</f>
        <v>11330</v>
      </c>
      <c r="P9" s="100">
        <f>_xll.EQNXTDZ($A$1,$B9,P$1,$B$1)</f>
        <v>11879</v>
      </c>
      <c r="Q9" s="100">
        <f>_xll.EQNXTDZ($A$1,$B9,Q$1,$B$1)</f>
        <v>13059</v>
      </c>
      <c r="R9" s="100">
        <f>_xll.EQNXTDZ($A$1,$B9,R$1,$B$1)</f>
        <v>19299</v>
      </c>
      <c r="S9" s="100">
        <f>_xll.EQNXTDZ($A$1,$B9,S$1,$B$1)</f>
        <v>24798</v>
      </c>
      <c r="T9" s="100">
        <f>_xll.EQNXTDZ($A$1,$B9,T$1,$B$1)</f>
        <v>39054</v>
      </c>
      <c r="U9" s="100">
        <f>_xll.EQNXTDZ($A$1,$B9,U$1,$B$1)</f>
        <v>56003</v>
      </c>
      <c r="V9" s="100">
        <f>_xll.EQNXTDZ($A$1,$B9,V$1,$B$1)</f>
        <v>62462</v>
      </c>
      <c r="W9" s="100">
        <f>_xll.EQNXTDZ($A$1,$B9,W$1,$B$1)</f>
        <v>72314</v>
      </c>
      <c r="X9" s="100">
        <f>_xll.EQNXTDZ($A$1,$B9,X$1,$B$1)</f>
        <v>92780</v>
      </c>
      <c r="Y9" s="100">
        <f>_xll.EQNXTDZ($A$1,$B9,Y$1,$B$1)</f>
        <v>97029</v>
      </c>
      <c r="Z9" s="100">
        <f>_xll.EQNXTDZ($A$1,$B9,Z$1,$B$1)</f>
        <v>99058</v>
      </c>
      <c r="AA9" s="100">
        <f>_xll.EQNXTDZ($A$1,$B9,AA$1,$B$1)</f>
        <v>106481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20441.349999999999</v>
      </c>
      <c r="D10" s="100">
        <f>_xll.EQNXTDZ($A$1,$B10,D$1,$B$1)</f>
        <v>42095.81</v>
      </c>
      <c r="E10" s="100">
        <f>_xll.EQNXTDZ($A$1,$B10,E$1,$B$1)</f>
        <v>45910.07</v>
      </c>
      <c r="F10" s="100">
        <f>_xll.EQNXTDZ($A$1,$B10,F$1,$B$1)</f>
        <v>52025.34</v>
      </c>
      <c r="G10" s="100">
        <f>_xll.EQNXTDZ($A$1,$B10,G$1,$B$1)</f>
        <v>66597.66</v>
      </c>
      <c r="H10" s="100">
        <f>_xll.EQNXTDZ($A$1,$B10,H$1,$B$1)</f>
        <v>83024.81</v>
      </c>
      <c r="I10" s="100">
        <f>_xll.EQNXTDZ($A$1,$B10,I$1,$B$1)</f>
        <v>113770.11</v>
      </c>
      <c r="J10" s="100">
        <f>_xll.EQNXTDZ($A$1,$B10,J$1,$B$1)</f>
        <v>137146.66</v>
      </c>
      <c r="K10" s="100">
        <f>_xll.EQNXTDZ($A$1,$B10,K$1,$B$1)</f>
        <v>151224.01</v>
      </c>
      <c r="L10" s="100">
        <f>_xll.EQNXTDZ($A$1,$B10,L$1,$B$1)</f>
        <v>203739.72</v>
      </c>
      <c r="M10" s="100">
        <f>_xll.EQNXTDZ($A$1,$B10,M$1,$B$1)</f>
        <v>265811</v>
      </c>
      <c r="N10" s="100">
        <f>_xll.EQNXTDZ($A$1,$B10,N$1,$B$1)</f>
        <v>358501</v>
      </c>
      <c r="O10" s="100">
        <f>_xll.EQNXTDZ($A$1,$B10,O$1,$B$1)</f>
        <v>397062</v>
      </c>
      <c r="P10" s="100">
        <f>_xll.EQNXTDZ($A$1,$B10,P$1,$B$1)</f>
        <v>434460</v>
      </c>
      <c r="Q10" s="100">
        <f>_xll.EQNXTDZ($A$1,$B10,Q$1,$B$1)</f>
        <v>375435</v>
      </c>
      <c r="R10" s="100">
        <f>_xll.EQNXTDZ($A$1,$B10,R$1,$B$1)</f>
        <v>273999</v>
      </c>
      <c r="S10" s="100">
        <f>_xll.EQNXTDZ($A$1,$B10,S$1,$B$1)</f>
        <v>305382</v>
      </c>
      <c r="T10" s="100">
        <f>_xll.EQNXTDZ($A$1,$B10,T$1,$B$1)</f>
        <v>391677</v>
      </c>
      <c r="U10" s="100">
        <f>_xll.EQNXTDZ($A$1,$B10,U$1,$B$1)</f>
        <v>569209</v>
      </c>
      <c r="V10" s="100">
        <f>_xll.EQNXTDZ($A$1,$B10,V$1,$B$1)</f>
        <v>597535</v>
      </c>
      <c r="W10" s="100">
        <f>_xll.EQNXTDZ($A$1,$B10,W$1,$B$1)</f>
        <v>466924</v>
      </c>
      <c r="X10" s="100">
        <f>_xll.EQNXTDZ($A$1,$B10,X$1,$B$1)</f>
        <v>695963</v>
      </c>
      <c r="Y10" s="100">
        <f>_xll.EQNXTDZ($A$1,$B10,Y$1,$B$1)</f>
        <v>877835</v>
      </c>
      <c r="Z10" s="100">
        <f>_xll.EQNXTDZ($A$1,$B10,Z$1,$B$1)</f>
        <v>901064</v>
      </c>
      <c r="AA10" s="100">
        <f>_xll.EQNXTDZ($A$1,$B10,AA$1,$B$1)</f>
        <v>964693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-319.93</v>
      </c>
      <c r="D11" s="100">
        <f>_xll.EQNXTDZ($A$1,$B11,D$1,$B$1)</f>
        <v>874.79</v>
      </c>
      <c r="E11" s="100">
        <f>_xll.EQNXTDZ($A$1,$B11,E$1,$B$1)</f>
        <v>-2241.89</v>
      </c>
      <c r="F11" s="100">
        <f>_xll.EQNXTDZ($A$1,$B11,F$1,$B$1)</f>
        <v>557.30999999999995</v>
      </c>
      <c r="G11" s="100">
        <f>_xll.EQNXTDZ($A$1,$B11,G$1,$B$1)</f>
        <v>656.82</v>
      </c>
      <c r="H11" s="100">
        <f>_xll.EQNXTDZ($A$1,$B11,H$1,$B$1)</f>
        <v>-1786.62</v>
      </c>
      <c r="I11" s="100">
        <f>_xll.EQNXTDZ($A$1,$B11,I$1,$B$1)</f>
        <v>-703.23</v>
      </c>
      <c r="J11" s="100">
        <f>_xll.EQNXTDZ($A$1,$B11,J$1,$B$1)</f>
        <v>-1896.71</v>
      </c>
      <c r="K11" s="100">
        <f>_xll.EQNXTDZ($A$1,$B11,K$1,$B$1)</f>
        <v>-2381.0700000000002</v>
      </c>
      <c r="L11" s="100">
        <f>_xll.EQNXTDZ($A$1,$B11,L$1,$B$1)</f>
        <v>-5665.84</v>
      </c>
      <c r="M11" s="100">
        <f>_xll.EQNXTDZ($A$1,$B11,M$1,$B$1)</f>
        <v>-4363</v>
      </c>
      <c r="N11" s="100">
        <f>_xll.EQNXTDZ($A$1,$B11,N$1,$B$1)</f>
        <v>-2872</v>
      </c>
      <c r="O11" s="100">
        <f>_xll.EQNXTDZ($A$1,$B11,O$1,$B$1)</f>
        <v>-4904</v>
      </c>
      <c r="P11" s="100">
        <f>_xll.EQNXTDZ($A$1,$B11,P$1,$B$1)</f>
        <v>-561</v>
      </c>
      <c r="Q11" s="100">
        <f>_xll.EQNXTDZ($A$1,$B11,Q$1,$B$1)</f>
        <v>1788</v>
      </c>
      <c r="R11" s="100">
        <f>_xll.EQNXTDZ($A$1,$B11,R$1,$B$1)</f>
        <v>3009</v>
      </c>
      <c r="S11" s="100">
        <f>_xll.EQNXTDZ($A$1,$B11,S$1,$B$1)</f>
        <v>-4978</v>
      </c>
      <c r="T11" s="100">
        <f>_xll.EQNXTDZ($A$1,$B11,T$1,$B$1)</f>
        <v>-8705</v>
      </c>
      <c r="U11" s="100">
        <f>_xll.EQNXTDZ($A$1,$B11,U$1,$B$1)</f>
        <v>-4521</v>
      </c>
      <c r="V11" s="100">
        <f>_xll.EQNXTDZ($A$1,$B11,V$1,$B$1)</f>
        <v>-4859</v>
      </c>
      <c r="W11" s="100">
        <f>_xll.EQNXTDZ($A$1,$B11,W$1,$B$1)</f>
        <v>-8823</v>
      </c>
      <c r="X11" s="100">
        <f>_xll.EQNXTDZ($A$1,$B11,X$1,$B$1)</f>
        <v>-21497</v>
      </c>
      <c r="Y11" s="100">
        <f>_xll.EQNXTDZ($A$1,$B11,Y$1,$B$1)</f>
        <v>-25803</v>
      </c>
      <c r="Z11" s="100">
        <f>_xll.EQNXTDZ($A$1,$B11,Z$1,$B$1)</f>
        <v>-4280</v>
      </c>
      <c r="AA11" s="100">
        <f>_xll.EQNXTDZ($A$1,$B11,AA$1,$B$1)</f>
        <v>-15073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12365.75</v>
      </c>
      <c r="D12" s="100">
        <f>_xll.EQNXTDZ($A$1,$B12,D$1,$B$1)</f>
        <v>28187.25</v>
      </c>
      <c r="E12" s="100">
        <f>_xll.EQNXTDZ($A$1,$B12,E$1,$B$1)</f>
        <v>34277.68</v>
      </c>
      <c r="F12" s="100">
        <f>_xll.EQNXTDZ($A$1,$B12,F$1,$B$1)</f>
        <v>34922.92</v>
      </c>
      <c r="G12" s="100">
        <f>_xll.EQNXTDZ($A$1,$B12,G$1,$B$1)</f>
        <v>45931.87</v>
      </c>
      <c r="H12" s="100">
        <f>_xll.EQNXTDZ($A$1,$B12,H$1,$B$1)</f>
        <v>59168.01</v>
      </c>
      <c r="I12" s="100">
        <f>_xll.EQNXTDZ($A$1,$B12,I$1,$B$1)</f>
        <v>79713.87</v>
      </c>
      <c r="J12" s="100">
        <f>_xll.EQNXTDZ($A$1,$B12,J$1,$B$1)</f>
        <v>101297.05</v>
      </c>
      <c r="K12" s="100">
        <f>_xll.EQNXTDZ($A$1,$B12,K$1,$B$1)</f>
        <v>114695.61</v>
      </c>
      <c r="L12" s="100">
        <f>_xll.EQNXTDZ($A$1,$B12,L$1,$B$1)</f>
        <v>160637.71</v>
      </c>
      <c r="M12" s="100">
        <f>_xll.EQNXTDZ($A$1,$B12,M$1,$B$1)</f>
        <v>208882</v>
      </c>
      <c r="N12" s="100">
        <f>_xll.EQNXTDZ($A$1,$B12,N$1,$B$1)</f>
        <v>301035</v>
      </c>
      <c r="O12" s="100">
        <f>_xll.EQNXTDZ($A$1,$B12,O$1,$B$1)</f>
        <v>337204</v>
      </c>
      <c r="P12" s="100">
        <f>_xll.EQNXTDZ($A$1,$B12,P$1,$B$1)</f>
        <v>363582</v>
      </c>
      <c r="Q12" s="100">
        <f>_xll.EQNXTDZ($A$1,$B12,Q$1,$B$1)</f>
        <v>292563</v>
      </c>
      <c r="R12" s="100">
        <f>_xll.EQNXTDZ($A$1,$B12,R$1,$B$1)</f>
        <v>186254</v>
      </c>
      <c r="S12" s="100">
        <f>_xll.EQNXTDZ($A$1,$B12,S$1,$B$1)</f>
        <v>217518</v>
      </c>
      <c r="T12" s="100">
        <f>_xll.EQNXTDZ($A$1,$B12,T$1,$B$1)</f>
        <v>276076</v>
      </c>
      <c r="U12" s="100">
        <f>_xll.EQNXTDZ($A$1,$B12,U$1,$B$1)</f>
        <v>399167</v>
      </c>
      <c r="V12" s="100">
        <f>_xll.EQNXTDZ($A$1,$B12,V$1,$B$1)</f>
        <v>410288</v>
      </c>
      <c r="W12" s="100">
        <f>_xll.EQNXTDZ($A$1,$B12,W$1,$B$1)</f>
        <v>301765</v>
      </c>
      <c r="X12" s="100">
        <f>_xll.EQNXTDZ($A$1,$B12,X$1,$B$1)</f>
        <v>494449</v>
      </c>
      <c r="Y12" s="100">
        <f>_xll.EQNXTDZ($A$1,$B12,Y$1,$B$1)</f>
        <v>618746</v>
      </c>
      <c r="Z12" s="100">
        <f>_xll.EQNXTDZ($A$1,$B12,Z$1,$B$1)</f>
        <v>590226</v>
      </c>
      <c r="AA12" s="100">
        <f>_xll.EQNXTDZ($A$1,$B12,AA$1,$B$1)</f>
        <v>644813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987.86</v>
      </c>
      <c r="D13" s="100">
        <f>_xll.EQNXTDZ($A$1,$B13,D$1,$B$1)</f>
        <v>739.66</v>
      </c>
      <c r="E13" s="100">
        <f>_xll.EQNXTDZ($A$1,$B13,E$1,$B$1)</f>
        <v>719.4</v>
      </c>
      <c r="F13" s="100">
        <f>_xll.EQNXTDZ($A$1,$B13,F$1,$B$1)</f>
        <v>725.54</v>
      </c>
      <c r="G13" s="100">
        <f>_xll.EQNXTDZ($A$1,$B13,G$1,$B$1)</f>
        <v>907.94</v>
      </c>
      <c r="H13" s="100">
        <f>_xll.EQNXTDZ($A$1,$B13,H$1,$B$1)</f>
        <v>1146.26</v>
      </c>
      <c r="I13" s="100">
        <f>_xll.EQNXTDZ($A$1,$B13,I$1,$B$1)</f>
        <v>2262.9499999999998</v>
      </c>
      <c r="J13" s="100">
        <f>_xll.EQNXTDZ($A$1,$B13,J$1,$B$1)</f>
        <v>2108.38</v>
      </c>
      <c r="K13" s="100">
        <f>_xll.EQNXTDZ($A$1,$B13,K$1,$B$1)</f>
        <v>3848.91</v>
      </c>
      <c r="L13" s="100">
        <f>_xll.EQNXTDZ($A$1,$B13,L$1,$B$1)</f>
        <v>3140.75</v>
      </c>
      <c r="M13" s="100">
        <f>_xll.EQNXTDZ($A$1,$B13,M$1,$B$1)</f>
        <v>2834</v>
      </c>
      <c r="N13" s="100">
        <f>_xll.EQNXTDZ($A$1,$B13,N$1,$B$1)</f>
        <v>4740</v>
      </c>
      <c r="O13" s="100">
        <f>_xll.EQNXTDZ($A$1,$B13,O$1,$B$1)</f>
        <v>7993</v>
      </c>
      <c r="P13" s="100">
        <f>_xll.EQNXTDZ($A$1,$B13,P$1,$B$1)</f>
        <v>10855</v>
      </c>
      <c r="Q13" s="100">
        <f>_xll.EQNXTDZ($A$1,$B13,Q$1,$B$1)</f>
        <v>13261</v>
      </c>
      <c r="R13" s="100">
        <f>_xll.EQNXTDZ($A$1,$B13,R$1,$B$1)</f>
        <v>10741</v>
      </c>
      <c r="S13" s="100">
        <f>_xll.EQNXTDZ($A$1,$B13,S$1,$B$1)</f>
        <v>11251</v>
      </c>
      <c r="T13" s="100">
        <f>_xll.EQNXTDZ($A$1,$B13,T$1,$B$1)</f>
        <v>14569</v>
      </c>
      <c r="U13" s="100">
        <f>_xll.EQNXTDZ($A$1,$B13,U$1,$B$1)</f>
        <v>17029</v>
      </c>
      <c r="V13" s="100">
        <f>_xll.EQNXTDZ($A$1,$B13,V$1,$B$1)</f>
        <v>15098</v>
      </c>
      <c r="W13" s="100">
        <f>_xll.EQNXTDZ($A$1,$B13,W$1,$B$1)</f>
        <v>13214</v>
      </c>
      <c r="X13" s="100">
        <f>_xll.EQNXTDZ($A$1,$B13,X$1,$B$1)</f>
        <v>17902</v>
      </c>
      <c r="Y13" s="100">
        <f>_xll.EQNXTDZ($A$1,$B13,Y$1,$B$1)</f>
        <v>25062</v>
      </c>
      <c r="Z13" s="100">
        <f>_xll.EQNXTDZ($A$1,$B13,Z$1,$B$1)</f>
        <v>22137</v>
      </c>
      <c r="AA13" s="100">
        <f>_xll.EQNXTDZ($A$1,$B13,AA$1,$B$1)</f>
        <v>23823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413.3</v>
      </c>
      <c r="D14" s="100">
        <f>_xll.EQNXTDZ($A$1,$B14,D$1,$B$1)</f>
        <v>533.87</v>
      </c>
      <c r="E14" s="100">
        <f>_xll.EQNXTDZ($A$1,$B14,E$1,$B$1)</f>
        <v>625.46</v>
      </c>
      <c r="F14" s="100">
        <f>_xll.EQNXTDZ($A$1,$B14,F$1,$B$1)</f>
        <v>765.41</v>
      </c>
      <c r="G14" s="100">
        <f>_xll.EQNXTDZ($A$1,$B14,G$1,$B$1)</f>
        <v>802.4</v>
      </c>
      <c r="H14" s="100">
        <f>_xll.EQNXTDZ($A$1,$B14,H$1,$B$1)</f>
        <v>1422.9</v>
      </c>
      <c r="I14" s="100">
        <f>_xll.EQNXTDZ($A$1,$B14,I$1,$B$1)</f>
        <v>2542.75</v>
      </c>
      <c r="J14" s="100">
        <f>_xll.EQNXTDZ($A$1,$B14,J$1,$B$1)</f>
        <v>2668.78</v>
      </c>
      <c r="K14" s="100">
        <f>_xll.EQNXTDZ($A$1,$B14,K$1,$B$1)</f>
        <v>2977.47</v>
      </c>
      <c r="L14" s="100">
        <f>_xll.EQNXTDZ($A$1,$B14,L$1,$B$1)</f>
        <v>2748.22</v>
      </c>
      <c r="M14" s="100">
        <f>_xll.EQNXTDZ($A$1,$B14,M$1,$B$1)</f>
        <v>3324</v>
      </c>
      <c r="N14" s="100">
        <f>_xll.EQNXTDZ($A$1,$B14,N$1,$B$1)</f>
        <v>3955</v>
      </c>
      <c r="O14" s="100">
        <f>_xll.EQNXTDZ($A$1,$B14,O$1,$B$1)</f>
        <v>5179</v>
      </c>
      <c r="P14" s="100">
        <f>_xll.EQNXTDZ($A$1,$B14,P$1,$B$1)</f>
        <v>5572</v>
      </c>
      <c r="Q14" s="100">
        <f>_xll.EQNXTDZ($A$1,$B14,Q$1,$B$1)</f>
        <v>6262</v>
      </c>
      <c r="R14" s="100">
        <f>_xll.EQNXTDZ($A$1,$B14,R$1,$B$1)</f>
        <v>7407</v>
      </c>
      <c r="S14" s="100">
        <f>_xll.EQNXTDZ($A$1,$B14,S$1,$B$1)</f>
        <v>8388</v>
      </c>
      <c r="T14" s="100">
        <f>_xll.EQNXTDZ($A$1,$B14,T$1,$B$1)</f>
        <v>9523</v>
      </c>
      <c r="U14" s="100">
        <f>_xll.EQNXTDZ($A$1,$B14,U$1,$B$1)</f>
        <v>12488</v>
      </c>
      <c r="V14" s="100">
        <f>_xll.EQNXTDZ($A$1,$B14,V$1,$B$1)</f>
        <v>14075</v>
      </c>
      <c r="W14" s="100">
        <f>_xll.EQNXTDZ($A$1,$B14,W$1,$B$1)</f>
        <v>14817</v>
      </c>
      <c r="X14" s="100">
        <f>_xll.EQNXTDZ($A$1,$B14,X$1,$B$1)</f>
        <v>18758</v>
      </c>
      <c r="Y14" s="100">
        <f>_xll.EQNXTDZ($A$1,$B14,Y$1,$B$1)</f>
        <v>24872</v>
      </c>
      <c r="Z14" s="100">
        <f>_xll.EQNXTDZ($A$1,$B14,Z$1,$B$1)</f>
        <v>25679</v>
      </c>
      <c r="AA14" s="100">
        <f>_xll.EQNXTDZ($A$1,$B14,AA$1,$B$1)</f>
        <v>28559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1043.3</v>
      </c>
      <c r="D15" s="100">
        <f>_xll.EQNXTDZ($A$1,$B15,D$1,$B$1)</f>
        <v>1445.1</v>
      </c>
      <c r="E15" s="100">
        <f>_xll.EQNXTDZ($A$1,$B15,E$1,$B$1)</f>
        <v>1434.1</v>
      </c>
      <c r="F15" s="100">
        <f>_xll.EQNXTDZ($A$1,$B15,F$1,$B$1)</f>
        <v>1663.71</v>
      </c>
      <c r="G15" s="100">
        <f>_xll.EQNXTDZ($A$1,$B15,G$1,$B$1)</f>
        <v>2398.2600000000002</v>
      </c>
      <c r="H15" s="100">
        <f>_xll.EQNXTDZ($A$1,$B15,H$1,$B$1)</f>
        <v>2398.9499999999998</v>
      </c>
      <c r="I15" s="100">
        <f>_xll.EQNXTDZ($A$1,$B15,I$1,$B$1)</f>
        <v>3698.24</v>
      </c>
      <c r="J15" s="100">
        <f>_xll.EQNXTDZ($A$1,$B15,J$1,$B$1)</f>
        <v>4972.7299999999996</v>
      </c>
      <c r="K15" s="100">
        <f>_xll.EQNXTDZ($A$1,$B15,K$1,$B$1)</f>
        <v>4865.55</v>
      </c>
      <c r="L15" s="100">
        <f>_xll.EQNXTDZ($A$1,$B15,L$1,$B$1)</f>
        <v>6179.7</v>
      </c>
      <c r="M15" s="100">
        <f>_xll.EQNXTDZ($A$1,$B15,M$1,$B$1)</f>
        <v>7263</v>
      </c>
      <c r="N15" s="100">
        <f>_xll.EQNXTDZ($A$1,$B15,N$1,$B$1)</f>
        <v>6888</v>
      </c>
      <c r="O15" s="100">
        <f>_xll.EQNXTDZ($A$1,$B15,O$1,$B$1)</f>
        <v>6911</v>
      </c>
      <c r="P15" s="100">
        <f>_xll.EQNXTDZ($A$1,$B15,P$1,$B$1)</f>
        <v>7310</v>
      </c>
      <c r="Q15" s="100">
        <f>_xll.EQNXTDZ($A$1,$B15,Q$1,$B$1)</f>
        <v>7816</v>
      </c>
      <c r="R15" s="100">
        <f>_xll.EQNXTDZ($A$1,$B15,R$1,$B$1)</f>
        <v>7788</v>
      </c>
      <c r="S15" s="100">
        <f>_xll.EQNXTDZ($A$1,$B15,S$1,$B$1)</f>
        <v>8614</v>
      </c>
      <c r="T15" s="100">
        <f>_xll.EQNXTDZ($A$1,$B15,T$1,$B$1)</f>
        <v>13990</v>
      </c>
      <c r="U15" s="100">
        <f>_xll.EQNXTDZ($A$1,$B15,U$1,$B$1)</f>
        <v>20973</v>
      </c>
      <c r="V15" s="100">
        <f>_xll.EQNXTDZ($A$1,$B15,V$1,$B$1)</f>
        <v>25534</v>
      </c>
      <c r="W15" s="100">
        <f>_xll.EQNXTDZ($A$1,$B15,W$1,$B$1)</f>
        <v>28555</v>
      </c>
      <c r="X15" s="100">
        <f>_xll.EQNXTDZ($A$1,$B15,X$1,$B$1)</f>
        <v>35337</v>
      </c>
      <c r="Y15" s="100">
        <f>_xll.EQNXTDZ($A$1,$B15,Y$1,$B$1)</f>
        <v>41073</v>
      </c>
      <c r="Z15" s="100">
        <f>_xll.EQNXTDZ($A$1,$B15,Z$1,$B$1)</f>
        <v>44234</v>
      </c>
      <c r="AA15" s="100">
        <f>_xll.EQNXTDZ($A$1,$B15,AA$1,$B$1)</f>
        <v>47878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578.27</v>
      </c>
      <c r="D17" s="100">
        <f>_xll.EQNXTDZ($A$1,$B17,D$1,$B$1)</f>
        <v>906.92</v>
      </c>
      <c r="E17" s="100">
        <f>_xll.EQNXTDZ($A$1,$B17,E$1,$B$1)</f>
        <v>1081.21</v>
      </c>
      <c r="F17" s="100">
        <f>_xll.EQNXTDZ($A$1,$B17,F$1,$B$1)</f>
        <v>1526.8</v>
      </c>
      <c r="G17" s="100">
        <f>_xll.EQNXTDZ($A$1,$B17,G$1,$B$1)</f>
        <v>1299.8499999999999</v>
      </c>
      <c r="H17" s="100">
        <f>_xll.EQNXTDZ($A$1,$B17,H$1,$B$1)</f>
        <v>1482.08</v>
      </c>
      <c r="I17" s="100">
        <f>_xll.EQNXTDZ($A$1,$B17,I$1,$B$1)</f>
        <v>2098</v>
      </c>
      <c r="J17" s="100">
        <f>_xll.EQNXTDZ($A$1,$B17,J$1,$B$1)</f>
        <v>2447.09</v>
      </c>
      <c r="K17" s="100">
        <f>_xll.EQNXTDZ($A$1,$B17,K$1,$B$1)</f>
        <v>3005.19</v>
      </c>
      <c r="L17" s="100">
        <f>_xll.EQNXTDZ($A$1,$B17,L$1,$B$1)</f>
        <v>2871.82</v>
      </c>
      <c r="M17" s="100">
        <f>_xll.EQNXTDZ($A$1,$B17,M$1,$B$1)</f>
        <v>3768</v>
      </c>
      <c r="N17" s="100">
        <f>_xll.EQNXTDZ($A$1,$B17,N$1,$B$1)</f>
        <v>3690</v>
      </c>
      <c r="O17" s="100">
        <f>_xll.EQNXTDZ($A$1,$B17,O$1,$B$1)</f>
        <v>3999</v>
      </c>
      <c r="P17" s="100">
        <f>_xll.EQNXTDZ($A$1,$B17,P$1,$B$1)</f>
        <v>5264</v>
      </c>
      <c r="Q17" s="100">
        <f>_xll.EQNXTDZ($A$1,$B17,Q$1,$B$1)</f>
        <v>8059</v>
      </c>
      <c r="R17" s="100">
        <f>_xll.EQNXTDZ($A$1,$B17,R$1,$B$1)</f>
        <v>9846</v>
      </c>
      <c r="S17" s="100">
        <f>_xll.EQNXTDZ($A$1,$B17,S$1,$B$1)</f>
        <v>8941</v>
      </c>
      <c r="T17" s="100">
        <f>_xll.EQNXTDZ($A$1,$B17,T$1,$B$1)</f>
        <v>14346</v>
      </c>
      <c r="U17" s="100">
        <f>_xll.EQNXTDZ($A$1,$B17,U$1,$B$1)</f>
        <v>26236</v>
      </c>
      <c r="V17" s="100">
        <f>_xll.EQNXTDZ($A$1,$B17,V$1,$B$1)</f>
        <v>36136</v>
      </c>
      <c r="W17" s="100">
        <f>_xll.EQNXTDZ($A$1,$B17,W$1,$B$1)</f>
        <v>23605</v>
      </c>
      <c r="X17" s="100">
        <f>_xll.EQNXTDZ($A$1,$B17,X$1,$B$1)</f>
        <v>23904</v>
      </c>
      <c r="Y17" s="100">
        <f>_xll.EQNXTDZ($A$1,$B17,Y$1,$B$1)</f>
        <v>28988</v>
      </c>
      <c r="Z17" s="100">
        <f>_xll.EQNXTDZ($A$1,$B17,Z$1,$B$1)</f>
        <v>36823</v>
      </c>
      <c r="AA17" s="100">
        <f>_xll.EQNXTDZ($A$1,$B17,AA$1,$B$1)</f>
        <v>46399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761.78</v>
      </c>
      <c r="D18" s="100">
        <f>_xll.EQNXTDZ($A$1,$B18,D$1,$B$1)</f>
        <v>1321</v>
      </c>
      <c r="E18" s="100">
        <f>_xll.EQNXTDZ($A$1,$B18,E$1,$B$1)</f>
        <v>1723.01</v>
      </c>
      <c r="F18" s="100">
        <f>_xll.EQNXTDZ($A$1,$B18,F$1,$B$1)</f>
        <v>2261.85</v>
      </c>
      <c r="G18" s="100">
        <f>_xll.EQNXTDZ($A$1,$B18,G$1,$B$1)</f>
        <v>1827.14</v>
      </c>
      <c r="H18" s="100">
        <f>_xll.EQNXTDZ($A$1,$B18,H$1,$B$1)</f>
        <v>4840.92</v>
      </c>
      <c r="I18" s="100">
        <f>_xll.EQNXTDZ($A$1,$B18,I$1,$B$1)</f>
        <v>3779.44</v>
      </c>
      <c r="J18" s="100">
        <f>_xll.EQNXTDZ($A$1,$B18,J$1,$B$1)</f>
        <v>3487.86</v>
      </c>
      <c r="K18" s="100">
        <f>_xll.EQNXTDZ($A$1,$B18,K$1,$B$1)</f>
        <v>3372.45</v>
      </c>
      <c r="L18" s="100">
        <f>_xll.EQNXTDZ($A$1,$B18,L$1,$B$1)</f>
        <v>4452.6099999999997</v>
      </c>
      <c r="M18" s="100">
        <f>_xll.EQNXTDZ($A$1,$B18,M$1,$B$1)</f>
        <v>5890</v>
      </c>
      <c r="N18" s="100">
        <f>_xll.EQNXTDZ($A$1,$B18,N$1,$B$1)</f>
        <v>6029</v>
      </c>
      <c r="O18" s="100">
        <f>_xll.EQNXTDZ($A$1,$B18,O$1,$B$1)</f>
        <v>7425</v>
      </c>
      <c r="P18" s="100">
        <f>_xll.EQNXTDZ($A$1,$B18,P$1,$B$1)</f>
        <v>7410</v>
      </c>
      <c r="Q18" s="100">
        <f>_xll.EQNXTDZ($A$1,$B18,Q$1,$B$1)</f>
        <v>8767</v>
      </c>
      <c r="R18" s="100">
        <f>_xll.EQNXTDZ($A$1,$B18,R$1,$B$1)</f>
        <v>9462</v>
      </c>
      <c r="S18" s="100">
        <f>_xll.EQNXTDZ($A$1,$B18,S$1,$B$1)</f>
        <v>10294</v>
      </c>
      <c r="T18" s="100">
        <f>_xll.EQNXTDZ($A$1,$B18,T$1,$B$1)</f>
        <v>10534</v>
      </c>
      <c r="U18" s="100">
        <f>_xll.EQNXTDZ($A$1,$B18,U$1,$B$1)</f>
        <v>13811</v>
      </c>
      <c r="V18" s="100">
        <f>_xll.EQNXTDZ($A$1,$B18,V$1,$B$1)</f>
        <v>12966</v>
      </c>
      <c r="W18" s="100">
        <f>_xll.EQNXTDZ($A$1,$B18,W$1,$B$1)</f>
        <v>13295</v>
      </c>
      <c r="X18" s="100">
        <f>_xll.EQNXTDZ($A$1,$B18,X$1,$B$1)</f>
        <v>17232</v>
      </c>
      <c r="Y18" s="100">
        <f>_xll.EQNXTDZ($A$1,$B18,Y$1,$B$1)</f>
        <v>21175</v>
      </c>
      <c r="Z18" s="100">
        <f>_xll.EQNXTDZ($A$1,$B18,Z$1,$B$1)</f>
        <v>23012</v>
      </c>
      <c r="AA18" s="100">
        <f>_xll.EQNXTDZ($A$1,$B18,AA$1,$B$1)</f>
        <v>23474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33.19</v>
      </c>
      <c r="D19" s="100">
        <f>_xll.EQNXTDZ($A$1,$B19,D$1,$B$1)</f>
        <v>227.72</v>
      </c>
      <c r="E19" s="100">
        <f>_xll.EQNXTDZ($A$1,$B19,E$1,$B$1)</f>
        <v>88.91</v>
      </c>
      <c r="F19" s="100">
        <f>_xll.EQNXTDZ($A$1,$B19,F$1,$B$1)</f>
        <v>163.76</v>
      </c>
      <c r="G19" s="100">
        <f>_xll.EQNXTDZ($A$1,$B19,G$1,$B$1)</f>
        <v>137.87</v>
      </c>
      <c r="H19" s="100">
        <f>_xll.EQNXTDZ($A$1,$B19,H$1,$B$1)</f>
        <v>164.61</v>
      </c>
      <c r="I19" s="100">
        <f>_xll.EQNXTDZ($A$1,$B19,I$1,$B$1)</f>
        <v>370.47</v>
      </c>
      <c r="J19" s="100">
        <f>_xll.EQNXTDZ($A$1,$B19,J$1,$B$1)</f>
        <v>151.49</v>
      </c>
      <c r="K19" s="100">
        <f>_xll.EQNXTDZ($A$1,$B19,K$1,$B$1)</f>
        <v>925.34</v>
      </c>
      <c r="L19" s="100">
        <f>_xll.EQNXTDZ($A$1,$B19,L$1,$B$1)</f>
        <v>440.86</v>
      </c>
      <c r="M19" s="100">
        <f>_xll.EQNXTDZ($A$1,$B19,M$1,$B$1)</f>
        <v>507</v>
      </c>
      <c r="N19" s="100">
        <f>_xll.EQNXTDZ($A$1,$B19,N$1,$B$1)</f>
        <v>651</v>
      </c>
      <c r="O19" s="100">
        <f>_xll.EQNXTDZ($A$1,$B19,O$1,$B$1)</f>
        <v>395</v>
      </c>
      <c r="P19" s="100">
        <f>_xll.EQNXTDZ($A$1,$B19,P$1,$B$1)</f>
        <v>965</v>
      </c>
      <c r="Q19" s="100">
        <f>_xll.EQNXTDZ($A$1,$B19,Q$1,$B$1)</f>
        <v>1128</v>
      </c>
      <c r="R19" s="100">
        <f>_xll.EQNXTDZ($A$1,$B19,R$1,$B$1)</f>
        <v>760</v>
      </c>
      <c r="S19" s="100">
        <f>_xll.EQNXTDZ($A$1,$B19,S$1,$B$1)</f>
        <v>1121</v>
      </c>
      <c r="T19" s="100">
        <f>_xll.EQNXTDZ($A$1,$B19,T$1,$B$1)</f>
        <v>982</v>
      </c>
      <c r="U19" s="100">
        <f>_xll.EQNXTDZ($A$1,$B19,U$1,$B$1)</f>
        <v>2305</v>
      </c>
      <c r="V19" s="100">
        <f>_xll.EQNXTDZ($A$1,$B19,V$1,$B$1)</f>
        <v>1806</v>
      </c>
      <c r="W19" s="100">
        <f>_xll.EQNXTDZ($A$1,$B19,W$1,$B$1)</f>
        <v>1563</v>
      </c>
      <c r="X19" s="100">
        <f>_xll.EQNXTDZ($A$1,$B19,X$1,$B$1)</f>
        <v>2161</v>
      </c>
      <c r="Y19" s="100">
        <f>_xll.EQNXTDZ($A$1,$B19,Y$1,$B$1)</f>
        <v>3949</v>
      </c>
      <c r="Z19" s="100">
        <f>_xll.EQNXTDZ($A$1,$B19,Z$1,$B$1)</f>
        <v>2668</v>
      </c>
      <c r="AA19" s="100">
        <f>_xll.EQNXTDZ($A$1,$B19,AA$1,$B$1)</f>
        <v>2421</v>
      </c>
      <c r="AB19" s="100">
        <f>_xll.EQNXTDZ($A$1,$B19,AB$1,$B$1)</f>
        <v>0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1.3</v>
      </c>
      <c r="D20" s="100">
        <f>_xll.EQNXTDZ($A$1,$B20,D$1,$B$1)</f>
        <v>1.81</v>
      </c>
      <c r="E20" s="100">
        <f>_xll.EQNXTDZ($A$1,$B20,E$1,$B$1)</f>
        <v>4.29</v>
      </c>
      <c r="F20" s="100">
        <f>_xll.EQNXTDZ($A$1,$B20,F$1,$B$1)</f>
        <v>26.52</v>
      </c>
      <c r="G20" s="100">
        <f>_xll.EQNXTDZ($A$1,$B20,G$1,$B$1)</f>
        <v>9.75</v>
      </c>
      <c r="H20" s="100">
        <f>_xll.EQNXTDZ($A$1,$B20,H$1,$B$1)</f>
        <v>160.94999999999999</v>
      </c>
      <c r="I20" s="100">
        <f>_xll.EQNXTDZ($A$1,$B20,I$1,$B$1)</f>
        <v>117.43</v>
      </c>
      <c r="J20" s="100">
        <f>_xll.EQNXTDZ($A$1,$B20,J$1,$B$1)</f>
        <v>208.8</v>
      </c>
      <c r="K20" s="100">
        <f>_xll.EQNXTDZ($A$1,$B20,K$1,$B$1)</f>
        <v>3291.93</v>
      </c>
      <c r="L20" s="100">
        <f>_xll.EQNXTDZ($A$1,$B20,L$1,$B$1)</f>
        <v>1217.92</v>
      </c>
      <c r="M20" s="100">
        <f>_xll.EQNXTDZ($A$1,$B20,M$1,$B$1)</f>
        <v>30</v>
      </c>
      <c r="N20" s="100">
        <f>_xll.EQNXTDZ($A$1,$B20,N$1,$B$1)</f>
        <v>123</v>
      </c>
      <c r="O20" s="100">
        <f>_xll.EQNXTDZ($A$1,$B20,O$1,$B$1)</f>
        <v>128</v>
      </c>
      <c r="P20" s="100">
        <f>_xll.EQNXTDZ($A$1,$B20,P$1,$B$1)</f>
        <v>736</v>
      </c>
      <c r="Q20" s="100">
        <f>_xll.EQNXTDZ($A$1,$B20,Q$1,$B$1)</f>
        <v>1573</v>
      </c>
      <c r="R20" s="100">
        <f>_xll.EQNXTDZ($A$1,$B20,R$1,$B$1)</f>
        <v>2507</v>
      </c>
      <c r="S20" s="100">
        <f>_xll.EQNXTDZ($A$1,$B20,S$1,$B$1)</f>
        <v>1961</v>
      </c>
      <c r="T20" s="100">
        <f>_xll.EQNXTDZ($A$1,$B20,T$1,$B$1)</f>
        <v>3814</v>
      </c>
      <c r="U20" s="100">
        <f>_xll.EQNXTDZ($A$1,$B20,U$1,$B$1)</f>
        <v>2446</v>
      </c>
      <c r="V20" s="100">
        <f>_xll.EQNXTDZ($A$1,$B20,V$1,$B$1)</f>
        <v>2403</v>
      </c>
      <c r="W20" s="100">
        <f>_xll.EQNXTDZ($A$1,$B20,W$1,$B$1)</f>
        <v>989</v>
      </c>
      <c r="X20" s="100">
        <f>_xll.EQNXTDZ($A$1,$B20,X$1,$B$1)</f>
        <v>729</v>
      </c>
      <c r="Y20" s="100">
        <f>_xll.EQNXTDZ($A$1,$B20,Y$1,$B$1)</f>
        <v>1087</v>
      </c>
      <c r="Z20" s="100">
        <f>_xll.EQNXTDZ($A$1,$B20,Z$1,$B$1)</f>
        <v>1668</v>
      </c>
      <c r="AA20" s="100">
        <f>_xll.EQNXTDZ($A$1,$B20,AA$1,$B$1)</f>
        <v>2856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15862.22</v>
      </c>
      <c r="D21" s="100">
        <f>_xll.EQNXTDZ($A$1,$B21,D$1,$B$1)</f>
        <v>34234.5</v>
      </c>
      <c r="E21" s="100">
        <f>_xll.EQNXTDZ($A$1,$B21,E$1,$B$1)</f>
        <v>37703.589999999997</v>
      </c>
      <c r="F21" s="100">
        <f>_xll.EQNXTDZ($A$1,$B21,F$1,$B$1)</f>
        <v>42560.78</v>
      </c>
      <c r="G21" s="100">
        <f>_xll.EQNXTDZ($A$1,$B21,G$1,$B$1)</f>
        <v>53952.4</v>
      </c>
      <c r="H21" s="100">
        <f>_xll.EQNXTDZ($A$1,$B21,H$1,$B$1)</f>
        <v>68676.160000000003</v>
      </c>
      <c r="I21" s="100">
        <f>_xll.EQNXTDZ($A$1,$B21,I$1,$B$1)</f>
        <v>93645.06</v>
      </c>
      <c r="J21" s="100">
        <f>_xll.EQNXTDZ($A$1,$B21,J$1,$B$1)</f>
        <v>115027.87</v>
      </c>
      <c r="K21" s="100">
        <f>_xll.EQNXTDZ($A$1,$B21,K$1,$B$1)</f>
        <v>128017.52</v>
      </c>
      <c r="L21" s="100">
        <f>_xll.EQNXTDZ($A$1,$B21,L$1,$B$1)</f>
        <v>173587.91</v>
      </c>
      <c r="M21" s="100">
        <f>_xll.EQNXTDZ($A$1,$B21,M$1,$B$1)</f>
        <v>228075</v>
      </c>
      <c r="N21" s="100">
        <f>_xll.EQNXTDZ($A$1,$B21,N$1,$B$1)</f>
        <v>323993</v>
      </c>
      <c r="O21" s="100">
        <f>_xll.EQNXTDZ($A$1,$B21,O$1,$B$1)</f>
        <v>364074</v>
      </c>
      <c r="P21" s="100">
        <f>_xll.EQNXTDZ($A$1,$B21,P$1,$B$1)</f>
        <v>399661</v>
      </c>
      <c r="Q21" s="100">
        <f>_xll.EQNXTDZ($A$1,$B21,Q$1,$B$1)</f>
        <v>338071</v>
      </c>
      <c r="R21" s="100">
        <f>_xll.EQNXTDZ($A$1,$B21,R$1,$B$1)</f>
        <v>232760</v>
      </c>
      <c r="S21" s="100">
        <f>_xll.EQNXTDZ($A$1,$B21,S$1,$B$1)</f>
        <v>259188</v>
      </c>
      <c r="T21" s="100">
        <f>_xll.EQNXTDZ($A$1,$B21,T$1,$B$1)</f>
        <v>327501</v>
      </c>
      <c r="U21" s="100">
        <f>_xll.EQNXTDZ($A$1,$B21,U$1,$B$1)</f>
        <v>485042</v>
      </c>
      <c r="V21" s="100">
        <f>_xll.EQNXTDZ($A$1,$B21,V$1,$B$1)</f>
        <v>508641</v>
      </c>
      <c r="W21" s="100">
        <f>_xll.EQNXTDZ($A$1,$B21,W$1,$B$1)</f>
        <v>387002</v>
      </c>
      <c r="X21" s="100">
        <f>_xll.EQNXTDZ($A$1,$B21,X$1,$B$1)</f>
        <v>587517</v>
      </c>
      <c r="Y21" s="100">
        <f>_xll.EQNXTDZ($A$1,$B21,Y$1,$B$1)</f>
        <v>736975</v>
      </c>
      <c r="Z21" s="100">
        <f>_xll.EQNXTDZ($A$1,$B21,Z$1,$B$1)</f>
        <v>738831</v>
      </c>
      <c r="AA21" s="100">
        <f>_xll.EQNXTDZ($A$1,$B21,AA$1,$B$1)</f>
        <v>799438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4579.13</v>
      </c>
      <c r="D22" s="100">
        <f>_xll.EQNXTDZ($A$1,$B22,D$1,$B$1)</f>
        <v>7861.31</v>
      </c>
      <c r="E22" s="100">
        <f>_xll.EQNXTDZ($A$1,$B22,E$1,$B$1)</f>
        <v>8206.48</v>
      </c>
      <c r="F22" s="100">
        <f>_xll.EQNXTDZ($A$1,$B22,F$1,$B$1)</f>
        <v>9464.56</v>
      </c>
      <c r="G22" s="100">
        <f>_xll.EQNXTDZ($A$1,$B22,G$1,$B$1)</f>
        <v>12645.26</v>
      </c>
      <c r="H22" s="100">
        <f>_xll.EQNXTDZ($A$1,$B22,H$1,$B$1)</f>
        <v>14348.65</v>
      </c>
      <c r="I22" s="100">
        <f>_xll.EQNXTDZ($A$1,$B22,I$1,$B$1)</f>
        <v>20125.05</v>
      </c>
      <c r="J22" s="100">
        <f>_xll.EQNXTDZ($A$1,$B22,J$1,$B$1)</f>
        <v>22118.79</v>
      </c>
      <c r="K22" s="100">
        <f>_xll.EQNXTDZ($A$1,$B22,K$1,$B$1)</f>
        <v>23206.49</v>
      </c>
      <c r="L22" s="100">
        <f>_xll.EQNXTDZ($A$1,$B22,L$1,$B$1)</f>
        <v>30151.81</v>
      </c>
      <c r="M22" s="100">
        <f>_xll.EQNXTDZ($A$1,$B22,M$1,$B$1)</f>
        <v>37736</v>
      </c>
      <c r="N22" s="100">
        <f>_xll.EQNXTDZ($A$1,$B22,N$1,$B$1)</f>
        <v>34508</v>
      </c>
      <c r="O22" s="100">
        <f>_xll.EQNXTDZ($A$1,$B22,O$1,$B$1)</f>
        <v>32988</v>
      </c>
      <c r="P22" s="100">
        <f>_xll.EQNXTDZ($A$1,$B22,P$1,$B$1)</f>
        <v>34799</v>
      </c>
      <c r="Q22" s="100">
        <f>_xll.EQNXTDZ($A$1,$B22,Q$1,$B$1)</f>
        <v>37364</v>
      </c>
      <c r="R22" s="100">
        <f>_xll.EQNXTDZ($A$1,$B22,R$1,$B$1)</f>
        <v>41239</v>
      </c>
      <c r="S22" s="100">
        <f>_xll.EQNXTDZ($A$1,$B22,S$1,$B$1)</f>
        <v>46194</v>
      </c>
      <c r="T22" s="100">
        <f>_xll.EQNXTDZ($A$1,$B22,T$1,$B$1)</f>
        <v>64176</v>
      </c>
      <c r="U22" s="100">
        <f>_xll.EQNXTDZ($A$1,$B22,U$1,$B$1)</f>
        <v>84167</v>
      </c>
      <c r="V22" s="100">
        <f>_xll.EQNXTDZ($A$1,$B22,V$1,$B$1)</f>
        <v>88894</v>
      </c>
      <c r="W22" s="100">
        <f>_xll.EQNXTDZ($A$1,$B22,W$1,$B$1)</f>
        <v>79922</v>
      </c>
      <c r="X22" s="100">
        <f>_xll.EQNXTDZ($A$1,$B22,X$1,$B$1)</f>
        <v>108446</v>
      </c>
      <c r="Y22" s="100">
        <f>_xll.EQNXTDZ($A$1,$B22,Y$1,$B$1)</f>
        <v>140860</v>
      </c>
      <c r="Z22" s="100">
        <f>_xll.EQNXTDZ($A$1,$B22,Z$1,$B$1)</f>
        <v>162233</v>
      </c>
      <c r="AA22" s="100">
        <f>_xll.EQNXTDZ($A$1,$B22,AA$1,$B$1)</f>
        <v>165255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2054.21</v>
      </c>
      <c r="D23" s="100">
        <f>_xll.EQNXTDZ($A$1,$B23,D$1,$B$1)</f>
        <v>1455.71</v>
      </c>
      <c r="E23" s="100">
        <f>_xll.EQNXTDZ($A$1,$B23,E$1,$B$1)</f>
        <v>1678.55</v>
      </c>
      <c r="F23" s="100">
        <f>_xll.EQNXTDZ($A$1,$B23,F$1,$B$1)</f>
        <v>1620.36</v>
      </c>
      <c r="G23" s="100">
        <f>_xll.EQNXTDZ($A$1,$B23,G$1,$B$1)</f>
        <v>1712.06</v>
      </c>
      <c r="H23" s="100">
        <f>_xll.EQNXTDZ($A$1,$B23,H$1,$B$1)</f>
        <v>2657.46</v>
      </c>
      <c r="I23" s="100">
        <f>_xll.EQNXTDZ($A$1,$B23,I$1,$B$1)</f>
        <v>2650.73</v>
      </c>
      <c r="J23" s="100">
        <f>_xll.EQNXTDZ($A$1,$B23,J$1,$B$1)</f>
        <v>8763.4699999999993</v>
      </c>
      <c r="K23" s="100">
        <f>_xll.EQNXTDZ($A$1,$B23,K$1,$B$1)</f>
        <v>4191.5</v>
      </c>
      <c r="L23" s="100">
        <f>_xll.EQNXTDZ($A$1,$B23,L$1,$B$1)</f>
        <v>14588.25</v>
      </c>
      <c r="M23" s="100">
        <f>_xll.EQNXTDZ($A$1,$B23,M$1,$B$1)</f>
        <v>5550</v>
      </c>
      <c r="N23" s="100">
        <f>_xll.EQNXTDZ($A$1,$B23,N$1,$B$1)</f>
        <v>8620</v>
      </c>
      <c r="O23" s="100">
        <f>_xll.EQNXTDZ($A$1,$B23,O$1,$B$1)</f>
        <v>10085</v>
      </c>
      <c r="P23" s="100">
        <f>_xll.EQNXTDZ($A$1,$B23,P$1,$B$1)</f>
        <v>10959</v>
      </c>
      <c r="Q23" s="100">
        <f>_xll.EQNXTDZ($A$1,$B23,Q$1,$B$1)</f>
        <v>8727</v>
      </c>
      <c r="R23" s="100">
        <f>_xll.EQNXTDZ($A$1,$B23,R$1,$B$1)</f>
        <v>12518</v>
      </c>
      <c r="S23" s="100">
        <f>_xll.EQNXTDZ($A$1,$B23,S$1,$B$1)</f>
        <v>9443</v>
      </c>
      <c r="T23" s="100">
        <f>_xll.EQNXTDZ($A$1,$B23,T$1,$B$1)</f>
        <v>9949</v>
      </c>
      <c r="U23" s="100">
        <f>_xll.EQNXTDZ($A$1,$B23,U$1,$B$1)</f>
        <v>8386</v>
      </c>
      <c r="V23" s="100">
        <f>_xll.EQNXTDZ($A$1,$B23,V$1,$B$1)</f>
        <v>13279</v>
      </c>
      <c r="W23" s="100">
        <f>_xll.EQNXTDZ($A$1,$B23,W$1,$B$1)</f>
        <v>17142</v>
      </c>
      <c r="X23" s="100">
        <f>_xll.EQNXTDZ($A$1,$B23,X$1,$B$1)</f>
        <v>14943</v>
      </c>
      <c r="Y23" s="100">
        <f>_xll.EQNXTDZ($A$1,$B23,Y$1,$B$1)</f>
        <v>13036</v>
      </c>
      <c r="Z23" s="100">
        <f>_xll.EQNXTDZ($A$1,$B23,Z$1,$B$1)</f>
        <v>16057</v>
      </c>
      <c r="AA23" s="100">
        <f>_xll.EQNXTDZ($A$1,$B23,AA$1,$B$1)</f>
        <v>18167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6633.34</v>
      </c>
      <c r="D24" s="100">
        <f>_xll.EQNXTDZ($A$1,$B24,D$1,$B$1)</f>
        <v>9317.02</v>
      </c>
      <c r="E24" s="100">
        <f>_xll.EQNXTDZ($A$1,$B24,E$1,$B$1)</f>
        <v>9885.0300000000007</v>
      </c>
      <c r="F24" s="100">
        <f>_xll.EQNXTDZ($A$1,$B24,F$1,$B$1)</f>
        <v>11084.92</v>
      </c>
      <c r="G24" s="100">
        <f>_xll.EQNXTDZ($A$1,$B24,G$1,$B$1)</f>
        <v>14357.32</v>
      </c>
      <c r="H24" s="100">
        <f>_xll.EQNXTDZ($A$1,$B24,H$1,$B$1)</f>
        <v>17006.11</v>
      </c>
      <c r="I24" s="100">
        <f>_xll.EQNXTDZ($A$1,$B24,I$1,$B$1)</f>
        <v>22775.78</v>
      </c>
      <c r="J24" s="100">
        <f>_xll.EQNXTDZ($A$1,$B24,J$1,$B$1)</f>
        <v>30882.26</v>
      </c>
      <c r="K24" s="100">
        <f>_xll.EQNXTDZ($A$1,$B24,K$1,$B$1)</f>
        <v>27397.99</v>
      </c>
      <c r="L24" s="100">
        <f>_xll.EQNXTDZ($A$1,$B24,L$1,$B$1)</f>
        <v>44740.06</v>
      </c>
      <c r="M24" s="100">
        <f>_xll.EQNXTDZ($A$1,$B24,M$1,$B$1)</f>
        <v>43286</v>
      </c>
      <c r="N24" s="100">
        <f>_xll.EQNXTDZ($A$1,$B24,N$1,$B$1)</f>
        <v>43128</v>
      </c>
      <c r="O24" s="100">
        <f>_xll.EQNXTDZ($A$1,$B24,O$1,$B$1)</f>
        <v>43073</v>
      </c>
      <c r="P24" s="100">
        <f>_xll.EQNXTDZ($A$1,$B24,P$1,$B$1)</f>
        <v>45758</v>
      </c>
      <c r="Q24" s="100">
        <f>_xll.EQNXTDZ($A$1,$B24,Q$1,$B$1)</f>
        <v>46091</v>
      </c>
      <c r="R24" s="100">
        <f>_xll.EQNXTDZ($A$1,$B24,R$1,$B$1)</f>
        <v>53757</v>
      </c>
      <c r="S24" s="100">
        <f>_xll.EQNXTDZ($A$1,$B24,S$1,$B$1)</f>
        <v>55637</v>
      </c>
      <c r="T24" s="100">
        <f>_xll.EQNXTDZ($A$1,$B24,T$1,$B$1)</f>
        <v>74125</v>
      </c>
      <c r="U24" s="100">
        <f>_xll.EQNXTDZ($A$1,$B24,U$1,$B$1)</f>
        <v>92553</v>
      </c>
      <c r="V24" s="100">
        <f>_xll.EQNXTDZ($A$1,$B24,V$1,$B$1)</f>
        <v>102173</v>
      </c>
      <c r="W24" s="100">
        <f>_xll.EQNXTDZ($A$1,$B24,W$1,$B$1)</f>
        <v>97064</v>
      </c>
      <c r="X24" s="100">
        <f>_xll.EQNXTDZ($A$1,$B24,X$1,$B$1)</f>
        <v>123389</v>
      </c>
      <c r="Y24" s="100">
        <f>_xll.EQNXTDZ($A$1,$B24,Y$1,$B$1)</f>
        <v>153896</v>
      </c>
      <c r="Z24" s="100">
        <f>_xll.EQNXTDZ($A$1,$B24,Z$1,$B$1)</f>
        <v>178290</v>
      </c>
      <c r="AA24" s="100">
        <f>_xll.EQNXTDZ($A$1,$B24,AA$1,$B$1)</f>
        <v>183422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1215.99</v>
      </c>
      <c r="D25" s="100">
        <f>_xll.EQNXTDZ($A$1,$B25,D$1,$B$1)</f>
        <v>1827.97</v>
      </c>
      <c r="E25" s="100">
        <f>_xll.EQNXTDZ($A$1,$B25,E$1,$B$1)</f>
        <v>1558.48</v>
      </c>
      <c r="F25" s="100">
        <f>_xll.EQNXTDZ($A$1,$B25,F$1,$B$1)</f>
        <v>1439.67</v>
      </c>
      <c r="G25" s="100">
        <f>_xll.EQNXTDZ($A$1,$B25,G$1,$B$1)</f>
        <v>1474.07</v>
      </c>
      <c r="H25" s="100">
        <f>_xll.EQNXTDZ($A$1,$B25,H$1,$B$1)</f>
        <v>934.56</v>
      </c>
      <c r="I25" s="100">
        <f>_xll.EQNXTDZ($A$1,$B25,I$1,$B$1)</f>
        <v>1232.29</v>
      </c>
      <c r="J25" s="100">
        <f>_xll.EQNXTDZ($A$1,$B25,J$1,$B$1)</f>
        <v>1086.52</v>
      </c>
      <c r="K25" s="100">
        <f>_xll.EQNXTDZ($A$1,$B25,K$1,$B$1)</f>
        <v>1816.27</v>
      </c>
      <c r="L25" s="100">
        <f>_xll.EQNXTDZ($A$1,$B25,L$1,$B$1)</f>
        <v>2059.58</v>
      </c>
      <c r="M25" s="100">
        <f>_xll.EQNXTDZ($A$1,$B25,M$1,$B$1)</f>
        <v>2411</v>
      </c>
      <c r="N25" s="100">
        <f>_xll.EQNXTDZ($A$1,$B25,N$1,$B$1)</f>
        <v>2893</v>
      </c>
      <c r="O25" s="100">
        <f>_xll.EQNXTDZ($A$1,$B25,O$1,$B$1)</f>
        <v>3463</v>
      </c>
      <c r="P25" s="100">
        <f>_xll.EQNXTDZ($A$1,$B25,P$1,$B$1)</f>
        <v>3836</v>
      </c>
      <c r="Q25" s="100">
        <f>_xll.EQNXTDZ($A$1,$B25,Q$1,$B$1)</f>
        <v>3316</v>
      </c>
      <c r="R25" s="100">
        <f>_xll.EQNXTDZ($A$1,$B25,R$1,$B$1)</f>
        <v>3691</v>
      </c>
      <c r="S25" s="100">
        <f>_xll.EQNXTDZ($A$1,$B25,S$1,$B$1)</f>
        <v>3849</v>
      </c>
      <c r="T25" s="100">
        <f>_xll.EQNXTDZ($A$1,$B25,T$1,$B$1)</f>
        <v>8052</v>
      </c>
      <c r="U25" s="100">
        <f>_xll.EQNXTDZ($A$1,$B25,U$1,$B$1)</f>
        <v>16495</v>
      </c>
      <c r="V25" s="100">
        <f>_xll.EQNXTDZ($A$1,$B25,V$1,$B$1)</f>
        <v>22027</v>
      </c>
      <c r="W25" s="100">
        <f>_xll.EQNXTDZ($A$1,$B25,W$1,$B$1)</f>
        <v>21189</v>
      </c>
      <c r="X25" s="100">
        <f>_xll.EQNXTDZ($A$1,$B25,X$1,$B$1)</f>
        <v>14584</v>
      </c>
      <c r="Y25" s="100">
        <f>_xll.EQNXTDZ($A$1,$B25,Y$1,$B$1)</f>
        <v>19571</v>
      </c>
      <c r="Z25" s="100">
        <f>_xll.EQNXTDZ($A$1,$B25,Z$1,$B$1)</f>
        <v>23118</v>
      </c>
      <c r="AA25" s="100">
        <f>_xll.EQNXTDZ($A$1,$B25,AA$1,$B$1)</f>
        <v>24269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5417.35</v>
      </c>
      <c r="D26" s="100">
        <f>_xll.EQNXTDZ($A$1,$B26,D$1,$B$1)</f>
        <v>7489.05</v>
      </c>
      <c r="E26" s="100">
        <f>_xll.EQNXTDZ($A$1,$B26,E$1,$B$1)</f>
        <v>8326.5499999999993</v>
      </c>
      <c r="F26" s="100">
        <f>_xll.EQNXTDZ($A$1,$B26,F$1,$B$1)</f>
        <v>9645.25</v>
      </c>
      <c r="G26" s="100">
        <f>_xll.EQNXTDZ($A$1,$B26,G$1,$B$1)</f>
        <v>12883.25</v>
      </c>
      <c r="H26" s="100">
        <f>_xll.EQNXTDZ($A$1,$B26,H$1,$B$1)</f>
        <v>16071.55</v>
      </c>
      <c r="I26" s="100">
        <f>_xll.EQNXTDZ($A$1,$B26,I$1,$B$1)</f>
        <v>21543.49</v>
      </c>
      <c r="J26" s="100">
        <f>_xll.EQNXTDZ($A$1,$B26,J$1,$B$1)</f>
        <v>29795.74</v>
      </c>
      <c r="K26" s="100">
        <f>_xll.EQNXTDZ($A$1,$B26,K$1,$B$1)</f>
        <v>25581.72</v>
      </c>
      <c r="L26" s="100">
        <f>_xll.EQNXTDZ($A$1,$B26,L$1,$B$1)</f>
        <v>42680.480000000003</v>
      </c>
      <c r="M26" s="100">
        <f>_xll.EQNXTDZ($A$1,$B26,M$1,$B$1)</f>
        <v>40875</v>
      </c>
      <c r="N26" s="100">
        <f>_xll.EQNXTDZ($A$1,$B26,N$1,$B$1)</f>
        <v>40235</v>
      </c>
      <c r="O26" s="100">
        <f>_xll.EQNXTDZ($A$1,$B26,O$1,$B$1)</f>
        <v>39610</v>
      </c>
      <c r="P26" s="100">
        <f>_xll.EQNXTDZ($A$1,$B26,P$1,$B$1)</f>
        <v>41922</v>
      </c>
      <c r="Q26" s="100">
        <f>_xll.EQNXTDZ($A$1,$B26,Q$1,$B$1)</f>
        <v>42775</v>
      </c>
      <c r="R26" s="100">
        <f>_xll.EQNXTDZ($A$1,$B26,R$1,$B$1)</f>
        <v>50066</v>
      </c>
      <c r="S26" s="100">
        <f>_xll.EQNXTDZ($A$1,$B26,S$1,$B$1)</f>
        <v>51788</v>
      </c>
      <c r="T26" s="100">
        <f>_xll.EQNXTDZ($A$1,$B26,T$1,$B$1)</f>
        <v>66073</v>
      </c>
      <c r="U26" s="100">
        <f>_xll.EQNXTDZ($A$1,$B26,U$1,$B$1)</f>
        <v>76058</v>
      </c>
      <c r="V26" s="100">
        <f>_xll.EQNXTDZ($A$1,$B26,V$1,$B$1)</f>
        <v>80146</v>
      </c>
      <c r="W26" s="100">
        <f>_xll.EQNXTDZ($A$1,$B26,W$1,$B$1)</f>
        <v>75875</v>
      </c>
      <c r="X26" s="100">
        <f>_xll.EQNXTDZ($A$1,$B26,X$1,$B$1)</f>
        <v>108805</v>
      </c>
      <c r="Y26" s="100">
        <f>_xll.EQNXTDZ($A$1,$B26,Y$1,$B$1)</f>
        <v>134325</v>
      </c>
      <c r="Z26" s="100">
        <f>_xll.EQNXTDZ($A$1,$B26,Z$1,$B$1)</f>
        <v>155172</v>
      </c>
      <c r="AA26" s="100">
        <f>_xll.EQNXTDZ($A$1,$B26,AA$1,$B$1)</f>
        <v>159153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2636.73</v>
      </c>
      <c r="D27" s="100">
        <f>_xll.EQNXTDZ($A$1,$B27,D$1,$B$1)</f>
        <v>3435.84</v>
      </c>
      <c r="E27" s="100">
        <f>_xll.EQNXTDZ($A$1,$B27,E$1,$B$1)</f>
        <v>3453.17</v>
      </c>
      <c r="F27" s="100">
        <f>_xll.EQNXTDZ($A$1,$B27,F$1,$B$1)</f>
        <v>3335.18</v>
      </c>
      <c r="G27" s="100">
        <f>_xll.EQNXTDZ($A$1,$B27,G$1,$B$1)</f>
        <v>3788.43</v>
      </c>
      <c r="H27" s="100">
        <f>_xll.EQNXTDZ($A$1,$B27,H$1,$B$1)</f>
        <v>4947.75</v>
      </c>
      <c r="I27" s="100">
        <f>_xll.EQNXTDZ($A$1,$B27,I$1,$B$1)</f>
        <v>6896.46</v>
      </c>
      <c r="J27" s="100">
        <f>_xll.EQNXTDZ($A$1,$B27,J$1,$B$1)</f>
        <v>6784.91</v>
      </c>
      <c r="K27" s="100">
        <f>_xll.EQNXTDZ($A$1,$B27,K$1,$B$1)</f>
        <v>7712.58</v>
      </c>
      <c r="L27" s="100">
        <f>_xll.EQNXTDZ($A$1,$B27,L$1,$B$1)</f>
        <v>14000.62</v>
      </c>
      <c r="M27" s="100">
        <f>_xll.EQNXTDZ($A$1,$B27,M$1,$B$1)</f>
        <v>16820</v>
      </c>
      <c r="N27" s="100">
        <f>_xll.EQNXTDZ($A$1,$B27,N$1,$B$1)</f>
        <v>14827</v>
      </c>
      <c r="O27" s="100">
        <f>_xll.EQNXTDZ($A$1,$B27,O$1,$B$1)</f>
        <v>13393</v>
      </c>
      <c r="P27" s="100">
        <f>_xll.EQNXTDZ($A$1,$B27,P$1,$B$1)</f>
        <v>13159</v>
      </c>
      <c r="Q27" s="100">
        <f>_xll.EQNXTDZ($A$1,$B27,Q$1,$B$1)</f>
        <v>11661</v>
      </c>
      <c r="R27" s="100">
        <f>_xll.EQNXTDZ($A$1,$B27,R$1,$B$1)</f>
        <v>11565</v>
      </c>
      <c r="S27" s="100">
        <f>_xll.EQNXTDZ($A$1,$B27,S$1,$B$1)</f>
        <v>11646</v>
      </c>
      <c r="T27" s="100">
        <f>_xll.EQNXTDZ($A$1,$B27,T$1,$B$1)</f>
        <v>16706</v>
      </c>
      <c r="U27" s="100">
        <f>_xll.EQNXTDZ($A$1,$B27,U$1,$B$1)</f>
        <v>20934</v>
      </c>
      <c r="V27" s="100">
        <f>_xll.EQNXTDZ($A$1,$B27,V$1,$B$1)</f>
        <v>22203</v>
      </c>
      <c r="W27" s="100">
        <f>_xll.EQNXTDZ($A$1,$B27,W$1,$B$1)</f>
        <v>26572</v>
      </c>
      <c r="X27" s="100">
        <f>_xll.EQNXTDZ($A$1,$B27,X$1,$B$1)</f>
        <v>29782</v>
      </c>
      <c r="Y27" s="100">
        <f>_xll.EQNXTDZ($A$1,$B27,Y$1,$B$1)</f>
        <v>40303</v>
      </c>
      <c r="Z27" s="100">
        <f>_xll.EQNXTDZ($A$1,$B27,Z$1,$B$1)</f>
        <v>50832</v>
      </c>
      <c r="AA27" s="100">
        <f>_xll.EQNXTDZ($A$1,$B27,AA$1,$B$1)</f>
        <v>53136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236</v>
      </c>
      <c r="S28" s="100">
        <f>_xll.EQNXTDZ($A$1,$B28,S$1,$B$1)</f>
        <v>-108</v>
      </c>
      <c r="T28" s="100">
        <f>_xll.EQNXTDZ($A$1,$B28,T$1,$B$1)</f>
        <v>59</v>
      </c>
      <c r="U28" s="100">
        <f>_xll.EQNXTDZ($A$1,$B28,U$1,$B$1)</f>
        <v>103</v>
      </c>
      <c r="V28" s="100">
        <f>_xll.EQNXTDZ($A$1,$B28,V$1,$B$1)</f>
        <v>107</v>
      </c>
      <c r="W28" s="100">
        <f>_xll.EQNXTDZ($A$1,$B28,W$1,$B$1)</f>
        <v>516</v>
      </c>
      <c r="X28" s="100">
        <f>_xll.EQNXTDZ($A$1,$B28,X$1,$B$1)</f>
        <v>295</v>
      </c>
      <c r="Y28" s="100">
        <f>_xll.EQNXTDZ($A$1,$B28,Y$1,$B$1)</f>
        <v>24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411.7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30.63</v>
      </c>
      <c r="H29" s="100">
        <f>_xll.EQNXTDZ($A$1,$B29,H$1,$B$1)</f>
        <v>-99.54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-4444</v>
      </c>
      <c r="W29" s="100">
        <f>_xll.EQNXTDZ($A$1,$B29,W$1,$B$1)</f>
        <v>5642</v>
      </c>
      <c r="X29" s="100">
        <f>_xll.EQNXTDZ($A$1,$B29,X$1,$B$1)</f>
        <v>2836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135</v>
      </c>
      <c r="D30" s="100">
        <f>_xll.EQNXTDZ($A$1,$B30,D$1,$B$1)</f>
        <v>1186.04</v>
      </c>
      <c r="E30" s="100">
        <f>_xll.EQNXTDZ($A$1,$B30,E$1,$B$1)</f>
        <v>870.07</v>
      </c>
      <c r="F30" s="100">
        <f>_xll.EQNXTDZ($A$1,$B30,F$1,$B$1)</f>
        <v>1141.08</v>
      </c>
      <c r="G30" s="100">
        <f>_xll.EQNXTDZ($A$1,$B30,G$1,$B$1)</f>
        <v>1497.22</v>
      </c>
      <c r="H30" s="100">
        <f>_xll.EQNXTDZ($A$1,$B30,H$1,$B$1)</f>
        <v>1629.5</v>
      </c>
      <c r="I30" s="100">
        <f>_xll.EQNXTDZ($A$1,$B30,I$1,$B$1)</f>
        <v>2572.29</v>
      </c>
      <c r="J30" s="100">
        <f>_xll.EQNXTDZ($A$1,$B30,J$1,$B$1)</f>
        <v>3487.59</v>
      </c>
      <c r="K30" s="100">
        <f>_xll.EQNXTDZ($A$1,$B30,K$1,$B$1)</f>
        <v>2918.83</v>
      </c>
      <c r="L30" s="100">
        <f>_xll.EQNXTDZ($A$1,$B30,L$1,$B$1)</f>
        <v>4256.28</v>
      </c>
      <c r="M30" s="100">
        <f>_xll.EQNXTDZ($A$1,$B30,M$1,$B$1)</f>
        <v>4783</v>
      </c>
      <c r="N30" s="100">
        <f>_xll.EQNXTDZ($A$1,$B30,N$1,$B$1)</f>
        <v>5691</v>
      </c>
      <c r="O30" s="100">
        <f>_xll.EQNXTDZ($A$1,$B30,O$1,$B$1)</f>
        <v>5331</v>
      </c>
      <c r="P30" s="100">
        <f>_xll.EQNXTDZ($A$1,$B30,P$1,$B$1)</f>
        <v>6215</v>
      </c>
      <c r="Q30" s="100">
        <f>_xll.EQNXTDZ($A$1,$B30,Q$1,$B$1)</f>
        <v>7474</v>
      </c>
      <c r="R30" s="100">
        <f>_xll.EQNXTDZ($A$1,$B30,R$1,$B$1)</f>
        <v>8876</v>
      </c>
      <c r="S30" s="100">
        <f>_xll.EQNXTDZ($A$1,$B30,S$1,$B$1)</f>
        <v>10201</v>
      </c>
      <c r="T30" s="100">
        <f>_xll.EQNXTDZ($A$1,$B30,T$1,$B$1)</f>
        <v>13346</v>
      </c>
      <c r="U30" s="100">
        <f>_xll.EQNXTDZ($A$1,$B30,U$1,$B$1)</f>
        <v>15390</v>
      </c>
      <c r="V30" s="100">
        <f>_xll.EQNXTDZ($A$1,$B30,V$1,$B$1)</f>
        <v>13726</v>
      </c>
      <c r="W30" s="100">
        <f>_xll.EQNXTDZ($A$1,$B30,W$1,$B$1)</f>
        <v>1722</v>
      </c>
      <c r="X30" s="100">
        <f>_xll.EQNXTDZ($A$1,$B30,X$1,$B$1)</f>
        <v>15970</v>
      </c>
      <c r="Y30" s="100">
        <f>_xll.EQNXTDZ($A$1,$B30,Y$1,$B$1)</f>
        <v>20376</v>
      </c>
      <c r="Z30" s="100">
        <f>_xll.EQNXTDZ($A$1,$B30,Z$1,$B$1)</f>
        <v>25707</v>
      </c>
      <c r="AA30" s="100">
        <f>_xll.EQNXTDZ($A$1,$B30,AA$1,$B$1)</f>
        <v>25230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1.03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3.47</v>
      </c>
      <c r="I32" s="100">
        <f>_xll.EQNXTDZ($A$1,$B32,I$1,$B$1)</f>
        <v>0.09</v>
      </c>
      <c r="J32" s="100">
        <f>_xll.EQNXTDZ($A$1,$B32,J$1,$B$1)</f>
        <v>-1.86</v>
      </c>
      <c r="K32" s="100">
        <f>_xll.EQNXTDZ($A$1,$B32,K$1,$B$1)</f>
        <v>18.41</v>
      </c>
      <c r="L32" s="100">
        <f>_xll.EQNXTDZ($A$1,$B32,L$1,$B$1)</f>
        <v>79.56</v>
      </c>
      <c r="M32" s="100">
        <f>_xll.EQNXTDZ($A$1,$B32,M$1,$B$1)</f>
        <v>22</v>
      </c>
      <c r="N32" s="100">
        <f>_xll.EQNXTDZ($A$1,$B32,N$1,$B$1)</f>
        <v>7</v>
      </c>
      <c r="O32" s="100">
        <f>_xll.EQNXTDZ($A$1,$B32,O$1,$B$1)</f>
        <v>-7</v>
      </c>
      <c r="P32" s="100">
        <f>_xll.EQNXTDZ($A$1,$B32,P$1,$B$1)</f>
        <v>-55</v>
      </c>
      <c r="Q32" s="100">
        <f>_xll.EQNXTDZ($A$1,$B32,Q$1,$B$1)</f>
        <v>-74</v>
      </c>
      <c r="R32" s="100">
        <f>_xll.EQNXTDZ($A$1,$B32,R$1,$B$1)</f>
        <v>-116</v>
      </c>
      <c r="S32" s="100">
        <f>_xll.EQNXTDZ($A$1,$B32,S$1,$B$1)</f>
        <v>68</v>
      </c>
      <c r="T32" s="100">
        <f>_xll.EQNXTDZ($A$1,$B32,T$1,$B$1)</f>
        <v>-5</v>
      </c>
      <c r="U32" s="100">
        <f>_xll.EQNXTDZ($A$1,$B32,U$1,$B$1)</f>
        <v>-249</v>
      </c>
      <c r="V32" s="100">
        <f>_xll.EQNXTDZ($A$1,$B32,V$1,$B$1)</f>
        <v>-526</v>
      </c>
      <c r="W32" s="100">
        <f>_xll.EQNXTDZ($A$1,$B32,W$1,$B$1)</f>
        <v>-4611</v>
      </c>
      <c r="X32" s="100">
        <f>_xll.EQNXTDZ($A$1,$B32,X$1,$B$1)</f>
        <v>-7140</v>
      </c>
      <c r="Y32" s="100">
        <f>_xll.EQNXTDZ($A$1,$B32,Y$1,$B$1)</f>
        <v>-7386</v>
      </c>
      <c r="Z32" s="100">
        <f>_xll.EQNXTDZ($A$1,$B32,Z$1,$B$1)</f>
        <v>-9399</v>
      </c>
      <c r="AA32" s="100">
        <f>_xll.EQNXTDZ($A$1,$B32,AA$1,$B$1)</f>
        <v>-11661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87.73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387</v>
      </c>
      <c r="AA33" s="100">
        <f>_xll.EQNXTDZ($A$1,$B33,AA$1,$B$1)</f>
        <v>522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2645.62</v>
      </c>
      <c r="D35" s="100">
        <f>_xll.EQNXTDZ($A$1,$B35,D$1,$B$1)</f>
        <v>3279.9</v>
      </c>
      <c r="E35" s="100">
        <f>_xll.EQNXTDZ($A$1,$B35,E$1,$B$1)</f>
        <v>4091.04</v>
      </c>
      <c r="F35" s="100">
        <f>_xll.EQNXTDZ($A$1,$B35,F$1,$B$1)</f>
        <v>5168.99</v>
      </c>
      <c r="G35" s="100">
        <f>_xll.EQNXTDZ($A$1,$B35,G$1,$B$1)</f>
        <v>7628.23</v>
      </c>
      <c r="H35" s="100">
        <f>_xll.EQNXTDZ($A$1,$B35,H$1,$B$1)</f>
        <v>9398.23</v>
      </c>
      <c r="I35" s="100">
        <f>_xll.EQNXTDZ($A$1,$B35,I$1,$B$1)</f>
        <v>12074.83</v>
      </c>
      <c r="J35" s="100">
        <f>_xll.EQNXTDZ($A$1,$B35,J$1,$B$1)</f>
        <v>19521.38</v>
      </c>
      <c r="K35" s="100">
        <f>_xll.EQNXTDZ($A$1,$B35,K$1,$B$1)</f>
        <v>14968.72</v>
      </c>
      <c r="L35" s="100">
        <f>_xll.EQNXTDZ($A$1,$B35,L$1,$B$1)</f>
        <v>24503.14</v>
      </c>
      <c r="M35" s="100">
        <f>_xll.EQNXTDZ($A$1,$B35,M$1,$B$1)</f>
        <v>19294</v>
      </c>
      <c r="N35" s="100">
        <f>_xll.EQNXTDZ($A$1,$B35,N$1,$B$1)</f>
        <v>19724</v>
      </c>
      <c r="O35" s="100">
        <f>_xll.EQNXTDZ($A$1,$B35,O$1,$B$1)</f>
        <v>20879</v>
      </c>
      <c r="P35" s="100">
        <f>_xll.EQNXTDZ($A$1,$B35,P$1,$B$1)</f>
        <v>22493</v>
      </c>
      <c r="Q35" s="100">
        <f>_xll.EQNXTDZ($A$1,$B35,Q$1,$B$1)</f>
        <v>23566</v>
      </c>
      <c r="R35" s="100">
        <f>_xll.EQNXTDZ($A$1,$B35,R$1,$B$1)</f>
        <v>29745</v>
      </c>
      <c r="S35" s="100">
        <f>_xll.EQNXTDZ($A$1,$B35,S$1,$B$1)</f>
        <v>29901</v>
      </c>
      <c r="T35" s="100">
        <f>_xll.EQNXTDZ($A$1,$B35,T$1,$B$1)</f>
        <v>36075</v>
      </c>
      <c r="U35" s="100">
        <f>_xll.EQNXTDZ($A$1,$B35,U$1,$B$1)</f>
        <v>39588</v>
      </c>
      <c r="V35" s="100">
        <f>_xll.EQNXTDZ($A$1,$B35,V$1,$B$1)</f>
        <v>39354</v>
      </c>
      <c r="W35" s="100">
        <f>_xll.EQNXTDZ($A$1,$B35,W$1,$B$1)</f>
        <v>49128</v>
      </c>
      <c r="X35" s="100">
        <f>_xll.EQNXTDZ($A$1,$B35,X$1,$B$1)</f>
        <v>60705</v>
      </c>
      <c r="Y35" s="100">
        <f>_xll.EQNXTDZ($A$1,$B35,Y$1,$B$1)</f>
        <v>66702</v>
      </c>
      <c r="Z35" s="100">
        <f>_xll.EQNXTDZ($A$1,$B35,Z$1,$B$1)</f>
        <v>69621</v>
      </c>
      <c r="AA35" s="100">
        <f>_xll.EQNXTDZ($A$1,$B35,AA$1,$B$1)</f>
        <v>69648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1661</v>
      </c>
      <c r="Y36" s="100">
        <f>_xll.EQNXTDZ($A$1,$B36,Y$1,$B$1)</f>
        <v>418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1053.49</v>
      </c>
      <c r="D41" s="55">
        <f>_xll.EQNXTDZ($A$1,$B41,D$1,$B$1)</f>
        <v>1053.56</v>
      </c>
      <c r="E41" s="55">
        <f>_xll.EQNXTDZ($A$1,$B41,E$1,$B$1)</f>
        <v>1395.92</v>
      </c>
      <c r="F41" s="55">
        <f>_xll.EQNXTDZ($A$1,$B41,F$1,$B$1)</f>
        <v>1395.95</v>
      </c>
      <c r="G41" s="55">
        <f>_xll.EQNXTDZ($A$1,$B41,G$1,$B$1)</f>
        <v>1393.09</v>
      </c>
      <c r="H41" s="55">
        <f>_xll.EQNXTDZ($A$1,$B41,H$1,$B$1)</f>
        <v>1393.17</v>
      </c>
      <c r="I41" s="55">
        <f>_xll.EQNXTDZ($A$1,$B41,I$1,$B$1)</f>
        <v>1393.21</v>
      </c>
      <c r="J41" s="55">
        <f>_xll.EQNXTDZ($A$1,$B41,J$1,$B$1)</f>
        <v>1453.39</v>
      </c>
      <c r="K41" s="55">
        <f>_xll.EQNXTDZ($A$1,$B41,K$1,$B$1)</f>
        <v>1374.68</v>
      </c>
      <c r="L41" s="55">
        <f>_xll.EQNXTDZ($A$1,$B41,L$1,$B$1)</f>
        <v>2978.02</v>
      </c>
      <c r="M41" s="55">
        <f>_xll.EQNXTDZ($A$1,$B41,M$1,$B$1)</f>
        <v>2981</v>
      </c>
      <c r="N41" s="55">
        <f>_xll.EQNXTDZ($A$1,$B41,N$1,$B$1)</f>
        <v>2979</v>
      </c>
      <c r="O41" s="55">
        <f>_xll.EQNXTDZ($A$1,$B41,O$1,$B$1)</f>
        <v>2936</v>
      </c>
      <c r="P41" s="55">
        <f>_xll.EQNXTDZ($A$1,$B41,P$1,$B$1)</f>
        <v>2940</v>
      </c>
      <c r="Q41" s="55">
        <f>_xll.EQNXTDZ($A$1,$B41,Q$1,$B$1)</f>
        <v>2943</v>
      </c>
      <c r="R41" s="55">
        <f>_xll.EQNXTDZ($A$1,$B41,R$1,$B$1)</f>
        <v>2948</v>
      </c>
      <c r="S41" s="55">
        <f>_xll.EQNXTDZ($A$1,$B41,S$1,$B$1)</f>
        <v>2959</v>
      </c>
      <c r="T41" s="55">
        <f>_xll.EQNXTDZ($A$1,$B41,T$1,$B$1)</f>
        <v>5922</v>
      </c>
      <c r="U41" s="55">
        <f>_xll.EQNXTDZ($A$1,$B41,U$1,$B$1)</f>
        <v>5926</v>
      </c>
      <c r="V41" s="55">
        <f>_xll.EQNXTDZ($A$1,$B41,V$1,$B$1)</f>
        <v>6339</v>
      </c>
      <c r="W41" s="55">
        <f>_xll.EQNXTDZ($A$1,$B41,W$1,$B$1)</f>
        <v>6445</v>
      </c>
      <c r="X41" s="55">
        <f>_xll.EQNXTDZ($A$1,$B41,X$1,$B$1)</f>
        <v>6765</v>
      </c>
      <c r="Y41" s="55">
        <f>_xll.EQNXTDZ($A$1,$B41,Y$1,$B$1)</f>
        <v>6766</v>
      </c>
      <c r="Z41" s="55">
        <f>_xll.EQNXTDZ($A$1,$B41,Z$1,$B$1)</f>
        <v>6766</v>
      </c>
      <c r="AA41" s="55">
        <f>_xll.EQNXTDZ($A$1,$B41,AA$1,$B$1)</f>
        <v>13532</v>
      </c>
      <c r="AB41" s="55">
        <f>_xll.EQNXTDZ($A$1,$B41,AB$1,$B$1)</f>
        <v>0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342.29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60.14</v>
      </c>
      <c r="J42" s="55">
        <f>_xll.EQNXTDZ($A$1,$B42,J$1,$B$1)</f>
        <v>1682.4</v>
      </c>
      <c r="K42" s="55">
        <f>_xll.EQNXTDZ($A$1,$B42,K$1,$B$1)</f>
        <v>69.25</v>
      </c>
      <c r="L42" s="55">
        <f>_xll.EQNXTDZ($A$1,$B42,L$1,$B$1)</f>
        <v>0</v>
      </c>
      <c r="M42" s="55">
        <f>_xll.EQNXTDZ($A$1,$B42,M$1,$B$1)</f>
        <v>9</v>
      </c>
      <c r="N42" s="55">
        <f>_xll.EQNXTDZ($A$1,$B42,N$1,$B$1)</f>
        <v>0</v>
      </c>
      <c r="O42" s="55">
        <f>_xll.EQNXTDZ($A$1,$B42,O$1,$B$1)</f>
        <v>25</v>
      </c>
      <c r="P42" s="55">
        <f>_xll.EQNXTDZ($A$1,$B42,P$1,$B$1)</f>
        <v>17</v>
      </c>
      <c r="Q42" s="55">
        <f>_xll.EQNXTDZ($A$1,$B42,Q$1,$B$1)</f>
        <v>17</v>
      </c>
      <c r="R42" s="55">
        <f>_xll.EQNXTDZ($A$1,$B42,R$1,$B$1)</f>
        <v>26</v>
      </c>
      <c r="S42" s="55">
        <f>_xll.EQNXTDZ($A$1,$B42,S$1,$B$1)</f>
        <v>20</v>
      </c>
      <c r="T42" s="55">
        <f>_xll.EQNXTDZ($A$1,$B42,T$1,$B$1)</f>
        <v>27</v>
      </c>
      <c r="U42" s="55">
        <f>_xll.EQNXTDZ($A$1,$B42,U$1,$B$1)</f>
        <v>9</v>
      </c>
      <c r="V42" s="55">
        <f>_xll.EQNXTDZ($A$1,$B42,V$1,$B$1)</f>
        <v>19</v>
      </c>
      <c r="W42" s="55">
        <f>_xll.EQNXTDZ($A$1,$B42,W$1,$B$1)</f>
        <v>40580</v>
      </c>
      <c r="X42" s="55">
        <f>_xll.EQNXTDZ($A$1,$B42,X$1,$B$1)</f>
        <v>434</v>
      </c>
      <c r="Y42" s="55">
        <f>_xll.EQNXTDZ($A$1,$B42,Y$1,$B$1)</f>
        <v>646</v>
      </c>
      <c r="Z42" s="55">
        <f>_xll.EQNXTDZ($A$1,$B42,Z$1,$B$1)</f>
        <v>780</v>
      </c>
      <c r="AA42" s="55">
        <f>_xll.EQNXTDZ($A$1,$B42,AA$1,$B$1)</f>
        <v>790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13711.88</v>
      </c>
      <c r="D43" s="55">
        <f>_xll.EQNXTDZ($A$1,$B43,D$1,$B$1)</f>
        <v>26580.91</v>
      </c>
      <c r="E43" s="55">
        <f>_xll.EQNXTDZ($A$1,$B43,E$1,$B$1)</f>
        <v>29139.79</v>
      </c>
      <c r="F43" s="55">
        <f>_xll.EQNXTDZ($A$1,$B43,F$1,$B$1)</f>
        <v>33621.599999999999</v>
      </c>
      <c r="G43" s="55">
        <f>_xll.EQNXTDZ($A$1,$B43,G$1,$B$1)</f>
        <v>39700.58</v>
      </c>
      <c r="H43" s="55">
        <f>_xll.EQNXTDZ($A$1,$B43,H$1,$B$1)</f>
        <v>49634.86</v>
      </c>
      <c r="I43" s="55">
        <f>_xll.EQNXTDZ($A$1,$B43,I$1,$B$1)</f>
        <v>66765.73</v>
      </c>
      <c r="J43" s="55">
        <f>_xll.EQNXTDZ($A$1,$B43,J$1,$B$1)</f>
        <v>82374.69</v>
      </c>
      <c r="K43" s="55">
        <f>_xll.EQNXTDZ($A$1,$B43,K$1,$B$1)</f>
        <v>119812.61</v>
      </c>
      <c r="L43" s="55">
        <f>_xll.EQNXTDZ($A$1,$B43,L$1,$B$1)</f>
        <v>138024.95999999999</v>
      </c>
      <c r="M43" s="55">
        <f>_xll.EQNXTDZ($A$1,$B43,M$1,$B$1)</f>
        <v>151112</v>
      </c>
      <c r="N43" s="55">
        <f>_xll.EQNXTDZ($A$1,$B43,N$1,$B$1)</f>
        <v>166466</v>
      </c>
      <c r="O43" s="55">
        <f>_xll.EQNXTDZ($A$1,$B43,O$1,$B$1)</f>
        <v>179094</v>
      </c>
      <c r="P43" s="55">
        <f>_xll.EQNXTDZ($A$1,$B43,P$1,$B$1)</f>
        <v>195730</v>
      </c>
      <c r="Q43" s="55">
        <f>_xll.EQNXTDZ($A$1,$B43,Q$1,$B$1)</f>
        <v>215539</v>
      </c>
      <c r="R43" s="55">
        <f>_xll.EQNXTDZ($A$1,$B43,R$1,$B$1)</f>
        <v>228582</v>
      </c>
      <c r="S43" s="55">
        <f>_xll.EQNXTDZ($A$1,$B43,S$1,$B$1)</f>
        <v>260730</v>
      </c>
      <c r="T43" s="55">
        <f>_xll.EQNXTDZ($A$1,$B43,T$1,$B$1)</f>
        <v>287557</v>
      </c>
      <c r="U43" s="55">
        <f>_xll.EQNXTDZ($A$1,$B43,U$1,$B$1)</f>
        <v>381177</v>
      </c>
      <c r="V43" s="55">
        <f>_xll.EQNXTDZ($A$1,$B43,V$1,$B$1)</f>
        <v>442808</v>
      </c>
      <c r="W43" s="55">
        <f>_xll.EQNXTDZ($A$1,$B43,W$1,$B$1)</f>
        <v>653147</v>
      </c>
      <c r="X43" s="55">
        <f>_xll.EQNXTDZ($A$1,$B43,X$1,$B$1)</f>
        <v>772286</v>
      </c>
      <c r="Y43" s="55">
        <f>_xll.EQNXTDZ($A$1,$B43,Y$1,$B$1)</f>
        <v>708460</v>
      </c>
      <c r="Z43" s="55">
        <f>_xll.EQNXTDZ($A$1,$B43,Z$1,$B$1)</f>
        <v>785935</v>
      </c>
      <c r="AA43" s="55">
        <f>_xll.EQNXTDZ($A$1,$B43,AA$1,$B$1)</f>
        <v>828878</v>
      </c>
      <c r="AB43" s="55">
        <f>_xll.EQNXTDZ($A$1,$B43,AB$1,$B$1)</f>
        <v>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14765.37</v>
      </c>
      <c r="D44" s="55">
        <f>_xll.EQNXTDZ($A$1,$B44,D$1,$B$1)</f>
        <v>27976.76</v>
      </c>
      <c r="E44" s="55">
        <f>_xll.EQNXTDZ($A$1,$B44,E$1,$B$1)</f>
        <v>30535.71</v>
      </c>
      <c r="F44" s="55">
        <f>_xll.EQNXTDZ($A$1,$B44,F$1,$B$1)</f>
        <v>35017.550000000003</v>
      </c>
      <c r="G44" s="55">
        <f>_xll.EQNXTDZ($A$1,$B44,G$1,$B$1)</f>
        <v>41093.67</v>
      </c>
      <c r="H44" s="55">
        <f>_xll.EQNXTDZ($A$1,$B44,H$1,$B$1)</f>
        <v>51028.03</v>
      </c>
      <c r="I44" s="55">
        <f>_xll.EQNXTDZ($A$1,$B44,I$1,$B$1)</f>
        <v>68219.08</v>
      </c>
      <c r="J44" s="55">
        <f>_xll.EQNXTDZ($A$1,$B44,J$1,$B$1)</f>
        <v>85510.48</v>
      </c>
      <c r="K44" s="55">
        <f>_xll.EQNXTDZ($A$1,$B44,K$1,$B$1)</f>
        <v>121256.54</v>
      </c>
      <c r="L44" s="55">
        <f>_xll.EQNXTDZ($A$1,$B44,L$1,$B$1)</f>
        <v>141002.98000000001</v>
      </c>
      <c r="M44" s="55">
        <f>_xll.EQNXTDZ($A$1,$B44,M$1,$B$1)</f>
        <v>154102</v>
      </c>
      <c r="N44" s="55">
        <f>_xll.EQNXTDZ($A$1,$B44,N$1,$B$1)</f>
        <v>169445</v>
      </c>
      <c r="O44" s="55">
        <f>_xll.EQNXTDZ($A$1,$B44,O$1,$B$1)</f>
        <v>182055</v>
      </c>
      <c r="P44" s="55">
        <f>_xll.EQNXTDZ($A$1,$B44,P$1,$B$1)</f>
        <v>198687</v>
      </c>
      <c r="Q44" s="55">
        <f>_xll.EQNXTDZ($A$1,$B44,Q$1,$B$1)</f>
        <v>218499</v>
      </c>
      <c r="R44" s="55">
        <f>_xll.EQNXTDZ($A$1,$B44,R$1,$B$1)</f>
        <v>231556</v>
      </c>
      <c r="S44" s="55">
        <f>_xll.EQNXTDZ($A$1,$B44,S$1,$B$1)</f>
        <v>263709</v>
      </c>
      <c r="T44" s="55">
        <f>_xll.EQNXTDZ($A$1,$B44,T$1,$B$1)</f>
        <v>293506</v>
      </c>
      <c r="U44" s="55">
        <f>_xll.EQNXTDZ($A$1,$B44,U$1,$B$1)</f>
        <v>387112</v>
      </c>
      <c r="V44" s="55">
        <f>_xll.EQNXTDZ($A$1,$B44,V$1,$B$1)</f>
        <v>449166</v>
      </c>
      <c r="W44" s="55">
        <f>_xll.EQNXTDZ($A$1,$B44,W$1,$B$1)</f>
        <v>700172</v>
      </c>
      <c r="X44" s="55">
        <f>_xll.EQNXTDZ($A$1,$B44,X$1,$B$1)</f>
        <v>779485</v>
      </c>
      <c r="Y44" s="55">
        <f>_xll.EQNXTDZ($A$1,$B44,Y$1,$B$1)</f>
        <v>715872</v>
      </c>
      <c r="Z44" s="55">
        <f>_xll.EQNXTDZ($A$1,$B44,Z$1,$B$1)</f>
        <v>793481</v>
      </c>
      <c r="AA44" s="55">
        <f>_xll.EQNXTDZ($A$1,$B44,AA$1,$B$1)</f>
        <v>843200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7.0000000000000007E-2</v>
      </c>
      <c r="E45" s="55">
        <f>_xll.EQNXTDZ($A$1,$B45,E$1,$B$1)</f>
        <v>0.06</v>
      </c>
      <c r="F45" s="55">
        <f>_xll.EQNXTDZ($A$1,$B45,F$1,$B$1)</f>
        <v>0.16</v>
      </c>
      <c r="G45" s="55">
        <f>_xll.EQNXTDZ($A$1,$B45,G$1,$B$1)</f>
        <v>0.05</v>
      </c>
      <c r="H45" s="55">
        <f>_xll.EQNXTDZ($A$1,$B45,H$1,$B$1)</f>
        <v>457.25</v>
      </c>
      <c r="I45" s="55">
        <f>_xll.EQNXTDZ($A$1,$B45,I$1,$B$1)</f>
        <v>3422.01</v>
      </c>
      <c r="J45" s="55">
        <f>_xll.EQNXTDZ($A$1,$B45,J$1,$B$1)</f>
        <v>4088.58</v>
      </c>
      <c r="K45" s="55">
        <f>_xll.EQNXTDZ($A$1,$B45,K$1,$B$1)</f>
        <v>138.9</v>
      </c>
      <c r="L45" s="55">
        <f>_xll.EQNXTDZ($A$1,$B45,L$1,$B$1)</f>
        <v>573.53</v>
      </c>
      <c r="M45" s="55">
        <f>_xll.EQNXTDZ($A$1,$B45,M$1,$B$1)</f>
        <v>802</v>
      </c>
      <c r="N45" s="55">
        <f>_xll.EQNXTDZ($A$1,$B45,N$1,$B$1)</f>
        <v>799</v>
      </c>
      <c r="O45" s="55">
        <f>_xll.EQNXTDZ($A$1,$B45,O$1,$B$1)</f>
        <v>949</v>
      </c>
      <c r="P45" s="55">
        <f>_xll.EQNXTDZ($A$1,$B45,P$1,$B$1)</f>
        <v>959</v>
      </c>
      <c r="Q45" s="55">
        <f>_xll.EQNXTDZ($A$1,$B45,Q$1,$B$1)</f>
        <v>3038</v>
      </c>
      <c r="R45" s="55">
        <f>_xll.EQNXTDZ($A$1,$B45,R$1,$B$1)</f>
        <v>3356</v>
      </c>
      <c r="S45" s="55">
        <f>_xll.EQNXTDZ($A$1,$B45,S$1,$B$1)</f>
        <v>2917</v>
      </c>
      <c r="T45" s="55">
        <f>_xll.EQNXTDZ($A$1,$B45,T$1,$B$1)</f>
        <v>3539</v>
      </c>
      <c r="U45" s="55">
        <f>_xll.EQNXTDZ($A$1,$B45,U$1,$B$1)</f>
        <v>8280</v>
      </c>
      <c r="V45" s="55">
        <f>_xll.EQNXTDZ($A$1,$B45,V$1,$B$1)</f>
        <v>12181</v>
      </c>
      <c r="W45" s="55">
        <f>_xll.EQNXTDZ($A$1,$B45,W$1,$B$1)</f>
        <v>99260</v>
      </c>
      <c r="X45" s="55">
        <f>_xll.EQNXTDZ($A$1,$B45,X$1,$B$1)</f>
        <v>109499</v>
      </c>
      <c r="Y45" s="55">
        <f>_xll.EQNXTDZ($A$1,$B45,Y$1,$B$1)</f>
        <v>113009</v>
      </c>
      <c r="Z45" s="55">
        <f>_xll.EQNXTDZ($A$1,$B45,Z$1,$B$1)</f>
        <v>132307</v>
      </c>
      <c r="AA45" s="55">
        <f>_xll.EQNXTDZ($A$1,$B45,AA$1,$B$1)</f>
        <v>166426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4068.4</v>
      </c>
      <c r="D47" s="55">
        <f>_xll.EQNXTDZ($A$1,$B47,D$1,$B$1)</f>
        <v>14209.75</v>
      </c>
      <c r="E47" s="55">
        <f>_xll.EQNXTDZ($A$1,$B47,E$1,$B$1)</f>
        <v>11801.04</v>
      </c>
      <c r="F47" s="55">
        <f>_xll.EQNXTDZ($A$1,$B47,F$1,$B$1)</f>
        <v>11479.18</v>
      </c>
      <c r="G47" s="55">
        <f>_xll.EQNXTDZ($A$1,$B47,G$1,$B$1)</f>
        <v>8005.4</v>
      </c>
      <c r="H47" s="55">
        <f>_xll.EQNXTDZ($A$1,$B47,H$1,$B$1)</f>
        <v>7664.9</v>
      </c>
      <c r="I47" s="55">
        <f>_xll.EQNXTDZ($A$1,$B47,I$1,$B$1)</f>
        <v>15046.76</v>
      </c>
      <c r="J47" s="55">
        <f>_xll.EQNXTDZ($A$1,$B47,J$1,$B$1)</f>
        <v>19576.52</v>
      </c>
      <c r="K47" s="55">
        <f>_xll.EQNXTDZ($A$1,$B47,K$1,$B$1)</f>
        <v>10747.73</v>
      </c>
      <c r="L47" s="55">
        <f>_xll.EQNXTDZ($A$1,$B47,L$1,$B$1)</f>
        <v>11694.4</v>
      </c>
      <c r="M47" s="55">
        <f>_xll.EQNXTDZ($A$1,$B47,M$1,$B$1)</f>
        <v>9398</v>
      </c>
      <c r="N47" s="55">
        <f>_xll.EQNXTDZ($A$1,$B47,N$1,$B$1)</f>
        <v>6067</v>
      </c>
      <c r="O47" s="55">
        <f>_xll.EQNXTDZ($A$1,$B47,O$1,$B$1)</f>
        <v>1881</v>
      </c>
      <c r="P47" s="55">
        <f>_xll.EQNXTDZ($A$1,$B47,P$1,$B$1)</f>
        <v>4593</v>
      </c>
      <c r="Q47" s="55">
        <f>_xll.EQNXTDZ($A$1,$B47,Q$1,$B$1)</f>
        <v>7475</v>
      </c>
      <c r="R47" s="55">
        <f>_xll.EQNXTDZ($A$1,$B47,R$1,$B$1)</f>
        <v>10845</v>
      </c>
      <c r="S47" s="55">
        <f>_xll.EQNXTDZ($A$1,$B47,S$1,$B$1)</f>
        <v>18897</v>
      </c>
      <c r="T47" s="55">
        <f>_xll.EQNXTDZ($A$1,$B47,T$1,$B$1)</f>
        <v>14565</v>
      </c>
      <c r="U47" s="55">
        <f>_xll.EQNXTDZ($A$1,$B47,U$1,$B$1)</f>
        <v>20082</v>
      </c>
      <c r="V47" s="55">
        <f>_xll.EQNXTDZ($A$1,$B47,V$1,$B$1)</f>
        <v>16224</v>
      </c>
      <c r="W47" s="55">
        <f>_xll.EQNXTDZ($A$1,$B47,W$1,$B$1)</f>
        <v>10270</v>
      </c>
      <c r="X47" s="55">
        <f>_xll.EQNXTDZ($A$1,$B47,X$1,$B$1)</f>
        <v>8788</v>
      </c>
      <c r="Y47" s="55">
        <f>_xll.EQNXTDZ($A$1,$B47,Y$1,$B$1)</f>
        <v>3705</v>
      </c>
      <c r="Z47" s="55">
        <f>_xll.EQNXTDZ($A$1,$B47,Z$1,$B$1)</f>
        <v>22372</v>
      </c>
      <c r="AA47" s="55">
        <f>_xll.EQNXTDZ($A$1,$B47,AA$1,$B$1)</f>
        <v>21504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6067.39</v>
      </c>
      <c r="D48" s="55">
        <f>_xll.EQNXTDZ($A$1,$B48,D$1,$B$1)</f>
        <v>4739.59</v>
      </c>
      <c r="E48" s="55">
        <f>_xll.EQNXTDZ($A$1,$B48,E$1,$B$1)</f>
        <v>7981.45</v>
      </c>
      <c r="F48" s="55">
        <f>_xll.EQNXTDZ($A$1,$B48,F$1,$B$1)</f>
        <v>9537.59</v>
      </c>
      <c r="G48" s="55">
        <f>_xll.EQNXTDZ($A$1,$B48,G$1,$B$1)</f>
        <v>10811.69</v>
      </c>
      <c r="H48" s="55">
        <f>_xll.EQNXTDZ($A$1,$B48,H$1,$B$1)</f>
        <v>15677.9</v>
      </c>
      <c r="I48" s="55">
        <f>_xll.EQNXTDZ($A$1,$B48,I$1,$B$1)</f>
        <v>18604.72</v>
      </c>
      <c r="J48" s="55">
        <f>_xll.EQNXTDZ($A$1,$B48,J$1,$B$1)</f>
        <v>31119.57</v>
      </c>
      <c r="K48" s="55">
        <f>_xll.EQNXTDZ($A$1,$B48,K$1,$B$1)</f>
        <v>65508.87</v>
      </c>
      <c r="L48" s="55">
        <f>_xll.EQNXTDZ($A$1,$B48,L$1,$B$1)</f>
        <v>52911.12</v>
      </c>
      <c r="M48" s="55">
        <f>_xll.EQNXTDZ($A$1,$B48,M$1,$B$1)</f>
        <v>56838</v>
      </c>
      <c r="N48" s="55">
        <f>_xll.EQNXTDZ($A$1,$B48,N$1,$B$1)</f>
        <v>59285</v>
      </c>
      <c r="O48" s="55">
        <f>_xll.EQNXTDZ($A$1,$B48,O$1,$B$1)</f>
        <v>69079</v>
      </c>
      <c r="P48" s="55">
        <f>_xll.EQNXTDZ($A$1,$B48,P$1,$B$1)</f>
        <v>96423</v>
      </c>
      <c r="Q48" s="55">
        <f>_xll.EQNXTDZ($A$1,$B48,Q$1,$B$1)</f>
        <v>113302</v>
      </c>
      <c r="R48" s="55">
        <f>_xll.EQNXTDZ($A$1,$B48,R$1,$B$1)</f>
        <v>130802</v>
      </c>
      <c r="S48" s="55">
        <f>_xll.EQNXTDZ($A$1,$B48,S$1,$B$1)</f>
        <v>133251</v>
      </c>
      <c r="T48" s="55">
        <f>_xll.EQNXTDZ($A$1,$B48,T$1,$B$1)</f>
        <v>129610</v>
      </c>
      <c r="U48" s="55">
        <f>_xll.EQNXTDZ($A$1,$B48,U$1,$B$1)</f>
        <v>187424</v>
      </c>
      <c r="V48" s="55">
        <f>_xll.EQNXTDZ($A$1,$B48,V$1,$B$1)</f>
        <v>181407</v>
      </c>
      <c r="W48" s="55">
        <f>_xll.EQNXTDZ($A$1,$B48,W$1,$B$1)</f>
        <v>153413</v>
      </c>
      <c r="X48" s="55">
        <f>_xll.EQNXTDZ($A$1,$B48,X$1,$B$1)</f>
        <v>178911</v>
      </c>
      <c r="Y48" s="55">
        <f>_xll.EQNXTDZ($A$1,$B48,Y$1,$B$1)</f>
        <v>179471</v>
      </c>
      <c r="Z48" s="55">
        <f>_xll.EQNXTDZ($A$1,$B48,Z$1,$B$1)</f>
        <v>200340</v>
      </c>
      <c r="AA48" s="55">
        <f>_xll.EQNXTDZ($A$1,$B48,AA$1,$B$1)</f>
        <v>215395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2060.83</v>
      </c>
      <c r="E49" s="55">
        <f>_xll.EQNXTDZ($A$1,$B49,E$1,$B$1)</f>
        <v>2684.88</v>
      </c>
      <c r="F49" s="55">
        <f>_xll.EQNXTDZ($A$1,$B49,F$1,$B$1)</f>
        <v>3474.84</v>
      </c>
      <c r="G49" s="55">
        <f>_xll.EQNXTDZ($A$1,$B49,G$1,$B$1)</f>
        <v>4266.82</v>
      </c>
      <c r="H49" s="55">
        <f>_xll.EQNXTDZ($A$1,$B49,H$1,$B$1)</f>
        <v>4970.82</v>
      </c>
      <c r="I49" s="55">
        <f>_xll.EQNXTDZ($A$1,$B49,I$1,$B$1)</f>
        <v>6990.53</v>
      </c>
      <c r="J49" s="55">
        <f>_xll.EQNXTDZ($A$1,$B49,J$1,$B$1)</f>
        <v>7798.34</v>
      </c>
      <c r="K49" s="55">
        <f>_xll.EQNXTDZ($A$1,$B49,K$1,$B$1)</f>
        <v>9551.33</v>
      </c>
      <c r="L49" s="55">
        <f>_xll.EQNXTDZ($A$1,$B49,L$1,$B$1)</f>
        <v>10677.57</v>
      </c>
      <c r="M49" s="55">
        <f>_xll.EQNXTDZ($A$1,$B49,M$1,$B$1)</f>
        <v>11071</v>
      </c>
      <c r="N49" s="55">
        <f>_xll.EQNXTDZ($A$1,$B49,N$1,$B$1)</f>
        <v>11567</v>
      </c>
      <c r="O49" s="55">
        <f>_xll.EQNXTDZ($A$1,$B49,O$1,$B$1)</f>
        <v>11588</v>
      </c>
      <c r="P49" s="55">
        <f>_xll.EQNXTDZ($A$1,$B49,P$1,$B$1)</f>
        <v>11928</v>
      </c>
      <c r="Q49" s="55">
        <f>_xll.EQNXTDZ($A$1,$B49,Q$1,$B$1)</f>
        <v>20362</v>
      </c>
      <c r="R49" s="55">
        <f>_xll.EQNXTDZ($A$1,$B49,R$1,$B$1)</f>
        <v>20494</v>
      </c>
      <c r="S49" s="55">
        <f>_xll.EQNXTDZ($A$1,$B49,S$1,$B$1)</f>
        <v>21198</v>
      </c>
      <c r="T49" s="55">
        <f>_xll.EQNXTDZ($A$1,$B49,T$1,$B$1)</f>
        <v>24543</v>
      </c>
      <c r="U49" s="55">
        <f>_xll.EQNXTDZ($A$1,$B49,U$1,$B$1)</f>
        <v>45147</v>
      </c>
      <c r="V49" s="55">
        <f>_xll.EQNXTDZ($A$1,$B49,V$1,$B$1)</f>
        <v>51223</v>
      </c>
      <c r="W49" s="55">
        <f>_xll.EQNXTDZ($A$1,$B49,W$1,$B$1)</f>
        <v>35854</v>
      </c>
      <c r="X49" s="55">
        <f>_xll.EQNXTDZ($A$1,$B49,X$1,$B$1)</f>
        <v>48601</v>
      </c>
      <c r="Y49" s="55">
        <f>_xll.EQNXTDZ($A$1,$B49,Y$1,$B$1)</f>
        <v>58775</v>
      </c>
      <c r="Z49" s="55">
        <f>_xll.EQNXTDZ($A$1,$B49,Z$1,$B$1)</f>
        <v>71303</v>
      </c>
      <c r="AA49" s="55">
        <f>_xll.EQNXTDZ($A$1,$B49,AA$1,$B$1)</f>
        <v>83045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807</v>
      </c>
      <c r="Q50" s="55">
        <f>_xll.EQNXTDZ($A$1,$B50,Q$1,$B$1)</f>
        <v>1703</v>
      </c>
      <c r="R50" s="55">
        <f>_xll.EQNXTDZ($A$1,$B50,R$1,$B$1)</f>
        <v>15559</v>
      </c>
      <c r="S50" s="55">
        <f>_xll.EQNXTDZ($A$1,$B50,S$1,$B$1)</f>
        <v>29162</v>
      </c>
      <c r="T50" s="55">
        <f>_xll.EQNXTDZ($A$1,$B50,T$1,$B$1)</f>
        <v>28752</v>
      </c>
      <c r="U50" s="55">
        <f>_xll.EQNXTDZ($A$1,$B50,U$1,$B$1)</f>
        <v>29407</v>
      </c>
      <c r="V50" s="55">
        <f>_xll.EQNXTDZ($A$1,$B50,V$1,$B$1)</f>
        <v>38108</v>
      </c>
      <c r="W50" s="55">
        <f>_xll.EQNXTDZ($A$1,$B50,W$1,$B$1)</f>
        <v>40903</v>
      </c>
      <c r="X50" s="55">
        <f>_xll.EQNXTDZ($A$1,$B50,X$1,$B$1)</f>
        <v>62823</v>
      </c>
      <c r="Y50" s="55">
        <f>_xll.EQNXTDZ($A$1,$B50,Y$1,$B$1)</f>
        <v>137700</v>
      </c>
      <c r="Z50" s="55">
        <f>_xll.EQNXTDZ($A$1,$B50,Z$1,$B$1)</f>
        <v>135834</v>
      </c>
      <c r="AA50" s="55">
        <f>_xll.EQNXTDZ($A$1,$B50,AA$1,$B$1)</f>
        <v>138102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214</v>
      </c>
      <c r="N52" s="55">
        <f>_xll.EQNXTDZ($A$1,$B52,N$1,$B$1)</f>
        <v>421</v>
      </c>
      <c r="O52" s="55">
        <f>_xll.EQNXTDZ($A$1,$B52,O$1,$B$1)</f>
        <v>531</v>
      </c>
      <c r="P52" s="55">
        <f>_xll.EQNXTDZ($A$1,$B52,P$1,$B$1)</f>
        <v>290</v>
      </c>
      <c r="Q52" s="55">
        <f>_xll.EQNXTDZ($A$1,$B52,Q$1,$B$1)</f>
        <v>1554</v>
      </c>
      <c r="R52" s="55">
        <f>_xll.EQNXTDZ($A$1,$B52,R$1,$B$1)</f>
        <v>1231</v>
      </c>
      <c r="S52" s="55">
        <f>_xll.EQNXTDZ($A$1,$B52,S$1,$B$1)</f>
        <v>2353</v>
      </c>
      <c r="T52" s="55">
        <f>_xll.EQNXTDZ($A$1,$B52,T$1,$B$1)</f>
        <v>2906</v>
      </c>
      <c r="U52" s="55">
        <f>_xll.EQNXTDZ($A$1,$B52,U$1,$B$1)</f>
        <v>2856</v>
      </c>
      <c r="V52" s="55">
        <f>_xll.EQNXTDZ($A$1,$B52,V$1,$B$1)</f>
        <v>1790</v>
      </c>
      <c r="W52" s="55">
        <f>_xll.EQNXTDZ($A$1,$B52,W$1,$B$1)</f>
        <v>2625</v>
      </c>
      <c r="X52" s="55">
        <f>_xll.EQNXTDZ($A$1,$B52,X$1,$B$1)</f>
        <v>1853</v>
      </c>
      <c r="Y52" s="55">
        <f>_xll.EQNXTDZ($A$1,$B52,Y$1,$B$1)</f>
        <v>1607</v>
      </c>
      <c r="Z52" s="55">
        <f>_xll.EQNXTDZ($A$1,$B52,Z$1,$B$1)</f>
        <v>2044</v>
      </c>
      <c r="AA52" s="55">
        <f>_xll.EQNXTDZ($A$1,$B52,AA$1,$B$1)</f>
        <v>28304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10135.790000000001</v>
      </c>
      <c r="D53" s="55">
        <f>_xll.EQNXTDZ($A$1,$B53,D$1,$B$1)</f>
        <v>21010.17</v>
      </c>
      <c r="E53" s="55">
        <f>_xll.EQNXTDZ($A$1,$B53,E$1,$B$1)</f>
        <v>22467.37</v>
      </c>
      <c r="F53" s="55">
        <f>_xll.EQNXTDZ($A$1,$B53,F$1,$B$1)</f>
        <v>24491.61</v>
      </c>
      <c r="G53" s="55">
        <f>_xll.EQNXTDZ($A$1,$B53,G$1,$B$1)</f>
        <v>23083.91</v>
      </c>
      <c r="H53" s="55">
        <f>_xll.EQNXTDZ($A$1,$B53,H$1,$B$1)</f>
        <v>28313.62</v>
      </c>
      <c r="I53" s="55">
        <f>_xll.EQNXTDZ($A$1,$B53,I$1,$B$1)</f>
        <v>40642.01</v>
      </c>
      <c r="J53" s="55">
        <f>_xll.EQNXTDZ($A$1,$B53,J$1,$B$1)</f>
        <v>58494.43</v>
      </c>
      <c r="K53" s="55">
        <f>_xll.EQNXTDZ($A$1,$B53,K$1,$B$1)</f>
        <v>85807.93</v>
      </c>
      <c r="L53" s="55">
        <f>_xll.EQNXTDZ($A$1,$B53,L$1,$B$1)</f>
        <v>75283.09</v>
      </c>
      <c r="M53" s="55">
        <f>_xll.EQNXTDZ($A$1,$B53,M$1,$B$1)</f>
        <v>77521</v>
      </c>
      <c r="N53" s="55">
        <f>_xll.EQNXTDZ($A$1,$B53,N$1,$B$1)</f>
        <v>77340</v>
      </c>
      <c r="O53" s="55">
        <f>_xll.EQNXTDZ($A$1,$B53,O$1,$B$1)</f>
        <v>83079</v>
      </c>
      <c r="P53" s="55">
        <f>_xll.EQNXTDZ($A$1,$B53,P$1,$B$1)</f>
        <v>114041</v>
      </c>
      <c r="Q53" s="55">
        <f>_xll.EQNXTDZ($A$1,$B53,Q$1,$B$1)</f>
        <v>144396</v>
      </c>
      <c r="R53" s="55">
        <f>_xll.EQNXTDZ($A$1,$B53,R$1,$B$1)</f>
        <v>178931</v>
      </c>
      <c r="S53" s="55">
        <f>_xll.EQNXTDZ($A$1,$B53,S$1,$B$1)</f>
        <v>204861</v>
      </c>
      <c r="T53" s="55">
        <f>_xll.EQNXTDZ($A$1,$B53,T$1,$B$1)</f>
        <v>200376</v>
      </c>
      <c r="U53" s="55">
        <f>_xll.EQNXTDZ($A$1,$B53,U$1,$B$1)</f>
        <v>284916</v>
      </c>
      <c r="V53" s="55">
        <f>_xll.EQNXTDZ($A$1,$B53,V$1,$B$1)</f>
        <v>288752</v>
      </c>
      <c r="W53" s="55">
        <f>_xll.EQNXTDZ($A$1,$B53,W$1,$B$1)</f>
        <v>243065</v>
      </c>
      <c r="X53" s="55">
        <f>_xll.EQNXTDZ($A$1,$B53,X$1,$B$1)</f>
        <v>300976</v>
      </c>
      <c r="Y53" s="55">
        <f>_xll.EQNXTDZ($A$1,$B53,Y$1,$B$1)</f>
        <v>381258</v>
      </c>
      <c r="Z53" s="55">
        <f>_xll.EQNXTDZ($A$1,$B53,Z$1,$B$1)</f>
        <v>431893</v>
      </c>
      <c r="AA53" s="55">
        <f>_xll.EQNXTDZ($A$1,$B53,AA$1,$B$1)</f>
        <v>486350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3859.22</v>
      </c>
      <c r="D54" s="55">
        <f>_xll.EQNXTDZ($A$1,$B54,D$1,$B$1)</f>
        <v>6050.97</v>
      </c>
      <c r="E54" s="55">
        <f>_xll.EQNXTDZ($A$1,$B54,E$1,$B$1)</f>
        <v>9073.2800000000007</v>
      </c>
      <c r="F54" s="55">
        <f>_xll.EQNXTDZ($A$1,$B54,F$1,$B$1)</f>
        <v>9981.84</v>
      </c>
      <c r="G54" s="55">
        <f>_xll.EQNXTDZ($A$1,$B54,G$1,$B$1)</f>
        <v>13212.27</v>
      </c>
      <c r="H54" s="55">
        <f>_xll.EQNXTDZ($A$1,$B54,H$1,$B$1)</f>
        <v>12454.12</v>
      </c>
      <c r="I54" s="55">
        <f>_xll.EQNXTDZ($A$1,$B54,I$1,$B$1)</f>
        <v>17690.77</v>
      </c>
      <c r="J54" s="55">
        <f>_xll.EQNXTDZ($A$1,$B54,J$1,$B$1)</f>
        <v>22798.68</v>
      </c>
      <c r="K54" s="55">
        <f>_xll.EQNXTDZ($A$1,$B54,K$1,$B$1)</f>
        <v>34501.11</v>
      </c>
      <c r="L54" s="55">
        <f>_xll.EQNXTDZ($A$1,$B54,L$1,$B$1)</f>
        <v>38125.620000000003</v>
      </c>
      <c r="M54" s="55">
        <f>_xll.EQNXTDZ($A$1,$B54,M$1,$B$1)</f>
        <v>36107</v>
      </c>
      <c r="N54" s="55">
        <f>_xll.EQNXTDZ($A$1,$B54,N$1,$B$1)</f>
        <v>40368</v>
      </c>
      <c r="O54" s="55">
        <f>_xll.EQNXTDZ($A$1,$B54,O$1,$B$1)</f>
        <v>49700</v>
      </c>
      <c r="P54" s="55">
        <f>_xll.EQNXTDZ($A$1,$B54,P$1,$B$1)</f>
        <v>60860</v>
      </c>
      <c r="Q54" s="55">
        <f>_xll.EQNXTDZ($A$1,$B54,Q$1,$B$1)</f>
        <v>59407</v>
      </c>
      <c r="R54" s="55">
        <f>_xll.EQNXTDZ($A$1,$B54,R$1,$B$1)</f>
        <v>60296</v>
      </c>
      <c r="S54" s="55">
        <f>_xll.EQNXTDZ($A$1,$B54,S$1,$B$1)</f>
        <v>76595</v>
      </c>
      <c r="T54" s="55">
        <f>_xll.EQNXTDZ($A$1,$B54,T$1,$B$1)</f>
        <v>106861</v>
      </c>
      <c r="U54" s="55">
        <f>_xll.EQNXTDZ($A$1,$B54,U$1,$B$1)</f>
        <v>108309</v>
      </c>
      <c r="V54" s="55">
        <f>_xll.EQNXTDZ($A$1,$B54,V$1,$B$1)</f>
        <v>96799</v>
      </c>
      <c r="W54" s="55">
        <f>_xll.EQNXTDZ($A$1,$B54,W$1,$B$1)</f>
        <v>108897</v>
      </c>
      <c r="X54" s="55">
        <f>_xll.EQNXTDZ($A$1,$B54,X$1,$B$1)</f>
        <v>159330</v>
      </c>
      <c r="Y54" s="55">
        <f>_xll.EQNXTDZ($A$1,$B54,Y$1,$B$1)</f>
        <v>147172</v>
      </c>
      <c r="Z54" s="55">
        <f>_xll.EQNXTDZ($A$1,$B54,Z$1,$B$1)</f>
        <v>178377</v>
      </c>
      <c r="AA54" s="55">
        <f>_xll.EQNXTDZ($A$1,$B54,AA$1,$B$1)</f>
        <v>186789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251.58</v>
      </c>
      <c r="D55" s="55">
        <f>_xll.EQNXTDZ($A$1,$B55,D$1,$B$1)</f>
        <v>448.92999999999898</v>
      </c>
      <c r="E55" s="55">
        <f>_xll.EQNXTDZ($A$1,$B55,E$1,$B$1)</f>
        <v>485.30999999999898</v>
      </c>
      <c r="F55" s="55">
        <f>_xll.EQNXTDZ($A$1,$B55,F$1,$B$1)</f>
        <v>462.87999999999897</v>
      </c>
      <c r="G55" s="55">
        <f>_xll.EQNXTDZ($A$1,$B55,G$1,$B$1)</f>
        <v>449.95999999999901</v>
      </c>
      <c r="H55" s="55">
        <f>_xll.EQNXTDZ($A$1,$B55,H$1,$B$1)</f>
        <v>416.789999999999</v>
      </c>
      <c r="I55" s="55">
        <f>_xll.EQNXTDZ($A$1,$B55,I$1,$B$1)</f>
        <v>494.48</v>
      </c>
      <c r="J55" s="55">
        <f>_xll.EQNXTDZ($A$1,$B55,J$1,$B$1)</f>
        <v>618.82999999999799</v>
      </c>
      <c r="K55" s="55">
        <f>_xll.EQNXTDZ($A$1,$B55,K$1,$B$1)</f>
        <v>1255.8699999999999</v>
      </c>
      <c r="L55" s="55">
        <f>_xll.EQNXTDZ($A$1,$B55,L$1,$B$1)</f>
        <v>764.94999999999698</v>
      </c>
      <c r="M55" s="55">
        <f>_xll.EQNXTDZ($A$1,$B55,M$1,$B$1)</f>
        <v>20493</v>
      </c>
      <c r="N55" s="55">
        <f>_xll.EQNXTDZ($A$1,$B55,N$1,$B$1)</f>
        <v>17553</v>
      </c>
      <c r="O55" s="55">
        <f>_xll.EQNXTDZ($A$1,$B55,O$1,$B$1)</f>
        <v>23655</v>
      </c>
      <c r="P55" s="55">
        <f>_xll.EQNXTDZ($A$1,$B55,P$1,$B$1)</f>
        <v>17058</v>
      </c>
      <c r="Q55" s="55">
        <f>_xll.EQNXTDZ($A$1,$B55,Q$1,$B$1)</f>
        <v>45789</v>
      </c>
      <c r="R55" s="55">
        <f>_xll.EQNXTDZ($A$1,$B55,R$1,$B$1)</f>
        <v>99538</v>
      </c>
      <c r="S55" s="55">
        <f>_xll.EQNXTDZ($A$1,$B55,S$1,$B$1)</f>
        <v>125423</v>
      </c>
      <c r="T55" s="55">
        <f>_xll.EQNXTDZ($A$1,$B55,T$1,$B$1)</f>
        <v>168330</v>
      </c>
      <c r="U55" s="55">
        <f>_xll.EQNXTDZ($A$1,$B55,U$1,$B$1)</f>
        <v>139952</v>
      </c>
      <c r="V55" s="55">
        <f>_xll.EQNXTDZ($A$1,$B55,V$1,$B$1)</f>
        <v>220441</v>
      </c>
      <c r="W55" s="55">
        <f>_xll.EQNXTDZ($A$1,$B55,W$1,$B$1)</f>
        <v>106086</v>
      </c>
      <c r="X55" s="55">
        <f>_xll.EQNXTDZ($A$1,$B55,X$1,$B$1)</f>
        <v>95810</v>
      </c>
      <c r="Y55" s="55">
        <f>_xll.EQNXTDZ($A$1,$B55,Y$1,$B$1)</f>
        <v>164135</v>
      </c>
      <c r="Z55" s="55">
        <f>_xll.EQNXTDZ($A$1,$B55,Z$1,$B$1)</f>
        <v>160173</v>
      </c>
      <c r="AA55" s="55">
        <f>_xll.EQNXTDZ($A$1,$B55,AA$1,$B$1)</f>
        <v>181493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13752</v>
      </c>
      <c r="N56" s="55">
        <f>_xll.EQNXTDZ($A$1,$B56,N$1,$B$1)</f>
        <v>17283</v>
      </c>
      <c r="O56" s="55">
        <f>_xll.EQNXTDZ($A$1,$B56,O$1,$B$1)</f>
        <v>18362</v>
      </c>
      <c r="P56" s="55">
        <f>_xll.EQNXTDZ($A$1,$B56,P$1,$B$1)</f>
        <v>32792</v>
      </c>
      <c r="Q56" s="55">
        <f>_xll.EQNXTDZ($A$1,$B56,Q$1,$B$1)</f>
        <v>27965</v>
      </c>
      <c r="R56" s="55">
        <f>_xll.EQNXTDZ($A$1,$B56,R$1,$B$1)</f>
        <v>23545</v>
      </c>
      <c r="S56" s="55">
        <f>_xll.EQNXTDZ($A$1,$B56,S$1,$B$1)</f>
        <v>31528</v>
      </c>
      <c r="T56" s="55">
        <f>_xll.EQNXTDZ($A$1,$B56,T$1,$B$1)</f>
        <v>37429</v>
      </c>
      <c r="U56" s="55">
        <f>_xll.EQNXTDZ($A$1,$B56,U$1,$B$1)</f>
        <v>64436</v>
      </c>
      <c r="V56" s="55">
        <f>_xll.EQNXTDZ($A$1,$B56,V$1,$B$1)</f>
        <v>93786</v>
      </c>
      <c r="W56" s="55">
        <f>_xll.EQNXTDZ($A$1,$B56,W$1,$B$1)</f>
        <v>60081</v>
      </c>
      <c r="X56" s="55">
        <f>_xll.EQNXTDZ($A$1,$B56,X$1,$B$1)</f>
        <v>51586</v>
      </c>
      <c r="Y56" s="55">
        <f>_xll.EQNXTDZ($A$1,$B56,Y$1,$B$1)</f>
        <v>82258</v>
      </c>
      <c r="Z56" s="55">
        <f>_xll.EQNXTDZ($A$1,$B56,Z$1,$B$1)</f>
        <v>56642</v>
      </c>
      <c r="AA56" s="55">
        <f>_xll.EQNXTDZ($A$1,$B56,AA$1,$B$1)</f>
        <v>81308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863.5</v>
      </c>
      <c r="D57" s="55">
        <f>_xll.EQNXTDZ($A$1,$B57,D$1,$B$1)</f>
        <v>1210.6300000000001</v>
      </c>
      <c r="E57" s="55">
        <f>_xll.EQNXTDZ($A$1,$B57,E$1,$B$1)</f>
        <v>905.02</v>
      </c>
      <c r="F57" s="55">
        <f>_xll.EQNXTDZ($A$1,$B57,F$1,$B$1)</f>
        <v>2671.09</v>
      </c>
      <c r="G57" s="55">
        <f>_xll.EQNXTDZ($A$1,$B57,G$1,$B$1)</f>
        <v>3470.75</v>
      </c>
      <c r="H57" s="55">
        <f>_xll.EQNXTDZ($A$1,$B57,H$1,$B$1)</f>
        <v>4201.66</v>
      </c>
      <c r="I57" s="55">
        <f>_xll.EQNXTDZ($A$1,$B57,I$1,$B$1)</f>
        <v>2066.38</v>
      </c>
      <c r="J57" s="55">
        <f>_xll.EQNXTDZ($A$1,$B57,J$1,$B$1)</f>
        <v>3449.18</v>
      </c>
      <c r="K57" s="55">
        <f>_xll.EQNXTDZ($A$1,$B57,K$1,$B$1)</f>
        <v>3115.03</v>
      </c>
      <c r="L57" s="55">
        <f>_xll.EQNXTDZ($A$1,$B57,L$1,$B$1)</f>
        <v>3695.02</v>
      </c>
      <c r="M57" s="55">
        <f>_xll.EQNXTDZ($A$1,$B57,M$1,$B$1)</f>
        <v>4742</v>
      </c>
      <c r="N57" s="55">
        <f>_xll.EQNXTDZ($A$1,$B57,N$1,$B$1)</f>
        <v>4403</v>
      </c>
      <c r="O57" s="55">
        <f>_xll.EQNXTDZ($A$1,$B57,O$1,$B$1)</f>
        <v>4557</v>
      </c>
      <c r="P57" s="55">
        <f>_xll.EQNXTDZ($A$1,$B57,P$1,$B$1)</f>
        <v>4446</v>
      </c>
      <c r="Q57" s="55">
        <f>_xll.EQNXTDZ($A$1,$B57,Q$1,$B$1)</f>
        <v>5392</v>
      </c>
      <c r="R57" s="55">
        <f>_xll.EQNXTDZ($A$1,$B57,R$1,$B$1)</f>
        <v>1775</v>
      </c>
      <c r="S57" s="55">
        <f>_xll.EQNXTDZ($A$1,$B57,S$1,$B$1)</f>
        <v>1769</v>
      </c>
      <c r="T57" s="55">
        <f>_xll.EQNXTDZ($A$1,$B57,T$1,$B$1)</f>
        <v>1232</v>
      </c>
      <c r="U57" s="55">
        <f>_xll.EQNXTDZ($A$1,$B57,U$1,$B$1)</f>
        <v>1326</v>
      </c>
      <c r="V57" s="55">
        <f>_xll.EQNXTDZ($A$1,$B57,V$1,$B$1)</f>
        <v>1890</v>
      </c>
      <c r="W57" s="55">
        <f>_xll.EQNXTDZ($A$1,$B57,W$1,$B$1)</f>
        <v>2504</v>
      </c>
      <c r="X57" s="55">
        <f>_xll.EQNXTDZ($A$1,$B57,X$1,$B$1)</f>
        <v>1936</v>
      </c>
      <c r="Y57" s="55">
        <f>_xll.EQNXTDZ($A$1,$B57,Y$1,$B$1)</f>
        <v>2178</v>
      </c>
      <c r="Z57" s="55">
        <f>_xll.EQNXTDZ($A$1,$B57,Z$1,$B$1)</f>
        <v>2175</v>
      </c>
      <c r="AA57" s="55">
        <f>_xll.EQNXTDZ($A$1,$B57,AA$1,$B$1)</f>
        <v>4147</v>
      </c>
      <c r="AB57" s="55">
        <f>_xll.EQNXTDZ($A$1,$B57,AB$1,$B$1)</f>
        <v>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3299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4974.3</v>
      </c>
      <c r="D59" s="55">
        <f>_xll.EQNXTDZ($A$1,$B59,D$1,$B$1)</f>
        <v>7710.53</v>
      </c>
      <c r="E59" s="55">
        <f>_xll.EQNXTDZ($A$1,$B59,E$1,$B$1)</f>
        <v>10463.61</v>
      </c>
      <c r="F59" s="55">
        <f>_xll.EQNXTDZ($A$1,$B59,F$1,$B$1)</f>
        <v>13115.81</v>
      </c>
      <c r="G59" s="55">
        <f>_xll.EQNXTDZ($A$1,$B59,G$1,$B$1)</f>
        <v>17132.98</v>
      </c>
      <c r="H59" s="55">
        <f>_xll.EQNXTDZ($A$1,$B59,H$1,$B$1)</f>
        <v>17072.57</v>
      </c>
      <c r="I59" s="55">
        <f>_xll.EQNXTDZ($A$1,$B59,I$1,$B$1)</f>
        <v>20251.63</v>
      </c>
      <c r="J59" s="55">
        <f>_xll.EQNXTDZ($A$1,$B59,J$1,$B$1)</f>
        <v>26866.69</v>
      </c>
      <c r="K59" s="55">
        <f>_xll.EQNXTDZ($A$1,$B59,K$1,$B$1)</f>
        <v>38872.01</v>
      </c>
      <c r="L59" s="55">
        <f>_xll.EQNXTDZ($A$1,$B59,L$1,$B$1)</f>
        <v>42585.59</v>
      </c>
      <c r="M59" s="55">
        <f>_xll.EQNXTDZ($A$1,$B59,M$1,$B$1)</f>
        <v>75094</v>
      </c>
      <c r="N59" s="55">
        <f>_xll.EQNXTDZ($A$1,$B59,N$1,$B$1)</f>
        <v>79607</v>
      </c>
      <c r="O59" s="55">
        <f>_xll.EQNXTDZ($A$1,$B59,O$1,$B$1)</f>
        <v>96274</v>
      </c>
      <c r="P59" s="55">
        <f>_xll.EQNXTDZ($A$1,$B59,P$1,$B$1)</f>
        <v>115156</v>
      </c>
      <c r="Q59" s="55">
        <f>_xll.EQNXTDZ($A$1,$B59,Q$1,$B$1)</f>
        <v>138553</v>
      </c>
      <c r="R59" s="55">
        <f>_xll.EQNXTDZ($A$1,$B59,R$1,$B$1)</f>
        <v>185154</v>
      </c>
      <c r="S59" s="55">
        <f>_xll.EQNXTDZ($A$1,$B59,S$1,$B$1)</f>
        <v>235315</v>
      </c>
      <c r="T59" s="55">
        <f>_xll.EQNXTDZ($A$1,$B59,T$1,$B$1)</f>
        <v>313852</v>
      </c>
      <c r="U59" s="55">
        <f>_xll.EQNXTDZ($A$1,$B59,U$1,$B$1)</f>
        <v>314023</v>
      </c>
      <c r="V59" s="55">
        <f>_xll.EQNXTDZ($A$1,$B59,V$1,$B$1)</f>
        <v>412916</v>
      </c>
      <c r="W59" s="55">
        <f>_xll.EQNXTDZ($A$1,$B59,W$1,$B$1)</f>
        <v>277568</v>
      </c>
      <c r="X59" s="55">
        <f>_xll.EQNXTDZ($A$1,$B59,X$1,$B$1)</f>
        <v>308662</v>
      </c>
      <c r="Y59" s="55">
        <f>_xll.EQNXTDZ($A$1,$B59,Y$1,$B$1)</f>
        <v>395743</v>
      </c>
      <c r="Z59" s="55">
        <f>_xll.EQNXTDZ($A$1,$B59,Z$1,$B$1)</f>
        <v>397367</v>
      </c>
      <c r="AA59" s="55">
        <f>_xll.EQNXTDZ($A$1,$B59,AA$1,$B$1)</f>
        <v>453737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29875.46</v>
      </c>
      <c r="D60" s="55">
        <f>_xll.EQNXTDZ($A$1,$B60,D$1,$B$1)</f>
        <v>56697.53</v>
      </c>
      <c r="E60" s="55">
        <f>_xll.EQNXTDZ($A$1,$B60,E$1,$B$1)</f>
        <v>63466.75</v>
      </c>
      <c r="F60" s="55">
        <f>_xll.EQNXTDZ($A$1,$B60,F$1,$B$1)</f>
        <v>72625.13</v>
      </c>
      <c r="G60" s="55">
        <f>_xll.EQNXTDZ($A$1,$B60,G$1,$B$1)</f>
        <v>81310.61</v>
      </c>
      <c r="H60" s="55">
        <f>_xll.EQNXTDZ($A$1,$B60,H$1,$B$1)</f>
        <v>96871.47</v>
      </c>
      <c r="I60" s="55">
        <f>_xll.EQNXTDZ($A$1,$B60,I$1,$B$1)</f>
        <v>132534.73000000001</v>
      </c>
      <c r="J60" s="55">
        <f>_xll.EQNXTDZ($A$1,$B60,J$1,$B$1)</f>
        <v>174960.18</v>
      </c>
      <c r="K60" s="55">
        <f>_xll.EQNXTDZ($A$1,$B60,K$1,$B$1)</f>
        <v>246075.38</v>
      </c>
      <c r="L60" s="55">
        <f>_xll.EQNXTDZ($A$1,$B60,L$1,$B$1)</f>
        <v>259445.19</v>
      </c>
      <c r="M60" s="55">
        <f>_xll.EQNXTDZ($A$1,$B60,M$1,$B$1)</f>
        <v>307519</v>
      </c>
      <c r="N60" s="55">
        <f>_xll.EQNXTDZ($A$1,$B60,N$1,$B$1)</f>
        <v>327191</v>
      </c>
      <c r="O60" s="55">
        <f>_xll.EQNXTDZ($A$1,$B60,O$1,$B$1)</f>
        <v>362357</v>
      </c>
      <c r="P60" s="55">
        <f>_xll.EQNXTDZ($A$1,$B60,P$1,$B$1)</f>
        <v>428843</v>
      </c>
      <c r="Q60" s="55">
        <f>_xll.EQNXTDZ($A$1,$B60,Q$1,$B$1)</f>
        <v>504486</v>
      </c>
      <c r="R60" s="55">
        <f>_xll.EQNXTDZ($A$1,$B60,R$1,$B$1)</f>
        <v>598997</v>
      </c>
      <c r="S60" s="55">
        <f>_xll.EQNXTDZ($A$1,$B60,S$1,$B$1)</f>
        <v>706802</v>
      </c>
      <c r="T60" s="55">
        <f>_xll.EQNXTDZ($A$1,$B60,T$1,$B$1)</f>
        <v>811273</v>
      </c>
      <c r="U60" s="55">
        <f>_xll.EQNXTDZ($A$1,$B60,U$1,$B$1)</f>
        <v>997630</v>
      </c>
      <c r="V60" s="55">
        <f>_xll.EQNXTDZ($A$1,$B60,V$1,$B$1)</f>
        <v>1163015</v>
      </c>
      <c r="W60" s="55">
        <f>_xll.EQNXTDZ($A$1,$B60,W$1,$B$1)</f>
        <v>1320065</v>
      </c>
      <c r="X60" s="55">
        <f>_xll.EQNXTDZ($A$1,$B60,X$1,$B$1)</f>
        <v>1498622</v>
      </c>
      <c r="Y60" s="55">
        <f>_xll.EQNXTDZ($A$1,$B60,Y$1,$B$1)</f>
        <v>1605882</v>
      </c>
      <c r="Z60" s="55">
        <f>_xll.EQNXTDZ($A$1,$B60,Z$1,$B$1)</f>
        <v>1755048</v>
      </c>
      <c r="AA60" s="55">
        <f>_xll.EQNXTDZ($A$1,$B60,AA$1,$B$1)</f>
        <v>1949713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25355.99</v>
      </c>
      <c r="D62" s="55">
        <f>_xll.EQNXTDZ($A$1,$B62,D$1,$B$1)</f>
        <v>46727.47</v>
      </c>
      <c r="E62" s="55">
        <f>_xll.EQNXTDZ($A$1,$B62,E$1,$B$1)</f>
        <v>50597.87</v>
      </c>
      <c r="F62" s="55">
        <f>_xll.EQNXTDZ($A$1,$B62,F$1,$B$1)</f>
        <v>53573.85</v>
      </c>
      <c r="G62" s="55">
        <f>_xll.EQNXTDZ($A$1,$B62,G$1,$B$1)</f>
        <v>55127.49</v>
      </c>
      <c r="H62" s="55">
        <f>_xll.EQNXTDZ($A$1,$B62,H$1,$B$1)</f>
        <v>87840.75</v>
      </c>
      <c r="I62" s="55">
        <f>_xll.EQNXTDZ($A$1,$B62,I$1,$B$1)</f>
        <v>103302.76</v>
      </c>
      <c r="J62" s="55">
        <f>_xll.EQNXTDZ($A$1,$B62,J$1,$B$1)</f>
        <v>109180.19</v>
      </c>
      <c r="K62" s="55">
        <f>_xll.EQNXTDZ($A$1,$B62,K$1,$B$1)</f>
        <v>157182.43</v>
      </c>
      <c r="L62" s="55">
        <f>_xll.EQNXTDZ($A$1,$B62,L$1,$B$1)</f>
        <v>224125.28</v>
      </c>
      <c r="M62" s="55">
        <f>_xll.EQNXTDZ($A$1,$B62,M$1,$B$1)</f>
        <v>238293</v>
      </c>
      <c r="N62" s="55">
        <f>_xll.EQNXTDZ($A$1,$B62,N$1,$B$1)</f>
        <v>233475</v>
      </c>
      <c r="O62" s="55">
        <f>_xll.EQNXTDZ($A$1,$B62,O$1,$B$1)</f>
        <v>240971</v>
      </c>
      <c r="P62" s="55">
        <f>_xll.EQNXTDZ($A$1,$B62,P$1,$B$1)</f>
        <v>261019</v>
      </c>
      <c r="Q62" s="55">
        <f>_xll.EQNXTDZ($A$1,$B62,Q$1,$B$1)</f>
        <v>288866</v>
      </c>
      <c r="R62" s="55">
        <f>_xll.EQNXTDZ($A$1,$B62,R$1,$B$1)</f>
        <v>335499</v>
      </c>
      <c r="S62" s="55">
        <f>_xll.EQNXTDZ($A$1,$B62,S$1,$B$1)</f>
        <v>361293</v>
      </c>
      <c r="T62" s="55">
        <f>_xll.EQNXTDZ($A$1,$B62,T$1,$B$1)</f>
        <v>581284</v>
      </c>
      <c r="U62" s="55">
        <f>_xll.EQNXTDZ($A$1,$B62,U$1,$B$1)</f>
        <v>596522</v>
      </c>
      <c r="V62" s="55">
        <f>_xll.EQNXTDZ($A$1,$B62,V$1,$B$1)</f>
        <v>743788</v>
      </c>
      <c r="W62" s="55">
        <f>_xll.EQNXTDZ($A$1,$B62,W$1,$B$1)</f>
        <v>775812</v>
      </c>
      <c r="X62" s="55">
        <f>_xll.EQNXTDZ($A$1,$B62,X$1,$B$1)</f>
        <v>883624</v>
      </c>
      <c r="Y62" s="55">
        <f>_xll.EQNXTDZ($A$1,$B62,Y$1,$B$1)</f>
        <v>1018002</v>
      </c>
      <c r="Z62" s="55">
        <f>_xll.EQNXTDZ($A$1,$B62,Z$1,$B$1)</f>
        <v>1114582</v>
      </c>
      <c r="AA62" s="55">
        <f>_xll.EQNXTDZ($A$1,$B62,AA$1,$B$1)</f>
        <v>1375818</v>
      </c>
      <c r="AB62" s="55">
        <f>_xll.EQNXTDZ($A$1,$B62,AB$1,$B$1)</f>
        <v>0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11841.53</v>
      </c>
      <c r="D63" s="55">
        <f>_xll.EQNXTDZ($A$1,$B63,D$1,$B$1)</f>
        <v>15076.94</v>
      </c>
      <c r="E63" s="55">
        <f>_xll.EQNXTDZ($A$1,$B63,E$1,$B$1)</f>
        <v>18461.57</v>
      </c>
      <c r="F63" s="55">
        <f>_xll.EQNXTDZ($A$1,$B63,F$1,$B$1)</f>
        <v>21717.95</v>
      </c>
      <c r="G63" s="55">
        <f>_xll.EQNXTDZ($A$1,$B63,G$1,$B$1)</f>
        <v>24873.37</v>
      </c>
      <c r="H63" s="55">
        <f>_xll.EQNXTDZ($A$1,$B63,H$1,$B$1)</f>
        <v>31550.080000000002</v>
      </c>
      <c r="I63" s="55">
        <f>_xll.EQNXTDZ($A$1,$B63,I$1,$B$1)</f>
        <v>38480.199999999997</v>
      </c>
      <c r="J63" s="55">
        <f>_xll.EQNXTDZ($A$1,$B63,J$1,$B$1)</f>
        <v>45119.08</v>
      </c>
      <c r="K63" s="55">
        <f>_xll.EQNXTDZ($A$1,$B63,K$1,$B$1)</f>
        <v>50138.23</v>
      </c>
      <c r="L63" s="55">
        <f>_xll.EQNXTDZ($A$1,$B63,L$1,$B$1)</f>
        <v>63934.03</v>
      </c>
      <c r="M63" s="55">
        <f>_xll.EQNXTDZ($A$1,$B63,M$1,$B$1)</f>
        <v>80193</v>
      </c>
      <c r="N63" s="55">
        <f>_xll.EQNXTDZ($A$1,$B63,N$1,$B$1)</f>
        <v>94661</v>
      </c>
      <c r="O63" s="55">
        <f>_xll.EQNXTDZ($A$1,$B63,O$1,$B$1)</f>
        <v>107484</v>
      </c>
      <c r="P63" s="55">
        <f>_xll.EQNXTDZ($A$1,$B63,P$1,$B$1)</f>
        <v>119602</v>
      </c>
      <c r="Q63" s="55">
        <f>_xll.EQNXTDZ($A$1,$B63,Q$1,$B$1)</f>
        <v>132408</v>
      </c>
      <c r="R63" s="55">
        <f>_xll.EQNXTDZ($A$1,$B63,R$1,$B$1)</f>
        <v>150589</v>
      </c>
      <c r="S63" s="55">
        <f>_xll.EQNXTDZ($A$1,$B63,S$1,$B$1)</f>
        <v>162767</v>
      </c>
      <c r="T63" s="55">
        <f>_xll.EQNXTDZ($A$1,$B63,T$1,$B$1)</f>
        <v>177399</v>
      </c>
      <c r="U63" s="55">
        <f>_xll.EQNXTDZ($A$1,$B63,U$1,$B$1)</f>
        <v>198148</v>
      </c>
      <c r="V63" s="55">
        <f>_xll.EQNXTDZ($A$1,$B63,V$1,$B$1)</f>
        <v>211130</v>
      </c>
      <c r="W63" s="55">
        <f>_xll.EQNXTDZ($A$1,$B63,W$1,$B$1)</f>
        <v>234554</v>
      </c>
      <c r="X63" s="55">
        <f>_xll.EQNXTDZ($A$1,$B63,X$1,$B$1)</f>
        <v>255826</v>
      </c>
      <c r="Y63" s="55">
        <f>_xll.EQNXTDZ($A$1,$B63,Y$1,$B$1)</f>
        <v>293197</v>
      </c>
      <c r="Z63" s="55">
        <f>_xll.EQNXTDZ($A$1,$B63,Z$1,$B$1)</f>
        <v>334597</v>
      </c>
      <c r="AA63" s="55">
        <f>_xll.EQNXTDZ($A$1,$B63,AA$1,$B$1)</f>
        <v>376425</v>
      </c>
      <c r="AB63" s="55">
        <f>_xll.EQNXTDZ($A$1,$B63,AB$1,$B$1)</f>
        <v>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13514.46</v>
      </c>
      <c r="D65" s="55">
        <f>_xll.EQNXTDZ($A$1,$B65,D$1,$B$1)</f>
        <v>31650.53</v>
      </c>
      <c r="E65" s="55">
        <f>_xll.EQNXTDZ($A$1,$B65,E$1,$B$1)</f>
        <v>32136.3</v>
      </c>
      <c r="F65" s="55">
        <f>_xll.EQNXTDZ($A$1,$B65,F$1,$B$1)</f>
        <v>31855.9</v>
      </c>
      <c r="G65" s="55">
        <f>_xll.EQNXTDZ($A$1,$B65,G$1,$B$1)</f>
        <v>30254.12</v>
      </c>
      <c r="H65" s="55">
        <f>_xll.EQNXTDZ($A$1,$B65,H$1,$B$1)</f>
        <v>56290.67</v>
      </c>
      <c r="I65" s="55">
        <f>_xll.EQNXTDZ($A$1,$B65,I$1,$B$1)</f>
        <v>64822.559999999998</v>
      </c>
      <c r="J65" s="55">
        <f>_xll.EQNXTDZ($A$1,$B65,J$1,$B$1)</f>
        <v>64061.11</v>
      </c>
      <c r="K65" s="55">
        <f>_xll.EQNXTDZ($A$1,$B65,K$1,$B$1)</f>
        <v>107044.2</v>
      </c>
      <c r="L65" s="55">
        <f>_xll.EQNXTDZ($A$1,$B65,L$1,$B$1)</f>
        <v>160191.25</v>
      </c>
      <c r="M65" s="55">
        <f>_xll.EQNXTDZ($A$1,$B65,M$1,$B$1)</f>
        <v>158100</v>
      </c>
      <c r="N65" s="55">
        <f>_xll.EQNXTDZ($A$1,$B65,N$1,$B$1)</f>
        <v>138814</v>
      </c>
      <c r="O65" s="55">
        <f>_xll.EQNXTDZ($A$1,$B65,O$1,$B$1)</f>
        <v>133487</v>
      </c>
      <c r="P65" s="55">
        <f>_xll.EQNXTDZ($A$1,$B65,P$1,$B$1)</f>
        <v>141417</v>
      </c>
      <c r="Q65" s="55">
        <f>_xll.EQNXTDZ($A$1,$B65,Q$1,$B$1)</f>
        <v>156458</v>
      </c>
      <c r="R65" s="55">
        <f>_xll.EQNXTDZ($A$1,$B65,R$1,$B$1)</f>
        <v>184910</v>
      </c>
      <c r="S65" s="55">
        <f>_xll.EQNXTDZ($A$1,$B65,S$1,$B$1)</f>
        <v>198526</v>
      </c>
      <c r="T65" s="55">
        <f>_xll.EQNXTDZ($A$1,$B65,T$1,$B$1)</f>
        <v>403885</v>
      </c>
      <c r="U65" s="55">
        <f>_xll.EQNXTDZ($A$1,$B65,U$1,$B$1)</f>
        <v>398374</v>
      </c>
      <c r="V65" s="55">
        <f>_xll.EQNXTDZ($A$1,$B65,V$1,$B$1)</f>
        <v>532658</v>
      </c>
      <c r="W65" s="55">
        <f>_xll.EQNXTDZ($A$1,$B65,W$1,$B$1)</f>
        <v>541258</v>
      </c>
      <c r="X65" s="55">
        <f>_xll.EQNXTDZ($A$1,$B65,X$1,$B$1)</f>
        <v>627798</v>
      </c>
      <c r="Y65" s="55">
        <f>_xll.EQNXTDZ($A$1,$B65,Y$1,$B$1)</f>
        <v>724805</v>
      </c>
      <c r="Z65" s="55">
        <f>_xll.EQNXTDZ($A$1,$B65,Z$1,$B$1)</f>
        <v>779985</v>
      </c>
      <c r="AA65" s="55">
        <f>_xll.EQNXTDZ($A$1,$B65,AA$1,$B$1)</f>
        <v>999393</v>
      </c>
      <c r="AB65" s="55">
        <f>_xll.EQNXTDZ($A$1,$B65,AB$1,$B$1)</f>
        <v>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505.86</v>
      </c>
      <c r="D67" s="55">
        <f>_xll.EQNXTDZ($A$1,$B67,D$1,$B$1)</f>
        <v>1468.45</v>
      </c>
      <c r="E67" s="55">
        <f>_xll.EQNXTDZ($A$1,$B67,E$1,$B$1)</f>
        <v>1934.16</v>
      </c>
      <c r="F67" s="55">
        <f>_xll.EQNXTDZ($A$1,$B67,F$1,$B$1)</f>
        <v>3275.19</v>
      </c>
      <c r="G67" s="55">
        <f>_xll.EQNXTDZ($A$1,$B67,G$1,$B$1)</f>
        <v>4644.3999999999996</v>
      </c>
      <c r="H67" s="55">
        <f>_xll.EQNXTDZ($A$1,$B67,H$1,$B$1)</f>
        <v>8403.48</v>
      </c>
      <c r="I67" s="55">
        <f>_xll.EQNXTDZ($A$1,$B67,I$1,$B$1)</f>
        <v>28252.66</v>
      </c>
      <c r="J67" s="55">
        <f>_xll.EQNXTDZ($A$1,$B67,J$1,$B$1)</f>
        <v>47093.08</v>
      </c>
      <c r="K67" s="55">
        <f>_xll.EQNXTDZ($A$1,$B67,K$1,$B$1)</f>
        <v>56319.8</v>
      </c>
      <c r="L67" s="55">
        <f>_xll.EQNXTDZ($A$1,$B67,L$1,$B$1)</f>
        <v>15580.48</v>
      </c>
      <c r="M67" s="55">
        <f>_xll.EQNXTDZ($A$1,$B67,M$1,$B$1)</f>
        <v>5339</v>
      </c>
      <c r="N67" s="55">
        <f>_xll.EQNXTDZ($A$1,$B67,N$1,$B$1)</f>
        <v>6495</v>
      </c>
      <c r="O67" s="55">
        <f>_xll.EQNXTDZ($A$1,$B67,O$1,$B$1)</f>
        <v>17191</v>
      </c>
      <c r="P67" s="55">
        <f>_xll.EQNXTDZ($A$1,$B67,P$1,$B$1)</f>
        <v>48646</v>
      </c>
      <c r="Q67" s="55">
        <f>_xll.EQNXTDZ($A$1,$B67,Q$1,$B$1)</f>
        <v>106256</v>
      </c>
      <c r="R67" s="55">
        <f>_xll.EQNXTDZ($A$1,$B67,R$1,$B$1)</f>
        <v>170397</v>
      </c>
      <c r="S67" s="55">
        <f>_xll.EQNXTDZ($A$1,$B67,S$1,$B$1)</f>
        <v>250377</v>
      </c>
      <c r="T67" s="55">
        <f>_xll.EQNXTDZ($A$1,$B67,T$1,$B$1)</f>
        <v>166220</v>
      </c>
      <c r="U67" s="55">
        <f>_xll.EQNXTDZ($A$1,$B67,U$1,$B$1)</f>
        <v>150178</v>
      </c>
      <c r="V67" s="55">
        <f>_xll.EQNXTDZ($A$1,$B67,V$1,$B$1)</f>
        <v>59096</v>
      </c>
      <c r="W67" s="55">
        <f>_xll.EQNXTDZ($A$1,$B67,W$1,$B$1)</f>
        <v>71171</v>
      </c>
      <c r="X67" s="55">
        <f>_xll.EQNXTDZ($A$1,$B67,X$1,$B$1)</f>
        <v>68052</v>
      </c>
      <c r="Y67" s="55">
        <f>_xll.EQNXTDZ($A$1,$B67,Y$1,$B$1)</f>
        <v>117259</v>
      </c>
      <c r="Z67" s="55">
        <f>_xll.EQNXTDZ($A$1,$B67,Z$1,$B$1)</f>
        <v>152382</v>
      </c>
      <c r="AA67" s="55">
        <f>_xll.EQNXTDZ($A$1,$B67,AA$1,$B$1)</f>
        <v>169710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22835</v>
      </c>
      <c r="N68" s="55">
        <f>_xll.EQNXTDZ($A$1,$B68,N$1,$B$1)</f>
        <v>18868</v>
      </c>
      <c r="O68" s="55">
        <f>_xll.EQNXTDZ($A$1,$B68,O$1,$B$1)</f>
        <v>32761</v>
      </c>
      <c r="P68" s="55">
        <f>_xll.EQNXTDZ($A$1,$B68,P$1,$B$1)</f>
        <v>42848</v>
      </c>
      <c r="Q68" s="55">
        <f>_xll.EQNXTDZ($A$1,$B68,Q$1,$B$1)</f>
        <v>60206</v>
      </c>
      <c r="R68" s="55">
        <f>_xll.EQNXTDZ($A$1,$B68,R$1,$B$1)</f>
        <v>58300</v>
      </c>
      <c r="S68" s="55">
        <f>_xll.EQNXTDZ($A$1,$B68,S$1,$B$1)</f>
        <v>74460</v>
      </c>
      <c r="T68" s="55">
        <f>_xll.EQNXTDZ($A$1,$B68,T$1,$B$1)</f>
        <v>20802</v>
      </c>
      <c r="U68" s="55">
        <f>_xll.EQNXTDZ($A$1,$B68,U$1,$B$1)</f>
        <v>29285</v>
      </c>
      <c r="V68" s="55">
        <f>_xll.EQNXTDZ($A$1,$B68,V$1,$B$1)</f>
        <v>50010</v>
      </c>
      <c r="W68" s="55">
        <f>_xll.EQNXTDZ($A$1,$B68,W$1,$B$1)</f>
        <v>54782</v>
      </c>
      <c r="X68" s="55">
        <f>_xll.EQNXTDZ($A$1,$B68,X$1,$B$1)</f>
        <v>104454</v>
      </c>
      <c r="Y68" s="55">
        <f>_xll.EQNXTDZ($A$1,$B68,Y$1,$B$1)</f>
        <v>176493</v>
      </c>
      <c r="Z68" s="55">
        <f>_xll.EQNXTDZ($A$1,$B68,Z$1,$B$1)</f>
        <v>186473</v>
      </c>
      <c r="AA68" s="55">
        <f>_xll.EQNXTDZ($A$1,$B68,AA$1,$B$1)</f>
        <v>92648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6.52</v>
      </c>
      <c r="D69" s="55">
        <f>_xll.EQNXTDZ($A$1,$B69,D$1,$B$1)</f>
        <v>64.86</v>
      </c>
      <c r="E69" s="55">
        <f>_xll.EQNXTDZ($A$1,$B69,E$1,$B$1)</f>
        <v>76.47</v>
      </c>
      <c r="F69" s="55">
        <f>_xll.EQNXTDZ($A$1,$B69,F$1,$B$1)</f>
        <v>113</v>
      </c>
      <c r="G69" s="55">
        <f>_xll.EQNXTDZ($A$1,$B69,G$1,$B$1)</f>
        <v>226.17</v>
      </c>
      <c r="H69" s="55">
        <f>_xll.EQNXTDZ($A$1,$B69,H$1,$B$1)</f>
        <v>492.72</v>
      </c>
      <c r="I69" s="55">
        <f>_xll.EQNXTDZ($A$1,$B69,I$1,$B$1)</f>
        <v>1071.05</v>
      </c>
      <c r="J69" s="55">
        <f>_xll.EQNXTDZ($A$1,$B69,J$1,$B$1)</f>
        <v>2791.02</v>
      </c>
      <c r="K69" s="55">
        <f>_xll.EQNXTDZ($A$1,$B69,K$1,$B$1)</f>
        <v>17526.169999999998</v>
      </c>
      <c r="L69" s="55">
        <f>_xll.EQNXTDZ($A$1,$B69,L$1,$B$1)</f>
        <v>1453.2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6685.73</v>
      </c>
      <c r="D71" s="55">
        <f>_xll.EQNXTDZ($A$1,$B71,D$1,$B$1)</f>
        <v>6986.9</v>
      </c>
      <c r="E71" s="55">
        <f>_xll.EQNXTDZ($A$1,$B71,E$1,$B$1)</f>
        <v>10341.879999999999</v>
      </c>
      <c r="F71" s="55">
        <f>_xll.EQNXTDZ($A$1,$B71,F$1,$B$1)</f>
        <v>18160.64</v>
      </c>
      <c r="G71" s="55">
        <f>_xll.EQNXTDZ($A$1,$B71,G$1,$B$1)</f>
        <v>19572.7</v>
      </c>
      <c r="H71" s="55">
        <f>_xll.EQNXTDZ($A$1,$B71,H$1,$B$1)</f>
        <v>3863.71</v>
      </c>
      <c r="I71" s="55">
        <f>_xll.EQNXTDZ($A$1,$B71,I$1,$B$1)</f>
        <v>2025.93</v>
      </c>
      <c r="J71" s="55">
        <f>_xll.EQNXTDZ($A$1,$B71,J$1,$B$1)</f>
        <v>3474.82</v>
      </c>
      <c r="K71" s="55">
        <f>_xll.EQNXTDZ($A$1,$B71,K$1,$B$1)</f>
        <v>3561.97</v>
      </c>
      <c r="L71" s="55">
        <f>_xll.EQNXTDZ($A$1,$B71,L$1,$B$1)</f>
        <v>4639.26</v>
      </c>
      <c r="M71" s="55">
        <f>_xll.EQNXTDZ($A$1,$B71,M$1,$B$1)</f>
        <v>6911</v>
      </c>
      <c r="N71" s="55">
        <f>_xll.EQNXTDZ($A$1,$B71,N$1,$B$1)</f>
        <v>11423</v>
      </c>
      <c r="O71" s="55">
        <f>_xll.EQNXTDZ($A$1,$B71,O$1,$B$1)</f>
        <v>13979</v>
      </c>
      <c r="P71" s="55">
        <f>_xll.EQNXTDZ($A$1,$B71,P$1,$B$1)</f>
        <v>26867</v>
      </c>
      <c r="Q71" s="55">
        <f>_xll.EQNXTDZ($A$1,$B71,Q$1,$B$1)</f>
        <v>25437</v>
      </c>
      <c r="R71" s="55">
        <f>_xll.EQNXTDZ($A$1,$B71,R$1,$B$1)</f>
        <v>41512</v>
      </c>
      <c r="S71" s="55">
        <f>_xll.EQNXTDZ($A$1,$B71,S$1,$B$1)</f>
        <v>25639</v>
      </c>
      <c r="T71" s="55">
        <f>_xll.EQNXTDZ($A$1,$B71,T$1,$B$1)</f>
        <v>25259</v>
      </c>
      <c r="U71" s="55">
        <f>_xll.EQNXTDZ($A$1,$B71,U$1,$B$1)</f>
        <v>164612</v>
      </c>
      <c r="V71" s="55">
        <f>_xll.EQNXTDZ($A$1,$B71,V$1,$B$1)</f>
        <v>203852</v>
      </c>
      <c r="W71" s="55">
        <f>_xll.EQNXTDZ($A$1,$B71,W$1,$B$1)</f>
        <v>212382</v>
      </c>
      <c r="X71" s="55">
        <f>_xll.EQNXTDZ($A$1,$B71,X$1,$B$1)</f>
        <v>286146</v>
      </c>
      <c r="Y71" s="55">
        <f>_xll.EQNXTDZ($A$1,$B71,Y$1,$B$1)</f>
        <v>117087</v>
      </c>
      <c r="Z71" s="55">
        <f>_xll.EQNXTDZ($A$1,$B71,Z$1,$B$1)</f>
        <v>119502</v>
      </c>
      <c r="AA71" s="55">
        <f>_xll.EQNXTDZ($A$1,$B71,AA$1,$B$1)</f>
        <v>123672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6839</v>
      </c>
      <c r="N72" s="55">
        <f>_xll.EQNXTDZ($A$1,$B72,N$1,$B$1)</f>
        <v>6741</v>
      </c>
      <c r="O72" s="55">
        <f>_xll.EQNXTDZ($A$1,$B72,O$1,$B$1)</f>
        <v>9025</v>
      </c>
      <c r="P72" s="55">
        <f>_xll.EQNXTDZ($A$1,$B72,P$1,$B$1)</f>
        <v>17996</v>
      </c>
      <c r="Q72" s="55">
        <f>_xll.EQNXTDZ($A$1,$B72,Q$1,$B$1)</f>
        <v>19538</v>
      </c>
      <c r="R72" s="55">
        <f>_xll.EQNXTDZ($A$1,$B72,R$1,$B$1)</f>
        <v>15752</v>
      </c>
      <c r="S72" s="55">
        <f>_xll.EQNXTDZ($A$1,$B72,S$1,$B$1)</f>
        <v>10611</v>
      </c>
      <c r="T72" s="55">
        <f>_xll.EQNXTDZ($A$1,$B72,T$1,$B$1)</f>
        <v>10202</v>
      </c>
      <c r="U72" s="55">
        <f>_xll.EQNXTDZ($A$1,$B72,U$1,$B$1)</f>
        <v>14946</v>
      </c>
      <c r="V72" s="55">
        <f>_xll.EQNXTDZ($A$1,$B72,V$1,$B$1)</f>
        <v>36597</v>
      </c>
      <c r="W72" s="55">
        <f>_xll.EQNXTDZ($A$1,$B72,W$1,$B$1)</f>
        <v>30721</v>
      </c>
      <c r="X72" s="55">
        <f>_xll.EQNXTDZ($A$1,$B72,X$1,$B$1)</f>
        <v>19926</v>
      </c>
      <c r="Y72" s="55">
        <f>_xll.EQNXTDZ($A$1,$B72,Y$1,$B$1)</f>
        <v>17140</v>
      </c>
      <c r="Z72" s="55">
        <f>_xll.EQNXTDZ($A$1,$B72,Z$1,$B$1)</f>
        <v>17690</v>
      </c>
      <c r="AA72" s="55">
        <f>_xll.EQNXTDZ($A$1,$B72,AA$1,$B$1)</f>
        <v>22226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14</v>
      </c>
      <c r="R73" s="55">
        <f>_xll.EQNXTDZ($A$1,$B73,R$1,$B$1)</f>
        <v>341</v>
      </c>
      <c r="S73" s="55">
        <f>_xll.EQNXTDZ($A$1,$B73,S$1,$B$1)</f>
        <v>376</v>
      </c>
      <c r="T73" s="55">
        <f>_xll.EQNXTDZ($A$1,$B73,T$1,$B$1)</f>
        <v>1119</v>
      </c>
      <c r="U73" s="55">
        <f>_xll.EQNXTDZ($A$1,$B73,U$1,$B$1)</f>
        <v>8182</v>
      </c>
      <c r="V73" s="55">
        <f>_xll.EQNXTDZ($A$1,$B73,V$1,$B$1)</f>
        <v>22542</v>
      </c>
      <c r="W73" s="55">
        <f>_xll.EQNXTDZ($A$1,$B73,W$1,$B$1)</f>
        <v>36740</v>
      </c>
      <c r="X73" s="55">
        <f>_xll.EQNXTDZ($A$1,$B73,X$1,$B$1)</f>
        <v>45227</v>
      </c>
      <c r="Y73" s="55">
        <f>_xll.EQNXTDZ($A$1,$B73,Y$1,$B$1)</f>
        <v>27802</v>
      </c>
      <c r="Z73" s="55">
        <f>_xll.EQNXTDZ($A$1,$B73,Z$1,$B$1)</f>
        <v>28916</v>
      </c>
      <c r="AA73" s="55">
        <f>_xll.EQNXTDZ($A$1,$B73,AA$1,$B$1)</f>
        <v>42794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20712.57</v>
      </c>
      <c r="D74" s="55">
        <f>_xll.EQNXTDZ($A$1,$B74,D$1,$B$1)</f>
        <v>40170.74</v>
      </c>
      <c r="E74" s="55">
        <f>_xll.EQNXTDZ($A$1,$B74,E$1,$B$1)</f>
        <v>44488.81</v>
      </c>
      <c r="F74" s="55">
        <f>_xll.EQNXTDZ($A$1,$B74,F$1,$B$1)</f>
        <v>53404.73</v>
      </c>
      <c r="G74" s="55">
        <f>_xll.EQNXTDZ($A$1,$B74,G$1,$B$1)</f>
        <v>54697.39</v>
      </c>
      <c r="H74" s="55">
        <f>_xll.EQNXTDZ($A$1,$B74,H$1,$B$1)</f>
        <v>69050.58</v>
      </c>
      <c r="I74" s="55">
        <f>_xll.EQNXTDZ($A$1,$B74,I$1,$B$1)</f>
        <v>96172.2</v>
      </c>
      <c r="J74" s="55">
        <f>_xll.EQNXTDZ($A$1,$B74,J$1,$B$1)</f>
        <v>117420.03</v>
      </c>
      <c r="K74" s="55">
        <f>_xll.EQNXTDZ($A$1,$B74,K$1,$B$1)</f>
        <v>184452.14</v>
      </c>
      <c r="L74" s="55">
        <f>_xll.EQNXTDZ($A$1,$B74,L$1,$B$1)</f>
        <v>181864.19</v>
      </c>
      <c r="M74" s="55">
        <f>_xll.EQNXTDZ($A$1,$B74,M$1,$B$1)</f>
        <v>200024</v>
      </c>
      <c r="N74" s="55">
        <f>_xll.EQNXTDZ($A$1,$B74,N$1,$B$1)</f>
        <v>182341</v>
      </c>
      <c r="O74" s="55">
        <f>_xll.EQNXTDZ($A$1,$B74,O$1,$B$1)</f>
        <v>206443</v>
      </c>
      <c r="P74" s="55">
        <f>_xll.EQNXTDZ($A$1,$B74,P$1,$B$1)</f>
        <v>277774</v>
      </c>
      <c r="Q74" s="55">
        <f>_xll.EQNXTDZ($A$1,$B74,Q$1,$B$1)</f>
        <v>367909</v>
      </c>
      <c r="R74" s="55">
        <f>_xll.EQNXTDZ($A$1,$B74,R$1,$B$1)</f>
        <v>471212</v>
      </c>
      <c r="S74" s="55">
        <f>_xll.EQNXTDZ($A$1,$B74,S$1,$B$1)</f>
        <v>559989</v>
      </c>
      <c r="T74" s="55">
        <f>_xll.EQNXTDZ($A$1,$B74,T$1,$B$1)</f>
        <v>627487</v>
      </c>
      <c r="U74" s="55">
        <f>_xll.EQNXTDZ($A$1,$B74,U$1,$B$1)</f>
        <v>765577</v>
      </c>
      <c r="V74" s="55">
        <f>_xll.EQNXTDZ($A$1,$B74,V$1,$B$1)</f>
        <v>904755</v>
      </c>
      <c r="W74" s="55">
        <f>_xll.EQNXTDZ($A$1,$B74,W$1,$B$1)</f>
        <v>947054</v>
      </c>
      <c r="X74" s="55">
        <f>_xll.EQNXTDZ($A$1,$B74,X$1,$B$1)</f>
        <v>1151603</v>
      </c>
      <c r="Y74" s="55">
        <f>_xll.EQNXTDZ($A$1,$B74,Y$1,$B$1)</f>
        <v>1180586</v>
      </c>
      <c r="Z74" s="55">
        <f>_xll.EQNXTDZ($A$1,$B74,Z$1,$B$1)</f>
        <v>1284948</v>
      </c>
      <c r="AA74" s="55">
        <f>_xll.EQNXTDZ($A$1,$B74,AA$1,$B$1)</f>
        <v>1450443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40.380000000000003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268.11</v>
      </c>
      <c r="G75" s="55">
        <f>_xll.EQNXTDZ($A$1,$B75,G$1,$B$1)</f>
        <v>3511.27</v>
      </c>
      <c r="H75" s="55">
        <f>_xll.EQNXTDZ($A$1,$B75,H$1,$B$1)</f>
        <v>2803.1</v>
      </c>
      <c r="I75" s="55">
        <f>_xll.EQNXTDZ($A$1,$B75,I$1,$B$1)</f>
        <v>3242.08</v>
      </c>
      <c r="J75" s="55">
        <f>_xll.EQNXTDZ($A$1,$B75,J$1,$B$1)</f>
        <v>6048.03</v>
      </c>
      <c r="K75" s="55">
        <f>_xll.EQNXTDZ($A$1,$B75,K$1,$B$1)</f>
        <v>2873.57</v>
      </c>
      <c r="L75" s="55">
        <f>_xll.EQNXTDZ($A$1,$B75,L$1,$B$1)</f>
        <v>8472.99</v>
      </c>
      <c r="M75" s="55">
        <f>_xll.EQNXTDZ($A$1,$B75,M$1,$B$1)</f>
        <v>14685</v>
      </c>
      <c r="N75" s="55">
        <f>_xll.EQNXTDZ($A$1,$B75,N$1,$B$1)</f>
        <v>27173</v>
      </c>
      <c r="O75" s="55">
        <f>_xll.EQNXTDZ($A$1,$B75,O$1,$B$1)</f>
        <v>28869</v>
      </c>
      <c r="P75" s="55">
        <f>_xll.EQNXTDZ($A$1,$B75,P$1,$B$1)</f>
        <v>33735</v>
      </c>
      <c r="Q75" s="55">
        <f>_xll.EQNXTDZ($A$1,$B75,Q$1,$B$1)</f>
        <v>51014</v>
      </c>
      <c r="R75" s="55">
        <f>_xll.EQNXTDZ($A$1,$B75,R$1,$B$1)</f>
        <v>42503</v>
      </c>
      <c r="S75" s="55">
        <f>_xll.EQNXTDZ($A$1,$B75,S$1,$B$1)</f>
        <v>57260</v>
      </c>
      <c r="T75" s="55">
        <f>_xll.EQNXTDZ($A$1,$B75,T$1,$B$1)</f>
        <v>57603</v>
      </c>
      <c r="U75" s="55">
        <f>_xll.EQNXTDZ($A$1,$B75,U$1,$B$1)</f>
        <v>71023</v>
      </c>
      <c r="V75" s="55">
        <f>_xll.EQNXTDZ($A$1,$B75,V$1,$B$1)</f>
        <v>72915</v>
      </c>
      <c r="W75" s="55">
        <f>_xll.EQNXTDZ($A$1,$B75,W$1,$B$1)</f>
        <v>152446</v>
      </c>
      <c r="X75" s="55">
        <f>_xll.EQNXTDZ($A$1,$B75,X$1,$B$1)</f>
        <v>108118</v>
      </c>
      <c r="Y75" s="55">
        <f>_xll.EQNXTDZ($A$1,$B75,Y$1,$B$1)</f>
        <v>118473</v>
      </c>
      <c r="Z75" s="55">
        <f>_xll.EQNXTDZ($A$1,$B75,Z$1,$B$1)</f>
        <v>106170</v>
      </c>
      <c r="AA75" s="55">
        <f>_xll.EQNXTDZ($A$1,$B75,AA$1,$B$1)</f>
        <v>118709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2299.85</v>
      </c>
      <c r="D76" s="55">
        <f>_xll.EQNXTDZ($A$1,$B76,D$1,$B$1)</f>
        <v>4974.07</v>
      </c>
      <c r="E76" s="55">
        <f>_xll.EQNXTDZ($A$1,$B76,E$1,$B$1)</f>
        <v>7510.41</v>
      </c>
      <c r="F76" s="55">
        <f>_xll.EQNXTDZ($A$1,$B76,F$1,$B$1)</f>
        <v>7231.22</v>
      </c>
      <c r="G76" s="55">
        <f>_xll.EQNXTDZ($A$1,$B76,G$1,$B$1)</f>
        <v>7412.88</v>
      </c>
      <c r="H76" s="55">
        <f>_xll.EQNXTDZ($A$1,$B76,H$1,$B$1)</f>
        <v>10345.26</v>
      </c>
      <c r="I76" s="55">
        <f>_xll.EQNXTDZ($A$1,$B76,I$1,$B$1)</f>
        <v>12456.27</v>
      </c>
      <c r="J76" s="55">
        <f>_xll.EQNXTDZ($A$1,$B76,J$1,$B$1)</f>
        <v>19126.14</v>
      </c>
      <c r="K76" s="55">
        <f>_xll.EQNXTDZ($A$1,$B76,K$1,$B$1)</f>
        <v>20109.61</v>
      </c>
      <c r="L76" s="55">
        <f>_xll.EQNXTDZ($A$1,$B76,L$1,$B$1)</f>
        <v>34393.32</v>
      </c>
      <c r="M76" s="55">
        <f>_xll.EQNXTDZ($A$1,$B76,M$1,$B$1)</f>
        <v>38520</v>
      </c>
      <c r="N76" s="55">
        <f>_xll.EQNXTDZ($A$1,$B76,N$1,$B$1)</f>
        <v>46692</v>
      </c>
      <c r="O76" s="55">
        <f>_xll.EQNXTDZ($A$1,$B76,O$1,$B$1)</f>
        <v>54601</v>
      </c>
      <c r="P76" s="55">
        <f>_xll.EQNXTDZ($A$1,$B76,P$1,$B$1)</f>
        <v>56720</v>
      </c>
      <c r="Q76" s="55">
        <f>_xll.EQNXTDZ($A$1,$B76,Q$1,$B$1)</f>
        <v>53248</v>
      </c>
      <c r="R76" s="55">
        <f>_xll.EQNXTDZ($A$1,$B76,R$1,$B$1)</f>
        <v>46486</v>
      </c>
      <c r="S76" s="55">
        <f>_xll.EQNXTDZ($A$1,$B76,S$1,$B$1)</f>
        <v>48951</v>
      </c>
      <c r="T76" s="55">
        <f>_xll.EQNXTDZ($A$1,$B76,T$1,$B$1)</f>
        <v>60837</v>
      </c>
      <c r="U76" s="55">
        <f>_xll.EQNXTDZ($A$1,$B76,U$1,$B$1)</f>
        <v>67561</v>
      </c>
      <c r="V76" s="55">
        <f>_xll.EQNXTDZ($A$1,$B76,V$1,$B$1)</f>
        <v>73903</v>
      </c>
      <c r="W76" s="55">
        <f>_xll.EQNXTDZ($A$1,$B76,W$1,$B$1)</f>
        <v>81672</v>
      </c>
      <c r="X76" s="55">
        <f>_xll.EQNXTDZ($A$1,$B76,X$1,$B$1)</f>
        <v>107778</v>
      </c>
      <c r="Y76" s="55">
        <f>_xll.EQNXTDZ($A$1,$B76,Y$1,$B$1)</f>
        <v>140008</v>
      </c>
      <c r="Z76" s="55">
        <f>_xll.EQNXTDZ($A$1,$B76,Z$1,$B$1)</f>
        <v>152770</v>
      </c>
      <c r="AA76" s="55">
        <f>_xll.EQNXTDZ($A$1,$B76,AA$1,$B$1)</f>
        <v>146062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1134.17</v>
      </c>
      <c r="D77" s="55">
        <f>_xll.EQNXTDZ($A$1,$B77,D$1,$B$1)</f>
        <v>2725.54</v>
      </c>
      <c r="E77" s="55">
        <f>_xll.EQNXTDZ($A$1,$B77,E$1,$B$1)</f>
        <v>3000.73</v>
      </c>
      <c r="F77" s="55">
        <f>_xll.EQNXTDZ($A$1,$B77,F$1,$B$1)</f>
        <v>3271.56</v>
      </c>
      <c r="G77" s="55">
        <f>_xll.EQNXTDZ($A$1,$B77,G$1,$B$1)</f>
        <v>3927.81</v>
      </c>
      <c r="H77" s="55">
        <f>_xll.EQNXTDZ($A$1,$B77,H$1,$B$1)</f>
        <v>4351.67</v>
      </c>
      <c r="I77" s="55">
        <f>_xll.EQNXTDZ($A$1,$B77,I$1,$B$1)</f>
        <v>3831.35</v>
      </c>
      <c r="J77" s="55">
        <f>_xll.EQNXTDZ($A$1,$B77,J$1,$B$1)</f>
        <v>6068.3</v>
      </c>
      <c r="K77" s="55">
        <f>_xll.EQNXTDZ($A$1,$B77,K$1,$B$1)</f>
        <v>4844.97</v>
      </c>
      <c r="L77" s="55">
        <f>_xll.EQNXTDZ($A$1,$B77,L$1,$B$1)</f>
        <v>10082.92</v>
      </c>
      <c r="M77" s="55">
        <f>_xll.EQNXTDZ($A$1,$B77,M$1,$B$1)</f>
        <v>15696</v>
      </c>
      <c r="N77" s="55">
        <f>_xll.EQNXTDZ($A$1,$B77,N$1,$B$1)</f>
        <v>16939</v>
      </c>
      <c r="O77" s="55">
        <f>_xll.EQNXTDZ($A$1,$B77,O$1,$B$1)</f>
        <v>9750</v>
      </c>
      <c r="P77" s="55">
        <f>_xll.EQNXTDZ($A$1,$B77,P$1,$B$1)</f>
        <v>9411</v>
      </c>
      <c r="Q77" s="55">
        <f>_xll.EQNXTDZ($A$1,$B77,Q$1,$B$1)</f>
        <v>5315</v>
      </c>
      <c r="R77" s="55">
        <f>_xll.EQNXTDZ($A$1,$B77,R$1,$B$1)</f>
        <v>4465</v>
      </c>
      <c r="S77" s="55">
        <f>_xll.EQNXTDZ($A$1,$B77,S$1,$B$1)</f>
        <v>8177</v>
      </c>
      <c r="T77" s="55">
        <f>_xll.EQNXTDZ($A$1,$B77,T$1,$B$1)</f>
        <v>17555</v>
      </c>
      <c r="U77" s="55">
        <f>_xll.EQNXTDZ($A$1,$B77,U$1,$B$1)</f>
        <v>30089</v>
      </c>
      <c r="V77" s="55">
        <f>_xll.EQNXTDZ($A$1,$B77,V$1,$B$1)</f>
        <v>19656</v>
      </c>
      <c r="W77" s="55">
        <f>_xll.EQNXTDZ($A$1,$B77,W$1,$B$1)</f>
        <v>19014</v>
      </c>
      <c r="X77" s="55">
        <f>_xll.EQNXTDZ($A$1,$B77,X$1,$B$1)</f>
        <v>23640</v>
      </c>
      <c r="Y77" s="55">
        <f>_xll.EQNXTDZ($A$1,$B77,Y$1,$B$1)</f>
        <v>28448</v>
      </c>
      <c r="Z77" s="55">
        <f>_xll.EQNXTDZ($A$1,$B77,Z$1,$B$1)</f>
        <v>31628</v>
      </c>
      <c r="AA77" s="55">
        <f>_xll.EQNXTDZ($A$1,$B77,AA$1,$B$1)</f>
        <v>42121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100.63</v>
      </c>
      <c r="D78" s="55">
        <f>_xll.EQNXTDZ($A$1,$B78,D$1,$B$1)</f>
        <v>1763.56</v>
      </c>
      <c r="E78" s="55">
        <f>_xll.EQNXTDZ($A$1,$B78,E$1,$B$1)</f>
        <v>150.12</v>
      </c>
      <c r="F78" s="55">
        <f>_xll.EQNXTDZ($A$1,$B78,F$1,$B$1)</f>
        <v>270.88</v>
      </c>
      <c r="G78" s="55">
        <f>_xll.EQNXTDZ($A$1,$B78,G$1,$B$1)</f>
        <v>3610.72</v>
      </c>
      <c r="H78" s="55">
        <f>_xll.EQNXTDZ($A$1,$B78,H$1,$B$1)</f>
        <v>2616.41</v>
      </c>
      <c r="I78" s="55">
        <f>_xll.EQNXTDZ($A$1,$B78,I$1,$B$1)</f>
        <v>1937.04</v>
      </c>
      <c r="J78" s="55">
        <f>_xll.EQNXTDZ($A$1,$B78,J$1,$B$1)</f>
        <v>4474.16</v>
      </c>
      <c r="K78" s="55">
        <f>_xll.EQNXTDZ($A$1,$B78,K$1,$B$1)</f>
        <v>22742.1</v>
      </c>
      <c r="L78" s="55">
        <f>_xll.EQNXTDZ($A$1,$B78,L$1,$B$1)</f>
        <v>13890.83</v>
      </c>
      <c r="M78" s="55">
        <f>_xll.EQNXTDZ($A$1,$B78,M$1,$B$1)</f>
        <v>30139</v>
      </c>
      <c r="N78" s="55">
        <f>_xll.EQNXTDZ($A$1,$B78,N$1,$B$1)</f>
        <v>40731</v>
      </c>
      <c r="O78" s="55">
        <f>_xll.EQNXTDZ($A$1,$B78,O$1,$B$1)</f>
        <v>50456</v>
      </c>
      <c r="P78" s="55">
        <f>_xll.EQNXTDZ($A$1,$B78,P$1,$B$1)</f>
        <v>37984</v>
      </c>
      <c r="Q78" s="55">
        <f>_xll.EQNXTDZ($A$1,$B78,Q$1,$B$1)</f>
        <v>12545</v>
      </c>
      <c r="R78" s="55">
        <f>_xll.EQNXTDZ($A$1,$B78,R$1,$B$1)</f>
        <v>11028</v>
      </c>
      <c r="S78" s="55">
        <f>_xll.EQNXTDZ($A$1,$B78,S$1,$B$1)</f>
        <v>3023</v>
      </c>
      <c r="T78" s="55">
        <f>_xll.EQNXTDZ($A$1,$B78,T$1,$B$1)</f>
        <v>4255</v>
      </c>
      <c r="U78" s="55">
        <f>_xll.EQNXTDZ($A$1,$B78,U$1,$B$1)</f>
        <v>11081</v>
      </c>
      <c r="V78" s="55">
        <f>_xll.EQNXTDZ($A$1,$B78,V$1,$B$1)</f>
        <v>30920</v>
      </c>
      <c r="W78" s="55">
        <f>_xll.EQNXTDZ($A$1,$B78,W$1,$B$1)</f>
        <v>17397</v>
      </c>
      <c r="X78" s="55">
        <f>_xll.EQNXTDZ($A$1,$B78,X$1,$B$1)</f>
        <v>36178</v>
      </c>
      <c r="Y78" s="55">
        <f>_xll.EQNXTDZ($A$1,$B78,Y$1,$B$1)</f>
        <v>68664</v>
      </c>
      <c r="Z78" s="55">
        <f>_xll.EQNXTDZ($A$1,$B78,Z$1,$B$1)</f>
        <v>97225</v>
      </c>
      <c r="AA78" s="55">
        <f>_xll.EQNXTDZ($A$1,$B78,AA$1,$B$1)</f>
        <v>106502</v>
      </c>
      <c r="AB78" s="55">
        <f>_xll.EQNXTDZ($A$1,$B78,AB$1,$B$1)</f>
        <v>0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85.13</v>
      </c>
      <c r="D79" s="55">
        <f>_xll.EQNXTDZ($A$1,$B79,D$1,$B$1)</f>
        <v>409.74</v>
      </c>
      <c r="E79" s="55">
        <f>_xll.EQNXTDZ($A$1,$B79,E$1,$B$1)</f>
        <v>464.08</v>
      </c>
      <c r="F79" s="55">
        <f>_xll.EQNXTDZ($A$1,$B79,F$1,$B$1)</f>
        <v>728.22</v>
      </c>
      <c r="G79" s="55">
        <f>_xll.EQNXTDZ($A$1,$B79,G$1,$B$1)</f>
        <v>1453.31</v>
      </c>
      <c r="H79" s="55">
        <f>_xll.EQNXTDZ($A$1,$B79,H$1,$B$1)</f>
        <v>25.01</v>
      </c>
      <c r="I79" s="55">
        <f>_xll.EQNXTDZ($A$1,$B79,I$1,$B$1)</f>
        <v>3.15</v>
      </c>
      <c r="J79" s="55">
        <f>_xll.EQNXTDZ($A$1,$B79,J$1,$B$1)</f>
        <v>72.62</v>
      </c>
      <c r="K79" s="55">
        <f>_xll.EQNXTDZ($A$1,$B79,K$1,$B$1)</f>
        <v>47.59</v>
      </c>
      <c r="L79" s="55">
        <f>_xll.EQNXTDZ($A$1,$B79,L$1,$B$1)</f>
        <v>91.4</v>
      </c>
      <c r="M79" s="55">
        <f>_xll.EQNXTDZ($A$1,$B79,M$1,$B$1)</f>
        <v>289</v>
      </c>
      <c r="N79" s="55">
        <f>_xll.EQNXTDZ($A$1,$B79,N$1,$B$1)</f>
        <v>417</v>
      </c>
      <c r="O79" s="55">
        <f>_xll.EQNXTDZ($A$1,$B79,O$1,$B$1)</f>
        <v>828</v>
      </c>
      <c r="P79" s="55">
        <f>_xll.EQNXTDZ($A$1,$B79,P$1,$B$1)</f>
        <v>682</v>
      </c>
      <c r="Q79" s="55">
        <f>_xll.EQNXTDZ($A$1,$B79,Q$1,$B$1)</f>
        <v>1007</v>
      </c>
      <c r="R79" s="55">
        <f>_xll.EQNXTDZ($A$1,$B79,R$1,$B$1)</f>
        <v>9153</v>
      </c>
      <c r="S79" s="55">
        <f>_xll.EQNXTDZ($A$1,$B79,S$1,$B$1)</f>
        <v>9443</v>
      </c>
      <c r="T79" s="55">
        <f>_xll.EQNXTDZ($A$1,$B79,T$1,$B$1)</f>
        <v>16523</v>
      </c>
      <c r="U79" s="55">
        <f>_xll.EQNXTDZ($A$1,$B79,U$1,$B$1)</f>
        <v>21285</v>
      </c>
      <c r="V79" s="55">
        <f>_xll.EQNXTDZ($A$1,$B79,V$1,$B$1)</f>
        <v>26913</v>
      </c>
      <c r="W79" s="55">
        <f>_xll.EQNXTDZ($A$1,$B79,W$1,$B$1)</f>
        <v>62288</v>
      </c>
      <c r="X79" s="55">
        <f>_xll.EQNXTDZ($A$1,$B79,X$1,$B$1)</f>
        <v>27210</v>
      </c>
      <c r="Y79" s="55">
        <f>_xll.EQNXTDZ($A$1,$B79,Y$1,$B$1)</f>
        <v>20688</v>
      </c>
      <c r="Z79" s="55">
        <f>_xll.EQNXTDZ($A$1,$B79,Z$1,$B$1)</f>
        <v>26251</v>
      </c>
      <c r="AA79" s="55">
        <f>_xll.EQNXTDZ($A$1,$B79,AA$1,$B$1)</f>
        <v>39507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5502.73</v>
      </c>
      <c r="D80" s="55">
        <f>_xll.EQNXTDZ($A$1,$B80,D$1,$B$1)</f>
        <v>6590.99</v>
      </c>
      <c r="E80" s="55">
        <f>_xll.EQNXTDZ($A$1,$B80,E$1,$B$1)</f>
        <v>7805.41</v>
      </c>
      <c r="F80" s="55">
        <f>_xll.EQNXTDZ($A$1,$B80,F$1,$B$1)</f>
        <v>7449.02</v>
      </c>
      <c r="G80" s="55">
        <f>_xll.EQNXTDZ($A$1,$B80,G$1,$B$1)</f>
        <v>6697.21</v>
      </c>
      <c r="H80" s="55">
        <f>_xll.EQNXTDZ($A$1,$B80,H$1,$B$1)</f>
        <v>7673.82</v>
      </c>
      <c r="I80" s="55">
        <f>_xll.EQNXTDZ($A$1,$B80,I$1,$B$1)</f>
        <v>14888.08</v>
      </c>
      <c r="J80" s="55">
        <f>_xll.EQNXTDZ($A$1,$B80,J$1,$B$1)</f>
        <v>21747.65</v>
      </c>
      <c r="K80" s="55">
        <f>_xll.EQNXTDZ($A$1,$B80,K$1,$B$1)</f>
        <v>11001.8</v>
      </c>
      <c r="L80" s="55">
        <f>_xll.EQNXTDZ($A$1,$B80,L$1,$B$1)</f>
        <v>10647.21</v>
      </c>
      <c r="M80" s="55">
        <f>_xll.EQNXTDZ($A$1,$B80,M$1,$B$1)</f>
        <v>8165</v>
      </c>
      <c r="N80" s="55">
        <f>_xll.EQNXTDZ($A$1,$B80,N$1,$B$1)</f>
        <v>12897</v>
      </c>
      <c r="O80" s="55">
        <f>_xll.EQNXTDZ($A$1,$B80,O$1,$B$1)</f>
        <v>11410</v>
      </c>
      <c r="P80" s="55">
        <f>_xll.EQNXTDZ($A$1,$B80,P$1,$B$1)</f>
        <v>12537</v>
      </c>
      <c r="Q80" s="55">
        <f>_xll.EQNXTDZ($A$1,$B80,Q$1,$B$1)</f>
        <v>13448</v>
      </c>
      <c r="R80" s="55">
        <f>_xll.EQNXTDZ($A$1,$B80,R$1,$B$1)</f>
        <v>14150</v>
      </c>
      <c r="S80" s="55">
        <f>_xll.EQNXTDZ($A$1,$B80,S$1,$B$1)</f>
        <v>19959</v>
      </c>
      <c r="T80" s="55">
        <f>_xll.EQNXTDZ($A$1,$B80,T$1,$B$1)</f>
        <v>27013</v>
      </c>
      <c r="U80" s="55">
        <f>_xll.EQNXTDZ($A$1,$B80,U$1,$B$1)</f>
        <v>26347</v>
      </c>
      <c r="V80" s="55">
        <f>_xll.EQNXTDZ($A$1,$B80,V$1,$B$1)</f>
        <v>33953</v>
      </c>
      <c r="W80" s="55">
        <f>_xll.EQNXTDZ($A$1,$B80,W$1,$B$1)</f>
        <v>40194</v>
      </c>
      <c r="X80" s="55">
        <f>_xll.EQNXTDZ($A$1,$B80,X$1,$B$1)</f>
        <v>44095</v>
      </c>
      <c r="Y80" s="55">
        <f>_xll.EQNXTDZ($A$1,$B80,Y$1,$B$1)</f>
        <v>49015</v>
      </c>
      <c r="Z80" s="55">
        <f>_xll.EQNXTDZ($A$1,$B80,Z$1,$B$1)</f>
        <v>56056</v>
      </c>
      <c r="AA80" s="55">
        <f>_xll.EQNXTDZ($A$1,$B80,AA$1,$B$1)</f>
        <v>46369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4667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9162.89</v>
      </c>
      <c r="D82" s="55">
        <f>_xll.EQNXTDZ($A$1,$B82,D$1,$B$1)</f>
        <v>16463.900000000001</v>
      </c>
      <c r="E82" s="55">
        <f>_xll.EQNXTDZ($A$1,$B82,E$1,$B$1)</f>
        <v>18930.75</v>
      </c>
      <c r="F82" s="55">
        <f>_xll.EQNXTDZ($A$1,$B82,F$1,$B$1)</f>
        <v>19219.009999999998</v>
      </c>
      <c r="G82" s="55">
        <f>_xll.EQNXTDZ($A$1,$B82,G$1,$B$1)</f>
        <v>26613.200000000001</v>
      </c>
      <c r="H82" s="55">
        <f>_xll.EQNXTDZ($A$1,$B82,H$1,$B$1)</f>
        <v>27815.27</v>
      </c>
      <c r="I82" s="55">
        <f>_xll.EQNXTDZ($A$1,$B82,I$1,$B$1)</f>
        <v>36357.97</v>
      </c>
      <c r="J82" s="55">
        <f>_xll.EQNXTDZ($A$1,$B82,J$1,$B$1)</f>
        <v>57536.9</v>
      </c>
      <c r="K82" s="55">
        <f>_xll.EQNXTDZ($A$1,$B82,K$1,$B$1)</f>
        <v>61619.64</v>
      </c>
      <c r="L82" s="55">
        <f>_xll.EQNXTDZ($A$1,$B82,L$1,$B$1)</f>
        <v>77578.67</v>
      </c>
      <c r="M82" s="55">
        <f>_xll.EQNXTDZ($A$1,$B82,M$1,$B$1)</f>
        <v>107494</v>
      </c>
      <c r="N82" s="55">
        <f>_xll.EQNXTDZ($A$1,$B82,N$1,$B$1)</f>
        <v>144849</v>
      </c>
      <c r="O82" s="55">
        <f>_xll.EQNXTDZ($A$1,$B82,O$1,$B$1)</f>
        <v>155914</v>
      </c>
      <c r="P82" s="55">
        <f>_xll.EQNXTDZ($A$1,$B82,P$1,$B$1)</f>
        <v>151069</v>
      </c>
      <c r="Q82" s="55">
        <f>_xll.EQNXTDZ($A$1,$B82,Q$1,$B$1)</f>
        <v>136577</v>
      </c>
      <c r="R82" s="55">
        <f>_xll.EQNXTDZ($A$1,$B82,R$1,$B$1)</f>
        <v>127785</v>
      </c>
      <c r="S82" s="55">
        <f>_xll.EQNXTDZ($A$1,$B82,S$1,$B$1)</f>
        <v>146813</v>
      </c>
      <c r="T82" s="55">
        <f>_xll.EQNXTDZ($A$1,$B82,T$1,$B$1)</f>
        <v>183786</v>
      </c>
      <c r="U82" s="55">
        <f>_xll.EQNXTDZ($A$1,$B82,U$1,$B$1)</f>
        <v>227386</v>
      </c>
      <c r="V82" s="55">
        <f>_xll.EQNXTDZ($A$1,$B82,V$1,$B$1)</f>
        <v>258260</v>
      </c>
      <c r="W82" s="55">
        <f>_xll.EQNXTDZ($A$1,$B82,W$1,$B$1)</f>
        <v>373011</v>
      </c>
      <c r="X82" s="55">
        <f>_xll.EQNXTDZ($A$1,$B82,X$1,$B$1)</f>
        <v>347019</v>
      </c>
      <c r="Y82" s="55">
        <f>_xll.EQNXTDZ($A$1,$B82,Y$1,$B$1)</f>
        <v>425296</v>
      </c>
      <c r="Z82" s="55">
        <f>_xll.EQNXTDZ($A$1,$B82,Z$1,$B$1)</f>
        <v>470100</v>
      </c>
      <c r="AA82" s="55">
        <f>_xll.EQNXTDZ($A$1,$B82,AA$1,$B$1)</f>
        <v>499270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62.89</v>
      </c>
      <c r="E83" s="55">
        <f>_xll.EQNXTDZ($A$1,$B83,E$1,$B$1)</f>
        <v>47.19</v>
      </c>
      <c r="F83" s="55">
        <f>_xll.EQNXTDZ($A$1,$B83,F$1,$B$1)</f>
        <v>1.39</v>
      </c>
      <c r="G83" s="55">
        <f>_xll.EQNXTDZ($A$1,$B83,G$1,$B$1)</f>
        <v>0.02</v>
      </c>
      <c r="H83" s="55">
        <f>_xll.EQNXTDZ($A$1,$B83,H$1,$B$1)</f>
        <v>5.62</v>
      </c>
      <c r="I83" s="55">
        <f>_xll.EQNXTDZ($A$1,$B83,I$1,$B$1)</f>
        <v>4.5599999999999996</v>
      </c>
      <c r="J83" s="55">
        <f>_xll.EQNXTDZ($A$1,$B83,J$1,$B$1)</f>
        <v>3.25</v>
      </c>
      <c r="K83" s="55">
        <f>_xll.EQNXTDZ($A$1,$B83,K$1,$B$1)</f>
        <v>3.6</v>
      </c>
      <c r="L83" s="55">
        <f>_xll.EQNXTDZ($A$1,$B83,L$1,$B$1)</f>
        <v>2.33</v>
      </c>
      <c r="M83" s="55">
        <f>_xll.EQNXTDZ($A$1,$B83,M$1,$B$1)</f>
        <v>1</v>
      </c>
      <c r="N83" s="55">
        <f>_xll.EQNXTDZ($A$1,$B83,N$1,$B$1)</f>
        <v>1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29875.46</v>
      </c>
      <c r="D84" s="55">
        <f>_xll.EQNXTDZ($A$1,$B84,D$1,$B$1)</f>
        <v>56697.53</v>
      </c>
      <c r="E84" s="55">
        <f>_xll.EQNXTDZ($A$1,$B84,E$1,$B$1)</f>
        <v>63466.75</v>
      </c>
      <c r="F84" s="55">
        <f>_xll.EQNXTDZ($A$1,$B84,F$1,$B$1)</f>
        <v>72625.13</v>
      </c>
      <c r="G84" s="55">
        <f>_xll.EQNXTDZ($A$1,$B84,G$1,$B$1)</f>
        <v>81310.61</v>
      </c>
      <c r="H84" s="55">
        <f>_xll.EQNXTDZ($A$1,$B84,H$1,$B$1)</f>
        <v>96871.47</v>
      </c>
      <c r="I84" s="55">
        <f>_xll.EQNXTDZ($A$1,$B84,I$1,$B$1)</f>
        <v>132534.73000000001</v>
      </c>
      <c r="J84" s="55">
        <f>_xll.EQNXTDZ($A$1,$B84,J$1,$B$1)</f>
        <v>174960.18</v>
      </c>
      <c r="K84" s="55">
        <f>_xll.EQNXTDZ($A$1,$B84,K$1,$B$1)</f>
        <v>246075.38</v>
      </c>
      <c r="L84" s="55">
        <f>_xll.EQNXTDZ($A$1,$B84,L$1,$B$1)</f>
        <v>259445.19</v>
      </c>
      <c r="M84" s="55">
        <f>_xll.EQNXTDZ($A$1,$B84,M$1,$B$1)</f>
        <v>307519</v>
      </c>
      <c r="N84" s="55">
        <f>_xll.EQNXTDZ($A$1,$B84,N$1,$B$1)</f>
        <v>327191</v>
      </c>
      <c r="O84" s="55">
        <f>_xll.EQNXTDZ($A$1,$B84,O$1,$B$1)</f>
        <v>362357</v>
      </c>
      <c r="P84" s="55">
        <f>_xll.EQNXTDZ($A$1,$B84,P$1,$B$1)</f>
        <v>428843</v>
      </c>
      <c r="Q84" s="55">
        <f>_xll.EQNXTDZ($A$1,$B84,Q$1,$B$1)</f>
        <v>504486</v>
      </c>
      <c r="R84" s="55">
        <f>_xll.EQNXTDZ($A$1,$B84,R$1,$B$1)</f>
        <v>598997</v>
      </c>
      <c r="S84" s="55">
        <f>_xll.EQNXTDZ($A$1,$B84,S$1,$B$1)</f>
        <v>706802</v>
      </c>
      <c r="T84" s="55">
        <f>_xll.EQNXTDZ($A$1,$B84,T$1,$B$1)</f>
        <v>811273</v>
      </c>
      <c r="U84" s="55">
        <f>_xll.EQNXTDZ($A$1,$B84,U$1,$B$1)</f>
        <v>997630</v>
      </c>
      <c r="V84" s="55">
        <f>_xll.EQNXTDZ($A$1,$B84,V$1,$B$1)</f>
        <v>1163015</v>
      </c>
      <c r="W84" s="55">
        <f>_xll.EQNXTDZ($A$1,$B84,W$1,$B$1)</f>
        <v>1320065</v>
      </c>
      <c r="X84" s="55">
        <f>_xll.EQNXTDZ($A$1,$B84,X$1,$B$1)</f>
        <v>1498622</v>
      </c>
      <c r="Y84" s="55">
        <f>_xll.EQNXTDZ($A$1,$B84,Y$1,$B$1)</f>
        <v>1605882</v>
      </c>
      <c r="Z84" s="55">
        <f>_xll.EQNXTDZ($A$1,$B84,Z$1,$B$1)</f>
        <v>1755048</v>
      </c>
      <c r="AA84" s="55">
        <f>_xll.EQNXTDZ($A$1,$B84,AA$1,$B$1)</f>
        <v>1949713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2041.2</v>
      </c>
      <c r="D85" s="55">
        <f>_xll.EQNXTDZ($A$1,$B85,D$1,$B$1)</f>
        <v>7296.89</v>
      </c>
      <c r="E85" s="55">
        <f>_xll.EQNXTDZ($A$1,$B85,E$1,$B$1)</f>
        <v>10362.52</v>
      </c>
      <c r="F85" s="55">
        <f>_xll.EQNXTDZ($A$1,$B85,F$1,$B$1)</f>
        <v>8238.75</v>
      </c>
      <c r="G85" s="55">
        <f>_xll.EQNXTDZ($A$1,$B85,G$1,$B$1)</f>
        <v>8963.23</v>
      </c>
      <c r="H85" s="55">
        <f>_xll.EQNXTDZ($A$1,$B85,H$1,$B$1)</f>
        <v>10029.23</v>
      </c>
      <c r="I85" s="55">
        <f>_xll.EQNXTDZ($A$1,$B85,I$1,$B$1)</f>
        <v>22324.29</v>
      </c>
      <c r="J85" s="55">
        <f>_xll.EQNXTDZ($A$1,$B85,J$1,$B$1)</f>
        <v>15823.06</v>
      </c>
      <c r="K85" s="55">
        <f>_xll.EQNXTDZ($A$1,$B85,K$1,$B$1)</f>
        <v>14744.24</v>
      </c>
      <c r="L85" s="55">
        <f>_xll.EQNXTDZ($A$1,$B85,L$1,$B$1)</f>
        <v>11343.71</v>
      </c>
      <c r="M85" s="55">
        <f>_xll.EQNXTDZ($A$1,$B85,M$1,$B$1)</f>
        <v>8714</v>
      </c>
      <c r="N85" s="55">
        <f>_xll.EQNXTDZ($A$1,$B85,N$1,$B$1)</f>
        <v>8851</v>
      </c>
      <c r="O85" s="55">
        <f>_xll.EQNXTDZ($A$1,$B85,O$1,$B$1)</f>
        <v>14552</v>
      </c>
      <c r="P85" s="55">
        <f>_xll.EQNXTDZ($A$1,$B85,P$1,$B$1)</f>
        <v>16518</v>
      </c>
      <c r="Q85" s="55">
        <f>_xll.EQNXTDZ($A$1,$B85,Q$1,$B$1)</f>
        <v>32221</v>
      </c>
      <c r="R85" s="55">
        <f>_xll.EQNXTDZ($A$1,$B85,R$1,$B$1)</f>
        <v>47831</v>
      </c>
      <c r="S85" s="55">
        <f>_xll.EQNXTDZ($A$1,$B85,S$1,$B$1)</f>
        <v>29833</v>
      </c>
      <c r="T85" s="55">
        <f>_xll.EQNXTDZ($A$1,$B85,T$1,$B$1)</f>
        <v>14857</v>
      </c>
      <c r="U85" s="55">
        <f>_xll.EQNXTDZ($A$1,$B85,U$1,$B$1)</f>
        <v>29239</v>
      </c>
      <c r="V85" s="55">
        <f>_xll.EQNXTDZ($A$1,$B85,V$1,$B$1)</f>
        <v>32343</v>
      </c>
      <c r="W85" s="55">
        <f>_xll.EQNXTDZ($A$1,$B85,W$1,$B$1)</f>
        <v>23445</v>
      </c>
      <c r="X85" s="55">
        <f>_xll.EQNXTDZ($A$1,$B85,X$1,$B$1)</f>
        <v>24657</v>
      </c>
      <c r="Y85" s="55">
        <f>_xll.EQNXTDZ($A$1,$B85,Y$1,$B$1)</f>
        <v>11114</v>
      </c>
      <c r="Z85" s="55">
        <f>_xll.EQNXTDZ($A$1,$B85,Z$1,$B$1)</f>
        <v>12493</v>
      </c>
      <c r="AA85" s="55">
        <f>_xll.EQNXTDZ($A$1,$B85,AA$1,$B$1)</f>
        <v>13928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4397</v>
      </c>
      <c r="R86" s="55">
        <f>_xll.EQNXTDZ($A$1,$B86,R$1,$B$1)</f>
        <v>4254</v>
      </c>
      <c r="S86" s="55">
        <f>_xll.EQNXTDZ($A$1,$B86,S$1,$B$1)</f>
        <v>4892</v>
      </c>
      <c r="T86" s="55">
        <f>_xll.EQNXTDZ($A$1,$B86,T$1,$B$1)</f>
        <v>5813</v>
      </c>
      <c r="U86" s="55">
        <f>_xll.EQNXTDZ($A$1,$B86,U$1,$B$1)</f>
        <v>11997</v>
      </c>
      <c r="V86" s="55">
        <f>_xll.EQNXTDZ($A$1,$B86,V$1,$B$1)</f>
        <v>10259</v>
      </c>
      <c r="W86" s="55">
        <f>_xll.EQNXTDZ($A$1,$B86,W$1,$B$1)</f>
        <v>10212</v>
      </c>
      <c r="X86" s="55">
        <f>_xll.EQNXTDZ($A$1,$B86,X$1,$B$1)</f>
        <v>13009</v>
      </c>
      <c r="Y86" s="55">
        <f>_xll.EQNXTDZ($A$1,$B86,Y$1,$B$1)</f>
        <v>15270</v>
      </c>
      <c r="Z86" s="55">
        <f>_xll.EQNXTDZ($A$1,$B86,Z$1,$B$1)</f>
        <v>14989</v>
      </c>
      <c r="AA86" s="55">
        <f>_xll.EQNXTDZ($A$1,$B86,AA$1,$B$1)</f>
        <v>24530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4160</v>
      </c>
      <c r="N87" s="55">
        <f>_xll.EQNXTDZ($A$1,$B87,N$1,$B$1)</f>
        <v>3044</v>
      </c>
      <c r="O87" s="55">
        <f>_xll.EQNXTDZ($A$1,$B87,O$1,$B$1)</f>
        <v>4182</v>
      </c>
      <c r="P87" s="55">
        <f>_xll.EQNXTDZ($A$1,$B87,P$1,$B$1)</f>
        <v>434</v>
      </c>
      <c r="Q87" s="55">
        <f>_xll.EQNXTDZ($A$1,$B87,Q$1,$B$1)</f>
        <v>1021</v>
      </c>
      <c r="R87" s="55">
        <f>_xll.EQNXTDZ($A$1,$B87,R$1,$B$1)</f>
        <v>2974</v>
      </c>
      <c r="S87" s="55">
        <f>_xll.EQNXTDZ($A$1,$B87,S$1,$B$1)</f>
        <v>669</v>
      </c>
      <c r="T87" s="55">
        <f>_xll.EQNXTDZ($A$1,$B87,T$1,$B$1)</f>
        <v>6887</v>
      </c>
      <c r="U87" s="55">
        <f>_xll.EQNXTDZ($A$1,$B87,U$1,$B$1)</f>
        <v>5055</v>
      </c>
      <c r="V87" s="55">
        <f>_xll.EQNXTDZ($A$1,$B87,V$1,$B$1)</f>
        <v>20234</v>
      </c>
      <c r="W87" s="55">
        <f>_xll.EQNXTDZ($A$1,$B87,W$1,$B$1)</f>
        <v>24045</v>
      </c>
      <c r="X87" s="55">
        <f>_xll.EQNXTDZ($A$1,$B87,X$1,$B$1)</f>
        <v>13719</v>
      </c>
      <c r="Y87" s="55">
        <f>_xll.EQNXTDZ($A$1,$B87,Y$1,$B$1)</f>
        <v>19141</v>
      </c>
      <c r="Z87" s="55">
        <f>_xll.EQNXTDZ($A$1,$B87,Z$1,$B$1)</f>
        <v>12287</v>
      </c>
      <c r="AA87" s="55">
        <f>_xll.EQNXTDZ($A$1,$B87,AA$1,$B$1)</f>
        <v>3328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6758</v>
      </c>
      <c r="O88" s="55">
        <f>_xll.EQNXTDZ($A$1,$B88,O$1,$B$1)</f>
        <v>13704</v>
      </c>
      <c r="P88" s="55">
        <f>_xll.EQNXTDZ($A$1,$B88,P$1,$B$1)</f>
        <v>4503</v>
      </c>
      <c r="Q88" s="55">
        <f>_xll.EQNXTDZ($A$1,$B88,Q$1,$B$1)</f>
        <v>11087</v>
      </c>
      <c r="R88" s="55">
        <f>_xll.EQNXTDZ($A$1,$B88,R$1,$B$1)</f>
        <v>13227</v>
      </c>
      <c r="S88" s="55">
        <f>_xll.EQNXTDZ($A$1,$B88,S$1,$B$1)</f>
        <v>12993</v>
      </c>
      <c r="T88" s="55">
        <f>_xll.EQNXTDZ($A$1,$B88,T$1,$B$1)</f>
        <v>31142</v>
      </c>
      <c r="U88" s="55">
        <f>_xll.EQNXTDZ($A$1,$B88,U$1,$B$1)</f>
        <v>11878</v>
      </c>
      <c r="V88" s="55">
        <f>_xll.EQNXTDZ($A$1,$B88,V$1,$B$1)</f>
        <v>24643</v>
      </c>
      <c r="W88" s="55">
        <f>_xll.EQNXTDZ($A$1,$B88,W$1,$B$1)</f>
        <v>4002</v>
      </c>
      <c r="X88" s="55">
        <f>_xll.EQNXTDZ($A$1,$B88,X$1,$B$1)</f>
        <v>13301</v>
      </c>
      <c r="Y88" s="55">
        <f>_xll.EQNXTDZ($A$1,$B88,Y$1,$B$1)</f>
        <v>29391</v>
      </c>
      <c r="Z88" s="55">
        <f>_xll.EQNXTDZ($A$1,$B88,Z$1,$B$1)</f>
        <v>32981</v>
      </c>
      <c r="AA88" s="55">
        <f>_xll.EQNXTDZ($A$1,$B88,AA$1,$B$1)</f>
        <v>25995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4</v>
      </c>
      <c r="N90" s="55">
        <f>_xll.EQNXTDZ($A$1,$B90,N$1,$B$1)</f>
        <v>10</v>
      </c>
      <c r="O90" s="55">
        <f>_xll.EQNXTDZ($A$1,$B90,O$1,$B$1)</f>
        <v>11</v>
      </c>
      <c r="P90" s="55">
        <f>_xll.EQNXTDZ($A$1,$B90,P$1,$B$1)</f>
        <v>13</v>
      </c>
      <c r="Q90" s="55">
        <f>_xll.EQNXTDZ($A$1,$B90,Q$1,$B$1)</f>
        <v>13</v>
      </c>
      <c r="R90" s="55">
        <f>_xll.EQNXTDZ($A$1,$B90,R$1,$B$1)</f>
        <v>11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4397</v>
      </c>
      <c r="R91" s="55">
        <f>_xll.EQNXTDZ($A$1,$B91,R$1,$B$1)</f>
        <v>4254</v>
      </c>
      <c r="S91" s="55">
        <f>_xll.EQNXTDZ($A$1,$B91,S$1,$B$1)</f>
        <v>4892</v>
      </c>
      <c r="T91" s="55">
        <f>_xll.EQNXTDZ($A$1,$B91,T$1,$B$1)</f>
        <v>5813</v>
      </c>
      <c r="U91" s="55">
        <f>_xll.EQNXTDZ($A$1,$B91,U$1,$B$1)</f>
        <v>11997</v>
      </c>
      <c r="V91" s="55">
        <f>_xll.EQNXTDZ($A$1,$B91,V$1,$B$1)</f>
        <v>10259</v>
      </c>
      <c r="W91" s="55">
        <f>_xll.EQNXTDZ($A$1,$B91,W$1,$B$1)</f>
        <v>10212</v>
      </c>
      <c r="X91" s="55">
        <f>_xll.EQNXTDZ($A$1,$B91,X$1,$B$1)</f>
        <v>13009</v>
      </c>
      <c r="Y91" s="55">
        <f>_xll.EQNXTDZ($A$1,$B91,Y$1,$B$1)</f>
        <v>15270</v>
      </c>
      <c r="Z91" s="55">
        <f>_xll.EQNXTDZ($A$1,$B91,Z$1,$B$1)</f>
        <v>14989</v>
      </c>
      <c r="AA91" s="55">
        <f>_xll.EQNXTDZ($A$1,$B91,AA$1,$B$1)</f>
        <v>24530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622.24</v>
      </c>
      <c r="D93" s="55">
        <f>_xll.EQNXTDZ($A$1,$B93,D$1,$B$1)</f>
        <v>2869.03</v>
      </c>
      <c r="E93" s="55">
        <f>_xll.EQNXTDZ($A$1,$B93,E$1,$B$1)</f>
        <v>4094.84</v>
      </c>
      <c r="F93" s="55">
        <f>_xll.EQNXTDZ($A$1,$B93,F$1,$B$1)</f>
        <v>5596.03</v>
      </c>
      <c r="G93" s="55">
        <f>_xll.EQNXTDZ($A$1,$B93,G$1,$B$1)</f>
        <v>6046.48</v>
      </c>
      <c r="H93" s="55">
        <f>_xll.EQNXTDZ($A$1,$B93,H$1,$B$1)</f>
        <v>5964.48</v>
      </c>
      <c r="I93" s="55">
        <f>_xll.EQNXTDZ($A$1,$B93,I$1,$B$1)</f>
        <v>7064.75</v>
      </c>
      <c r="J93" s="55">
        <f>_xll.EQNXTDZ($A$1,$B93,J$1,$B$1)</f>
        <v>6322.04</v>
      </c>
      <c r="K93" s="55">
        <f>_xll.EQNXTDZ($A$1,$B93,K$1,$B$1)</f>
        <v>6693.48</v>
      </c>
      <c r="L93" s="55">
        <f>_xll.EQNXTDZ($A$1,$B93,L$1,$B$1)</f>
        <v>6250.01</v>
      </c>
      <c r="M93" s="55">
        <f>_xll.EQNXTDZ($A$1,$B93,M$1,$B$1)</f>
        <v>1667</v>
      </c>
      <c r="N93" s="55">
        <f>_xll.EQNXTDZ($A$1,$B93,N$1,$B$1)</f>
        <v>1396</v>
      </c>
      <c r="O93" s="55">
        <f>_xll.EQNXTDZ($A$1,$B93,O$1,$B$1)</f>
        <v>1734</v>
      </c>
      <c r="P93" s="55">
        <f>_xll.EQNXTDZ($A$1,$B93,P$1,$B$1)</f>
        <v>1946</v>
      </c>
      <c r="Q93" s="55">
        <f>_xll.EQNXTDZ($A$1,$B93,Q$1,$B$1)</f>
        <v>3130</v>
      </c>
      <c r="R93" s="55">
        <f>_xll.EQNXTDZ($A$1,$B93,R$1,$B$1)</f>
        <v>4010</v>
      </c>
      <c r="S93" s="55">
        <f>_xll.EQNXTDZ($A$1,$B93,S$1,$B$1)</f>
        <v>4691</v>
      </c>
      <c r="T93" s="55">
        <f>_xll.EQNXTDZ($A$1,$B93,T$1,$B$1)</f>
        <v>3544</v>
      </c>
      <c r="U93" s="55">
        <f>_xll.EQNXTDZ($A$1,$B93,U$1,$B$1)</f>
        <v>5341</v>
      </c>
      <c r="V93" s="55">
        <f>_xll.EQNXTDZ($A$1,$B93,V$1,$B$1)</f>
        <v>6888</v>
      </c>
      <c r="W93" s="55">
        <f>_xll.EQNXTDZ($A$1,$B93,W$1,$B$1)</f>
        <v>8629</v>
      </c>
      <c r="X93" s="55">
        <f>_xll.EQNXTDZ($A$1,$B93,X$1,$B$1)</f>
        <v>10557</v>
      </c>
      <c r="Y93" s="55">
        <f>_xll.EQNXTDZ($A$1,$B93,Y$1,$B$1)</f>
        <v>7267</v>
      </c>
      <c r="Z93" s="55">
        <f>_xll.EQNXTDZ($A$1,$B93,Z$1,$B$1)</f>
        <v>6326</v>
      </c>
      <c r="AA93" s="55">
        <f>_xll.EQNXTDZ($A$1,$B93,AA$1,$B$1)</f>
        <v>6970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1106.1500000000001</v>
      </c>
      <c r="D95" s="55">
        <f>_xll.EQNXTDZ($A$1,$B95,D$1,$B$1)</f>
        <v>4408.67</v>
      </c>
      <c r="E95" s="55">
        <f>_xll.EQNXTDZ($A$1,$B95,E$1,$B$1)</f>
        <v>5765.65</v>
      </c>
      <c r="F95" s="55">
        <f>_xll.EQNXTDZ($A$1,$B95,F$1,$B$1)</f>
        <v>2053.85</v>
      </c>
      <c r="G95" s="55">
        <f>_xll.EQNXTDZ($A$1,$B95,G$1,$B$1)</f>
        <v>2864.2</v>
      </c>
      <c r="H95" s="55">
        <f>_xll.EQNXTDZ($A$1,$B95,H$1,$B$1)</f>
        <v>3635.35</v>
      </c>
      <c r="I95" s="55">
        <f>_xll.EQNXTDZ($A$1,$B95,I$1,$B$1)</f>
        <v>12798.61</v>
      </c>
      <c r="J95" s="55">
        <f>_xll.EQNXTDZ($A$1,$B95,J$1,$B$1)</f>
        <v>8999.39</v>
      </c>
      <c r="K95" s="55">
        <f>_xll.EQNXTDZ($A$1,$B95,K$1,$B$1)</f>
        <v>6702.88</v>
      </c>
      <c r="L95" s="55">
        <f>_xll.EQNXTDZ($A$1,$B95,L$1,$B$1)</f>
        <v>3259.26</v>
      </c>
      <c r="M95" s="55">
        <f>_xll.EQNXTDZ($A$1,$B95,M$1,$B$1)</f>
        <v>4751</v>
      </c>
      <c r="N95" s="55">
        <f>_xll.EQNXTDZ($A$1,$B95,N$1,$B$1)</f>
        <v>6824</v>
      </c>
      <c r="O95" s="55">
        <f>_xll.EQNXTDZ($A$1,$B95,O$1,$B$1)</f>
        <v>8857</v>
      </c>
      <c r="P95" s="55">
        <f>_xll.EQNXTDZ($A$1,$B95,P$1,$B$1)</f>
        <v>9602</v>
      </c>
      <c r="Q95" s="55">
        <f>_xll.EQNXTDZ($A$1,$B95,Q$1,$B$1)</f>
        <v>27970</v>
      </c>
      <c r="R95" s="55">
        <f>_xll.EQNXTDZ($A$1,$B95,R$1,$B$1)</f>
        <v>43087</v>
      </c>
      <c r="S95" s="55">
        <f>_xll.EQNXTDZ($A$1,$B95,S$1,$B$1)</f>
        <v>24759</v>
      </c>
      <c r="T95" s="55">
        <f>_xll.EQNXTDZ($A$1,$B95,T$1,$B$1)</f>
        <v>11313</v>
      </c>
      <c r="U95" s="55">
        <f>_xll.EQNXTDZ($A$1,$B95,U$1,$B$1)</f>
        <v>23898</v>
      </c>
      <c r="V95" s="55">
        <f>_xll.EQNXTDZ($A$1,$B95,V$1,$B$1)</f>
        <v>25455</v>
      </c>
      <c r="W95" s="55">
        <f>_xll.EQNXTDZ($A$1,$B95,W$1,$B$1)</f>
        <v>14816</v>
      </c>
      <c r="X95" s="55">
        <f>_xll.EQNXTDZ($A$1,$B95,X$1,$B$1)</f>
        <v>14100</v>
      </c>
      <c r="Y95" s="55">
        <f>_xll.EQNXTDZ($A$1,$B95,Y$1,$B$1)</f>
        <v>3847</v>
      </c>
      <c r="Z95" s="55">
        <f>_xll.EQNXTDZ($A$1,$B95,Z$1,$B$1)</f>
        <v>6167</v>
      </c>
      <c r="AA95" s="55">
        <f>_xll.EQNXTDZ($A$1,$B95,AA$1,$B$1)</f>
        <v>6958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312.81</v>
      </c>
      <c r="D97" s="55">
        <f>_xll.EQNXTDZ($A$1,$B97,D$1,$B$1)</f>
        <v>19.190000000000001</v>
      </c>
      <c r="E97" s="55">
        <f>_xll.EQNXTDZ($A$1,$B97,E$1,$B$1)</f>
        <v>502.03</v>
      </c>
      <c r="F97" s="55">
        <f>_xll.EQNXTDZ($A$1,$B97,F$1,$B$1)</f>
        <v>588.87</v>
      </c>
      <c r="G97" s="55">
        <f>_xll.EQNXTDZ($A$1,$B97,G$1,$B$1)</f>
        <v>52.55</v>
      </c>
      <c r="H97" s="55">
        <f>_xll.EQNXTDZ($A$1,$B97,H$1,$B$1)</f>
        <v>429.4</v>
      </c>
      <c r="I97" s="55">
        <f>_xll.EQNXTDZ($A$1,$B97,I$1,$B$1)</f>
        <v>2460.9299999999998</v>
      </c>
      <c r="J97" s="55">
        <f>_xll.EQNXTDZ($A$1,$B97,J$1,$B$1)</f>
        <v>501.63</v>
      </c>
      <c r="K97" s="55">
        <f>_xll.EQNXTDZ($A$1,$B97,K$1,$B$1)</f>
        <v>1347.88</v>
      </c>
      <c r="L97" s="55">
        <f>_xll.EQNXTDZ($A$1,$B97,L$1,$B$1)</f>
        <v>1834.44</v>
      </c>
      <c r="M97" s="55">
        <f>_xll.EQNXTDZ($A$1,$B97,M$1,$B$1)</f>
        <v>2296</v>
      </c>
      <c r="N97" s="55">
        <f>_xll.EQNXTDZ($A$1,$B97,N$1,$B$1)</f>
        <v>631</v>
      </c>
      <c r="O97" s="55">
        <f>_xll.EQNXTDZ($A$1,$B97,O$1,$B$1)</f>
        <v>3961</v>
      </c>
      <c r="P97" s="55">
        <f>_xll.EQNXTDZ($A$1,$B97,P$1,$B$1)</f>
        <v>4970</v>
      </c>
      <c r="Q97" s="55">
        <f>_xll.EQNXTDZ($A$1,$B97,Q$1,$B$1)</f>
        <v>1121</v>
      </c>
      <c r="R97" s="55">
        <f>_xll.EQNXTDZ($A$1,$B97,R$1,$B$1)</f>
        <v>734</v>
      </c>
      <c r="S97" s="55">
        <f>_xll.EQNXTDZ($A$1,$B97,S$1,$B$1)</f>
        <v>383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1053.49</v>
      </c>
      <c r="D104" s="55">
        <f>_xll.EQNXTDZ($A$1,$B104,D$1,$B$1)</f>
        <v>1053.56</v>
      </c>
      <c r="E104" s="55">
        <f>_xll.EQNXTDZ($A$1,$B104,E$1,$B$1)</f>
        <v>1395.92</v>
      </c>
      <c r="F104" s="55">
        <f>_xll.EQNXTDZ($A$1,$B104,F$1,$B$1)</f>
        <v>1395.95</v>
      </c>
      <c r="G104" s="55">
        <f>_xll.EQNXTDZ($A$1,$B104,G$1,$B$1)</f>
        <v>1393.09</v>
      </c>
      <c r="H104" s="55">
        <f>_xll.EQNXTDZ($A$1,$B104,H$1,$B$1)</f>
        <v>1393.17</v>
      </c>
      <c r="I104" s="55">
        <f>_xll.EQNXTDZ($A$1,$B104,I$1,$B$1)</f>
        <v>1393.21</v>
      </c>
      <c r="J104" s="55">
        <f>_xll.EQNXTDZ($A$1,$B104,J$1,$B$1)</f>
        <v>1453.39</v>
      </c>
      <c r="K104" s="55">
        <f>_xll.EQNXTDZ($A$1,$B104,K$1,$B$1)</f>
        <v>1374.68</v>
      </c>
      <c r="L104" s="55">
        <f>_xll.EQNXTDZ($A$1,$B104,L$1,$B$1)</f>
        <v>2978.02</v>
      </c>
      <c r="M104" s="55">
        <f>_xll.EQNXTDZ($A$1,$B104,M$1,$B$1)</f>
        <v>2981</v>
      </c>
      <c r="N104" s="55">
        <f>_xll.EQNXTDZ($A$1,$B104,N$1,$B$1)</f>
        <v>2979</v>
      </c>
      <c r="O104" s="55">
        <f>_xll.EQNXTDZ($A$1,$B104,O$1,$B$1)</f>
        <v>2936</v>
      </c>
      <c r="P104" s="55">
        <f>_xll.EQNXTDZ($A$1,$B104,P$1,$B$1)</f>
        <v>2940</v>
      </c>
      <c r="Q104" s="55">
        <f>_xll.EQNXTDZ($A$1,$B104,Q$1,$B$1)</f>
        <v>2943</v>
      </c>
      <c r="R104" s="55">
        <f>_xll.EQNXTDZ($A$1,$B104,R$1,$B$1)</f>
        <v>2948</v>
      </c>
      <c r="S104" s="55">
        <f>_xll.EQNXTDZ($A$1,$B104,S$1,$B$1)</f>
        <v>2959</v>
      </c>
      <c r="T104" s="55">
        <f>_xll.EQNXTDZ($A$1,$B104,T$1,$B$1)</f>
        <v>5922</v>
      </c>
      <c r="U104" s="55">
        <f>_xll.EQNXTDZ($A$1,$B104,U$1,$B$1)</f>
        <v>5926</v>
      </c>
      <c r="V104" s="55">
        <f>_xll.EQNXTDZ($A$1,$B104,V$1,$B$1)</f>
        <v>6339</v>
      </c>
      <c r="W104" s="55">
        <f>_xll.EQNXTDZ($A$1,$B104,W$1,$B$1)</f>
        <v>6445</v>
      </c>
      <c r="X104" s="55">
        <f>_xll.EQNXTDZ($A$1,$B104,X$1,$B$1)</f>
        <v>6765</v>
      </c>
      <c r="Y104" s="55">
        <f>_xll.EQNXTDZ($A$1,$B104,Y$1,$B$1)</f>
        <v>6766</v>
      </c>
      <c r="Z104" s="55">
        <f>_xll.EQNXTDZ($A$1,$B104,Z$1,$B$1)</f>
        <v>6766</v>
      </c>
      <c r="AA104" s="55">
        <f>_xll.EQNXTDZ($A$1,$B104,AA$1,$B$1)</f>
        <v>13532</v>
      </c>
      <c r="AB104" s="55">
        <f>_xll.EQNXTDZ($A$1,$B104,AB$1,$B$1)</f>
        <v>0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39.350798005096003</v>
      </c>
      <c r="D106" s="55">
        <f>_xll.EQNXTDZ($A$1,$B106,D$1,$B$1)</f>
        <v>30.270618982175399</v>
      </c>
      <c r="E106" s="55">
        <f>_xll.EQNXTDZ($A$1,$B106,E$1,$B$1)</f>
        <v>27.829440032000001</v>
      </c>
      <c r="F106" s="55">
        <f>_xll.EQNXTDZ($A$1,$B106,F$1,$B$1)</f>
        <v>54.163972541933703</v>
      </c>
      <c r="G106" s="55">
        <f>_xll.EQNXTDZ($A$1,$B106,G$1,$B$1)</f>
        <v>54.959243210238299</v>
      </c>
      <c r="H106" s="55">
        <f>_xll.EQNXTDZ($A$1,$B106,H$1,$B$1)</f>
        <v>98.593049038908106</v>
      </c>
      <c r="I106" s="55">
        <f>_xll.EQNXTDZ($A$1,$B106,I$1,$B$1)</f>
        <v>169.431458276157</v>
      </c>
      <c r="J106" s="55">
        <f>_xll.EQNXTDZ($A$1,$B106,J$1,$B$1)</f>
        <v>280.39429770625702</v>
      </c>
      <c r="K106" s="55">
        <f>_xll.EQNXTDZ($A$1,$B106,K$1,$B$1)</f>
        <v>188.605252491133</v>
      </c>
      <c r="L106" s="55">
        <f>_xll.EQNXTDZ($A$1,$B106,L$1,$B$1)</f>
        <v>266.13003491281</v>
      </c>
      <c r="M106" s="55">
        <f>_xll.EQNXTDZ($A$1,$B106,M$1,$B$1)</f>
        <v>259.48080824607302</v>
      </c>
      <c r="N106" s="55">
        <f>_xll.EQNXTDZ($A$1,$B106,N$1,$B$1)</f>
        <v>185.29921241661</v>
      </c>
      <c r="O106" s="55">
        <f>_xll.EQNXTDZ($A$1,$B106,O$1,$B$1)</f>
        <v>191.60173825156201</v>
      </c>
      <c r="P106" s="55">
        <f>_xll.EQNXTDZ($A$1,$B106,P$1,$B$1)</f>
        <v>230.184587960226</v>
      </c>
      <c r="Q106" s="55">
        <f>_xll.EQNXTDZ($A$1,$B106,Q$1,$B$1)</f>
        <v>204.231554266594</v>
      </c>
      <c r="R106" s="55">
        <f>_xll.EQNXTDZ($A$1,$B106,R$1,$B$1)</f>
        <v>258.84931744532201</v>
      </c>
      <c r="S106" s="55">
        <f>_xll.EQNXTDZ($A$1,$B106,S$1,$B$1)</f>
        <v>326.69124092214201</v>
      </c>
      <c r="T106" s="55">
        <f>_xll.EQNXTDZ($A$1,$B106,T$1,$B$1)</f>
        <v>437.23927757135601</v>
      </c>
      <c r="U106" s="55">
        <f>_xll.EQNXTDZ($A$1,$B106,U$1,$B$1)</f>
        <v>675.10081252111104</v>
      </c>
      <c r="V106" s="55">
        <f>_xll.EQNXTDZ($A$1,$B106,V$1,$B$1)</f>
        <v>550.98191474201997</v>
      </c>
      <c r="W106" s="55">
        <f>_xll.EQNXTDZ($A$1,$B106,W$1,$B$1)</f>
        <v>1001.6</v>
      </c>
      <c r="X106" s="55">
        <f>_xll.EQNXTDZ($A$1,$B106,X$1,$B$1)</f>
        <v>1316.9749999999999</v>
      </c>
      <c r="Y106" s="55">
        <f>_xll.EQNXTDZ($A$1,$B106,Y$1,$B$1)</f>
        <v>1165.5250000000001</v>
      </c>
      <c r="Z106" s="55">
        <f>_xll.EQNXTDZ($A$1,$B106,Z$1,$B$1)</f>
        <v>1488.4</v>
      </c>
      <c r="AA106" s="55">
        <f>_xll.EQNXTDZ($A$1,$B106,AA$1,$B$1)</f>
        <v>1275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45.481428853165397</v>
      </c>
      <c r="D107" s="55">
        <f>_xll.EQNXTDZ($A$1,$B107,D$1,$B$1)</f>
        <v>40.921205907064497</v>
      </c>
      <c r="E107" s="55">
        <f>_xll.EQNXTDZ($A$1,$B107,E$1,$B$1)</f>
        <v>31.503791853913501</v>
      </c>
      <c r="F107" s="55">
        <f>_xll.EQNXTDZ($A$1,$B107,F$1,$B$1)</f>
        <v>61.452275881839</v>
      </c>
      <c r="G107" s="55">
        <f>_xll.EQNXTDZ($A$1,$B107,G$1,$B$1)</f>
        <v>60.490904377749303</v>
      </c>
      <c r="H107" s="55">
        <f>_xll.EQNXTDZ($A$1,$B107,H$1,$B$1)</f>
        <v>100.109865177968</v>
      </c>
      <c r="I107" s="55">
        <f>_xll.EQNXTDZ($A$1,$B107,I$1,$B$1)</f>
        <v>178.922393546276</v>
      </c>
      <c r="J107" s="55">
        <f>_xll.EQNXTDZ($A$1,$B107,J$1,$B$1)</f>
        <v>402.68063394591297</v>
      </c>
      <c r="K107" s="55">
        <f>_xll.EQNXTDZ($A$1,$B107,K$1,$B$1)</f>
        <v>335.13588261062301</v>
      </c>
      <c r="L107" s="55">
        <f>_xll.EQNXTDZ($A$1,$B107,L$1,$B$1)</f>
        <v>308.31609683752703</v>
      </c>
      <c r="M107" s="55">
        <f>_xll.EQNXTDZ($A$1,$B107,M$1,$B$1)</f>
        <v>293.95277666356998</v>
      </c>
      <c r="N107" s="55">
        <f>_xll.EQNXTDZ($A$1,$B107,N$1,$B$1)</f>
        <v>263.87647950620698</v>
      </c>
      <c r="O107" s="55">
        <f>_xll.EQNXTDZ($A$1,$B107,O$1,$B$1)</f>
        <v>236.44996727748699</v>
      </c>
      <c r="P107" s="55">
        <f>_xll.EQNXTDZ($A$1,$B107,P$1,$B$1)</f>
        <v>232.61149378272299</v>
      </c>
      <c r="Q107" s="55">
        <f>_xll.EQNXTDZ($A$1,$B107,Q$1,$B$1)</f>
        <v>282.932643081827</v>
      </c>
      <c r="R107" s="55">
        <f>_xll.EQNXTDZ($A$1,$B107,R$1,$B$1)</f>
        <v>269.80754016424601</v>
      </c>
      <c r="S107" s="55">
        <f>_xll.EQNXTDZ($A$1,$B107,S$1,$B$1)</f>
        <v>330.85165090356401</v>
      </c>
      <c r="T107" s="55">
        <f>_xll.EQNXTDZ($A$1,$B107,T$1,$B$1)</f>
        <v>490.33403352474198</v>
      </c>
      <c r="U107" s="55">
        <f>_xll.EQNXTDZ($A$1,$B107,U$1,$B$1)</f>
        <v>686.76481907617006</v>
      </c>
      <c r="V107" s="55">
        <f>_xll.EQNXTDZ($A$1,$B107,V$1,$B$1)</f>
        <v>801.27515094578598</v>
      </c>
      <c r="W107" s="55">
        <f>_xll.EQNXTDZ($A$1,$B107,W$1,$B$1)</f>
        <v>1184.4000000000001</v>
      </c>
      <c r="X107" s="55">
        <f>_xll.EQNXTDZ($A$1,$B107,X$1,$B$1)</f>
        <v>1375</v>
      </c>
      <c r="Y107" s="55">
        <f>_xll.EQNXTDZ($A$1,$B107,Y$1,$B$1)</f>
        <v>1427.5</v>
      </c>
      <c r="Z107" s="55">
        <f>_xll.EQNXTDZ($A$1,$B107,Z$1,$B$1)</f>
        <v>1512.4</v>
      </c>
      <c r="AA107" s="55">
        <f>_xll.EQNXTDZ($A$1,$B107,AA$1,$B$1)</f>
        <v>1608.95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28.096208040988198</v>
      </c>
      <c r="D108" s="55">
        <f>_xll.EQNXTDZ($A$1,$B108,D$1,$B$1)</f>
        <v>20.546170050754899</v>
      </c>
      <c r="E108" s="55">
        <f>_xll.EQNXTDZ($A$1,$B108,E$1,$B$1)</f>
        <v>21.950477116938298</v>
      </c>
      <c r="F108" s="55">
        <f>_xll.EQNXTDZ($A$1,$B108,F$1,$B$1)</f>
        <v>25.9721306864026</v>
      </c>
      <c r="G108" s="55">
        <f>_xll.EQNXTDZ($A$1,$B108,G$1,$B$1)</f>
        <v>40.629271104775498</v>
      </c>
      <c r="H108" s="55">
        <f>_xll.EQNXTDZ($A$1,$B108,H$1,$B$1)</f>
        <v>51.551659397313003</v>
      </c>
      <c r="I108" s="55">
        <f>_xll.EQNXTDZ($A$1,$B108,I$1,$B$1)</f>
        <v>98.562093607498696</v>
      </c>
      <c r="J108" s="55">
        <f>_xll.EQNXTDZ($A$1,$B108,J$1,$B$1)</f>
        <v>161.58735195701701</v>
      </c>
      <c r="K108" s="55">
        <f>_xll.EQNXTDZ($A$1,$B108,K$1,$B$1)</f>
        <v>115.154204842932</v>
      </c>
      <c r="L108" s="55">
        <f>_xll.EQNXTDZ($A$1,$B108,L$1,$B$1)</f>
        <v>185.42922522852999</v>
      </c>
      <c r="M108" s="55">
        <f>_xll.EQNXTDZ($A$1,$B108,M$1,$B$1)</f>
        <v>208.15670296930401</v>
      </c>
      <c r="N108" s="55">
        <f>_xll.EQNXTDZ($A$1,$B108,N$1,$B$1)</f>
        <v>170.26725492420999</v>
      </c>
      <c r="O108" s="55">
        <f>_xll.EQNXTDZ($A$1,$B108,O$1,$B$1)</f>
        <v>166.16875580560699</v>
      </c>
      <c r="P108" s="55">
        <f>_xll.EQNXTDZ($A$1,$B108,P$1,$B$1)</f>
        <v>189.44724022546899</v>
      </c>
      <c r="Q108" s="55">
        <f>_xll.EQNXTDZ($A$1,$B108,Q$1,$B$1)</f>
        <v>197.30991980345399</v>
      </c>
      <c r="R108" s="55">
        <f>_xll.EQNXTDZ($A$1,$B108,R$1,$B$1)</f>
        <v>201.58176933794999</v>
      </c>
      <c r="S108" s="55">
        <f>_xll.EQNXTDZ($A$1,$B108,S$1,$B$1)</f>
        <v>229.243542845381</v>
      </c>
      <c r="T108" s="55">
        <f>_xll.EQNXTDZ($A$1,$B108,T$1,$B$1)</f>
        <v>320.69826940128399</v>
      </c>
      <c r="U108" s="55">
        <f>_xll.EQNXTDZ($A$1,$B108,U$1,$B$1)</f>
        <v>438.87372434977198</v>
      </c>
      <c r="V108" s="55">
        <f>_xll.EQNXTDZ($A$1,$B108,V$1,$B$1)</f>
        <v>433.72274056325</v>
      </c>
      <c r="W108" s="55">
        <f>_xll.EQNXTDZ($A$1,$B108,W$1,$B$1)</f>
        <v>517.45099143936795</v>
      </c>
      <c r="X108" s="55">
        <f>_xll.EQNXTDZ($A$1,$B108,X$1,$B$1)</f>
        <v>938.8</v>
      </c>
      <c r="Y108" s="55">
        <f>_xll.EQNXTDZ($A$1,$B108,Y$1,$B$1)</f>
        <v>1090</v>
      </c>
      <c r="Z108" s="55">
        <f>_xll.EQNXTDZ($A$1,$B108,Z$1,$B$1)</f>
        <v>1110.5250000000001</v>
      </c>
      <c r="AA108" s="55">
        <f>_xll.EQNXTDZ($A$1,$B108,AA$1,$B$1)</f>
        <v>1156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41180.924099999997</v>
      </c>
      <c r="D109" s="55">
        <f>_xll.EQNXTDZ($A$1,$B109,D$1,$B$1)</f>
        <v>31680.549200000001</v>
      </c>
      <c r="E109" s="55">
        <f>_xll.EQNXTDZ($A$1,$B109,E$1,$B$1)</f>
        <v>38590.208400000003</v>
      </c>
      <c r="F109" s="55">
        <f>_xll.EQNXTDZ($A$1,$B109,F$1,$B$1)</f>
        <v>75109.089749999999</v>
      </c>
      <c r="G109" s="55">
        <f>_xll.EQNXTDZ($A$1,$B109,G$1,$B$1)</f>
        <v>76055.748550000004</v>
      </c>
      <c r="H109" s="55">
        <f>_xll.EQNXTDZ($A$1,$B109,H$1,$B$1)</f>
        <v>110931.16125</v>
      </c>
      <c r="I109" s="55">
        <f>_xll.EQNXTDZ($A$1,$B109,I$1,$B$1)</f>
        <v>190639.89035</v>
      </c>
      <c r="J109" s="55">
        <f>_xll.EQNXTDZ($A$1,$B109,J$1,$B$1)</f>
        <v>329120.1655</v>
      </c>
      <c r="K109" s="55">
        <f>_xll.EQNXTDZ($A$1,$B109,K$1,$B$1)</f>
        <v>209391.25760000001</v>
      </c>
      <c r="L109" s="55">
        <f>_xll.EQNXTDZ($A$1,$B109,L$1,$B$1)</f>
        <v>320032.91930000001</v>
      </c>
      <c r="M109" s="55">
        <f>_xll.EQNXTDZ($A$1,$B109,M$1,$B$1)</f>
        <v>312349.18</v>
      </c>
      <c r="N109" s="55">
        <f>_xll.EQNXTDZ($A$1,$B109,N$1,$B$1)</f>
        <v>222903.67499999999</v>
      </c>
      <c r="O109" s="55">
        <f>_xll.EQNXTDZ($A$1,$B109,O$1,$B$1)</f>
        <v>227158.32</v>
      </c>
      <c r="P109" s="55">
        <f>_xll.EQNXTDZ($A$1,$B109,P$1,$B$1)</f>
        <v>273273</v>
      </c>
      <c r="Q109" s="55">
        <f>_xll.EQNXTDZ($A$1,$B109,Q$1,$B$1)</f>
        <v>242709.21</v>
      </c>
      <c r="R109" s="55">
        <f>_xll.EQNXTDZ($A$1,$B109,R$1,$B$1)</f>
        <v>308139.7</v>
      </c>
      <c r="S109" s="55">
        <f>_xll.EQNXTDZ($A$1,$B109,S$1,$B$1)</f>
        <v>390351.28</v>
      </c>
      <c r="T109" s="55">
        <f>_xll.EQNXTDZ($A$1,$B109,T$1,$B$1)</f>
        <v>522794.16</v>
      </c>
      <c r="U109" s="55">
        <f>_xll.EQNXTDZ($A$1,$B109,U$1,$B$1)</f>
        <v>807743.43</v>
      </c>
      <c r="V109" s="55">
        <f>_xll.EQNXTDZ($A$1,$B109,V$1,$B$1)</f>
        <v>705182.05500000005</v>
      </c>
      <c r="W109" s="55">
        <f>_xll.EQNXTDZ($A$1,$B109,W$1,$B$1)</f>
        <v>1291062.3999999999</v>
      </c>
      <c r="X109" s="55">
        <f>_xll.EQNXTDZ($A$1,$B109,X$1,$B$1)</f>
        <v>1781867.175</v>
      </c>
      <c r="Y109" s="55">
        <f>_xll.EQNXTDZ($A$1,$B109,Y$1,$B$1)</f>
        <v>1577188.43</v>
      </c>
      <c r="Z109" s="55">
        <f>_xll.EQNXTDZ($A$1,$B109,Z$1,$B$1)</f>
        <v>2014102.88</v>
      </c>
      <c r="AA109" s="55">
        <f>_xll.EQNXTDZ($A$1,$B109,AA$1,$B$1)</f>
        <v>1725330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0.42783548611322098</v>
      </c>
      <c r="D110" s="55">
        <f>_xll.EQNXTDZ($A$1,$B110,D$1,$B$1)</f>
        <v>0.47816907271477599</v>
      </c>
      <c r="E110" s="55">
        <f>_xll.EQNXTDZ($A$1,$B110,E$1,$B$1)</f>
        <v>0.50333586601555402</v>
      </c>
      <c r="F110" s="55">
        <f>_xll.EQNXTDZ($A$1,$B110,F$1,$B$1)</f>
        <v>0.528502659316332</v>
      </c>
      <c r="G110" s="55">
        <f>_xll.EQNXTDZ($A$1,$B110,G$1,$B$1)</f>
        <v>0.75500379902333103</v>
      </c>
      <c r="H110" s="55">
        <f>_xll.EQNXTDZ($A$1,$B110,H$1,$B$1)</f>
        <v>1.23821725637561</v>
      </c>
      <c r="I110" s="55">
        <f>_xll.EQNXTDZ($A$1,$B110,I$1,$B$1)</f>
        <v>1.36203898201317</v>
      </c>
      <c r="J110" s="55">
        <f>_xll.EQNXTDZ($A$1,$B110,J$1,$B$1)</f>
        <v>1.6096824332883</v>
      </c>
      <c r="K110" s="55">
        <f>_xll.EQNXTDZ($A$1,$B110,K$1,$B$1)</f>
        <v>1.6096824332883</v>
      </c>
      <c r="L110" s="55">
        <f>_xll.EQNXTDZ($A$1,$B110,L$1,$B$1)</f>
        <v>1.73350415892586</v>
      </c>
      <c r="M110" s="55">
        <f>_xll.EQNXTDZ($A$1,$B110,M$1,$B$1)</f>
        <v>1.98114761020098</v>
      </c>
      <c r="N110" s="55">
        <f>_xll.EQNXTDZ($A$1,$B110,N$1,$B$1)</f>
        <v>2.1039603960396001</v>
      </c>
      <c r="O110" s="55">
        <f>_xll.EQNXTDZ($A$1,$B110,O$1,$B$1)</f>
        <v>2.2277227722772301</v>
      </c>
      <c r="P110" s="55">
        <f>_xll.EQNXTDZ($A$1,$B110,P$1,$B$1)</f>
        <v>2.35148514851485</v>
      </c>
      <c r="Q110" s="55">
        <f>_xll.EQNXTDZ($A$1,$B110,Q$1,$B$1)</f>
        <v>2.4752475247524801</v>
      </c>
      <c r="R110" s="55">
        <f>_xll.EQNXTDZ($A$1,$B110,R$1,$B$1)</f>
        <v>2.5990099009901</v>
      </c>
      <c r="S110" s="55">
        <f>_xll.EQNXTDZ($A$1,$B110,S$1,$B$1)</f>
        <v>2.7227722772277199</v>
      </c>
      <c r="T110" s="55">
        <f>_xll.EQNXTDZ($A$1,$B110,T$1,$B$1)</f>
        <v>2.9702970297029698</v>
      </c>
      <c r="U110" s="55">
        <f>_xll.EQNXTDZ($A$1,$B110,U$1,$B$1)</f>
        <v>3.2178217821782198</v>
      </c>
      <c r="V110" s="55">
        <f>_xll.EQNXTDZ($A$1,$B110,V$1,$B$1)</f>
        <v>3.2178217821782198</v>
      </c>
      <c r="W110" s="55">
        <f>_xll.EQNXTDZ($A$1,$B110,W$1,$B$1)</f>
        <v>3.5</v>
      </c>
      <c r="X110" s="55">
        <f>_xll.EQNXTDZ($A$1,$B110,X$1,$B$1)</f>
        <v>4</v>
      </c>
      <c r="Y110" s="55">
        <f>_xll.EQNXTDZ($A$1,$B110,Y$1,$B$1)</f>
        <v>4.5</v>
      </c>
      <c r="Z110" s="55">
        <f>_xll.EQNXTDZ($A$1,$B110,Z$1,$B$1)</f>
        <v>5</v>
      </c>
      <c r="AA110" s="55">
        <f>_xll.EQNXTDZ($A$1,$B110,AA$1,$B$1)</f>
        <v>5.5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0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43.24</v>
      </c>
      <c r="D112" s="56">
        <f>_xll.EQNXTDZ($A$1,$B112,D$5)</f>
        <v>43.77</v>
      </c>
      <c r="E112" s="56">
        <f>_xll.EQNXTDZ($A$1,$B112,E$5)</f>
        <v>46.52</v>
      </c>
      <c r="F112" s="56">
        <f>_xll.EQNXTDZ($A$1,$B112,F$5)</f>
        <v>46.67</v>
      </c>
      <c r="G112" s="56">
        <f>_xll.EQNXTDZ($A$1,$B112,G$5)</f>
        <v>46.76</v>
      </c>
      <c r="H112" s="56">
        <f>_xll.EQNXTDZ($A$1,$B112,H$5)</f>
        <v>47.9</v>
      </c>
      <c r="I112" s="56">
        <f>_xll.EQNXTDZ($A$1,$B112,I$5)</f>
        <v>50.98</v>
      </c>
      <c r="J112" s="56">
        <f>_xll.EQNXTDZ($A$1,$B112,J$5)</f>
        <v>51.37</v>
      </c>
      <c r="K112" s="56">
        <f>_xll.EQNXTDZ($A$1,$B112,K$5)</f>
        <v>49.03</v>
      </c>
      <c r="L112" s="56">
        <f>_xll.EQNXTDZ($A$1,$B112,L$5)</f>
        <v>44.76</v>
      </c>
      <c r="M112" s="56">
        <f>_xll.EQNXTDZ($A$1,$B112,M$5)</f>
        <v>44.72</v>
      </c>
      <c r="N112" s="56">
        <f>_xll.EQNXTDZ($A$1,$B112,N$5)</f>
        <v>44.75</v>
      </c>
      <c r="O112" s="56">
        <f>_xll.EQNXTDZ($A$1,$B112,O$5)</f>
        <v>45.34</v>
      </c>
      <c r="P112" s="56">
        <f>_xll.EQNXTDZ($A$1,$B112,P$5)</f>
        <v>45.3</v>
      </c>
      <c r="Q112" s="56">
        <f>_xll.EQNXTDZ($A$1,$B112,Q$5)</f>
        <v>45.24</v>
      </c>
      <c r="R112" s="56">
        <f>_xll.EQNXTDZ($A$1,$B112,R$5)</f>
        <v>46.53</v>
      </c>
      <c r="S112" s="56">
        <f>_xll.EQNXTDZ($A$1,$B112,S$5)</f>
        <v>46.32</v>
      </c>
      <c r="T112" s="56">
        <f>_xll.EQNXTDZ($A$1,$B112,T$5)</f>
        <v>47.45</v>
      </c>
      <c r="U112" s="56">
        <f>_xll.EQNXTDZ($A$1,$B112,U$5)</f>
        <v>47.27</v>
      </c>
      <c r="V112" s="56">
        <f>_xll.EQNXTDZ($A$1,$B112,V$5)</f>
        <v>50.07</v>
      </c>
      <c r="W112" s="56">
        <f>_xll.EQNXTDZ($A$1,$B112,W$5)</f>
        <v>50.58</v>
      </c>
      <c r="X112" s="56">
        <f>_xll.EQNXTDZ($A$1,$B112,X$5)</f>
        <v>50.66</v>
      </c>
      <c r="Y112" s="56">
        <f>_xll.EQNXTDZ($A$1,$B112,Y$5)</f>
        <v>50.41</v>
      </c>
      <c r="Z112" s="56">
        <f>_xll.EQNXTDZ($A$1,$B112,Z$5)</f>
        <v>50.31</v>
      </c>
      <c r="AA112" s="56">
        <f>_xll.EQNXTDZ($A$1,$B112,AA$5)</f>
        <v>50.11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JS16" sqref="JS16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100325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175.176939987536</v>
      </c>
      <c r="D6" cm="1">
        <f t="array" ref="D6">_xll.EQNXTDZ($A$1,$B6,D$1)</f>
        <v>182.14835563841501</v>
      </c>
      <c r="E6" cm="1">
        <f t="array" ref="E6">_xll.EQNXTDZ($A$1,$B6,E$1)</f>
        <v>183.32470463811899</v>
      </c>
      <c r="F6" cm="1">
        <f t="array" ref="F6">_xll.EQNXTDZ($A$1,$B6,F$1)</f>
        <v>190.19705932060199</v>
      </c>
      <c r="G6" cm="1">
        <f t="array" ref="G6">_xll.EQNXTDZ($A$1,$B6,G$1)</f>
        <v>208.02803363190799</v>
      </c>
      <c r="H6" cm="1">
        <f t="array" ref="H6">_xll.EQNXTDZ($A$1,$B6,H$1)</f>
        <v>196.88367468734199</v>
      </c>
      <c r="I6" cm="1">
        <f t="array" ref="I6">_xll.EQNXTDZ($A$1,$B6,I$1)</f>
        <v>196.88367468734199</v>
      </c>
      <c r="J6" cm="1">
        <f t="array" ref="J6">_xll.EQNXTDZ($A$1,$B6,J$1)</f>
        <v>209.01864331587001</v>
      </c>
      <c r="K6" cm="1">
        <f t="array" ref="K6">_xll.EQNXTDZ($A$1,$B6,K$1)</f>
        <v>220.74498544976299</v>
      </c>
      <c r="L6" cm="1">
        <f t="array" ref="L6">_xll.EQNXTDZ($A$1,$B6,L$1)</f>
        <v>202.08437552813899</v>
      </c>
      <c r="M6" cm="1">
        <f t="array" ref="M6">_xll.EQNXTDZ($A$1,$B6,M$1)</f>
        <v>193.416540793476</v>
      </c>
      <c r="N6" cm="1">
        <f t="array" ref="N6">_xll.EQNXTDZ($A$1,$B6,N$1)</f>
        <v>195.00151628781501</v>
      </c>
      <c r="O6" cm="1">
        <f t="array" ref="O6">_xll.EQNXTDZ($A$1,$B6,O$1)</f>
        <v>199.038250749958</v>
      </c>
      <c r="P6" cm="1">
        <f t="array" ref="P6">_xll.EQNXTDZ($A$1,$B6,P$1)</f>
        <v>213.476386893696</v>
      </c>
      <c r="Q6" cm="1">
        <f t="array" ref="Q6">_xll.EQNXTDZ($A$1,$B6,Q$1)</f>
        <v>216.733016229719</v>
      </c>
      <c r="R6" cm="1">
        <f t="array" ref="R6">_xll.EQNXTDZ($A$1,$B6,R$1)</f>
        <v>211.29704558898101</v>
      </c>
      <c r="S6" cm="1">
        <f t="array" ref="S6">_xll.EQNXTDZ($A$1,$B6,S$1)</f>
        <v>204.63519546434</v>
      </c>
      <c r="T6" cm="1">
        <f t="array" ref="T6">_xll.EQNXTDZ($A$1,$B6,T$1)</f>
        <v>225.38846834333299</v>
      </c>
      <c r="U6" cm="1">
        <f t="array" ref="U6">_xll.EQNXTDZ($A$1,$B6,U$1)</f>
        <v>211.24751510478299</v>
      </c>
      <c r="V6" cm="1">
        <f t="array" ref="V6">_xll.EQNXTDZ($A$1,$B6,V$1)</f>
        <v>222.25566521780499</v>
      </c>
      <c r="W6" cm="1">
        <f t="array" ref="W6">_xll.EQNXTDZ($A$1,$B6,W$1)</f>
        <v>204.61043022224101</v>
      </c>
      <c r="X6" cm="1">
        <f t="array" ref="X6">_xll.EQNXTDZ($A$1,$B6,X$1)</f>
        <v>198.14670203439201</v>
      </c>
      <c r="Y6" cm="1">
        <f t="array" ref="Y6">_xll.EQNXTDZ($A$1,$B6,Y$1)</f>
        <v>231.80266604698301</v>
      </c>
      <c r="Z6" cm="1">
        <f t="array" ref="Z6">_xll.EQNXTDZ($A$1,$B6,Z$1)</f>
        <v>232.793275730945</v>
      </c>
      <c r="AA6" cm="1">
        <f t="array" ref="AA6">_xll.EQNXTDZ($A$1,$B6,AA$1)</f>
        <v>266.16443945939699</v>
      </c>
      <c r="AB6" cm="1">
        <f t="array" ref="AB6">_xll.EQNXTDZ($A$1,$B6,AB$1)</f>
        <v>251.91204263140099</v>
      </c>
      <c r="AC6" cm="1">
        <f t="array" ref="AC6">_xll.EQNXTDZ($A$1,$B6,AC$1)</f>
        <v>246.41415888541499</v>
      </c>
      <c r="AD6" cm="1">
        <f t="array" ref="AD6">_xll.EQNXTDZ($A$1,$B6,AD$1)</f>
        <v>248.72970902167501</v>
      </c>
      <c r="AE6" cm="1">
        <f t="array" ref="AE6">_xll.EQNXTDZ($A$1,$B6,AE$1)</f>
        <v>233.68482444650999</v>
      </c>
      <c r="AF6" cm="1">
        <f t="array" ref="AF6">_xll.EQNXTDZ($A$1,$B6,AF$1)</f>
        <v>248.643030674328</v>
      </c>
      <c r="AG6" cm="1">
        <f t="array" ref="AG6">_xll.EQNXTDZ($A$1,$B6,AG$1)</f>
        <v>244.92824435947301</v>
      </c>
      <c r="AH6" cm="1">
        <f t="array" ref="AH6">_xll.EQNXTDZ($A$1,$B6,AH$1)</f>
        <v>219.49434072376201</v>
      </c>
      <c r="AI6" cm="1">
        <f t="array" ref="AI6">_xll.EQNXTDZ($A$1,$B6,AI$1)</f>
        <v>226.862000248225</v>
      </c>
      <c r="AJ6" cm="1">
        <f t="array" ref="AJ6">_xll.EQNXTDZ($A$1,$B6,AJ$1)</f>
        <v>215.209953840629</v>
      </c>
      <c r="AK6" cm="1">
        <f t="array" ref="AK6">_xll.EQNXTDZ($A$1,$B6,AK$1)</f>
        <v>204.288482074954</v>
      </c>
      <c r="AL6" cm="1">
        <f t="array" ref="AL6">_xll.EQNXTDZ($A$1,$B6,AL$1)</f>
        <v>214.51652706185601</v>
      </c>
      <c r="AM6" cm="1">
        <f t="array" ref="AM6">_xll.EQNXTDZ($A$1,$B6,AM$1)</f>
        <v>217.93413047152299</v>
      </c>
      <c r="AN6" cm="1">
        <f t="array" ref="AN6">_xll.EQNXTDZ($A$1,$B6,AN$1)</f>
        <v>247.900073411357</v>
      </c>
      <c r="AO6" cm="1">
        <f t="array" ref="AO6">_xll.EQNXTDZ($A$1,$B6,AO$1)</f>
        <v>247.900073411357</v>
      </c>
      <c r="AP6" cm="1">
        <f t="array" ref="AP6">_xll.EQNXTDZ($A$1,$B6,AP$1)</f>
        <v>211.47040228367399</v>
      </c>
      <c r="AQ6" cm="1">
        <f t="array" ref="AQ6">_xll.EQNXTDZ($A$1,$B6,AQ$1)</f>
        <v>216.43583332453099</v>
      </c>
      <c r="AR6" cm="1">
        <f t="array" ref="AR6">_xll.EQNXTDZ($A$1,$B6,AR$1)</f>
        <v>235.02214751985801</v>
      </c>
      <c r="AS6" cm="1">
        <f t="array" ref="AS6">_xll.EQNXTDZ($A$1,$B6,AS$1)</f>
        <v>238.73693383471399</v>
      </c>
      <c r="AT6" cm="1">
        <f t="array" ref="AT6">_xll.EQNXTDZ($A$1,$B6,AT$1)</f>
        <v>250.07941471607199</v>
      </c>
      <c r="AU6" cm="1">
        <f t="array" ref="AU6">_xll.EQNXTDZ($A$1,$B6,AU$1)</f>
        <v>257.54613520893201</v>
      </c>
      <c r="AV6" cm="1">
        <f t="array" ref="AV6">_xll.EQNXTDZ($A$1,$B6,AV$1)</f>
        <v>238.91029052940701</v>
      </c>
      <c r="AW6" cm="1">
        <f t="array" ref="AW6">_xll.EQNXTDZ($A$1,$B6,AW$1)</f>
        <v>257.33563065109001</v>
      </c>
      <c r="AX6" cm="1">
        <f t="array" ref="AX6">_xll.EQNXTDZ($A$1,$B6,AX$1)</f>
        <v>242.45172014956901</v>
      </c>
      <c r="AY6" cm="1">
        <f t="array" ref="AY6">_xll.EQNXTDZ($A$1,$B6,AY$1)</f>
        <v>237.23863668772199</v>
      </c>
      <c r="AZ6" cm="1">
        <f t="array" ref="AZ6">_xll.EQNXTDZ($A$1,$B6,AZ$1)</f>
        <v>240.903892518379</v>
      </c>
      <c r="BA6" cm="1">
        <f t="array" ref="BA6">_xll.EQNXTDZ($A$1,$B6,BA$1)</f>
        <v>252.110164568193</v>
      </c>
      <c r="BB6" cm="1">
        <f t="array" ref="BB6">_xll.EQNXTDZ($A$1,$B6,BB$1)</f>
        <v>260.77799930285602</v>
      </c>
      <c r="BC6" cm="1">
        <f t="array" ref="BC6">_xll.EQNXTDZ($A$1,$B6,BC$1)</f>
        <v>269.19818161652898</v>
      </c>
      <c r="BD6" cm="1">
        <f t="array" ref="BD6">_xll.EQNXTDZ($A$1,$B6,BD$1)</f>
        <v>260.35699018717298</v>
      </c>
      <c r="BE6" cm="1">
        <f t="array" ref="BE6">_xll.EQNXTDZ($A$1,$B6,BE$1)</f>
        <v>247.65242099036701</v>
      </c>
      <c r="BF6" cm="1">
        <f t="array" ref="BF6">_xll.EQNXTDZ($A$1,$B6,BF$1)</f>
        <v>268.45522435355798</v>
      </c>
      <c r="BG6" cm="1">
        <f t="array" ref="BG6">_xll.EQNXTDZ($A$1,$B6,BG$1)</f>
        <v>259.06919759802298</v>
      </c>
      <c r="BH6" cm="1">
        <f t="array" ref="BH6">_xll.EQNXTDZ($A$1,$B6,BH$1)</f>
        <v>307.11376727015403</v>
      </c>
      <c r="BI6" cm="1">
        <f t="array" ref="BI6">_xll.EQNXTDZ($A$1,$B6,BI$1)</f>
        <v>332.34954896907198</v>
      </c>
      <c r="BJ6" cm="1">
        <f t="array" ref="BJ6">_xll.EQNXTDZ($A$1,$B6,BJ$1)</f>
        <v>347.20869422849398</v>
      </c>
      <c r="BK6" cm="1">
        <f t="array" ref="BK6">_xll.EQNXTDZ($A$1,$B6,BK$1)</f>
        <v>330.04638145386201</v>
      </c>
      <c r="BL6" cm="1">
        <f t="array" ref="BL6">_xll.EQNXTDZ($A$1,$B6,BL$1)</f>
        <v>343.791090818827</v>
      </c>
      <c r="BM6" cm="1">
        <f t="array" ref="BM6">_xll.EQNXTDZ($A$1,$B6,BM$1)</f>
        <v>401.87796616211801</v>
      </c>
      <c r="BN6" cm="1">
        <f t="array" ref="BN6">_xll.EQNXTDZ($A$1,$B6,BN$1)</f>
        <v>396.20672572143798</v>
      </c>
      <c r="BO6" cm="1">
        <f t="array" ref="BO6">_xll.EQNXTDZ($A$1,$B6,BO$1)</f>
        <v>393.76734937468302</v>
      </c>
      <c r="BP6" cm="1">
        <f t="array" ref="BP6">_xll.EQNXTDZ($A$1,$B6,BP$1)</f>
        <v>469.42516398724001</v>
      </c>
      <c r="BQ6" cm="1">
        <f t="array" ref="BQ6">_xll.EQNXTDZ($A$1,$B6,BQ$1)</f>
        <v>457.88456116908901</v>
      </c>
      <c r="BR6" cm="1">
        <f t="array" ref="BR6">_xll.EQNXTDZ($A$1,$B6,BR$1)</f>
        <v>457.01777769562301</v>
      </c>
      <c r="BS6" cm="1">
        <f t="array" ref="BS6">_xll.EQNXTDZ($A$1,$B6,BS$1)</f>
        <v>477.10238903794198</v>
      </c>
      <c r="BT6" cm="1">
        <f t="array" ref="BT6">_xll.EQNXTDZ($A$1,$B6,BT$1)</f>
        <v>470.41577367120198</v>
      </c>
      <c r="BU6" cm="1">
        <f t="array" ref="BU6">_xll.EQNXTDZ($A$1,$B6,BU$1)</f>
        <v>442.30722388879502</v>
      </c>
      <c r="BV6" cm="1">
        <f t="array" ref="BV6">_xll.EQNXTDZ($A$1,$B6,BV$1)</f>
        <v>478.95978219536897</v>
      </c>
      <c r="BW6" cm="1">
        <f t="array" ref="BW6">_xll.EQNXTDZ($A$1,$B6,BW$1)</f>
        <v>455.68045462227502</v>
      </c>
      <c r="BX6" cm="1">
        <f t="array" ref="BX6">_xll.EQNXTDZ($A$1,$B6,BX$1)</f>
        <v>481.60966309996599</v>
      </c>
      <c r="BY6" cm="1">
        <f t="array" ref="BY6">_xll.EQNXTDZ($A$1,$B6,BY$1)</f>
        <v>589.61088389386498</v>
      </c>
      <c r="BZ6" cm="1">
        <f t="array" ref="BZ6">_xll.EQNXTDZ($A$1,$B6,BZ$1)</f>
        <v>616.65452826601302</v>
      </c>
      <c r="CA6" cm="1">
        <f t="array" ref="CA6">_xll.EQNXTDZ($A$1,$B6,CA$1)</f>
        <v>622.94489975916804</v>
      </c>
      <c r="CB6" cm="1">
        <f t="array" ref="CB6">_xll.EQNXTDZ($A$1,$B6,CB$1)</f>
        <v>528.93604075122505</v>
      </c>
      <c r="CC6" cm="1">
        <f t="array" ref="CC6">_xll.EQNXTDZ($A$1,$B6,CC$1)</f>
        <v>581.93365884316404</v>
      </c>
      <c r="CD6" cm="1">
        <f t="array" ref="CD6">_xll.EQNXTDZ($A$1,$B6,CD$1)</f>
        <v>557.34177343882004</v>
      </c>
      <c r="CE6" cm="1">
        <f t="array" ref="CE6">_xll.EQNXTDZ($A$1,$B6,CE$1)</f>
        <v>611.20617500422497</v>
      </c>
      <c r="CF6" cm="1">
        <f t="array" ref="CF6">_xll.EQNXTDZ($A$1,$B6,CF$1)</f>
        <v>612.69208953016698</v>
      </c>
      <c r="CG6" cm="1">
        <f t="array" ref="CG6">_xll.EQNXTDZ($A$1,$B6,CG$1)</f>
        <v>678.56763351360496</v>
      </c>
      <c r="CH6" cm="1">
        <f t="array" ref="CH6">_xll.EQNXTDZ($A$1,$B6,CH$1)</f>
        <v>689.46434003718105</v>
      </c>
      <c r="CI6" cm="1">
        <f t="array" ref="CI6">_xll.EQNXTDZ($A$1,$B6,CI$1)</f>
        <v>661.23196404427904</v>
      </c>
      <c r="CJ6" cm="1">
        <f t="array" ref="CJ6">_xll.EQNXTDZ($A$1,$B6,CJ$1)</f>
        <v>623.11825645386205</v>
      </c>
      <c r="CK6" cm="1">
        <f t="array" ref="CK6">_xll.EQNXTDZ($A$1,$B6,CK$1)</f>
        <v>576.23765316038498</v>
      </c>
      <c r="CL6" cm="1">
        <f t="array" ref="CL6">_xll.EQNXTDZ($A$1,$B6,CL$1)</f>
        <v>615.29243995056595</v>
      </c>
      <c r="CM6" cm="1">
        <f t="array" ref="CM6">_xll.EQNXTDZ($A$1,$B6,CM$1)</f>
        <v>662.22257372824095</v>
      </c>
      <c r="CN6" cm="1">
        <f t="array" ref="CN6">_xll.EQNXTDZ($A$1,$B6,CN$1)</f>
        <v>720.66854508196695</v>
      </c>
      <c r="CO6" cm="1">
        <f t="array" ref="CO6">_xll.EQNXTDZ($A$1,$B6,CO$1)</f>
        <v>792.48774716917399</v>
      </c>
      <c r="CP6" cm="1">
        <f t="array" ref="CP6">_xll.EQNXTDZ($A$1,$B6,CP$1)</f>
        <v>751.87275012675298</v>
      </c>
      <c r="CQ6" cm="1">
        <f t="array" ref="CQ6">_xll.EQNXTDZ($A$1,$B6,CQ$1)</f>
        <v>696.05189443552501</v>
      </c>
      <c r="CR6" cm="1">
        <f t="array" ref="CR6">_xll.EQNXTDZ($A$1,$B6,CR$1)</f>
        <v>671.18759136809194</v>
      </c>
      <c r="CS6" cm="1">
        <f t="array" ref="CS6">_xll.EQNXTDZ($A$1,$B6,CS$1)</f>
        <v>555.85585891287803</v>
      </c>
      <c r="CT6" cm="1">
        <f t="array" ref="CT6">_xll.EQNXTDZ($A$1,$B6,CT$1)</f>
        <v>713.23897245225601</v>
      </c>
      <c r="CU6" cm="1">
        <f t="array" ref="CU6">_xll.EQNXTDZ($A$1,$B6,CU$1)</f>
        <v>740</v>
      </c>
      <c r="CV6" cm="1">
        <f t="array" ref="CV6">_xll.EQNXTDZ($A$1,$B6,CV$1)</f>
        <v>860</v>
      </c>
      <c r="CW6" cm="1">
        <f t="array" ref="CW6">_xll.EQNXTDZ($A$1,$B6,CW$1)</f>
        <v>1025.6500000000001</v>
      </c>
      <c r="CX6" cm="1">
        <f t="array" ref="CX6">_xll.EQNXTDZ($A$1,$B6,CX$1)</f>
        <v>1050</v>
      </c>
      <c r="CY6" cm="1">
        <f t="array" ref="CY6">_xll.EQNXTDZ($A$1,$B6,CY$1)</f>
        <v>1131.9000000000001</v>
      </c>
      <c r="CZ6" cm="1">
        <f t="array" ref="CZ6">_xll.EQNXTDZ($A$1,$B6,CZ$1)</f>
        <v>1013.5</v>
      </c>
      <c r="DA6" cm="1">
        <f t="array" ref="DA6">_xll.EQNXTDZ($A$1,$B6,DA$1)</f>
        <v>970.17499999999995</v>
      </c>
      <c r="DB6" cm="1">
        <f t="array" ref="DB6">_xll.EQNXTDZ($A$1,$B6,DB$1)</f>
        <v>994</v>
      </c>
      <c r="DC6" cm="1">
        <f t="array" ref="DC6">_xll.EQNXTDZ($A$1,$B6,DC$1)</f>
        <v>929.7</v>
      </c>
      <c r="DD6" cm="1">
        <f t="array" ref="DD6">_xll.EQNXTDZ($A$1,$B6,DD$1)</f>
        <v>1055.0999999999999</v>
      </c>
      <c r="DE6" cm="1">
        <f t="array" ref="DE6">_xll.EQNXTDZ($A$1,$B6,DE$1)</f>
        <v>1009</v>
      </c>
      <c r="DF6" cm="1">
        <f t="array" ref="DF6">_xll.EQNXTDZ($A$1,$B6,DF$1)</f>
        <v>983</v>
      </c>
      <c r="DG6" cm="1">
        <f t="array" ref="DG6">_xll.EQNXTDZ($A$1,$B6,DG$1)</f>
        <v>1083</v>
      </c>
      <c r="DH6" cm="1">
        <f t="array" ref="DH6">_xll.EQNXTDZ($A$1,$B6,DH$1)</f>
        <v>1059</v>
      </c>
      <c r="DI6" cm="1">
        <f t="array" ref="DI6">_xll.EQNXTDZ($A$1,$B6,DI$1)</f>
        <v>1027.1500000000001</v>
      </c>
      <c r="DJ6" cm="1">
        <f t="array" ref="DJ6">_xll.EQNXTDZ($A$1,$B6,DJ$1)</f>
        <v>1136.5</v>
      </c>
      <c r="DK6" cm="1">
        <f t="array" ref="DK6">_xll.EQNXTDZ($A$1,$B6,DK$1)</f>
        <v>1250.9749999999999</v>
      </c>
      <c r="DL6" cm="1">
        <f t="array" ref="DL6">_xll.EQNXTDZ($A$1,$B6,DL$1)</f>
        <v>1268.125</v>
      </c>
      <c r="DM6" cm="1">
        <f t="array" ref="DM6">_xll.EQNXTDZ($A$1,$B6,DM$1)</f>
        <v>1216.5</v>
      </c>
      <c r="DN6" cm="1">
        <f t="array" ref="DN6">_xll.EQNXTDZ($A$1,$B6,DN$1)</f>
        <v>1182.5</v>
      </c>
      <c r="DO6" cm="1">
        <f t="array" ref="DO6">_xll.EQNXTDZ($A$1,$B6,DO$1)</f>
        <v>1204</v>
      </c>
      <c r="DP6" cm="1">
        <f t="array" ref="DP6">_xll.EQNXTDZ($A$1,$B6,DP$1)</f>
        <v>1167.2249999999999</v>
      </c>
      <c r="DQ6" cm="1">
        <f t="array" ref="DQ6">_xll.EQNXTDZ($A$1,$B6,DQ$1)</f>
        <v>1318</v>
      </c>
      <c r="DR6" cm="1">
        <f t="array" ref="DR6">_xll.EQNXTDZ($A$1,$B6,DR$1)</f>
        <v>1381</v>
      </c>
      <c r="DS6" cm="1">
        <f t="array" ref="DS6">_xll.EQNXTDZ($A$1,$B6,DS$1)</f>
        <v>1317.15</v>
      </c>
      <c r="DT6" cm="1">
        <f t="array" ref="DT6">_xll.EQNXTDZ($A$1,$B6,DT$1)</f>
        <v>1287.45</v>
      </c>
      <c r="DU6" cm="1">
        <f t="array" ref="DU6">_xll.EQNXTDZ($A$1,$B6,DU$1)</f>
        <v>1259.575</v>
      </c>
      <c r="DV6" cm="1">
        <f t="array" ref="DV6">_xll.EQNXTDZ($A$1,$B6,DV$1)</f>
        <v>1291.325</v>
      </c>
      <c r="DW6" cm="1">
        <f t="array" ref="DW6">_xll.EQNXTDZ($A$1,$B6,DW$1)</f>
        <v>1195.75</v>
      </c>
      <c r="DX6" cm="1">
        <f t="array" ref="DX6">_xll.EQNXTDZ($A$1,$B6,DX$1)</f>
        <v>1300</v>
      </c>
      <c r="DY6" cm="1">
        <f t="array" ref="DY6">_xll.EQNXTDZ($A$1,$B6,DY$1)</f>
        <v>1370.9</v>
      </c>
      <c r="DZ6" cm="1">
        <f t="array" ref="DZ6">_xll.EQNXTDZ($A$1,$B6,DZ$1)</f>
        <v>1275</v>
      </c>
      <c r="EA6" cm="1">
        <f t="array" ref="EA6">_xll.EQNXTDZ($A$1,$B6,EA$1)</f>
        <v>1189.9749999999999</v>
      </c>
      <c r="EB6" cm="1">
        <f t="array" ref="EB6">_xll.EQNXTDZ($A$1,$B6,EB$1)</f>
        <v>1172</v>
      </c>
      <c r="EC6" cm="1">
        <f t="array" ref="EC6">_xll.EQNXTDZ($A$1,$B6,EC$1)</f>
        <v>1172.5</v>
      </c>
      <c r="ED6" cm="1">
        <f t="array" ref="ED6">_xll.EQNXTDZ($A$1,$B6,ED$1)</f>
        <v>1218.0999999999999</v>
      </c>
      <c r="EE6" cm="1">
        <f t="array" ref="EE6">_xll.EQNXTDZ($A$1,$B6,EE$1)</f>
        <v>1240.075</v>
      </c>
      <c r="EF6" cm="1">
        <f t="array" ref="EF6">_xll.EQNXTDZ($A$1,$B6,EF$1)</f>
        <v>1279.0250000000001</v>
      </c>
      <c r="EG6" cm="1">
        <f t="array" ref="EG6">_xll.EQNXTDZ($A$1,$B6,EG$1)</f>
        <v>1277.5</v>
      </c>
      <c r="EH6" cm="1">
        <f t="array" ref="EH6">_xll.EQNXTDZ($A$1,$B6,EH$1)</f>
        <v>1203.2750000000001</v>
      </c>
      <c r="EI6" cm="1">
        <f t="array" ref="EI6">_xll.EQNXTDZ($A$1,$B6,EI$1)</f>
        <v>1164.9749999999999</v>
      </c>
      <c r="EJ6" cm="1">
        <f t="array" ref="EJ6">_xll.EQNXTDZ($A$1,$B6,EJ$1)</f>
        <v>1144.575</v>
      </c>
      <c r="EK6" cm="1">
        <f t="array" ref="EK6">_xll.EQNXTDZ($A$1,$B6,EK$1)</f>
        <v>1189</v>
      </c>
      <c r="EL6" cm="1">
        <f t="array" ref="EL6">_xll.EQNXTDZ($A$1,$B6,EL$1)</f>
        <v>1290.2750000000001</v>
      </c>
      <c r="EM6" cm="1">
        <f t="array" ref="EM6">_xll.EQNXTDZ($A$1,$B6,EM$1)</f>
        <v>1435</v>
      </c>
      <c r="EN6" cm="1">
        <f t="array" ref="EN6">_xll.EQNXTDZ($A$1,$B6,EN$1)</f>
        <v>1463.5</v>
      </c>
      <c r="EO6" cm="1">
        <f t="array" ref="EO6">_xll.EQNXTDZ($A$1,$B6,EO$1)</f>
        <v>1492.4749999999999</v>
      </c>
      <c r="EP6" cm="1">
        <f t="array" ref="EP6">_xll.EQNXTDZ($A$1,$B6,EP$1)</f>
        <v>1472</v>
      </c>
      <c r="EQ6" cm="1">
        <f t="array" ref="EQ6">_xll.EQNXTDZ($A$1,$B6,EQ$1)</f>
        <v>1483</v>
      </c>
      <c r="ER6" cm="1">
        <f t="array" ref="ER6">_xll.EQNXTDZ($A$1,$B6,ER$1)</f>
        <v>1562.5250000000001</v>
      </c>
      <c r="ES6" cm="1">
        <f t="array" ref="ES6">_xll.EQNXTDZ($A$1,$B6,ES$1)</f>
        <v>1512</v>
      </c>
      <c r="ET6" cm="1">
        <f t="array" ref="ET6">_xll.EQNXTDZ($A$1,$B6,ET$1)</f>
        <v>1510.875</v>
      </c>
      <c r="EU6" cm="1">
        <f t="array" ref="EU6">_xll.EQNXTDZ($A$1,$B6,EU$1)</f>
        <v>1480.65</v>
      </c>
      <c r="EV6" cm="1">
        <f t="array" ref="EV6">_xll.EQNXTDZ($A$1,$B6,EV$1)</f>
        <v>1333.05</v>
      </c>
      <c r="EW6" cm="1">
        <f t="array" ref="EW6">_xll.EQNXTDZ($A$1,$B6,EW$1)</f>
        <v>1288</v>
      </c>
      <c r="EX6" cm="1">
        <f t="array" ref="EX6">_xll.EQNXTDZ($A$1,$B6,EX$1)</f>
        <v>1214.8499999999999</v>
      </c>
      <c r="EY6" cm="1">
        <f t="array" ref="EY6">_xll.EQNXTDZ($A$1,$B6,EY$1)</f>
        <v>1265.0999999999999</v>
      </c>
      <c r="EZ6" cm="1">
        <f t="array" ref="EZ6">_xll.EQNXTDZ($A$1,$B6,EZ$1)</f>
        <v>1204</v>
      </c>
      <c r="FA6" cm="1">
        <f t="array" ref="FA6">_xll.EQNXTDZ($A$1,$B6,FA$1)</f>
        <v>1264.5999999999999</v>
      </c>
      <c r="FB6" cm="1">
        <f t="array" ref="FB6">_xll.EQNXTDZ($A$1,$B6,FB$1)</f>
        <v>1414</v>
      </c>
      <c r="FC6" cm="1">
        <f t="array" ref="FC6">_xll.EQNXTDZ($A$1,$B6,FC$1)</f>
        <v>1412.1</v>
      </c>
      <c r="FD6" cm="1">
        <f t="array" ref="FD6">_xll.EQNXTDZ($A$1,$B6,FD$1)</f>
        <v>1500.6</v>
      </c>
      <c r="FE6" cm="1">
        <f t="array" ref="FE6">_xll.EQNXTDZ($A$1,$B6,FE$1)</f>
        <v>1386.9</v>
      </c>
      <c r="FF6" cm="1">
        <f t="array" ref="FF6">_xll.EQNXTDZ($A$1,$B6,FF$1)</f>
        <v>1356</v>
      </c>
      <c r="FG6" cm="1">
        <f t="array" ref="FG6">_xll.EQNXTDZ($A$1,$B6,FG$1)</f>
        <v>1367</v>
      </c>
      <c r="FH6" cm="1">
        <f t="array" ref="FH6">_xll.EQNXTDZ($A$1,$B6,FH$1)</f>
        <v>1486</v>
      </c>
      <c r="FI6" cm="1">
        <f t="array" ref="FI6">_xll.EQNXTDZ($A$1,$B6,FI$1)</f>
        <v>1575</v>
      </c>
      <c r="FJ6" cm="1">
        <f t="array" ref="FJ6">_xll.EQNXTDZ($A$1,$B6,FJ$1)</f>
        <v>1573.7</v>
      </c>
      <c r="FK6" cm="1">
        <f t="array" ref="FK6">_xll.EQNXTDZ($A$1,$B6,FK$1)</f>
        <v>1396</v>
      </c>
      <c r="FL6" cm="1">
        <f t="array" ref="FL6">_xll.EQNXTDZ($A$1,$B6,FL$1)</f>
        <v>1375.5</v>
      </c>
      <c r="FM6" cm="1">
        <f t="array" ref="FM6">_xll.EQNXTDZ($A$1,$B6,FM$1)</f>
        <v>1384.2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183.99336617479301</v>
      </c>
      <c r="D7" s="116" cm="1">
        <f t="array" ref="D7">_xll.EQNXTDZ($A$1,$B7,D$1)</f>
        <v>184.773471300913</v>
      </c>
      <c r="E7" s="116" cm="1">
        <f t="array" ref="E7">_xll.EQNXTDZ($A$1,$B7,E$1)</f>
        <v>204.288482074954</v>
      </c>
      <c r="F7" s="116" cm="1">
        <f t="array" ref="F7">_xll.EQNXTDZ($A$1,$B7,F$1)</f>
        <v>218.330374345107</v>
      </c>
      <c r="G7" s="116" cm="1">
        <f t="array" ref="G7">_xll.EQNXTDZ($A$1,$B7,G$1)</f>
        <v>213.476386893696</v>
      </c>
      <c r="H7" s="116" cm="1">
        <f t="array" ref="H7">_xll.EQNXTDZ($A$1,$B7,H$1)</f>
        <v>201.81195786505</v>
      </c>
      <c r="I7" s="116" cm="1">
        <f t="array" ref="I7">_xll.EQNXTDZ($A$1,$B7,I$1)</f>
        <v>210.455027357614</v>
      </c>
      <c r="J7" s="116" cm="1">
        <f t="array" ref="J7">_xll.EQNXTDZ($A$1,$B7,J$1)</f>
        <v>236.50806204579999</v>
      </c>
      <c r="K7" s="116" cm="1">
        <f t="array" ref="K7">_xll.EQNXTDZ($A$1,$B7,K$1)</f>
        <v>223.13483131231999</v>
      </c>
      <c r="L7" s="116" cm="1">
        <f t="array" ref="L7">_xll.EQNXTDZ($A$1,$B7,L$1)</f>
        <v>215.309014809025</v>
      </c>
      <c r="M7" s="116" cm="1">
        <f t="array" ref="M7">_xll.EQNXTDZ($A$1,$B7,M$1)</f>
        <v>204.70949119063701</v>
      </c>
      <c r="N7" s="116" cm="1">
        <f t="array" ref="N7">_xll.EQNXTDZ($A$1,$B7,N$1)</f>
        <v>211.742819946764</v>
      </c>
      <c r="O7" s="116" cm="1">
        <f t="array" ref="O7">_xll.EQNXTDZ($A$1,$B7,O$1)</f>
        <v>216.20056352459</v>
      </c>
      <c r="P7" s="116" cm="1">
        <f t="array" ref="P7">_xll.EQNXTDZ($A$1,$B7,P$1)</f>
        <v>229.79668143696099</v>
      </c>
      <c r="Q7" s="116" cm="1">
        <f t="array" ref="Q7">_xll.EQNXTDZ($A$1,$B7,Q$1)</f>
        <v>218.63993987134501</v>
      </c>
      <c r="R7" s="116" cm="1">
        <f t="array" ref="R7">_xll.EQNXTDZ($A$1,$B7,R$1)</f>
        <v>223.13483131231999</v>
      </c>
      <c r="S7" s="116" cm="1">
        <f t="array" ref="S7">_xll.EQNXTDZ($A$1,$B7,S$1)</f>
        <v>227.34492246915701</v>
      </c>
      <c r="T7" s="116" cm="1">
        <f t="array" ref="T7">_xll.EQNXTDZ($A$1,$B7,T$1)</f>
        <v>229.462350668624</v>
      </c>
      <c r="U7" s="116" cm="1">
        <f t="array" ref="U7">_xll.EQNXTDZ($A$1,$B7,U$1)</f>
        <v>225.11605068024301</v>
      </c>
      <c r="V7" s="116" cm="1">
        <f t="array" ref="V7">_xll.EQNXTDZ($A$1,$B7,V$1)</f>
        <v>222.45378715459699</v>
      </c>
      <c r="W7" s="116" cm="1">
        <f t="array" ref="W7">_xll.EQNXTDZ($A$1,$B7,W$1)</f>
        <v>205.501978937806</v>
      </c>
      <c r="X7" s="116" cm="1">
        <f t="array" ref="X7">_xll.EQNXTDZ($A$1,$B7,X$1)</f>
        <v>232.74374524674701</v>
      </c>
      <c r="Y7" s="116" cm="1">
        <f t="array" ref="Y7">_xll.EQNXTDZ($A$1,$B7,Y$1)</f>
        <v>244.866331254225</v>
      </c>
      <c r="Z7" s="116" cm="1">
        <f t="array" ref="Z7">_xll.EQNXTDZ($A$1,$B7,Z$1)</f>
        <v>283.62393513921802</v>
      </c>
      <c r="AA7" s="116" cm="1">
        <f t="array" ref="AA7">_xll.EQNXTDZ($A$1,$B7,AA$1)</f>
        <v>280.59019298208602</v>
      </c>
      <c r="AB7" s="116" cm="1">
        <f t="array" ref="AB7">_xll.EQNXTDZ($A$1,$B7,AB$1)</f>
        <v>258.37577081925002</v>
      </c>
      <c r="AC7" s="116" cm="1">
        <f t="array" ref="AC7">_xll.EQNXTDZ($A$1,$B7,AC$1)</f>
        <v>253.34842667314501</v>
      </c>
      <c r="AD7" s="116" cm="1">
        <f t="array" ref="AD7">_xll.EQNXTDZ($A$1,$B7,AD$1)</f>
        <v>257.88046597726901</v>
      </c>
      <c r="AE7" s="116" cm="1">
        <f t="array" ref="AE7">_xll.EQNXTDZ($A$1,$B7,AE$1)</f>
        <v>248.56873494803099</v>
      </c>
      <c r="AF7" s="116" cm="1">
        <f t="array" ref="AF7">_xll.EQNXTDZ($A$1,$B7,AF$1)</f>
        <v>251.94919049455001</v>
      </c>
      <c r="AG7" s="116" cm="1">
        <f t="array" ref="AG7">_xll.EQNXTDZ($A$1,$B7,AG$1)</f>
        <v>245.65881900139399</v>
      </c>
      <c r="AH7" s="116" cm="1">
        <f t="array" ref="AH7">_xll.EQNXTDZ($A$1,$B7,AH$1)</f>
        <v>231.43118741549799</v>
      </c>
      <c r="AI7" s="116" cm="1">
        <f t="array" ref="AI7">_xll.EQNXTDZ($A$1,$B7,AI$1)</f>
        <v>233.73435493070801</v>
      </c>
      <c r="AJ7" s="116" cm="1">
        <f t="array" ref="AJ7">_xll.EQNXTDZ($A$1,$B7,AJ$1)</f>
        <v>225.27702475388699</v>
      </c>
      <c r="AK7" s="116" cm="1">
        <f t="array" ref="AK7">_xll.EQNXTDZ($A$1,$B7,AK$1)</f>
        <v>233.858181141203</v>
      </c>
      <c r="AL7" s="116" cm="1">
        <f t="array" ref="AL7">_xll.EQNXTDZ($A$1,$B7,AL$1)</f>
        <v>226.70102617458201</v>
      </c>
      <c r="AM7" s="116" cm="1">
        <f t="array" ref="AM7">_xll.EQNXTDZ($A$1,$B7,AM$1)</f>
        <v>251.144320126331</v>
      </c>
      <c r="AN7" s="116" cm="1">
        <f t="array" ref="AN7">_xll.EQNXTDZ($A$1,$B7,AN$1)</f>
        <v>264.45563775456299</v>
      </c>
      <c r="AO7" s="116" cm="1">
        <f t="array" ref="AO7">_xll.EQNXTDZ($A$1,$B7,AO$1)</f>
        <v>251.08240702108299</v>
      </c>
      <c r="AP7" s="116" cm="1">
        <f t="array" ref="AP7">_xll.EQNXTDZ($A$1,$B7,AP$1)</f>
        <v>222.763352680835</v>
      </c>
      <c r="AQ7" s="116" cm="1">
        <f t="array" ref="AQ7">_xll.EQNXTDZ($A$1,$B7,AQ$1)</f>
        <v>241.41157998140901</v>
      </c>
      <c r="AR7" s="116" cm="1">
        <f t="array" ref="AR7">_xll.EQNXTDZ($A$1,$B7,AR$1)</f>
        <v>245.79502783293901</v>
      </c>
      <c r="AS7" s="116" cm="1">
        <f t="array" ref="AS7">_xll.EQNXTDZ($A$1,$B7,AS$1)</f>
        <v>252.531173683877</v>
      </c>
      <c r="AT7" s="116" cm="1">
        <f t="array" ref="AT7">_xll.EQNXTDZ($A$1,$B7,AT$1)</f>
        <v>269.87922577425201</v>
      </c>
      <c r="AU7" s="116" cm="1">
        <f t="array" ref="AU7">_xll.EQNXTDZ($A$1,$B7,AU$1)</f>
        <v>258.00429218776401</v>
      </c>
      <c r="AV7" s="116" cm="1">
        <f t="array" ref="AV7">_xll.EQNXTDZ($A$1,$B7,AV$1)</f>
        <v>261.52095656582702</v>
      </c>
      <c r="AW7" s="116" cm="1">
        <f t="array" ref="AW7">_xll.EQNXTDZ($A$1,$B7,AW$1)</f>
        <v>264.96332521759302</v>
      </c>
      <c r="AX7" s="116" cm="1">
        <f t="array" ref="AX7">_xll.EQNXTDZ($A$1,$B7,AX$1)</f>
        <v>246.401776264365</v>
      </c>
      <c r="AY7" s="116" cm="1">
        <f t="array" ref="AY7">_xll.EQNXTDZ($A$1,$B7,AY$1)</f>
        <v>246.20365432757299</v>
      </c>
      <c r="AZ7" s="116" cm="1">
        <f t="array" ref="AZ7">_xll.EQNXTDZ($A$1,$B7,AZ$1)</f>
        <v>257.24895230374301</v>
      </c>
      <c r="BA7" s="116" cm="1">
        <f t="array" ref="BA7">_xll.EQNXTDZ($A$1,$B7,BA$1)</f>
        <v>265.97870014365401</v>
      </c>
      <c r="BB7" s="116" cm="1">
        <f t="array" ref="BB7">_xll.EQNXTDZ($A$1,$B7,BB$1)</f>
        <v>279.73579212966899</v>
      </c>
      <c r="BC7" s="116" cm="1">
        <f t="array" ref="BC7">_xll.EQNXTDZ($A$1,$B7,BC$1)</f>
        <v>278.91853914040098</v>
      </c>
      <c r="BD7" s="116" cm="1">
        <f t="array" ref="BD7">_xll.EQNXTDZ($A$1,$B7,BD$1)</f>
        <v>261.50857394477799</v>
      </c>
      <c r="BE7" s="116" cm="1">
        <f t="array" ref="BE7">_xll.EQNXTDZ($A$1,$B7,BE$1)</f>
        <v>268.70287677454797</v>
      </c>
      <c r="BF7" s="116" cm="1">
        <f t="array" ref="BF7">_xll.EQNXTDZ($A$1,$B7,BF$1)</f>
        <v>271.79853203692801</v>
      </c>
      <c r="BG7" s="116" cm="1">
        <f t="array" ref="BG7">_xll.EQNXTDZ($A$1,$B7,BG$1)</f>
        <v>311.24956270069299</v>
      </c>
      <c r="BH7" s="116" cm="1">
        <f t="array" ref="BH7">_xll.EQNXTDZ($A$1,$B7,BH$1)</f>
        <v>331.27226093776397</v>
      </c>
      <c r="BI7" s="116" cm="1">
        <f t="array" ref="BI7">_xll.EQNXTDZ($A$1,$B7,BI$1)</f>
        <v>363.49184090861098</v>
      </c>
      <c r="BJ7" s="116" cm="1">
        <f t="array" ref="BJ7">_xll.EQNXTDZ($A$1,$B7,BJ$1)</f>
        <v>347.20869422849398</v>
      </c>
      <c r="BK7" s="116" cm="1">
        <f t="array" ref="BK7">_xll.EQNXTDZ($A$1,$B7,BK$1)</f>
        <v>357.95680929947599</v>
      </c>
      <c r="BL7" s="116" cm="1">
        <f t="array" ref="BL7">_xll.EQNXTDZ($A$1,$B7,BL$1)</f>
        <v>404.04492484578299</v>
      </c>
      <c r="BM7" s="116" cm="1">
        <f t="array" ref="BM7">_xll.EQNXTDZ($A$1,$B7,BM$1)</f>
        <v>412.31651570686199</v>
      </c>
      <c r="BN7" s="116" cm="1">
        <f t="array" ref="BN7">_xll.EQNXTDZ($A$1,$B7,BN$1)</f>
        <v>432.15347462819</v>
      </c>
      <c r="BO7" s="116" cm="1">
        <f t="array" ref="BO7">_xll.EQNXTDZ($A$1,$B7,BO$1)</f>
        <v>474.40297764914698</v>
      </c>
      <c r="BP7" s="116" cm="1">
        <f t="array" ref="BP7">_xll.EQNXTDZ($A$1,$B7,BP$1)</f>
        <v>475.24499588051401</v>
      </c>
      <c r="BQ7" s="116" cm="1">
        <f t="array" ref="BQ7">_xll.EQNXTDZ($A$1,$B7,BQ$1)</f>
        <v>465.041716135711</v>
      </c>
      <c r="BR7" s="116" cm="1">
        <f t="array" ref="BR7">_xll.EQNXTDZ($A$1,$B7,BR$1)</f>
        <v>490.822333160808</v>
      </c>
      <c r="BS7" s="116" cm="1">
        <f t="array" ref="BS7">_xll.EQNXTDZ($A$1,$B7,BS$1)</f>
        <v>481.73348931046098</v>
      </c>
      <c r="BT7" s="116" cm="1">
        <f t="array" ref="BT7">_xll.EQNXTDZ($A$1,$B7,BT$1)</f>
        <v>475.44311781730602</v>
      </c>
      <c r="BU7" s="116" cm="1">
        <f t="array" ref="BU7">_xll.EQNXTDZ($A$1,$B7,BU$1)</f>
        <v>500.753195242522</v>
      </c>
      <c r="BV7" s="116" cm="1">
        <f t="array" ref="BV7">_xll.EQNXTDZ($A$1,$B7,BV$1)</f>
        <v>495.30484198073401</v>
      </c>
      <c r="BW7" s="116" cm="1">
        <f t="array" ref="BW7">_xll.EQNXTDZ($A$1,$B7,BW$1)</f>
        <v>513.13581629203998</v>
      </c>
      <c r="BX7" s="116" cm="1">
        <f t="array" ref="BX7">_xll.EQNXTDZ($A$1,$B7,BX$1)</f>
        <v>589.61088389386498</v>
      </c>
      <c r="BY7" s="116" cm="1">
        <f t="array" ref="BY7">_xll.EQNXTDZ($A$1,$B7,BY$1)</f>
        <v>658.26013499239502</v>
      </c>
      <c r="BZ7" s="116" cm="1">
        <f t="array" ref="BZ7">_xll.EQNXTDZ($A$1,$B7,BZ$1)</f>
        <v>634.65885927201305</v>
      </c>
      <c r="CA7" s="116" cm="1">
        <f t="array" ref="CA7">_xll.EQNXTDZ($A$1,$B7,CA$1)</f>
        <v>622.94489975916804</v>
      </c>
      <c r="CB7" s="116" cm="1">
        <f t="array" ref="CB7">_xll.EQNXTDZ($A$1,$B7,CB$1)</f>
        <v>587.43154258915001</v>
      </c>
      <c r="CC7" s="116" cm="1">
        <f t="array" ref="CC7">_xll.EQNXTDZ($A$1,$B7,CC$1)</f>
        <v>581.93365884316404</v>
      </c>
      <c r="CD7" s="116" cm="1">
        <f t="array" ref="CD7">_xll.EQNXTDZ($A$1,$B7,CD$1)</f>
        <v>626.41203365303397</v>
      </c>
      <c r="CE7" s="116" cm="1">
        <f t="array" ref="CE7">_xll.EQNXTDZ($A$1,$B7,CE$1)</f>
        <v>654.39675722494496</v>
      </c>
      <c r="CF7" s="116" cm="1">
        <f t="array" ref="CF7">_xll.EQNXTDZ($A$1,$B7,CF$1)</f>
        <v>687.48312066925803</v>
      </c>
      <c r="CG7" s="116" cm="1">
        <f t="array" ref="CG7">_xll.EQNXTDZ($A$1,$B7,CG$1)</f>
        <v>699.56855881358797</v>
      </c>
      <c r="CH7" s="116" cm="1">
        <f t="array" ref="CH7">_xll.EQNXTDZ($A$1,$B7,CH$1)</f>
        <v>702.09461350769004</v>
      </c>
      <c r="CI7" s="116" cm="1">
        <f t="array" ref="CI7">_xll.EQNXTDZ($A$1,$B7,CI$1)</f>
        <v>680.67267909202303</v>
      </c>
      <c r="CJ7" s="116" cm="1">
        <f t="array" ref="CJ7">_xll.EQNXTDZ($A$1,$B7,CJ$1)</f>
        <v>643.89629457495403</v>
      </c>
      <c r="CK7" s="116" cm="1">
        <f t="array" ref="CK7">_xll.EQNXTDZ($A$1,$B7,CK$1)</f>
        <v>646.10040112176796</v>
      </c>
      <c r="CL7" s="116" cm="1">
        <f t="array" ref="CL7">_xll.EQNXTDZ($A$1,$B7,CL$1)</f>
        <v>661.603442675765</v>
      </c>
      <c r="CM7" s="116" cm="1">
        <f t="array" ref="CM7">_xll.EQNXTDZ($A$1,$B7,CM$1)</f>
        <v>737.83085785660001</v>
      </c>
      <c r="CN7" s="116" cm="1">
        <f t="array" ref="CN7">_xll.EQNXTDZ($A$1,$B7,CN$1)</f>
        <v>784.63716542377904</v>
      </c>
      <c r="CO7" s="116" cm="1">
        <f t="array" ref="CO7">_xll.EQNXTDZ($A$1,$B7,CO$1)</f>
        <v>801.180347145935</v>
      </c>
      <c r="CP7" s="116" cm="1">
        <f t="array" ref="CP7">_xll.EQNXTDZ($A$1,$B7,CP$1)</f>
        <v>796.94549074700001</v>
      </c>
      <c r="CQ7" s="116" cm="1">
        <f t="array" ref="CQ7">_xll.EQNXTDZ($A$1,$B7,CQ$1)</f>
        <v>746.91970170694594</v>
      </c>
      <c r="CR7" s="116" cm="1">
        <f t="array" ref="CR7">_xll.EQNXTDZ($A$1,$B7,CR$1)</f>
        <v>678.07232867162395</v>
      </c>
      <c r="CS7" s="116" cm="1">
        <f t="array" ref="CS7">_xll.EQNXTDZ($A$1,$B7,CS$1)</f>
        <v>740.45597351909805</v>
      </c>
      <c r="CT7" s="116" cm="1">
        <f t="array" ref="CT7">_xll.EQNXTDZ($A$1,$B7,CT$1)</f>
        <v>799.91731979888505</v>
      </c>
      <c r="CU7" s="116" cm="1">
        <f t="array" ref="CU7">_xll.EQNXTDZ($A$1,$B7,CU$1)</f>
        <v>902.1</v>
      </c>
      <c r="CV7" s="116" cm="1">
        <f t="array" ref="CV7">_xll.EQNXTDZ($A$1,$B7,CV$1)</f>
        <v>1099.4000000000001</v>
      </c>
      <c r="CW7" s="116" cm="1">
        <f t="array" ref="CW7">_xll.EQNXTDZ($A$1,$B7,CW$1)</f>
        <v>1098</v>
      </c>
      <c r="CX7" s="116" cm="1">
        <f t="array" ref="CX7">_xll.EQNXTDZ($A$1,$B7,CX$1)</f>
        <v>1184.675</v>
      </c>
      <c r="CY7" s="116" cm="1">
        <f t="array" ref="CY7">_xll.EQNXTDZ($A$1,$B7,CY$1)</f>
        <v>1154.5</v>
      </c>
      <c r="CZ7" s="116" cm="1">
        <f t="array" ref="CZ7">_xll.EQNXTDZ($A$1,$B7,CZ$1)</f>
        <v>1047.5</v>
      </c>
      <c r="DA7" s="116" cm="1">
        <f t="array" ref="DA7">_xll.EQNXTDZ($A$1,$B7,DA$1)</f>
        <v>1019</v>
      </c>
      <c r="DB7" s="116" cm="1">
        <f t="array" ref="DB7">_xll.EQNXTDZ($A$1,$B7,DB$1)</f>
        <v>1060</v>
      </c>
      <c r="DC7" s="116" cm="1">
        <f t="array" ref="DC7">_xll.EQNXTDZ($A$1,$B7,DC$1)</f>
        <v>1076</v>
      </c>
      <c r="DD7" s="116" cm="1">
        <f t="array" ref="DD7">_xll.EQNXTDZ($A$1,$B7,DD$1)</f>
        <v>1115.95</v>
      </c>
      <c r="DE7" s="116" cm="1">
        <f t="array" ref="DE7">_xll.EQNXTDZ($A$1,$B7,DE$1)</f>
        <v>1023.45</v>
      </c>
      <c r="DF7" s="116" cm="1">
        <f t="array" ref="DF7">_xll.EQNXTDZ($A$1,$B7,DF$1)</f>
        <v>1095.8499999999999</v>
      </c>
      <c r="DG7" s="116" cm="1">
        <f t="array" ref="DG7">_xll.EQNXTDZ($A$1,$B7,DG$1)</f>
        <v>1137.45</v>
      </c>
      <c r="DH7" s="116" cm="1">
        <f t="array" ref="DH7">_xll.EQNXTDZ($A$1,$B7,DH$1)</f>
        <v>1076.7750000000001</v>
      </c>
      <c r="DI7" s="116" cm="1">
        <f t="array" ref="DI7">_xll.EQNXTDZ($A$1,$B7,DI$1)</f>
        <v>1141.875</v>
      </c>
      <c r="DJ7" s="116" cm="1">
        <f t="array" ref="DJ7">_xll.EQNXTDZ($A$1,$B7,DJ$1)</f>
        <v>1285</v>
      </c>
      <c r="DK7" s="116" cm="1">
        <f t="array" ref="DK7">_xll.EQNXTDZ($A$1,$B7,DK$1)</f>
        <v>1375.675</v>
      </c>
      <c r="DL7" s="116" cm="1">
        <f t="array" ref="DL7">_xll.EQNXTDZ($A$1,$B7,DL$1)</f>
        <v>1301.0999999999999</v>
      </c>
      <c r="DM7" s="116" cm="1">
        <f t="array" ref="DM7">_xll.EQNXTDZ($A$1,$B7,DM$1)</f>
        <v>1249.25</v>
      </c>
      <c r="DN7" s="116" cm="1">
        <f t="array" ref="DN7">_xll.EQNXTDZ($A$1,$B7,DN$1)</f>
        <v>1283.6500000000001</v>
      </c>
      <c r="DO7" s="116" cm="1">
        <f t="array" ref="DO7">_xll.EQNXTDZ($A$1,$B7,DO$1)</f>
        <v>1228.2</v>
      </c>
      <c r="DP7" s="116" cm="1">
        <f t="array" ref="DP7">_xll.EQNXTDZ($A$1,$B7,DP$1)</f>
        <v>1344</v>
      </c>
      <c r="DQ7" s="116" cm="1">
        <f t="array" ref="DQ7">_xll.EQNXTDZ($A$1,$B7,DQ$1)</f>
        <v>1428.075</v>
      </c>
      <c r="DR7" s="116" cm="1">
        <f t="array" ref="DR7">_xll.EQNXTDZ($A$1,$B7,DR$1)</f>
        <v>1402.75</v>
      </c>
      <c r="DS7" s="116" cm="1">
        <f t="array" ref="DS7">_xll.EQNXTDZ($A$1,$B7,DS$1)</f>
        <v>1408.675</v>
      </c>
      <c r="DT7" s="116" cm="1">
        <f t="array" ref="DT7">_xll.EQNXTDZ($A$1,$B7,DT$1)</f>
        <v>1296</v>
      </c>
      <c r="DU7" s="116" cm="1">
        <f t="array" ref="DU7">_xll.EQNXTDZ($A$1,$B7,DU$1)</f>
        <v>1338.45</v>
      </c>
      <c r="DV7" s="116" cm="1">
        <f t="array" ref="DV7">_xll.EQNXTDZ($A$1,$B7,DV$1)</f>
        <v>1314.85</v>
      </c>
      <c r="DW7" s="116" cm="1">
        <f t="array" ref="DW7">_xll.EQNXTDZ($A$1,$B7,DW$1)</f>
        <v>1280.4749999999999</v>
      </c>
      <c r="DX7" s="116" cm="1">
        <f t="array" ref="DX7">_xll.EQNXTDZ($A$1,$B7,DX$1)</f>
        <v>1372.7249999999999</v>
      </c>
      <c r="DY7" s="116" cm="1">
        <f t="array" ref="DY7">_xll.EQNXTDZ($A$1,$B7,DY$1)</f>
        <v>1377.5</v>
      </c>
      <c r="DZ7" s="116" cm="1">
        <f t="array" ref="DZ7">_xll.EQNXTDZ($A$1,$B7,DZ$1)</f>
        <v>1303</v>
      </c>
      <c r="EA7" s="116" cm="1">
        <f t="array" ref="EA7">_xll.EQNXTDZ($A$1,$B7,EA$1)</f>
        <v>1231.9000000000001</v>
      </c>
      <c r="EB7" s="116" cm="1">
        <f t="array" ref="EB7">_xll.EQNXTDZ($A$1,$B7,EB$1)</f>
        <v>1212.3</v>
      </c>
      <c r="EC7" s="116" cm="1">
        <f t="array" ref="EC7">_xll.EQNXTDZ($A$1,$B7,EC$1)</f>
        <v>1212.4749999999999</v>
      </c>
      <c r="ED7" s="116" cm="1">
        <f t="array" ref="ED7">_xll.EQNXTDZ($A$1,$B7,ED$1)</f>
        <v>1268.8499999999999</v>
      </c>
      <c r="EE7" s="116" cm="1">
        <f t="array" ref="EE7">_xll.EQNXTDZ($A$1,$B7,EE$1)</f>
        <v>1292</v>
      </c>
      <c r="EF7" s="116" cm="1">
        <f t="array" ref="EF7">_xll.EQNXTDZ($A$1,$B7,EF$1)</f>
        <v>1428</v>
      </c>
      <c r="EG7" s="116" cm="1">
        <f t="array" ref="EG7">_xll.EQNXTDZ($A$1,$B7,EG$1)</f>
        <v>1291.4000000000001</v>
      </c>
      <c r="EH7" s="116" cm="1">
        <f t="array" ref="EH7">_xll.EQNXTDZ($A$1,$B7,EH$1)</f>
        <v>1241.5</v>
      </c>
      <c r="EI7" s="116" cm="1">
        <f t="array" ref="EI7">_xll.EQNXTDZ($A$1,$B7,EI$1)</f>
        <v>1183.5</v>
      </c>
      <c r="EJ7" s="116" cm="1">
        <f t="array" ref="EJ7">_xll.EQNXTDZ($A$1,$B7,EJ$1)</f>
        <v>1205.9749999999999</v>
      </c>
      <c r="EK7" s="116" cm="1">
        <f t="array" ref="EK7">_xll.EQNXTDZ($A$1,$B7,EK$1)</f>
        <v>1307</v>
      </c>
      <c r="EL7" s="116" cm="1">
        <f t="array" ref="EL7">_xll.EQNXTDZ($A$1,$B7,EL$1)</f>
        <v>1459.9749999999999</v>
      </c>
      <c r="EM7" s="116" cm="1">
        <f t="array" ref="EM7">_xll.EQNXTDZ($A$1,$B7,EM$1)</f>
        <v>1499.95</v>
      </c>
      <c r="EN7" s="116" cm="1">
        <f t="array" ref="EN7">_xll.EQNXTDZ($A$1,$B7,EN$1)</f>
        <v>1512.45</v>
      </c>
      <c r="EO7" s="116" cm="1">
        <f t="array" ref="EO7">_xll.EQNXTDZ($A$1,$B7,EO$1)</f>
        <v>1494</v>
      </c>
      <c r="EP7" s="116" cm="1">
        <f t="array" ref="EP7">_xll.EQNXTDZ($A$1,$B7,EP$1)</f>
        <v>1492.2249999999999</v>
      </c>
      <c r="EQ7" s="116" cm="1">
        <f t="array" ref="EQ7">_xll.EQNXTDZ($A$1,$B7,EQ$1)</f>
        <v>1581</v>
      </c>
      <c r="ER7" s="116" cm="1">
        <f t="array" ref="ER7">_xll.EQNXTDZ($A$1,$B7,ER$1)</f>
        <v>1608.8</v>
      </c>
      <c r="ES7" s="116" cm="1">
        <f t="array" ref="ES7">_xll.EQNXTDZ($A$1,$B7,ES$1)</f>
        <v>1539.7249999999999</v>
      </c>
      <c r="ET7" s="116" cm="1">
        <f t="array" ref="ET7">_xll.EQNXTDZ($A$1,$B7,ET$1)</f>
        <v>1533.4749999999999</v>
      </c>
      <c r="EU7" s="116" cm="1">
        <f t="array" ref="EU7">_xll.EQNXTDZ($A$1,$B7,EU$1)</f>
        <v>1487.95</v>
      </c>
      <c r="EV7" s="116" cm="1">
        <f t="array" ref="EV7">_xll.EQNXTDZ($A$1,$B7,EV$1)</f>
        <v>1341.95</v>
      </c>
      <c r="EW7" s="116" cm="1">
        <f t="array" ref="EW7">_xll.EQNXTDZ($A$1,$B7,EW$1)</f>
        <v>1329.95</v>
      </c>
      <c r="EX7" s="116" cm="1">
        <f t="array" ref="EX7">_xll.EQNXTDZ($A$1,$B7,EX$1)</f>
        <v>1326</v>
      </c>
      <c r="EY7" s="116" cm="1">
        <f t="array" ref="EY7">_xll.EQNXTDZ($A$1,$B7,EY$1)</f>
        <v>1290.5</v>
      </c>
      <c r="EZ7" s="116" cm="1">
        <f t="array" ref="EZ7">_xll.EQNXTDZ($A$1,$B7,EZ$1)</f>
        <v>1307.7</v>
      </c>
      <c r="FA7" s="116" cm="1">
        <f t="array" ref="FA7">_xll.EQNXTDZ($A$1,$B7,FA$1)</f>
        <v>1412.4</v>
      </c>
      <c r="FB7" s="116" cm="1">
        <f t="array" ref="FB7">_xll.EQNXTDZ($A$1,$B7,FB$1)</f>
        <v>1461.4</v>
      </c>
      <c r="FC7" s="116" cm="1">
        <f t="array" ref="FC7">_xll.EQNXTDZ($A$1,$B7,FC$1)</f>
        <v>1524.8</v>
      </c>
      <c r="FD7" s="116" cm="1">
        <f t="array" ref="FD7">_xll.EQNXTDZ($A$1,$B7,FD$1)</f>
        <v>1551</v>
      </c>
      <c r="FE7" s="116" cm="1">
        <f t="array" ref="FE7">_xll.EQNXTDZ($A$1,$B7,FE$1)</f>
        <v>1431.9</v>
      </c>
      <c r="FF7" s="116" cm="1">
        <f t="array" ref="FF7">_xll.EQNXTDZ($A$1,$B7,FF$1)</f>
        <v>1422</v>
      </c>
      <c r="FG7" s="116" cm="1">
        <f t="array" ref="FG7">_xll.EQNXTDZ($A$1,$B7,FG$1)</f>
        <v>1508.3</v>
      </c>
      <c r="FH7" s="116" cm="1">
        <f t="array" ref="FH7">_xll.EQNXTDZ($A$1,$B7,FH$1)</f>
        <v>1581.3</v>
      </c>
      <c r="FI7" s="116" cm="1">
        <f t="array" ref="FI7">_xll.EQNXTDZ($A$1,$B7,FI$1)</f>
        <v>1580.9</v>
      </c>
      <c r="FJ7" s="116" cm="1">
        <f t="array" ref="FJ7">_xll.EQNXTDZ($A$1,$B7,FJ$1)</f>
        <v>1611.8</v>
      </c>
      <c r="FK7" s="116" cm="1">
        <f t="array" ref="FK7">_xll.EQNXTDZ($A$1,$B7,FK$1)</f>
        <v>1489.5</v>
      </c>
      <c r="FL7" s="116" cm="1">
        <f t="array" ref="FL7">_xll.EQNXTDZ($A$1,$B7,FL$1)</f>
        <v>1434</v>
      </c>
      <c r="FM7" s="116" cm="1">
        <f t="array" ref="FM7">_xll.EQNXTDZ($A$1,$B7,FM$1)</f>
        <v>1384.4</v>
      </c>
      <c r="FN7" s="116" cm="1">
        <f t="array" ref="FN7">_xll.EQNXTDZ($A$1,$B7,FN$1)</f>
        <v>0</v>
      </c>
      <c r="FO7" s="116" cm="1">
        <f t="array" ref="FO7">_xll.EQNXTDZ($A$1,$B7,FO$1)</f>
        <v>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218.330374345107</v>
      </c>
      <c r="HQ7" s="116">
        <f>+MAX(G7:I7)</f>
        <v>213.476386893696</v>
      </c>
      <c r="HR7" s="116">
        <f>+MAX(J7:L7)</f>
        <v>236.50806204579999</v>
      </c>
      <c r="HS7" s="116">
        <f>+MAX(M7:O7)</f>
        <v>216.20056352459</v>
      </c>
      <c r="HT7" s="116">
        <f>+MAX(P7:R7)</f>
        <v>229.79668143696099</v>
      </c>
      <c r="HU7" s="116">
        <f>+MAX(S7:U7)</f>
        <v>229.462350668624</v>
      </c>
      <c r="HV7" s="116">
        <f>+MAX(V7:X7)</f>
        <v>232.74374524674701</v>
      </c>
      <c r="HW7" s="116">
        <f>+MAX(Y7:AA7)</f>
        <v>283.62393513921802</v>
      </c>
      <c r="HX7" s="116">
        <f>+MAX(AB7:AD7)</f>
        <v>258.37577081925002</v>
      </c>
      <c r="HY7" s="116">
        <f>+MAX(AE7:AG7)</f>
        <v>251.94919049455001</v>
      </c>
      <c r="HZ7" s="116">
        <f>+MAX(AH7:AJ7)</f>
        <v>233.73435493070801</v>
      </c>
      <c r="IA7" s="116">
        <f>+MAX(AK7:AM7)</f>
        <v>251.144320126331</v>
      </c>
      <c r="IB7" s="116">
        <f>+MAX(AN7:AP7)</f>
        <v>264.45563775456299</v>
      </c>
      <c r="IC7" s="116">
        <f>+MAX(AQ7:AS7)</f>
        <v>252.531173683877</v>
      </c>
      <c r="ID7" s="116">
        <f>+MAX(AT7:AV7)</f>
        <v>269.87922577425201</v>
      </c>
      <c r="IE7" s="116">
        <f>+MAX(AW7:AY7)</f>
        <v>264.96332521759302</v>
      </c>
      <c r="IF7" s="116">
        <f>+MAX(AZ7:BB7)</f>
        <v>279.73579212966899</v>
      </c>
      <c r="IG7" s="116">
        <f>+MAX(BC7:BE7)</f>
        <v>278.91853914040098</v>
      </c>
      <c r="IH7" s="116">
        <f>+MAX(BF7:BH7)</f>
        <v>331.27226093776397</v>
      </c>
      <c r="II7" s="116">
        <f>+MAX(BI7:BK7)</f>
        <v>363.49184090861098</v>
      </c>
      <c r="IJ7" s="116">
        <f>+MAX(BL7:BN7)</f>
        <v>432.15347462819</v>
      </c>
      <c r="IK7" s="116">
        <f>+MAX(BO7:BQ7)</f>
        <v>475.24499588051401</v>
      </c>
      <c r="IL7" s="116">
        <f>+MAX(BR7:BT7)</f>
        <v>490.822333160808</v>
      </c>
      <c r="IM7" s="116">
        <f>+MAX(BU7:BW7)</f>
        <v>513.13581629203998</v>
      </c>
      <c r="IN7" s="116">
        <f>+MAX(BX7:BZ7)</f>
        <v>658.26013499239502</v>
      </c>
      <c r="IO7" s="116">
        <f>+MAX(CA7:CC7)</f>
        <v>622.94489975916804</v>
      </c>
      <c r="IP7" s="116">
        <f>+MAX(CD7:CF7)</f>
        <v>687.48312066925803</v>
      </c>
      <c r="IQ7" s="116">
        <f>+MAX(CG7:CI7)</f>
        <v>702.09461350769004</v>
      </c>
      <c r="IR7" s="116">
        <f>+MAX(CJ7:CL7)</f>
        <v>661.603442675765</v>
      </c>
      <c r="IS7" s="116">
        <f>+MAX(CM7:CO7)</f>
        <v>801.180347145935</v>
      </c>
      <c r="IT7" s="116">
        <f>+MAX(CP7:CR7)</f>
        <v>796.94549074700001</v>
      </c>
      <c r="IU7" s="116">
        <f>+MAX(CS7:CU7)</f>
        <v>902.1</v>
      </c>
      <c r="IV7" s="116">
        <f>+MAX(CV7:CX7)</f>
        <v>1184.675</v>
      </c>
      <c r="IW7" s="116">
        <f>+MAX(CY7:DA7)</f>
        <v>1154.5</v>
      </c>
      <c r="IX7" s="116">
        <f>+MAX(DB7:DD7)</f>
        <v>1115.95</v>
      </c>
      <c r="IY7" s="116">
        <f>+MAX(DE7:DG7)</f>
        <v>1137.45</v>
      </c>
      <c r="IZ7" s="116">
        <f>+MAX(DH7:DJ7)</f>
        <v>1285</v>
      </c>
      <c r="JA7" s="116">
        <f>+MAX(DK7:DM7)</f>
        <v>1375.675</v>
      </c>
      <c r="JB7" s="116">
        <f>+MAX(DN7:DP7)</f>
        <v>1344</v>
      </c>
      <c r="JC7" s="116">
        <f>+MAX(DQ7:DS7)</f>
        <v>1428.075</v>
      </c>
      <c r="JD7" s="116">
        <f>+MAX(DT7:DV7)</f>
        <v>1338.45</v>
      </c>
      <c r="JE7" s="116">
        <f>+MAX(DW7:DY7)</f>
        <v>1377.5</v>
      </c>
      <c r="JF7" s="116">
        <f>+MAX(DZ7:EB7)</f>
        <v>1303</v>
      </c>
      <c r="JG7" s="116">
        <f>+MAX(EC7:EE7)</f>
        <v>1292</v>
      </c>
      <c r="JH7" s="116">
        <f>+MAX(EF7:EH7)</f>
        <v>1428</v>
      </c>
      <c r="JI7" s="116">
        <f>+MAX(EI7:EK7)</f>
        <v>1307</v>
      </c>
      <c r="JJ7" s="116">
        <f>+MAX(EL7:EN7)</f>
        <v>1512.45</v>
      </c>
      <c r="JK7" s="116">
        <f>MAX(EO7:EQ7)</f>
        <v>1581</v>
      </c>
      <c r="JL7" s="116">
        <f>MAX(ER7:ET7)</f>
        <v>1608.8</v>
      </c>
      <c r="JM7" s="116">
        <f>MAX(EU7:EW7)</f>
        <v>1487.95</v>
      </c>
      <c r="JN7" s="116">
        <f>MAX(EX7:EZ7)</f>
        <v>1326</v>
      </c>
      <c r="JO7" s="116">
        <f>MAX(FA7:FC7)</f>
        <v>1524.8</v>
      </c>
      <c r="JP7" s="116">
        <f>MAX(FD7:FF7)</f>
        <v>1551</v>
      </c>
      <c r="JQ7" s="116">
        <f>MAX(FG7:FI7)</f>
        <v>1581.3</v>
      </c>
      <c r="JR7" s="116">
        <f>MAX(FJ7:FL7)</f>
        <v>1611.8</v>
      </c>
      <c r="JS7" s="116">
        <f>MAX(FM7:FO7)</f>
        <v>1384.4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166.769140294913</v>
      </c>
      <c r="D8" s="116" cm="1">
        <f t="array" ref="D8">_xll.EQNXTDZ($A$1,$B8,D$1)</f>
        <v>175.00358329284299</v>
      </c>
      <c r="E8" s="116" cm="1">
        <f t="array" ref="E8">_xll.EQNXTDZ($A$1,$B8,E$1)</f>
        <v>180.922476154512</v>
      </c>
      <c r="F8" s="116" cm="1">
        <f t="array" ref="F8">_xll.EQNXTDZ($A$1,$B8,F$1)</f>
        <v>188.228222573728</v>
      </c>
      <c r="G8" s="116" cm="1">
        <f t="array" ref="G8">_xll.EQNXTDZ($A$1,$B8,G$1)</f>
        <v>168.98562946277701</v>
      </c>
      <c r="H8" s="116" cm="1">
        <f t="array" ref="H8">_xll.EQNXTDZ($A$1,$B8,H$1)</f>
        <v>188.48825761576799</v>
      </c>
      <c r="I8" s="116" cm="1">
        <f t="array" ref="I8">_xll.EQNXTDZ($A$1,$B8,I$1)</f>
        <v>195.583499477142</v>
      </c>
      <c r="J8" s="116" cm="1">
        <f t="array" ref="J8">_xll.EQNXTDZ($A$1,$B8,J$1)</f>
        <v>207.09933705319401</v>
      </c>
      <c r="K8" s="116" cm="1">
        <f t="array" ref="K8">_xll.EQNXTDZ($A$1,$B8,K$1)</f>
        <v>199.54593821298801</v>
      </c>
      <c r="L8" s="116" cm="1">
        <f t="array" ref="L8">_xll.EQNXTDZ($A$1,$B8,L$1)</f>
        <v>189.30551060503601</v>
      </c>
      <c r="M8" s="116" cm="1">
        <f t="array" ref="M8">_xll.EQNXTDZ($A$1,$B8,M$1)</f>
        <v>189.24359749978899</v>
      </c>
      <c r="N8" s="116" cm="1">
        <f t="array" ref="N8">_xll.EQNXTDZ($A$1,$B8,N$1)</f>
        <v>192.970766435694</v>
      </c>
      <c r="O8" s="116" cm="1">
        <f t="array" ref="O8">_xll.EQNXTDZ($A$1,$B8,O$1)</f>
        <v>192.004921993831</v>
      </c>
      <c r="P8" s="116" cm="1">
        <f t="array" ref="P8">_xll.EQNXTDZ($A$1,$B8,P$1)</f>
        <v>207.78038121091799</v>
      </c>
      <c r="Q8" s="116" cm="1">
        <f t="array" ref="Q8">_xll.EQNXTDZ($A$1,$B8,Q$1)</f>
        <v>189.18168439454101</v>
      </c>
      <c r="R8" s="116" cm="1">
        <f t="array" ref="R8">_xll.EQNXTDZ($A$1,$B8,R$1)</f>
        <v>202.85209803320899</v>
      </c>
      <c r="S8" s="116" cm="1">
        <f t="array" ref="S8">_xll.EQNXTDZ($A$1,$B8,S$1)</f>
        <v>202.50538464382299</v>
      </c>
      <c r="T8" s="116" cm="1">
        <f t="array" ref="T8">_xll.EQNXTDZ($A$1,$B8,T$1)</f>
        <v>206.85168463220401</v>
      </c>
      <c r="U8" s="116" cm="1">
        <f t="array" ref="U8">_xll.EQNXTDZ($A$1,$B8,U$1)</f>
        <v>207.223163263689</v>
      </c>
      <c r="V8" s="116" cm="1">
        <f t="array" ref="V8">_xll.EQNXTDZ($A$1,$B8,V$1)</f>
        <v>203.61982053828001</v>
      </c>
      <c r="W8" s="116" cm="1">
        <f t="array" ref="W8">_xll.EQNXTDZ($A$1,$B8,W$1)</f>
        <v>196.41313508746001</v>
      </c>
      <c r="X8" s="116" cm="1">
        <f t="array" ref="X8">_xll.EQNXTDZ($A$1,$B8,X$1)</f>
        <v>197.416127392471</v>
      </c>
      <c r="Y8" s="116" cm="1">
        <f t="array" ref="Y8">_xll.EQNXTDZ($A$1,$B8,Y$1)</f>
        <v>230.09386434215</v>
      </c>
      <c r="Z8" s="116" cm="1">
        <f t="array" ref="Z8">_xll.EQNXTDZ($A$1,$B8,Z$1)</f>
        <v>229.07848941608901</v>
      </c>
      <c r="AA8" s="116" cm="1">
        <f t="array" ref="AA8">_xll.EQNXTDZ($A$1,$B8,AA$1)</f>
        <v>247.65242099036701</v>
      </c>
      <c r="AB8" s="116" cm="1">
        <f t="array" ref="AB8">_xll.EQNXTDZ($A$1,$B8,AB$1)</f>
        <v>237.37484551926701</v>
      </c>
      <c r="AC8" s="116" cm="1">
        <f t="array" ref="AC8">_xll.EQNXTDZ($A$1,$B8,AC$1)</f>
        <v>240.470500781646</v>
      </c>
      <c r="AD8" s="116" cm="1">
        <f t="array" ref="AD8">_xll.EQNXTDZ($A$1,$B8,AD$1)</f>
        <v>227.17156577446301</v>
      </c>
      <c r="AE8" s="116" cm="1">
        <f t="array" ref="AE8">_xll.EQNXTDZ($A$1,$B8,AE$1)</f>
        <v>225.74756435376901</v>
      </c>
      <c r="AF8" s="116" cm="1">
        <f t="array" ref="AF8">_xll.EQNXTDZ($A$1,$B8,AF$1)</f>
        <v>238.58834238211901</v>
      </c>
      <c r="AG8" s="116" cm="1">
        <f t="array" ref="AG8">_xll.EQNXTDZ($A$1,$B8,AG$1)</f>
        <v>212.90678632541801</v>
      </c>
      <c r="AH8" s="116" cm="1">
        <f t="array" ref="AH8">_xll.EQNXTDZ($A$1,$B8,AH$1)</f>
        <v>205.84869232719299</v>
      </c>
      <c r="AI8" s="116" cm="1">
        <f t="array" ref="AI8">_xll.EQNXTDZ($A$1,$B8,AI$1)</f>
        <v>207.18601540054101</v>
      </c>
      <c r="AJ8" s="116" cm="1">
        <f t="array" ref="AJ8">_xll.EQNXTDZ($A$1,$B8,AJ$1)</f>
        <v>197.24277069777801</v>
      </c>
      <c r="AK8" s="116" cm="1">
        <f t="array" ref="AK8">_xll.EQNXTDZ($A$1,$B8,AK$1)</f>
        <v>201.36618350726701</v>
      </c>
      <c r="AL8" s="116" cm="1">
        <f t="array" ref="AL8">_xll.EQNXTDZ($A$1,$B8,AL$1)</f>
        <v>212.287655272942</v>
      </c>
      <c r="AM8" s="116" cm="1">
        <f t="array" ref="AM8">_xll.EQNXTDZ($A$1,$B8,AM$1)</f>
        <v>216.36153759823401</v>
      </c>
      <c r="AN8" s="116" cm="1">
        <f t="array" ref="AN8">_xll.EQNXTDZ($A$1,$B8,AN$1)</f>
        <v>243.479477696679</v>
      </c>
      <c r="AO8" s="116" cm="1">
        <f t="array" ref="AO8">_xll.EQNXTDZ($A$1,$B8,AO$1)</f>
        <v>202.57968037012</v>
      </c>
      <c r="AP8" s="116" cm="1">
        <f t="array" ref="AP8">_xll.EQNXTDZ($A$1,$B8,AP$1)</f>
        <v>204.33801255915199</v>
      </c>
      <c r="AQ8" s="116" cm="1">
        <f t="array" ref="AQ8">_xll.EQNXTDZ($A$1,$B8,AQ$1)</f>
        <v>212.634368662329</v>
      </c>
      <c r="AR8" s="116" cm="1">
        <f t="array" ref="AR8">_xll.EQNXTDZ($A$1,$B8,AR$1)</f>
        <v>225.351320480184</v>
      </c>
      <c r="AS8" s="116" cm="1">
        <f t="array" ref="AS8">_xll.EQNXTDZ($A$1,$B8,AS$1)</f>
        <v>226.06951250105601</v>
      </c>
      <c r="AT8" s="116" cm="1">
        <f t="array" ref="AT8">_xll.EQNXTDZ($A$1,$B8,AT$1)</f>
        <v>241.88211958129099</v>
      </c>
      <c r="AU8" s="116" cm="1">
        <f t="array" ref="AU8">_xll.EQNXTDZ($A$1,$B8,AU$1)</f>
        <v>219.940115081545</v>
      </c>
      <c r="AV8" s="116" cm="1">
        <f t="array" ref="AV8">_xll.EQNXTDZ($A$1,$B8,AV$1)</f>
        <v>238.89790790835701</v>
      </c>
      <c r="AW8" s="116" cm="1">
        <f t="array" ref="AW8">_xll.EQNXTDZ($A$1,$B8,AW$1)</f>
        <v>242.41457228642099</v>
      </c>
      <c r="AX8" s="116" cm="1">
        <f t="array" ref="AX8">_xll.EQNXTDZ($A$1,$B8,AX$1)</f>
        <v>229.239463489733</v>
      </c>
      <c r="AY8" s="116" cm="1">
        <f t="array" ref="AY8">_xll.EQNXTDZ($A$1,$B8,AY$1)</f>
        <v>231.15876975240801</v>
      </c>
      <c r="AZ8" s="116" cm="1">
        <f t="array" ref="AZ8">_xll.EQNXTDZ($A$1,$B8,AZ$1)</f>
        <v>240.222848360656</v>
      </c>
      <c r="BA8" s="116" cm="1">
        <f t="array" ref="BA8">_xll.EQNXTDZ($A$1,$B8,BA$1)</f>
        <v>243.54139080192701</v>
      </c>
      <c r="BB8" s="116" cm="1">
        <f t="array" ref="BB8">_xll.EQNXTDZ($A$1,$B8,BB$1)</f>
        <v>248.222021558645</v>
      </c>
      <c r="BC8" s="116" cm="1">
        <f t="array" ref="BC8">_xll.EQNXTDZ($A$1,$B8,BC$1)</f>
        <v>258.40053606134899</v>
      </c>
      <c r="BD8" s="116" cm="1">
        <f t="array" ref="BD8">_xll.EQNXTDZ($A$1,$B8,BD$1)</f>
        <v>230.316751521041</v>
      </c>
      <c r="BE8" s="116" cm="1">
        <f t="array" ref="BE8">_xll.EQNXTDZ($A$1,$B8,BE$1)</f>
        <v>244.30911330699701</v>
      </c>
      <c r="BF8" s="116" cm="1">
        <f t="array" ref="BF8">_xll.EQNXTDZ($A$1,$B8,BF$1)</f>
        <v>250.822371979043</v>
      </c>
      <c r="BG8" s="116" cm="1">
        <f t="array" ref="BG8">_xll.EQNXTDZ($A$1,$B8,BG$1)</f>
        <v>253.10077425215499</v>
      </c>
      <c r="BH8" s="116" cm="1">
        <f t="array" ref="BH8">_xll.EQNXTDZ($A$1,$B8,BH$1)</f>
        <v>303.88190317623003</v>
      </c>
      <c r="BI8" s="116" cm="1">
        <f t="array" ref="BI8">_xll.EQNXTDZ($A$1,$B8,BI$1)</f>
        <v>331.12366948517001</v>
      </c>
      <c r="BJ8" s="116" cm="1">
        <f t="array" ref="BJ8">_xll.EQNXTDZ($A$1,$B8,BJ$1)</f>
        <v>320.73465042462402</v>
      </c>
      <c r="BK8" s="116" cm="1">
        <f t="array" ref="BK8">_xll.EQNXTDZ($A$1,$B8,BK$1)</f>
        <v>324.17701907639002</v>
      </c>
      <c r="BL8" s="116" cm="1">
        <f t="array" ref="BL8">_xll.EQNXTDZ($A$1,$B8,BL$1)</f>
        <v>339.53146917779299</v>
      </c>
      <c r="BM8" s="116" cm="1">
        <f t="array" ref="BM8">_xll.EQNXTDZ($A$1,$B8,BM$1)</f>
        <v>378.90820411526101</v>
      </c>
      <c r="BN8" s="116" cm="1">
        <f t="array" ref="BN8">_xll.EQNXTDZ($A$1,$B8,BN$1)</f>
        <v>385.892002387189</v>
      </c>
      <c r="BO8" s="116" cm="1">
        <f t="array" ref="BO8">_xll.EQNXTDZ($A$1,$B8,BO$1)</f>
        <v>388.98765764956897</v>
      </c>
      <c r="BP8" s="116" cm="1">
        <f t="array" ref="BP8">_xll.EQNXTDZ($A$1,$B8,BP$1)</f>
        <v>432.40112704917999</v>
      </c>
      <c r="BQ8" s="116" cm="1">
        <f t="array" ref="BQ8">_xll.EQNXTDZ($A$1,$B8,BQ$1)</f>
        <v>427.27472193467997</v>
      </c>
      <c r="BR8" s="116" cm="1">
        <f t="array" ref="BR8">_xll.EQNXTDZ($A$1,$B8,BR$1)</f>
        <v>448.94430877133698</v>
      </c>
      <c r="BS8" s="116" cm="1">
        <f t="array" ref="BS8">_xll.EQNXTDZ($A$1,$B8,BS$1)</f>
        <v>431.41051736521899</v>
      </c>
      <c r="BT8" s="116" cm="1">
        <f t="array" ref="BT8">_xll.EQNXTDZ($A$1,$B8,BT$1)</f>
        <v>435.86826094304502</v>
      </c>
      <c r="BU8" s="116" cm="1">
        <f t="array" ref="BU8">_xll.EQNXTDZ($A$1,$B8,BU$1)</f>
        <v>438.46861136344398</v>
      </c>
      <c r="BV8" s="116" cm="1">
        <f t="array" ref="BV8">_xll.EQNXTDZ($A$1,$B8,BV$1)</f>
        <v>449.04336973973301</v>
      </c>
      <c r="BW8" s="116" cm="1">
        <f t="array" ref="BW8">_xll.EQNXTDZ($A$1,$B8,BW$1)</f>
        <v>454.912732117205</v>
      </c>
      <c r="BX8" s="116" cm="1">
        <f t="array" ref="BX8">_xll.EQNXTDZ($A$1,$B8,BX$1)</f>
        <v>474.006733775562</v>
      </c>
      <c r="BY8" s="116" cm="1">
        <f t="array" ref="BY8">_xll.EQNXTDZ($A$1,$B8,BY$1)</f>
        <v>577.50068050743596</v>
      </c>
      <c r="BZ8" s="116" cm="1">
        <f t="array" ref="BZ8">_xll.EQNXTDZ($A$1,$B8,BZ$1)</f>
        <v>586.193280484198</v>
      </c>
      <c r="CA8" s="116" cm="1">
        <f t="array" ref="CA8">_xll.EQNXTDZ($A$1,$B8,CA$1)</f>
        <v>503.42784138921797</v>
      </c>
      <c r="CB8" s="116" cm="1">
        <f t="array" ref="CB8">_xll.EQNXTDZ($A$1,$B8,CB$1)</f>
        <v>520.07008407977003</v>
      </c>
      <c r="CC8" s="116" cm="1">
        <f t="array" ref="CC8">_xll.EQNXTDZ($A$1,$B8,CC$1)</f>
        <v>522.54660828967405</v>
      </c>
      <c r="CD8" s="116" cm="1">
        <f t="array" ref="CD8">_xll.EQNXTDZ($A$1,$B8,CD$1)</f>
        <v>535.47406466537097</v>
      </c>
      <c r="CE8" s="116" cm="1">
        <f t="array" ref="CE8">_xll.EQNXTDZ($A$1,$B8,CE$1)</f>
        <v>597.33763942876499</v>
      </c>
      <c r="CF8" s="116" cm="1">
        <f t="array" ref="CF8">_xll.EQNXTDZ($A$1,$B8,CF$1)</f>
        <v>603.57848043772196</v>
      </c>
      <c r="CG8" s="116" cm="1">
        <f t="array" ref="CG8">_xll.EQNXTDZ($A$1,$B8,CG$1)</f>
        <v>654.29769625654899</v>
      </c>
      <c r="CH8" s="116" cm="1">
        <f t="array" ref="CH8">_xll.EQNXTDZ($A$1,$B8,CH$1)</f>
        <v>607.98669353135006</v>
      </c>
      <c r="CI8" s="116" cm="1">
        <f t="array" ref="CI8">_xll.EQNXTDZ($A$1,$B8,CI$1)</f>
        <v>618.46239093924305</v>
      </c>
      <c r="CJ8" s="116" cm="1">
        <f t="array" ref="CJ8">_xll.EQNXTDZ($A$1,$B8,CJ$1)</f>
        <v>575.74234831840499</v>
      </c>
      <c r="CK8" s="116" cm="1">
        <f t="array" ref="CK8">_xll.EQNXTDZ($A$1,$B8,CK$1)</f>
        <v>542.507393421497</v>
      </c>
      <c r="CL8" s="116" cm="1">
        <f t="array" ref="CL8">_xll.EQNXTDZ($A$1,$B8,CL$1)</f>
        <v>580.81922294870697</v>
      </c>
      <c r="CM8" s="116" cm="1">
        <f t="array" ref="CM8">_xll.EQNXTDZ($A$1,$B8,CM$1)</f>
        <v>634.63409402991397</v>
      </c>
      <c r="CN8" s="116" cm="1">
        <f t="array" ref="CN8">_xll.EQNXTDZ($A$1,$B8,CN$1)</f>
        <v>704.59590295969201</v>
      </c>
      <c r="CO8" s="116" cm="1">
        <f t="array" ref="CO8">_xll.EQNXTDZ($A$1,$B8,CO$1)</f>
        <v>746.94446694904502</v>
      </c>
      <c r="CP8" s="116" cm="1">
        <f t="array" ref="CP8">_xll.EQNXTDZ($A$1,$B8,CP$1)</f>
        <v>696.99297363528797</v>
      </c>
      <c r="CQ8" s="116" cm="1">
        <f t="array" ref="CQ8">_xll.EQNXTDZ($A$1,$B8,CQ$1)</f>
        <v>656.27891562447201</v>
      </c>
      <c r="CR8" s="116" cm="1">
        <f t="array" ref="CR8">_xll.EQNXTDZ($A$1,$B8,CR$1)</f>
        <v>433.71368488042901</v>
      </c>
      <c r="CS8" s="116" cm="1">
        <f t="array" ref="CS8">_xll.EQNXTDZ($A$1,$B8,CS$1)</f>
        <v>517.692620838263</v>
      </c>
      <c r="CT8" s="116" cm="1">
        <f t="array" ref="CT8">_xll.EQNXTDZ($A$1,$B8,CT$1)</f>
        <v>696.5</v>
      </c>
      <c r="CU8" s="116" cm="1">
        <f t="array" ref="CU8">_xll.EQNXTDZ($A$1,$B8,CU$1)</f>
        <v>737.97500000000002</v>
      </c>
      <c r="CV8" s="116" cm="1">
        <f t="array" ref="CV8">_xll.EQNXTDZ($A$1,$B8,CV$1)</f>
        <v>854.02499999999998</v>
      </c>
      <c r="CW8" s="116" cm="1">
        <f t="array" ref="CW8">_xll.EQNXTDZ($A$1,$B8,CW$1)</f>
        <v>1000.125</v>
      </c>
      <c r="CX8" s="116" cm="1">
        <f t="array" ref="CX8">_xll.EQNXTDZ($A$1,$B8,CX$1)</f>
        <v>1022.125</v>
      </c>
      <c r="CY8" s="116" cm="1">
        <f t="array" ref="CY8">_xll.EQNXTDZ($A$1,$B8,CY$1)</f>
        <v>995.5</v>
      </c>
      <c r="CZ8" s="116" cm="1">
        <f t="array" ref="CZ8">_xll.EQNXTDZ($A$1,$B8,CZ$1)</f>
        <v>917.55</v>
      </c>
      <c r="DA8" s="116" cm="1">
        <f t="array" ref="DA8">_xll.EQNXTDZ($A$1,$B8,DA$1)</f>
        <v>927.625</v>
      </c>
      <c r="DB8" s="116" cm="1">
        <f t="array" ref="DB8">_xll.EQNXTDZ($A$1,$B8,DB$1)</f>
        <v>915</v>
      </c>
      <c r="DC8" s="116" cm="1">
        <f t="array" ref="DC8">_xll.EQNXTDZ($A$1,$B8,DC$1)</f>
        <v>924</v>
      </c>
      <c r="DD8" s="116" cm="1">
        <f t="array" ref="DD8">_xll.EQNXTDZ($A$1,$B8,DD$1)</f>
        <v>986.85</v>
      </c>
      <c r="DE8" s="116" cm="1">
        <f t="array" ref="DE8">_xll.EQNXTDZ($A$1,$B8,DE$1)</f>
        <v>938.35</v>
      </c>
      <c r="DF8" s="116" cm="1">
        <f t="array" ref="DF8">_xll.EQNXTDZ($A$1,$B8,DF$1)</f>
        <v>953</v>
      </c>
      <c r="DG8" s="116" cm="1">
        <f t="array" ref="DG8">_xll.EQNXTDZ($A$1,$B8,DG$1)</f>
        <v>1040.5</v>
      </c>
      <c r="DH8" s="116" cm="1">
        <f t="array" ref="DH8">_xll.EQNXTDZ($A$1,$B8,DH$1)</f>
        <v>1008.125</v>
      </c>
      <c r="DI8" s="116" cm="1">
        <f t="array" ref="DI8">_xll.EQNXTDZ($A$1,$B8,DI$1)</f>
        <v>1020.575</v>
      </c>
      <c r="DJ8" s="116" cm="1">
        <f t="array" ref="DJ8">_xll.EQNXTDZ($A$1,$B8,DJ$1)</f>
        <v>1127.5</v>
      </c>
      <c r="DK8" s="116" cm="1">
        <f t="array" ref="DK8">_xll.EQNXTDZ($A$1,$B8,DK$1)</f>
        <v>1247.5</v>
      </c>
      <c r="DL8" s="116" cm="1">
        <f t="array" ref="DL8">_xll.EQNXTDZ($A$1,$B8,DL$1)</f>
        <v>1154.5</v>
      </c>
      <c r="DM8" s="116" cm="1">
        <f t="array" ref="DM8">_xll.EQNXTDZ($A$1,$B8,DM$1)</f>
        <v>1123.55</v>
      </c>
      <c r="DN8" s="116" cm="1">
        <f t="array" ref="DN8">_xll.EQNXTDZ($A$1,$B8,DN$1)</f>
        <v>1152.5</v>
      </c>
      <c r="DO8" s="116" cm="1">
        <f t="array" ref="DO8">_xll.EQNXTDZ($A$1,$B8,DO$1)</f>
        <v>1121.5</v>
      </c>
      <c r="DP8" s="116" cm="1">
        <f t="array" ref="DP8">_xll.EQNXTDZ($A$1,$B8,DP$1)</f>
        <v>1090</v>
      </c>
      <c r="DQ8" s="116" cm="1">
        <f t="array" ref="DQ8">_xll.EQNXTDZ($A$1,$B8,DQ$1)</f>
        <v>1260.9000000000001</v>
      </c>
      <c r="DR8" s="116" cm="1">
        <f t="array" ref="DR8">_xll.EQNXTDZ($A$1,$B8,DR$1)</f>
        <v>1185</v>
      </c>
      <c r="DS8" s="116" cm="1">
        <f t="array" ref="DS8">_xll.EQNXTDZ($A$1,$B8,DS$1)</f>
        <v>1222.5</v>
      </c>
      <c r="DT8" s="116" cm="1">
        <f t="array" ref="DT8">_xll.EQNXTDZ($A$1,$B8,DT$1)</f>
        <v>1182.5</v>
      </c>
      <c r="DU8" s="116" cm="1">
        <f t="array" ref="DU8">_xll.EQNXTDZ($A$1,$B8,DU$1)</f>
        <v>1253.8</v>
      </c>
      <c r="DV8" s="116" cm="1">
        <f t="array" ref="DV8">_xll.EQNXTDZ($A$1,$B8,DV$1)</f>
        <v>1155.5</v>
      </c>
      <c r="DW8" s="116" cm="1">
        <f t="array" ref="DW8">_xll.EQNXTDZ($A$1,$B8,DW$1)</f>
        <v>1171.55</v>
      </c>
      <c r="DX8" s="116" cm="1">
        <f t="array" ref="DX8">_xll.EQNXTDZ($A$1,$B8,DX$1)</f>
        <v>1251</v>
      </c>
      <c r="DY8" s="116" cm="1">
        <f t="array" ref="DY8">_xll.EQNXTDZ($A$1,$B8,DY$1)</f>
        <v>1246.125</v>
      </c>
      <c r="DZ8" s="116" cm="1">
        <f t="array" ref="DZ8">_xll.EQNXTDZ($A$1,$B8,DZ$1)</f>
        <v>1150.5</v>
      </c>
      <c r="EA8" s="116" cm="1">
        <f t="array" ref="EA8">_xll.EQNXTDZ($A$1,$B8,EA$1)</f>
        <v>1146.5</v>
      </c>
      <c r="EB8" s="116" cm="1">
        <f t="array" ref="EB8">_xll.EQNXTDZ($A$1,$B8,EB$1)</f>
        <v>1090</v>
      </c>
      <c r="EC8" s="116" cm="1">
        <f t="array" ref="EC8">_xll.EQNXTDZ($A$1,$B8,EC$1)</f>
        <v>1154.2750000000001</v>
      </c>
      <c r="ED8" s="116" cm="1">
        <f t="array" ref="ED8">_xll.EQNXTDZ($A$1,$B8,ED$1)</f>
        <v>1206.5250000000001</v>
      </c>
      <c r="EE8" s="116" cm="1">
        <f t="array" ref="EE8">_xll.EQNXTDZ($A$1,$B8,EE$1)</f>
        <v>1225.5</v>
      </c>
      <c r="EF8" s="116" cm="1">
        <f t="array" ref="EF8">_xll.EQNXTDZ($A$1,$B8,EF$1)</f>
        <v>1234.6500000000001</v>
      </c>
      <c r="EG8" s="116" cm="1">
        <f t="array" ref="EG8">_xll.EQNXTDZ($A$1,$B8,EG$1)</f>
        <v>1199.95</v>
      </c>
      <c r="EH8" s="116" cm="1">
        <f t="array" ref="EH8">_xll.EQNXTDZ($A$1,$B8,EH$1)</f>
        <v>1162.5</v>
      </c>
      <c r="EI8" s="116" cm="1">
        <f t="array" ref="EI8">_xll.EQNXTDZ($A$1,$B8,EI$1)</f>
        <v>1110.1500000000001</v>
      </c>
      <c r="EJ8" s="116" cm="1">
        <f t="array" ref="EJ8">_xll.EQNXTDZ($A$1,$B8,EJ$1)</f>
        <v>1137.5999999999999</v>
      </c>
      <c r="EK8" s="116" cm="1">
        <f t="array" ref="EK8">_xll.EQNXTDZ($A$1,$B8,EK$1)</f>
        <v>1188.8</v>
      </c>
      <c r="EL8" s="116" cm="1">
        <f t="array" ref="EL8">_xll.EQNXTDZ($A$1,$B8,EL$1)</f>
        <v>1284.4749999999999</v>
      </c>
      <c r="EM8" s="116" cm="1">
        <f t="array" ref="EM8">_xll.EQNXTDZ($A$1,$B8,EM$1)</f>
        <v>1418.05</v>
      </c>
      <c r="EN8" s="116" cm="1">
        <f t="array" ref="EN8">_xll.EQNXTDZ($A$1,$B8,EN$1)</f>
        <v>1412.9</v>
      </c>
      <c r="EO8" s="116" cm="1">
        <f t="array" ref="EO8">_xll.EQNXTDZ($A$1,$B8,EO$1)</f>
        <v>1441.5</v>
      </c>
      <c r="EP8" s="116" cm="1">
        <f t="array" ref="EP8">_xll.EQNXTDZ($A$1,$B8,EP$1)</f>
        <v>1384</v>
      </c>
      <c r="EQ8" s="116" cm="1">
        <f t="array" ref="EQ8">_xll.EQNXTDZ($A$1,$B8,EQ$1)</f>
        <v>1359.3</v>
      </c>
      <c r="ER8" s="116" cm="1">
        <f t="array" ref="ER8">_xll.EQNXTDZ($A$1,$B8,ER$1)</f>
        <v>1463</v>
      </c>
      <c r="ES8" s="116" cm="1">
        <f t="array" ref="ES8">_xll.EQNXTDZ($A$1,$B8,ES$1)</f>
        <v>1433.25</v>
      </c>
      <c r="ET8" s="116" cm="1">
        <f t="array" ref="ET8">_xll.EQNXTDZ($A$1,$B8,ET$1)</f>
        <v>1445.875</v>
      </c>
      <c r="EU8" s="116" cm="1">
        <f t="array" ref="EU8">_xll.EQNXTDZ($A$1,$B8,EU$1)</f>
        <v>1320.3</v>
      </c>
      <c r="EV8" s="116" cm="1">
        <f t="array" ref="EV8">_xll.EQNXTDZ($A$1,$B8,EV$1)</f>
        <v>1217.25</v>
      </c>
      <c r="EW8" s="116" cm="1">
        <f t="array" ref="EW8">_xll.EQNXTDZ($A$1,$B8,EW$1)</f>
        <v>1201.5</v>
      </c>
      <c r="EX8" s="116" cm="1">
        <f t="array" ref="EX8">_xll.EQNXTDZ($A$1,$B8,EX$1)</f>
        <v>1211.5999999999999</v>
      </c>
      <c r="EY8" s="116" cm="1">
        <f t="array" ref="EY8">_xll.EQNXTDZ($A$1,$B8,EY$1)</f>
        <v>1193.3</v>
      </c>
      <c r="EZ8" s="116" cm="1">
        <f t="array" ref="EZ8">_xll.EQNXTDZ($A$1,$B8,EZ$1)</f>
        <v>1156</v>
      </c>
      <c r="FA8" s="116" cm="1">
        <f t="array" ref="FA8">_xll.EQNXTDZ($A$1,$B8,FA$1)</f>
        <v>1114.8499999999999</v>
      </c>
      <c r="FB8" s="116" cm="1">
        <f t="array" ref="FB8">_xll.EQNXTDZ($A$1,$B8,FB$1)</f>
        <v>1374.5</v>
      </c>
      <c r="FC8" s="116" cm="1">
        <f t="array" ref="FC8">_xll.EQNXTDZ($A$1,$B8,FC$1)</f>
        <v>1395.6</v>
      </c>
      <c r="FD8" s="116" cm="1">
        <f t="array" ref="FD8">_xll.EQNXTDZ($A$1,$B8,FD$1)</f>
        <v>1382.2</v>
      </c>
      <c r="FE8" s="116" cm="1">
        <f t="array" ref="FE8">_xll.EQNXTDZ($A$1,$B8,FE$1)</f>
        <v>1350</v>
      </c>
      <c r="FF8" s="116" cm="1">
        <f t="array" ref="FF8">_xll.EQNXTDZ($A$1,$B8,FF$1)</f>
        <v>1340.6</v>
      </c>
      <c r="FG8" s="116" cm="1">
        <f t="array" ref="FG8">_xll.EQNXTDZ($A$1,$B8,FG$1)</f>
        <v>1356.9</v>
      </c>
      <c r="FH8" s="116" cm="1">
        <f t="array" ref="FH8">_xll.EQNXTDZ($A$1,$B8,FH$1)</f>
        <v>1470.1</v>
      </c>
      <c r="FI8" s="116" cm="1">
        <f t="array" ref="FI8">_xll.EQNXTDZ($A$1,$B8,FI$1)</f>
        <v>1517.6</v>
      </c>
      <c r="FJ8" s="116" cm="1">
        <f t="array" ref="FJ8">_xll.EQNXTDZ($A$1,$B8,FJ$1)</f>
        <v>1368</v>
      </c>
      <c r="FK8" s="116" cm="1">
        <f t="array" ref="FK8">_xll.EQNXTDZ($A$1,$B8,FK$1)</f>
        <v>1335</v>
      </c>
      <c r="FL8" s="116" cm="1">
        <f t="array" ref="FL8">_xll.EQNXTDZ($A$1,$B8,FL$1)</f>
        <v>1307</v>
      </c>
      <c r="FM8" s="116" cm="1">
        <f t="array" ref="FM8">_xll.EQNXTDZ($A$1,$B8,FM$1)</f>
        <v>1290</v>
      </c>
      <c r="FN8" s="116" cm="1">
        <f t="array" ref="FN8">_xll.EQNXTDZ($A$1,$B8,FN$1)</f>
        <v>0</v>
      </c>
      <c r="FO8" s="116" cm="1">
        <f t="array" ref="FO8">_xll.EQNXTDZ($A$1,$B8,FO$1)</f>
        <v>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175.00358329284299</v>
      </c>
      <c r="HQ8" s="116">
        <f>+MIN(G8:I8)</f>
        <v>168.98562946277701</v>
      </c>
      <c r="HR8" s="116">
        <f>+MIN(J8:L8)</f>
        <v>189.30551060503601</v>
      </c>
      <c r="HS8" s="116">
        <f>+MIN(M8:O8)</f>
        <v>189.24359749978899</v>
      </c>
      <c r="HT8" s="116">
        <f>+MIN(P8:R8)</f>
        <v>189.18168439454101</v>
      </c>
      <c r="HU8" s="116">
        <f>+MIN(S8:U8)</f>
        <v>202.50538464382299</v>
      </c>
      <c r="HV8" s="116">
        <f>+MIN(V8:X8)</f>
        <v>196.41313508746001</v>
      </c>
      <c r="HW8" s="116">
        <f>+MIN(Y8:AA8)</f>
        <v>229.07848941608901</v>
      </c>
      <c r="HX8" s="116">
        <f>+MIN(AB8:AD8)</f>
        <v>227.17156577446301</v>
      </c>
      <c r="HY8" s="116">
        <f>+MIN(AE8:AG8)</f>
        <v>212.90678632541801</v>
      </c>
      <c r="HZ8" s="116">
        <f>+MIN(AH8:AJ8)</f>
        <v>197.24277069777801</v>
      </c>
      <c r="IA8" s="116">
        <f>+MIN(AK8:AM8)</f>
        <v>201.36618350726701</v>
      </c>
      <c r="IB8" s="116">
        <f>+MIN(AN8:AP8)</f>
        <v>202.57968037012</v>
      </c>
      <c r="IC8" s="116">
        <f>+MIN(AQ8:AS8)</f>
        <v>212.634368662329</v>
      </c>
      <c r="ID8" s="116">
        <f>+MIN(AT8:AV8)</f>
        <v>219.940115081545</v>
      </c>
      <c r="IE8" s="116">
        <f>+MIN(AW8:AY8)</f>
        <v>229.239463489733</v>
      </c>
      <c r="IF8" s="116">
        <f>+MIN(AZ8:BB8)</f>
        <v>240.222848360656</v>
      </c>
      <c r="IG8" s="116">
        <f>+MIN(BC8:BE8)</f>
        <v>230.316751521041</v>
      </c>
      <c r="IH8" s="116">
        <f>+MIN(BF8:BH8)</f>
        <v>250.822371979043</v>
      </c>
      <c r="II8" s="116">
        <f>+MIN(BI8:BK8)</f>
        <v>320.73465042462402</v>
      </c>
      <c r="IJ8" s="116">
        <f>+MIN(BL8:BN8)</f>
        <v>339.53146917779299</v>
      </c>
      <c r="IK8" s="116">
        <f>+MIN(BO8:BQ8)</f>
        <v>388.98765764956897</v>
      </c>
      <c r="IL8" s="116">
        <f>+MIN(BR8:BT8)</f>
        <v>431.41051736521899</v>
      </c>
      <c r="IM8" s="116">
        <f>+MIN(BU8:BW8)</f>
        <v>438.46861136344398</v>
      </c>
      <c r="IN8" s="116">
        <f>+MIN(BX8:BZ8)</f>
        <v>474.006733775562</v>
      </c>
      <c r="IO8" s="116">
        <f>+MIN(CA8:CC8)</f>
        <v>503.42784138921797</v>
      </c>
      <c r="IP8" s="116">
        <f>+MIN(CD8:CF8)</f>
        <v>535.47406466537097</v>
      </c>
      <c r="IQ8" s="116">
        <f>+MIN(CG8:CI8)</f>
        <v>607.98669353135006</v>
      </c>
      <c r="IR8" s="116">
        <f>+MIN(CJ8:CL8)</f>
        <v>542.507393421497</v>
      </c>
      <c r="IS8" s="116">
        <f>+MIN(CM8:CO8)</f>
        <v>634.63409402991397</v>
      </c>
      <c r="IT8" s="116">
        <f>+MIN(CP8:CR8)</f>
        <v>433.71368488042901</v>
      </c>
      <c r="IU8" s="116">
        <f>+MIN(CS8:CU8)</f>
        <v>517.692620838263</v>
      </c>
      <c r="IV8" s="116">
        <f>+MIN(CV8:CX8)</f>
        <v>854.02499999999998</v>
      </c>
      <c r="IW8" s="116">
        <f>+MIN(CY8:DA8)</f>
        <v>917.55</v>
      </c>
      <c r="IX8" s="116">
        <f>+MIN(DB8:DD8)</f>
        <v>915</v>
      </c>
      <c r="IY8" s="116">
        <f>+MIN(DE8:DG8)</f>
        <v>938.35</v>
      </c>
      <c r="IZ8" s="116">
        <f>+MIN(DH8:DJ8)</f>
        <v>1008.125</v>
      </c>
      <c r="JA8" s="116">
        <f>+MIN(DK8:DM8)</f>
        <v>1123.55</v>
      </c>
      <c r="JB8" s="116">
        <f>+MIN(DN8:DP8)</f>
        <v>1090</v>
      </c>
      <c r="JC8" s="116">
        <f>+MIN(DQ8:DS8)</f>
        <v>1185</v>
      </c>
      <c r="JD8" s="116">
        <f>+MIN(DT8:DV8)</f>
        <v>1155.5</v>
      </c>
      <c r="JE8" s="116">
        <f>+MIN(DW8:DY8)</f>
        <v>1171.55</v>
      </c>
      <c r="JF8" s="116">
        <f>+MIN(DZ8:EB8)</f>
        <v>1090</v>
      </c>
      <c r="JG8" s="116">
        <f>+MIN(EC8:EE8)</f>
        <v>1154.2750000000001</v>
      </c>
      <c r="JH8" s="116">
        <f>+MIN(EF8:EH8)</f>
        <v>1162.5</v>
      </c>
      <c r="JI8" s="116">
        <f>+MIN(EI8:EK8)</f>
        <v>1110.1500000000001</v>
      </c>
      <c r="JJ8" s="116">
        <f>+MIN(EL8:EN8)</f>
        <v>1284.4749999999999</v>
      </c>
      <c r="JK8" s="116">
        <f>MIN(EO8:EQ8)</f>
        <v>1359.3</v>
      </c>
      <c r="JL8" s="116">
        <f>MIN(ER8:ET8)</f>
        <v>1433.25</v>
      </c>
      <c r="JM8" s="116">
        <f>MIN(EU8:EW8)</f>
        <v>1201.5</v>
      </c>
      <c r="JN8" s="116">
        <f>MIN(EX8:EZ8)</f>
        <v>1156</v>
      </c>
      <c r="JO8" s="116">
        <f>MIN(FA8:FC8)</f>
        <v>1114.8499999999999</v>
      </c>
      <c r="JP8" s="116">
        <f>MIN(FD8:FF8)</f>
        <v>1340.6</v>
      </c>
      <c r="JQ8" s="116">
        <f>MIN(FG8:FI8)</f>
        <v>1356.9</v>
      </c>
      <c r="JR8" s="116">
        <f>MIN(FJ8:FL8)</f>
        <v>1307</v>
      </c>
      <c r="JS8" s="116">
        <f>MIN(FM8:FO8)</f>
        <v>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182.730338827742</v>
      </c>
      <c r="D9" s="116" cm="1">
        <f t="array" ref="D9">_xll.EQNXTDZ($A$1,$B9,D$1)</f>
        <v>184.15434024843699</v>
      </c>
      <c r="E9" s="116" cm="1">
        <f t="array" ref="E9">_xll.EQNXTDZ($A$1,$B9,E$1)</f>
        <v>189.80081544701699</v>
      </c>
      <c r="F9" s="116" cm="1">
        <f t="array" ref="F9">_xll.EQNXTDZ($A$1,$B9,F$1)</f>
        <v>207.334606853135</v>
      </c>
      <c r="G9" s="116" cm="1">
        <f t="array" ref="G9">_xll.EQNXTDZ($A$1,$B9,G$1)</f>
        <v>199.48402510774</v>
      </c>
      <c r="H9" s="116" cm="1">
        <f t="array" ref="H9">_xll.EQNXTDZ($A$1,$B9,H$1)</f>
        <v>196.561726540054</v>
      </c>
      <c r="I9" s="116" cm="1">
        <f t="array" ref="I9">_xll.EQNXTDZ($A$1,$B9,I$1)</f>
        <v>207.91659004246199</v>
      </c>
      <c r="J9" s="116" cm="1">
        <f t="array" ref="J9">_xll.EQNXTDZ($A$1,$B9,J$1)</f>
        <v>219.58101907110901</v>
      </c>
      <c r="K9" s="116" cm="1">
        <f t="array" ref="K9">_xll.EQNXTDZ($A$1,$B9,K$1)</f>
        <v>201.55192282300999</v>
      </c>
      <c r="L9" s="116" cm="1">
        <f t="array" ref="L9">_xll.EQNXTDZ($A$1,$B9,L$1)</f>
        <v>191.41055618345399</v>
      </c>
      <c r="M9" s="116" cm="1">
        <f t="array" ref="M9">_xll.EQNXTDZ($A$1,$B9,M$1)</f>
        <v>195.19963822460701</v>
      </c>
      <c r="N9" s="116" cm="1">
        <f t="array" ref="N9">_xll.EQNXTDZ($A$1,$B9,N$1)</f>
        <v>199.682147044533</v>
      </c>
      <c r="O9" s="116" cm="1">
        <f t="array" ref="O9">_xll.EQNXTDZ($A$1,$B9,O$1)</f>
        <v>213.62497834628999</v>
      </c>
      <c r="P9" s="116" cm="1">
        <f t="array" ref="P9">_xll.EQNXTDZ($A$1,$B9,P$1)</f>
        <v>215.965293724649</v>
      </c>
      <c r="Q9" s="116" cm="1">
        <f t="array" ref="Q9">_xll.EQNXTDZ($A$1,$B9,Q$1)</f>
        <v>211.45801966262499</v>
      </c>
      <c r="R9" s="116" cm="1">
        <f t="array" ref="R9">_xll.EQNXTDZ($A$1,$B9,R$1)</f>
        <v>203.669351022478</v>
      </c>
      <c r="S9" s="116" cm="1">
        <f t="array" ref="S9">_xll.EQNXTDZ($A$1,$B9,S$1)</f>
        <v>226.527669479888</v>
      </c>
      <c r="T9" s="116" cm="1">
        <f t="array" ref="T9">_xll.EQNXTDZ($A$1,$B9,T$1)</f>
        <v>211.29704558898101</v>
      </c>
      <c r="U9" s="116" cm="1">
        <f t="array" ref="U9">_xll.EQNXTDZ($A$1,$B9,U$1)</f>
        <v>221.698447270576</v>
      </c>
      <c r="V9" s="116" cm="1">
        <f t="array" ref="V9">_xll.EQNXTDZ($A$1,$B9,V$1)</f>
        <v>205.836309706143</v>
      </c>
      <c r="W9" s="116" cm="1">
        <f t="array" ref="W9">_xll.EQNXTDZ($A$1,$B9,W$1)</f>
        <v>198.10955417124401</v>
      </c>
      <c r="X9" s="116" cm="1">
        <f t="array" ref="X9">_xll.EQNXTDZ($A$1,$B9,X$1)</f>
        <v>230.50249083678401</v>
      </c>
      <c r="Y9" s="116" cm="1">
        <f t="array" ref="Y9">_xll.EQNXTDZ($A$1,$B9,Y$1)</f>
        <v>231.75313556278499</v>
      </c>
      <c r="Z9" s="116" cm="1">
        <f t="array" ref="Z9">_xll.EQNXTDZ($A$1,$B9,Z$1)</f>
        <v>263.67553262844302</v>
      </c>
      <c r="AA9" s="116" cm="1">
        <f t="array" ref="AA9">_xll.EQNXTDZ($A$1,$B9,AA$1)</f>
        <v>251.466268273618</v>
      </c>
      <c r="AB9" s="116" cm="1">
        <f t="array" ref="AB9">_xll.EQNXTDZ($A$1,$B9,AB$1)</f>
        <v>249.24977910575501</v>
      </c>
      <c r="AC9" s="116" cm="1">
        <f t="array" ref="AC9">_xll.EQNXTDZ($A$1,$B9,AC$1)</f>
        <v>247.33047284307901</v>
      </c>
      <c r="AD9" s="116" cm="1">
        <f t="array" ref="AD9">_xll.EQNXTDZ($A$1,$B9,AD$1)</f>
        <v>234.20489453059</v>
      </c>
      <c r="AE9" s="116" cm="1">
        <f t="array" ref="AE9">_xll.EQNXTDZ($A$1,$B9,AE$1)</f>
        <v>247.788629821911</v>
      </c>
      <c r="AF9" s="116" cm="1">
        <f t="array" ref="AF9">_xll.EQNXTDZ($A$1,$B9,AF$1)</f>
        <v>245.57214065404801</v>
      </c>
      <c r="AG9" s="116" cm="1">
        <f t="array" ref="AG9">_xll.EQNXTDZ($A$1,$B9,AG$1)</f>
        <v>220.69545496556501</v>
      </c>
      <c r="AH9" s="116" cm="1">
        <f t="array" ref="AH9">_xll.EQNXTDZ($A$1,$B9,AH$1)</f>
        <v>226.663878311433</v>
      </c>
      <c r="AI9" s="116" cm="1">
        <f t="array" ref="AI9">_xll.EQNXTDZ($A$1,$B9,AI$1)</f>
        <v>214.25649201981599</v>
      </c>
      <c r="AJ9" s="116" cm="1">
        <f t="array" ref="AJ9">_xll.EQNXTDZ($A$1,$B9,AJ$1)</f>
        <v>204.56089973804299</v>
      </c>
      <c r="AK9" s="116" cm="1">
        <f t="array" ref="AK9">_xll.EQNXTDZ($A$1,$B9,AK$1)</f>
        <v>213.56306524104301</v>
      </c>
      <c r="AL9" s="116" cm="1">
        <f t="array" ref="AL9">_xll.EQNXTDZ($A$1,$B9,AL$1)</f>
        <v>217.19117320855199</v>
      </c>
      <c r="AM9" s="116" cm="1">
        <f t="array" ref="AM9">_xll.EQNXTDZ($A$1,$B9,AM$1)</f>
        <v>247.677186232466</v>
      </c>
      <c r="AN9" s="116" cm="1">
        <f t="array" ref="AN9">_xll.EQNXTDZ($A$1,$B9,AN$1)</f>
        <v>248.110577969199</v>
      </c>
      <c r="AO9" s="116" cm="1">
        <f t="array" ref="AO9">_xll.EQNXTDZ($A$1,$B9,AO$1)</f>
        <v>211.965707125655</v>
      </c>
      <c r="AP9" s="116" cm="1">
        <f t="array" ref="AP9">_xll.EQNXTDZ($A$1,$B9,AP$1)</f>
        <v>213.55068261999301</v>
      </c>
      <c r="AQ9" s="116" cm="1">
        <f t="array" ref="AQ9">_xll.EQNXTDZ($A$1,$B9,AQ$1)</f>
        <v>234.70019937257101</v>
      </c>
      <c r="AR9" s="116" cm="1">
        <f t="array" ref="AR9">_xll.EQNXTDZ($A$1,$B9,AR$1)</f>
        <v>239.19509081354599</v>
      </c>
      <c r="AS9" s="116" cm="1">
        <f t="array" ref="AS9">_xll.EQNXTDZ($A$1,$B9,AS$1)</f>
        <v>251.26814633682599</v>
      </c>
      <c r="AT9" s="116" cm="1">
        <f t="array" ref="AT9">_xll.EQNXTDZ($A$1,$B9,AT$1)</f>
        <v>256.41931669342603</v>
      </c>
      <c r="AU9" s="116" cm="1">
        <f t="array" ref="AU9">_xll.EQNXTDZ($A$1,$B9,AU$1)</f>
        <v>239.39321275033799</v>
      </c>
      <c r="AV9" s="116" cm="1">
        <f t="array" ref="AV9">_xll.EQNXTDZ($A$1,$B9,AV$1)</f>
        <v>258.84631041913099</v>
      </c>
      <c r="AW9" s="116" cm="1">
        <f t="array" ref="AW9">_xll.EQNXTDZ($A$1,$B9,AW$1)</f>
        <v>243.368034107233</v>
      </c>
      <c r="AX9" s="116" cm="1">
        <f t="array" ref="AX9">_xll.EQNXTDZ($A$1,$B9,AX$1)</f>
        <v>237.213871445623</v>
      </c>
      <c r="AY9" s="116" cm="1">
        <f t="array" ref="AY9">_xll.EQNXTDZ($A$1,$B9,AY$1)</f>
        <v>240.012343802814</v>
      </c>
      <c r="AZ9" s="116" cm="1">
        <f t="array" ref="AZ9">_xll.EQNXTDZ($A$1,$B9,AZ$1)</f>
        <v>251.342442063123</v>
      </c>
      <c r="BA9" s="116" cm="1">
        <f t="array" ref="BA9">_xll.EQNXTDZ($A$1,$B9,BA$1)</f>
        <v>262.51156624978898</v>
      </c>
      <c r="BB9" s="116" cm="1">
        <f t="array" ref="BB9">_xll.EQNXTDZ($A$1,$B9,BB$1)</f>
        <v>268.38092862726</v>
      </c>
      <c r="BC9" s="116" cm="1">
        <f t="array" ref="BC9">_xll.EQNXTDZ($A$1,$B9,BC$1)</f>
        <v>260.33222494507402</v>
      </c>
      <c r="BD9" s="116" cm="1">
        <f t="array" ref="BD9">_xll.EQNXTDZ($A$1,$B9,BD$1)</f>
        <v>245.188279401513</v>
      </c>
      <c r="BE9" s="116" cm="1">
        <f t="array" ref="BE9">_xll.EQNXTDZ($A$1,$B9,BE$1)</f>
        <v>268.058980479973</v>
      </c>
      <c r="BF9" s="116" cm="1">
        <f t="array" ref="BF9">_xll.EQNXTDZ($A$1,$B9,BF$1)</f>
        <v>258.84631041913099</v>
      </c>
      <c r="BG9" s="116" cm="1">
        <f t="array" ref="BG9">_xll.EQNXTDZ($A$1,$B9,BG$1)</f>
        <v>306.60607980712399</v>
      </c>
      <c r="BH9" s="116" cm="1">
        <f t="array" ref="BH9">_xll.EQNXTDZ($A$1,$B9,BH$1)</f>
        <v>327.12408288617502</v>
      </c>
      <c r="BI9" s="116" cm="1">
        <f t="array" ref="BI9">_xll.EQNXTDZ($A$1,$B9,BI$1)</f>
        <v>345.52465776576003</v>
      </c>
      <c r="BJ9" s="116" cm="1">
        <f t="array" ref="BJ9">_xll.EQNXTDZ($A$1,$B9,BJ$1)</f>
        <v>332.02760082178497</v>
      </c>
      <c r="BK9" s="116" cm="1">
        <f t="array" ref="BK9">_xll.EQNXTDZ($A$1,$B9,BK$1)</f>
        <v>341.760340966706</v>
      </c>
      <c r="BL9" s="116" cm="1">
        <f t="array" ref="BL9">_xll.EQNXTDZ($A$1,$B9,BL$1)</f>
        <v>400.00819038364</v>
      </c>
      <c r="BM9" s="116" cm="1">
        <f t="array" ref="BM9">_xll.EQNXTDZ($A$1,$B9,BM$1)</f>
        <v>394.88178526913998</v>
      </c>
      <c r="BN9" s="116" cm="1">
        <f t="array" ref="BN9">_xll.EQNXTDZ($A$1,$B9,BN$1)</f>
        <v>386.78355110275498</v>
      </c>
      <c r="BO9" s="116" cm="1">
        <f t="array" ref="BO9">_xll.EQNXTDZ($A$1,$B9,BO$1)</f>
        <v>466.00756057757297</v>
      </c>
      <c r="BP9" s="116" cm="1">
        <f t="array" ref="BP9">_xll.EQNXTDZ($A$1,$B9,BP$1)</f>
        <v>456.44817712734499</v>
      </c>
      <c r="BQ9" s="116" cm="1">
        <f t="array" ref="BQ9">_xll.EQNXTDZ($A$1,$B9,BQ$1)</f>
        <v>456.200524706355</v>
      </c>
      <c r="BR9" s="116" cm="1">
        <f t="array" ref="BR9">_xll.EQNXTDZ($A$1,$B9,BR$1)</f>
        <v>476.13654459607898</v>
      </c>
      <c r="BS9" s="116" cm="1">
        <f t="array" ref="BS9">_xll.EQNXTDZ($A$1,$B9,BS$1)</f>
        <v>472.79323691270901</v>
      </c>
      <c r="BT9" s="116" cm="1">
        <f t="array" ref="BT9">_xll.EQNXTDZ($A$1,$B9,BT$1)</f>
        <v>437.205584016393</v>
      </c>
      <c r="BU9" s="116" cm="1">
        <f t="array" ref="BU9">_xll.EQNXTDZ($A$1,$B9,BU$1)</f>
        <v>477.127154280041</v>
      </c>
      <c r="BV9" s="116" cm="1">
        <f t="array" ref="BV9">_xll.EQNXTDZ($A$1,$B9,BV$1)</f>
        <v>456.34911615894902</v>
      </c>
      <c r="BW9" s="116" cm="1">
        <f t="array" ref="BW9">_xll.EQNXTDZ($A$1,$B9,BW$1)</f>
        <v>481.65919358416397</v>
      </c>
      <c r="BX9" s="116" cm="1">
        <f t="array" ref="BX9">_xll.EQNXTDZ($A$1,$B9,BX$1)</f>
        <v>587.43154258915001</v>
      </c>
      <c r="BY9" s="116" cm="1">
        <f t="array" ref="BY9">_xll.EQNXTDZ($A$1,$B9,BY$1)</f>
        <v>614.99525704537803</v>
      </c>
      <c r="BZ9" s="116" cm="1">
        <f t="array" ref="BZ9">_xll.EQNXTDZ($A$1,$B9,BZ$1)</f>
        <v>623.068725969664</v>
      </c>
      <c r="CA9" s="116" cm="1">
        <f t="array" ref="CA9">_xll.EQNXTDZ($A$1,$B9,CA$1)</f>
        <v>525.64226355205301</v>
      </c>
      <c r="CB9" s="116" cm="1">
        <f t="array" ref="CB9">_xll.EQNXTDZ($A$1,$B9,CB$1)</f>
        <v>578.29316825460501</v>
      </c>
      <c r="CC9" s="116" cm="1">
        <f t="array" ref="CC9">_xll.EQNXTDZ($A$1,$B9,CC$1)</f>
        <v>555.36055407089702</v>
      </c>
      <c r="CD9" s="116" cm="1">
        <f t="array" ref="CD9">_xll.EQNXTDZ($A$1,$B9,CD$1)</f>
        <v>607.81333683665696</v>
      </c>
      <c r="CE9" s="116" cm="1">
        <f t="array" ref="CE9">_xll.EQNXTDZ($A$1,$B9,CE$1)</f>
        <v>609.74502572038205</v>
      </c>
      <c r="CF9" s="116" cm="1">
        <f t="array" ref="CF9">_xll.EQNXTDZ($A$1,$B9,CF$1)</f>
        <v>675.22432583023499</v>
      </c>
      <c r="CG9" s="116" cm="1">
        <f t="array" ref="CG9">_xll.EQNXTDZ($A$1,$B9,CG$1)</f>
        <v>689.86058391076597</v>
      </c>
      <c r="CH9" s="116" cm="1">
        <f t="array" ref="CH9">_xll.EQNXTDZ($A$1,$B9,CH$1)</f>
        <v>658.82973556067304</v>
      </c>
      <c r="CI9" s="116" cm="1">
        <f t="array" ref="CI9">_xll.EQNXTDZ($A$1,$B9,CI$1)</f>
        <v>620.66649748605698</v>
      </c>
      <c r="CJ9" s="116" cm="1">
        <f t="array" ref="CJ9">_xll.EQNXTDZ($A$1,$B9,CJ$1)</f>
        <v>577.64927196002998</v>
      </c>
      <c r="CK9" s="116" cm="1">
        <f t="array" ref="CK9">_xll.EQNXTDZ($A$1,$B9,CK$1)</f>
        <v>618.41286045504501</v>
      </c>
      <c r="CL9" s="116" cm="1">
        <f t="array" ref="CL9">_xll.EQNXTDZ($A$1,$B9,CL$1)</f>
        <v>659.86987572883197</v>
      </c>
      <c r="CM9" s="116" cm="1">
        <f t="array" ref="CM9">_xll.EQNXTDZ($A$1,$B9,CM$1)</f>
        <v>725.29964535448698</v>
      </c>
      <c r="CN9" s="116" cm="1">
        <f t="array" ref="CN9">_xll.EQNXTDZ($A$1,$B9,CN$1)</f>
        <v>768.29210563841502</v>
      </c>
      <c r="CO9" s="116" cm="1">
        <f t="array" ref="CO9">_xll.EQNXTDZ($A$1,$B9,CO$1)</f>
        <v>749.91629600092904</v>
      </c>
      <c r="CP9" s="116" cm="1">
        <f t="array" ref="CP9">_xll.EQNXTDZ($A$1,$B9,CP$1)</f>
        <v>699.19708018210201</v>
      </c>
      <c r="CQ9" s="116" cm="1">
        <f t="array" ref="CQ9">_xll.EQNXTDZ($A$1,$B9,CQ$1)</f>
        <v>658.08677829770204</v>
      </c>
      <c r="CR9" s="116" cm="1">
        <f t="array" ref="CR9">_xll.EQNXTDZ($A$1,$B9,CR$1)</f>
        <v>551.64576775604201</v>
      </c>
      <c r="CS9" s="116" cm="1">
        <f t="array" ref="CS9">_xll.EQNXTDZ($A$1,$B9,CS$1)</f>
        <v>726.116898343755</v>
      </c>
      <c r="CT9" s="116" cm="1">
        <f t="array" ref="CT9">_xll.EQNXTDZ($A$1,$B9,CT$1)</f>
        <v>732.2</v>
      </c>
      <c r="CU9" s="116" cm="1">
        <f t="array" ref="CU9">_xll.EQNXTDZ($A$1,$B9,CU$1)</f>
        <v>852.05</v>
      </c>
      <c r="CV9" s="116" cm="1">
        <f t="array" ref="CV9">_xll.EQNXTDZ($A$1,$B9,CV$1)</f>
        <v>1033.55</v>
      </c>
      <c r="CW9" s="116" cm="1">
        <f t="array" ref="CW9">_xll.EQNXTDZ($A$1,$B9,CW$1)</f>
        <v>1040.3499999999999</v>
      </c>
      <c r="CX9" s="116" cm="1">
        <f t="array" ref="CX9">_xll.EQNXTDZ($A$1,$B9,CX$1)</f>
        <v>1117.175</v>
      </c>
      <c r="CY9" s="116" cm="1">
        <f t="array" ref="CY9">_xll.EQNXTDZ($A$1,$B9,CY$1)</f>
        <v>1027.25</v>
      </c>
      <c r="CZ9" s="116" cm="1">
        <f t="array" ref="CZ9">_xll.EQNXTDZ($A$1,$B9,CZ$1)</f>
        <v>964.9</v>
      </c>
      <c r="DA9" s="116" cm="1">
        <f t="array" ref="DA9">_xll.EQNXTDZ($A$1,$B9,DA$1)</f>
        <v>992.65</v>
      </c>
      <c r="DB9" s="116" cm="1">
        <f t="array" ref="DB9">_xll.EQNXTDZ($A$1,$B9,DB$1)</f>
        <v>920.97500000000002</v>
      </c>
      <c r="DC9" s="116" cm="1">
        <f t="array" ref="DC9">_xll.EQNXTDZ($A$1,$B9,DC$1)</f>
        <v>1042.9000000000001</v>
      </c>
      <c r="DD9" s="116" cm="1">
        <f t="array" ref="DD9">_xll.EQNXTDZ($A$1,$B9,DD$1)</f>
        <v>1001.55</v>
      </c>
      <c r="DE9" s="116" cm="1">
        <f t="array" ref="DE9">_xll.EQNXTDZ($A$1,$B9,DE$1)</f>
        <v>997.25</v>
      </c>
      <c r="DF9" s="116" cm="1">
        <f t="array" ref="DF9">_xll.EQNXTDZ($A$1,$B9,DF$1)</f>
        <v>1080.1500000000001</v>
      </c>
      <c r="DG9" s="116" cm="1">
        <f t="array" ref="DG9">_xll.EQNXTDZ($A$1,$B9,DG$1)</f>
        <v>1055.325</v>
      </c>
      <c r="DH9" s="116" cm="1">
        <f t="array" ref="DH9">_xll.EQNXTDZ($A$1,$B9,DH$1)</f>
        <v>1017.65</v>
      </c>
      <c r="DI9" s="116" cm="1">
        <f t="array" ref="DI9">_xll.EQNXTDZ($A$1,$B9,DI$1)</f>
        <v>1129.075</v>
      </c>
      <c r="DJ9" s="116" cm="1">
        <f t="array" ref="DJ9">_xll.EQNXTDZ($A$1,$B9,DJ$1)</f>
        <v>1259.625</v>
      </c>
      <c r="DK9" s="116" cm="1">
        <f t="array" ref="DK9">_xll.EQNXTDZ($A$1,$B9,DK$1)</f>
        <v>1268.125</v>
      </c>
      <c r="DL9" s="116" cm="1">
        <f t="array" ref="DL9">_xll.EQNXTDZ($A$1,$B9,DL$1)</f>
        <v>1202.7</v>
      </c>
      <c r="DM9" s="116" cm="1">
        <f t="array" ref="DM9">_xll.EQNXTDZ($A$1,$B9,DM$1)</f>
        <v>1184.075</v>
      </c>
      <c r="DN9" s="116" cm="1">
        <f t="array" ref="DN9">_xll.EQNXTDZ($A$1,$B9,DN$1)</f>
        <v>1193.3</v>
      </c>
      <c r="DO9" s="116" cm="1">
        <f t="array" ref="DO9">_xll.EQNXTDZ($A$1,$B9,DO$1)</f>
        <v>1179.7750000000001</v>
      </c>
      <c r="DP9" s="116" cm="1">
        <f t="array" ref="DP9">_xll.EQNXTDZ($A$1,$B9,DP$1)</f>
        <v>1317.375</v>
      </c>
      <c r="DQ9" s="116" cm="1">
        <f t="array" ref="DQ9">_xll.EQNXTDZ($A$1,$B9,DQ$1)</f>
        <v>1395.125</v>
      </c>
      <c r="DR9" s="116" cm="1">
        <f t="array" ref="DR9">_xll.EQNXTDZ($A$1,$B9,DR$1)</f>
        <v>1316.325</v>
      </c>
      <c r="DS9" s="116" cm="1">
        <f t="array" ref="DS9">_xll.EQNXTDZ($A$1,$B9,DS$1)</f>
        <v>1297.825</v>
      </c>
      <c r="DT9" s="116" cm="1">
        <f t="array" ref="DT9">_xll.EQNXTDZ($A$1,$B9,DT$1)</f>
        <v>1254.7249999999999</v>
      </c>
      <c r="DU9" s="116" cm="1">
        <f t="array" ref="DU9">_xll.EQNXTDZ($A$1,$B9,DU$1)</f>
        <v>1318.9749999999999</v>
      </c>
      <c r="DV9" s="116" cm="1">
        <f t="array" ref="DV9">_xll.EQNXTDZ($A$1,$B9,DV$1)</f>
        <v>1188.875</v>
      </c>
      <c r="DW9" s="116" cm="1">
        <f t="array" ref="DW9">_xll.EQNXTDZ($A$1,$B9,DW$1)</f>
        <v>1274.8</v>
      </c>
      <c r="DX9" s="116" cm="1">
        <f t="array" ref="DX9">_xll.EQNXTDZ($A$1,$B9,DX$1)</f>
        <v>1365.675</v>
      </c>
      <c r="DY9" s="116" cm="1">
        <f t="array" ref="DY9">_xll.EQNXTDZ($A$1,$B9,DY$1)</f>
        <v>1273.5999999999999</v>
      </c>
      <c r="DZ9" s="116" cm="1">
        <f t="array" ref="DZ9">_xll.EQNXTDZ($A$1,$B9,DZ$1)</f>
        <v>1176.925</v>
      </c>
      <c r="EA9" s="116" cm="1">
        <f t="array" ref="EA9">_xll.EQNXTDZ($A$1,$B9,EA$1)</f>
        <v>1161.2750000000001</v>
      </c>
      <c r="EB9" s="116" cm="1">
        <f t="array" ref="EB9">_xll.EQNXTDZ($A$1,$B9,EB$1)</f>
        <v>1165.5250000000001</v>
      </c>
      <c r="EC9" s="116" cm="1">
        <f t="array" ref="EC9">_xll.EQNXTDZ($A$1,$B9,EC$1)</f>
        <v>1210.25</v>
      </c>
      <c r="ED9" s="116" cm="1">
        <f t="array" ref="ED9">_xll.EQNXTDZ($A$1,$B9,ED$1)</f>
        <v>1234.95</v>
      </c>
      <c r="EE9" s="116" cm="1">
        <f t="array" ref="EE9">_xll.EQNXTDZ($A$1,$B9,EE$1)</f>
        <v>1275.125</v>
      </c>
      <c r="EF9" s="116" cm="1">
        <f t="array" ref="EF9">_xll.EQNXTDZ($A$1,$B9,EF$1)</f>
        <v>1274.625</v>
      </c>
      <c r="EG9" s="116" cm="1">
        <f t="array" ref="EG9">_xll.EQNXTDZ($A$1,$B9,EG$1)</f>
        <v>1203.5</v>
      </c>
      <c r="EH9" s="116" cm="1">
        <f t="array" ref="EH9">_xll.EQNXTDZ($A$1,$B9,EH$1)</f>
        <v>1172.5</v>
      </c>
      <c r="EI9" s="116" cm="1">
        <f t="array" ref="EI9">_xll.EQNXTDZ($A$1,$B9,EI$1)</f>
        <v>1143.95</v>
      </c>
      <c r="EJ9" s="116" cm="1">
        <f t="array" ref="EJ9">_xll.EQNXTDZ($A$1,$B9,EJ$1)</f>
        <v>1188.7249999999999</v>
      </c>
      <c r="EK9" s="116" cm="1">
        <f t="array" ref="EK9">_xll.EQNXTDZ($A$1,$B9,EK$1)</f>
        <v>1292.4749999999999</v>
      </c>
      <c r="EL9" s="116" cm="1">
        <f t="array" ref="EL9">_xll.EQNXTDZ($A$1,$B9,EL$1)</f>
        <v>1426.625</v>
      </c>
      <c r="EM9" s="116" cm="1">
        <f t="array" ref="EM9">_xll.EQNXTDZ($A$1,$B9,EM$1)</f>
        <v>1460.8</v>
      </c>
      <c r="EN9" s="116" cm="1">
        <f t="array" ref="EN9">_xll.EQNXTDZ($A$1,$B9,EN$1)</f>
        <v>1485.85</v>
      </c>
      <c r="EO9" s="116" cm="1">
        <f t="array" ref="EO9">_xll.EQNXTDZ($A$1,$B9,EO$1)</f>
        <v>1467</v>
      </c>
      <c r="EP9" s="116" cm="1">
        <f t="array" ref="EP9">_xll.EQNXTDZ($A$1,$B9,EP$1)</f>
        <v>1430.4</v>
      </c>
      <c r="EQ9" s="116" cm="1">
        <f t="array" ref="EQ9">_xll.EQNXTDZ($A$1,$B9,EQ$1)</f>
        <v>1565.4</v>
      </c>
      <c r="ER9" s="116" cm="1">
        <f t="array" ref="ER9">_xll.EQNXTDZ($A$1,$B9,ER$1)</f>
        <v>1505.425</v>
      </c>
      <c r="ES9" s="116" cm="1">
        <f t="array" ref="ES9">_xll.EQNXTDZ($A$1,$B9,ES$1)</f>
        <v>1509.625</v>
      </c>
      <c r="ET9" s="116" cm="1">
        <f t="array" ref="ET9">_xll.EQNXTDZ($A$1,$B9,ET$1)</f>
        <v>1476.575</v>
      </c>
      <c r="EU9" s="116" cm="1">
        <f t="array" ref="EU9">_xll.EQNXTDZ($A$1,$B9,EU$1)</f>
        <v>1332.05</v>
      </c>
      <c r="EV9" s="116" cm="1">
        <f t="array" ref="EV9">_xll.EQNXTDZ($A$1,$B9,EV$1)</f>
        <v>1292.2</v>
      </c>
      <c r="EW9" s="116" cm="1">
        <f t="array" ref="EW9">_xll.EQNXTDZ($A$1,$B9,EW$1)</f>
        <v>1215.45</v>
      </c>
      <c r="EX9" s="116" cm="1">
        <f t="array" ref="EX9">_xll.EQNXTDZ($A$1,$B9,EX$1)</f>
        <v>1265.0999999999999</v>
      </c>
      <c r="EY9" s="116" cm="1">
        <f t="array" ref="EY9">_xll.EQNXTDZ($A$1,$B9,EY$1)</f>
        <v>1200.0999999999999</v>
      </c>
      <c r="EZ9" s="116" cm="1">
        <f t="array" ref="EZ9">_xll.EQNXTDZ($A$1,$B9,EZ$1)</f>
        <v>1275.0999999999999</v>
      </c>
      <c r="FA9" s="116" cm="1">
        <f t="array" ref="FA9">_xll.EQNXTDZ($A$1,$B9,FA$1)</f>
        <v>1405</v>
      </c>
      <c r="FB9" s="116" cm="1">
        <f t="array" ref="FB9">_xll.EQNXTDZ($A$1,$B9,FB$1)</f>
        <v>1420.9</v>
      </c>
      <c r="FC9" s="116" cm="1">
        <f t="array" ref="FC9">_xll.EQNXTDZ($A$1,$B9,FC$1)</f>
        <v>1500.6</v>
      </c>
      <c r="FD9" s="116" cm="1">
        <f t="array" ref="FD9">_xll.EQNXTDZ($A$1,$B9,FD$1)</f>
        <v>1390.2</v>
      </c>
      <c r="FE9" s="116" cm="1">
        <f t="array" ref="FE9">_xll.EQNXTDZ($A$1,$B9,FE$1)</f>
        <v>1357.2</v>
      </c>
      <c r="FF9" s="116" cm="1">
        <f t="array" ref="FF9">_xll.EQNXTDZ($A$1,$B9,FF$1)</f>
        <v>1364</v>
      </c>
      <c r="FG9" s="116" cm="1">
        <f t="array" ref="FG9">_xll.EQNXTDZ($A$1,$B9,FG$1)</f>
        <v>1486.4</v>
      </c>
      <c r="FH9" s="116" cm="1">
        <f t="array" ref="FH9">_xll.EQNXTDZ($A$1,$B9,FH$1)</f>
        <v>1567.5</v>
      </c>
      <c r="FI9" s="116" cm="1">
        <f t="array" ref="FI9">_xll.EQNXTDZ($A$1,$B9,FI$1)</f>
        <v>1570.4</v>
      </c>
      <c r="FJ9" s="116" cm="1">
        <f t="array" ref="FJ9">_xll.EQNXTDZ($A$1,$B9,FJ$1)</f>
        <v>1395.4</v>
      </c>
      <c r="FK9" s="116" cm="1">
        <f t="array" ref="FK9">_xll.EQNXTDZ($A$1,$B9,FK$1)</f>
        <v>1393.9</v>
      </c>
      <c r="FL9" s="116" cm="1">
        <f t="array" ref="FL9">_xll.EQNXTDZ($A$1,$B9,FL$1)</f>
        <v>1343.9</v>
      </c>
      <c r="FM9" s="116" cm="1">
        <f t="array" ref="FM9">_xll.EQNXTDZ($A$1,$B9,FM$1)</f>
        <v>1327.8</v>
      </c>
      <c r="FN9" s="116" cm="1">
        <f t="array" ref="FN9">_xll.EQNXTDZ($A$1,$B9,FN$1)</f>
        <v>0</v>
      </c>
      <c r="FO9" s="116" cm="1">
        <f t="array" ref="FO9">_xll.EQNXTDZ($A$1,$B9,FO$1)</f>
        <v>0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207.334606853135</v>
      </c>
      <c r="HQ9" s="116">
        <f>+I9</f>
        <v>207.91659004246199</v>
      </c>
      <c r="HR9" s="116">
        <f>+L9</f>
        <v>191.41055618345399</v>
      </c>
      <c r="HS9" s="116">
        <f>+O9</f>
        <v>213.62497834628999</v>
      </c>
      <c r="HT9" s="116">
        <f>+R9</f>
        <v>203.669351022478</v>
      </c>
      <c r="HU9" s="116">
        <f>+U9</f>
        <v>221.698447270576</v>
      </c>
      <c r="HV9" s="116">
        <f>+X9</f>
        <v>230.50249083678401</v>
      </c>
      <c r="HW9" s="116">
        <f>+AA9</f>
        <v>251.466268273618</v>
      </c>
      <c r="HX9" s="116">
        <f>+AD9</f>
        <v>234.20489453059</v>
      </c>
      <c r="HY9" s="116">
        <f>+AG9</f>
        <v>220.69545496556501</v>
      </c>
      <c r="HZ9" s="116">
        <f>+AJ9</f>
        <v>204.56089973804299</v>
      </c>
      <c r="IA9" s="116">
        <f>+AM9</f>
        <v>247.677186232466</v>
      </c>
      <c r="IB9" s="116">
        <f>+AP9</f>
        <v>213.55068261999301</v>
      </c>
      <c r="IC9" s="116">
        <f>+AS9</f>
        <v>251.26814633682599</v>
      </c>
      <c r="ID9" s="116">
        <f>+AV9</f>
        <v>258.84631041913099</v>
      </c>
      <c r="IE9" s="116">
        <f>+AY9</f>
        <v>240.012343802814</v>
      </c>
      <c r="IF9" s="116">
        <f>+BB9</f>
        <v>268.38092862726</v>
      </c>
      <c r="IG9" s="116">
        <f>+BE9</f>
        <v>268.058980479973</v>
      </c>
      <c r="IH9" s="116">
        <f>+BH9</f>
        <v>327.12408288617502</v>
      </c>
      <c r="II9" s="116">
        <f>+BK9</f>
        <v>341.760340966706</v>
      </c>
      <c r="IJ9" s="116">
        <f>+BN9</f>
        <v>386.78355110275498</v>
      </c>
      <c r="IK9" s="116">
        <f>+BQ9</f>
        <v>456.200524706355</v>
      </c>
      <c r="IL9" s="116">
        <f>+BT9</f>
        <v>437.205584016393</v>
      </c>
      <c r="IM9" s="116">
        <f>+BW9</f>
        <v>481.65919358416397</v>
      </c>
      <c r="IN9" s="116">
        <f>+BZ9</f>
        <v>623.068725969664</v>
      </c>
      <c r="IO9" s="116">
        <f>+CC9</f>
        <v>555.36055407089702</v>
      </c>
      <c r="IP9" s="116">
        <f>+CF9</f>
        <v>675.22432583023499</v>
      </c>
      <c r="IQ9" s="116">
        <f>+CI9</f>
        <v>620.66649748605698</v>
      </c>
      <c r="IR9" s="116">
        <f>+CL9</f>
        <v>659.86987572883197</v>
      </c>
      <c r="IS9" s="116">
        <f>+CO9</f>
        <v>749.91629600092904</v>
      </c>
      <c r="IT9" s="116">
        <f>+CR9</f>
        <v>551.64576775604201</v>
      </c>
      <c r="IU9" s="116">
        <f>+CU9</f>
        <v>852.05</v>
      </c>
      <c r="IV9" s="116">
        <f>+CX9</f>
        <v>1117.175</v>
      </c>
      <c r="IW9" s="116">
        <f>+DA9</f>
        <v>992.65</v>
      </c>
      <c r="IX9" s="116">
        <f>+DD9</f>
        <v>1001.55</v>
      </c>
      <c r="IY9" s="116">
        <f>+DG9</f>
        <v>1055.325</v>
      </c>
      <c r="IZ9" s="116">
        <f>+DJ9</f>
        <v>1259.625</v>
      </c>
      <c r="JA9" s="116">
        <f>+DM9</f>
        <v>1184.075</v>
      </c>
      <c r="JB9" s="116">
        <f>+DP9</f>
        <v>1317.375</v>
      </c>
      <c r="JC9" s="116">
        <f>+DS9</f>
        <v>1297.825</v>
      </c>
      <c r="JD9" s="116">
        <f>+DV9</f>
        <v>1188.875</v>
      </c>
      <c r="JE9" s="116">
        <f>+DY9</f>
        <v>1273.5999999999999</v>
      </c>
      <c r="JF9" s="116">
        <f>+EB9</f>
        <v>1165.5250000000001</v>
      </c>
      <c r="JG9" s="116">
        <f>+EE9</f>
        <v>1275.125</v>
      </c>
      <c r="JH9" s="116">
        <f>+EH9</f>
        <v>1172.5</v>
      </c>
      <c r="JI9" s="116">
        <f>+EK9</f>
        <v>1292.4749999999999</v>
      </c>
      <c r="JJ9" s="116">
        <f>+EN9</f>
        <v>1485.85</v>
      </c>
      <c r="JK9" s="116">
        <f>EQ9</f>
        <v>1565.4</v>
      </c>
      <c r="JL9" s="116">
        <f>ET9</f>
        <v>1476.575</v>
      </c>
      <c r="JM9" s="116">
        <f>EW9</f>
        <v>1215.45</v>
      </c>
      <c r="JN9" s="116">
        <f>EZ9</f>
        <v>1275.0999999999999</v>
      </c>
      <c r="JO9" s="116">
        <f>FC9</f>
        <v>1500.6</v>
      </c>
      <c r="JP9" s="116">
        <f>FF9</f>
        <v>1364</v>
      </c>
      <c r="JQ9" s="116">
        <f>FI9</f>
        <v>1570.4</v>
      </c>
      <c r="JR9" s="116">
        <f>FL9</f>
        <v>1343.9</v>
      </c>
      <c r="JS9" s="116">
        <f>FO9</f>
        <v>0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0</v>
      </c>
      <c r="FO12" cm="1">
        <f t="array" ref="FO12">_xll.EQNXTDZ($A$1,$B12,FO$1)</f>
        <v>0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175.20774177714901</v>
      </c>
      <c r="D13" cm="1">
        <f t="array" ref="D13">_xll.EQNXTDZ($A$1,$B13,D$1)</f>
        <v>182.29034448361801</v>
      </c>
      <c r="E13" cm="1">
        <f t="array" ref="E13">_xll.EQNXTDZ($A$1,$B13,E$1)</f>
        <v>183.50379739486601</v>
      </c>
      <c r="F13" cm="1">
        <f t="array" ref="F13">_xll.EQNXTDZ($A$1,$B13,F$1)</f>
        <v>190.685457481844</v>
      </c>
      <c r="G13" cm="1">
        <f t="array" ref="G13">_xll.EQNXTDZ($A$1,$B13,G$1)</f>
        <v>208.218613832123</v>
      </c>
      <c r="H13" cm="1">
        <f t="array" ref="H13">_xll.EQNXTDZ($A$1,$B13,H$1)</f>
        <v>196.60413596731999</v>
      </c>
      <c r="I13" cm="1">
        <f t="array" ref="I13">_xll.EQNXTDZ($A$1,$B13,I$1)</f>
        <v>197.04989417961499</v>
      </c>
      <c r="J13" cm="1">
        <f t="array" ref="J13">_xll.EQNXTDZ($A$1,$B13,J$1)</f>
        <v>209.19680546466</v>
      </c>
      <c r="K13" cm="1">
        <f t="array" ref="K13">_xll.EQNXTDZ($A$1,$B13,K$1)</f>
        <v>220.65031508613399</v>
      </c>
      <c r="L13" cm="1">
        <f t="array" ref="L13">_xll.EQNXTDZ($A$1,$B13,L$1)</f>
        <v>201.90370582460699</v>
      </c>
      <c r="M13" cm="1">
        <f t="array" ref="M13">_xll.EQNXTDZ($A$1,$B13,M$1)</f>
        <v>193.24856720254201</v>
      </c>
      <c r="N13" cm="1">
        <f t="array" ref="N13">_xll.EQNXTDZ($A$1,$B13,N$1)</f>
        <v>195.11827525966899</v>
      </c>
      <c r="O13" cm="1">
        <f t="array" ref="O13">_xll.EQNXTDZ($A$1,$B13,O$1)</f>
        <v>199.848265179024</v>
      </c>
      <c r="P13" cm="1">
        <f t="array" ref="P13">_xll.EQNXTDZ($A$1,$B13,P$1)</f>
        <v>213.468654999156</v>
      </c>
      <c r="Q13" cm="1">
        <f t="array" ref="Q13">_xll.EQNXTDZ($A$1,$B13,Q$1)</f>
        <v>216.774695073678</v>
      </c>
      <c r="R13" cm="1">
        <f t="array" ref="R13">_xll.EQNXTDZ($A$1,$B13,R$1)</f>
        <v>211.06651352178699</v>
      </c>
      <c r="S13" cm="1">
        <f t="array" ref="S13">_xll.EQNXTDZ($A$1,$B13,S$1)</f>
        <v>204.75160551427101</v>
      </c>
      <c r="T13" cm="1">
        <f t="array" ref="T13">_xll.EQNXTDZ($A$1,$B13,T$1)</f>
        <v>225.10789720908599</v>
      </c>
      <c r="U13" cm="1">
        <f t="array" ref="U13">_xll.EQNXTDZ($A$1,$B13,U$1)</f>
        <v>211.17795307486099</v>
      </c>
      <c r="V13" cm="1">
        <f t="array" ref="V13">_xll.EQNXTDZ($A$1,$B13,V$1)</f>
        <v>222.074264930966</v>
      </c>
      <c r="W13" cm="1">
        <f t="array" ref="W13">_xll.EQNXTDZ($A$1,$B13,W$1)</f>
        <v>205.29642110707701</v>
      </c>
      <c r="X13" cm="1">
        <f t="array" ref="X13">_xll.EQNXTDZ($A$1,$B13,X$1)</f>
        <v>198.114761020098</v>
      </c>
      <c r="Y13" cm="1">
        <f t="array" ref="Y13">_xll.EQNXTDZ($A$1,$B13,Y$1)</f>
        <v>231.55900911480299</v>
      </c>
      <c r="Z13" cm="1">
        <f t="array" ref="Z13">_xll.EQNXTDZ($A$1,$B13,Z$1)</f>
        <v>233.03248764988999</v>
      </c>
      <c r="AA13" cm="1">
        <f t="array" ref="AA13">_xll.EQNXTDZ($A$1,$B13,AA$1)</f>
        <v>265.75856973589799</v>
      </c>
      <c r="AB13" cm="1">
        <f t="array" ref="AB13">_xll.EQNXTDZ($A$1,$B13,AB$1)</f>
        <v>251.60574649552399</v>
      </c>
      <c r="AC13" cm="1">
        <f t="array" ref="AC13">_xll.EQNXTDZ($A$1,$B13,AC$1)</f>
        <v>247.24722175308199</v>
      </c>
      <c r="AD13" cm="1">
        <f t="array" ref="AD13">_xll.EQNXTDZ($A$1,$B13,AD$1)</f>
        <v>248.423528146639</v>
      </c>
      <c r="AE13" cm="1">
        <f t="array" ref="AE13">_xll.EQNXTDZ($A$1,$B13,AE$1)</f>
        <v>233.97353276473601</v>
      </c>
      <c r="AF13" cm="1">
        <f t="array" ref="AF13">_xll.EQNXTDZ($A$1,$B13,AF$1)</f>
        <v>248.13873817767299</v>
      </c>
      <c r="AG13" cm="1">
        <f t="array" ref="AG13">_xll.EQNXTDZ($A$1,$B13,AG$1)</f>
        <v>245.018430691606</v>
      </c>
      <c r="AH13" cm="1">
        <f t="array" ref="AH13">_xll.EQNXTDZ($A$1,$B13,AH$1)</f>
        <v>219.288276104121</v>
      </c>
      <c r="AI13" cm="1">
        <f t="array" ref="AI13">_xll.EQNXTDZ($A$1,$B13,AI$1)</f>
        <v>226.630904434428</v>
      </c>
      <c r="AJ13" cm="1">
        <f t="array" ref="AJ13">_xll.EQNXTDZ($A$1,$B13,AJ$1)</f>
        <v>215.41265609166501</v>
      </c>
      <c r="AK13" cm="1">
        <f t="array" ref="AK13">_xll.EQNXTDZ($A$1,$B13,AK$1)</f>
        <v>204.293465129412</v>
      </c>
      <c r="AL13" cm="1">
        <f t="array" ref="AL13">_xll.EQNXTDZ($A$1,$B13,AL$1)</f>
        <v>214.70687225553101</v>
      </c>
      <c r="AM13" cm="1">
        <f t="array" ref="AM13">_xll.EQNXTDZ($A$1,$B13,AM$1)</f>
        <v>217.18330676828199</v>
      </c>
      <c r="AN13" cm="1">
        <f t="array" ref="AN13">_xll.EQNXTDZ($A$1,$B13,AN$1)</f>
        <v>248.237795558183</v>
      </c>
      <c r="AO13" cm="1">
        <f t="array" ref="AO13">_xll.EQNXTDZ($A$1,$B13,AO$1)</f>
        <v>247.92824124408901</v>
      </c>
      <c r="AP13" cm="1">
        <f t="array" ref="AP13">_xll.EQNXTDZ($A$1,$B13,AP$1)</f>
        <v>211.12842438460601</v>
      </c>
      <c r="AQ13" cm="1">
        <f t="array" ref="AQ13">_xll.EQNXTDZ($A$1,$B13,AQ$1)</f>
        <v>215.94508951190701</v>
      </c>
      <c r="AR13" cm="1">
        <f t="array" ref="AR13">_xll.EQNXTDZ($A$1,$B13,AR$1)</f>
        <v>234.295469251393</v>
      </c>
      <c r="AS13" cm="1">
        <f t="array" ref="AS13">_xll.EQNXTDZ($A$1,$B13,AS$1)</f>
        <v>239.32263131227799</v>
      </c>
      <c r="AT13" cm="1">
        <f t="array" ref="AT13">_xll.EQNXTDZ($A$1,$B13,AT$1)</f>
        <v>250.11988578787401</v>
      </c>
      <c r="AU13" cm="1">
        <f t="array" ref="AU13">_xll.EQNXTDZ($A$1,$B13,AU$1)</f>
        <v>257.54918932612702</v>
      </c>
      <c r="AV13" cm="1">
        <f t="array" ref="AV13">_xll.EQNXTDZ($A$1,$B13,AV$1)</f>
        <v>239.59503910868099</v>
      </c>
      <c r="AW13" cm="1">
        <f t="array" ref="AW13">_xll.EQNXTDZ($A$1,$B13,AW$1)</f>
        <v>257.30154587485202</v>
      </c>
      <c r="AX13" cm="1">
        <f t="array" ref="AX13">_xll.EQNXTDZ($A$1,$B13,AX$1)</f>
        <v>243.03728308140501</v>
      </c>
      <c r="AY13" cm="1">
        <f t="array" ref="AY13">_xll.EQNXTDZ($A$1,$B13,AY$1)</f>
        <v>237.440541082587</v>
      </c>
      <c r="AZ13" cm="1">
        <f t="array" ref="AZ13">_xll.EQNXTDZ($A$1,$B13,AZ$1)</f>
        <v>241.08089981633199</v>
      </c>
      <c r="BA13" cm="1">
        <f t="array" ref="BA13">_xll.EQNXTDZ($A$1,$B13,BA$1)</f>
        <v>251.741950393726</v>
      </c>
      <c r="BB13" cm="1">
        <f t="array" ref="BB13">_xll.EQNXTDZ($A$1,$B13,BB$1)</f>
        <v>260.99143329885197</v>
      </c>
      <c r="BC13" cm="1">
        <f t="array" ref="BC13">_xll.EQNXTDZ($A$1,$B13,BC$1)</f>
        <v>268.56932290787</v>
      </c>
      <c r="BD13" cm="1">
        <f t="array" ref="BD13">_xll.EQNXTDZ($A$1,$B13,BD$1)</f>
        <v>260.27326729015402</v>
      </c>
      <c r="BE13" cm="1">
        <f t="array" ref="BE13">_xll.EQNXTDZ($A$1,$B13,BE$1)</f>
        <v>246.690023987713</v>
      </c>
      <c r="BF13" cm="1">
        <f t="array" ref="BF13">_xll.EQNXTDZ($A$1,$B13,BF$1)</f>
        <v>267.78924603635397</v>
      </c>
      <c r="BG13" cm="1">
        <f t="array" ref="BG13">_xll.EQNXTDZ($A$1,$B13,BG$1)</f>
        <v>258.83693527275801</v>
      </c>
      <c r="BH13" cm="1">
        <f t="array" ref="BH13">_xll.EQNXTDZ($A$1,$B13,BH$1)</f>
        <v>307.57316648370198</v>
      </c>
      <c r="BI13" cm="1">
        <f t="array" ref="BI13">_xll.EQNXTDZ($A$1,$B13,BI$1)</f>
        <v>329.861077098463</v>
      </c>
      <c r="BJ13" cm="1">
        <f t="array" ref="BJ13">_xll.EQNXTDZ($A$1,$B13,BJ$1)</f>
        <v>346.72559613029898</v>
      </c>
      <c r="BK13" cm="1">
        <f t="array" ref="BK13">_xll.EQNXTDZ($A$1,$B13,BK$1)</f>
        <v>331.346937806114</v>
      </c>
      <c r="BL13" cm="1">
        <f t="array" ref="BL13">_xll.EQNXTDZ($A$1,$B13,BL$1)</f>
        <v>343.72911036987</v>
      </c>
      <c r="BM13" cm="1">
        <f t="array" ref="BM13">_xll.EQNXTDZ($A$1,$B13,BM$1)</f>
        <v>402.13581835310799</v>
      </c>
      <c r="BN13" cm="1">
        <f t="array" ref="BN13">_xll.EQNXTDZ($A$1,$B13,BN$1)</f>
        <v>396.67528025249101</v>
      </c>
      <c r="BO13" cm="1">
        <f t="array" ref="BO13">_xll.EQNXTDZ($A$1,$B13,BO$1)</f>
        <v>392.44057723568699</v>
      </c>
      <c r="BP13" cm="1">
        <f t="array" ref="BP13">_xll.EQNXTDZ($A$1,$B13,BP$1)</f>
        <v>468.54140981253198</v>
      </c>
      <c r="BQ13" cm="1">
        <f t="array" ref="BQ13">_xll.EQNXTDZ($A$1,$B13,BQ$1)</f>
        <v>458.14038485897697</v>
      </c>
      <c r="BR13" cm="1">
        <f t="array" ref="BR13">_xll.EQNXTDZ($A$1,$B13,BR$1)</f>
        <v>456.65452415132597</v>
      </c>
      <c r="BS13" cm="1">
        <f t="array" ref="BS13">_xll.EQNXTDZ($A$1,$B13,BS$1)</f>
        <v>477.654688819456</v>
      </c>
      <c r="BT13" cm="1">
        <f t="array" ref="BT13">_xll.EQNXTDZ($A$1,$B13,BT$1)</f>
        <v>470.94355128989997</v>
      </c>
      <c r="BU13" cm="1">
        <f t="array" ref="BU13">_xll.EQNXTDZ($A$1,$B13,BU$1)</f>
        <v>441.05298672099298</v>
      </c>
      <c r="BV13" cm="1">
        <f t="array" ref="BV13">_xll.EQNXTDZ($A$1,$B13,BV$1)</f>
        <v>479.833951190677</v>
      </c>
      <c r="BW13" cm="1">
        <f t="array" ref="BW13">_xll.EQNXTDZ($A$1,$B13,BW$1)</f>
        <v>456.307823319541</v>
      </c>
      <c r="BX13" cm="1">
        <f t="array" ref="BX13">_xll.EQNXTDZ($A$1,$B13,BX$1)</f>
        <v>481.91415618138802</v>
      </c>
      <c r="BY13" cm="1">
        <f t="array" ref="BY13">_xll.EQNXTDZ($A$1,$B13,BY$1)</f>
        <v>591.86784854754296</v>
      </c>
      <c r="BZ13" cm="1">
        <f t="array" ref="BZ13">_xll.EQNXTDZ($A$1,$B13,BZ$1)</f>
        <v>618.61334128525596</v>
      </c>
      <c r="CA13" cm="1">
        <f t="array" ref="CA13">_xll.EQNXTDZ($A$1,$B13,CA$1)</f>
        <v>623.16998078871802</v>
      </c>
      <c r="CB13" cm="1">
        <f t="array" ref="CB13">_xll.EQNXTDZ($A$1,$B13,CB$1)</f>
        <v>528.17395287958095</v>
      </c>
      <c r="CC13" cm="1">
        <f t="array" ref="CC13">_xll.EQNXTDZ($A$1,$B13,CC$1)</f>
        <v>580.50101413401501</v>
      </c>
      <c r="CD13" cm="1">
        <f t="array" ref="CD13">_xll.EQNXTDZ($A$1,$B13,CD$1)</f>
        <v>557.69305227157599</v>
      </c>
      <c r="CE13" cm="1">
        <f t="array" ref="CE13">_xll.EQNXTDZ($A$1,$B13,CE$1)</f>
        <v>611.18403774700198</v>
      </c>
      <c r="CF13" cm="1">
        <f t="array" ref="CF13">_xll.EQNXTDZ($A$1,$B13,CF$1)</f>
        <v>611.679324649553</v>
      </c>
      <c r="CG13" cm="1">
        <f t="array" ref="CG13">_xll.EQNXTDZ($A$1,$B13,CG$1)</f>
        <v>677.82489048513798</v>
      </c>
      <c r="CH13" cm="1">
        <f t="array" ref="CH13">_xll.EQNXTDZ($A$1,$B13,CH$1)</f>
        <v>690.42994215504098</v>
      </c>
      <c r="CI13" cm="1">
        <f t="array" ref="CI13">_xll.EQNXTDZ($A$1,$B13,CI$1)</f>
        <v>661.208014904577</v>
      </c>
      <c r="CJ13" cm="1">
        <f t="array" ref="CJ13">_xll.EQNXTDZ($A$1,$B13,CJ$1)</f>
        <v>622.57563650565805</v>
      </c>
      <c r="CK13" cm="1">
        <f t="array" ref="CK13">_xll.EQNXTDZ($A$1,$B13,CK$1)</f>
        <v>579.38661860327602</v>
      </c>
      <c r="CL13" cm="1">
        <f t="array" ref="CL13">_xll.EQNXTDZ($A$1,$B13,CL$1)</f>
        <v>614.15575916230398</v>
      </c>
      <c r="CM13" cm="1">
        <f t="array" ref="CM13">_xll.EQNXTDZ($A$1,$B13,CM$1)</f>
        <v>661.208014904577</v>
      </c>
      <c r="CN13" cm="1">
        <f t="array" ref="CN13">_xll.EQNXTDZ($A$1,$B13,CN$1)</f>
        <v>723.06934903310298</v>
      </c>
      <c r="CO13" cm="1">
        <f t="array" ref="CO13">_xll.EQNXTDZ($A$1,$B13,CO$1)</f>
        <v>789.98260956764102</v>
      </c>
      <c r="CP13" cm="1">
        <f t="array" ref="CP13">_xll.EQNXTDZ($A$1,$B13,CP$1)</f>
        <v>750.90447295642605</v>
      </c>
      <c r="CQ13" cm="1">
        <f t="array" ref="CQ13">_xll.EQNXTDZ($A$1,$B13,CQ$1)</f>
        <v>696.84390754306696</v>
      </c>
      <c r="CR13" cm="1">
        <f t="array" ref="CR13">_xll.EQNXTDZ($A$1,$B13,CR$1)</f>
        <v>672.79772842425302</v>
      </c>
      <c r="CS13" cm="1">
        <f t="array" ref="CS13">_xll.EQNXTDZ($A$1,$B13,CS$1)</f>
        <v>552.83924062658298</v>
      </c>
      <c r="CT13" cm="1">
        <f t="array" ref="CT13">_xll.EQNXTDZ($A$1,$B13,CT$1)</f>
        <v>714.20371347745299</v>
      </c>
      <c r="CU13" cm="1">
        <f t="array" ref="CU13">_xll.EQNXTDZ($A$1,$B13,CU$1)</f>
        <v>740</v>
      </c>
      <c r="CV13" cm="1">
        <f t="array" ref="CV13">_xll.EQNXTDZ($A$1,$B13,CV$1)</f>
        <v>859</v>
      </c>
      <c r="CW13" cm="1">
        <f t="array" ref="CW13">_xll.EQNXTDZ($A$1,$B13,CW$1)</f>
        <v>1029.5</v>
      </c>
      <c r="CX13" cm="1">
        <f t="array" ref="CX13">_xll.EQNXTDZ($A$1,$B13,CX$1)</f>
        <v>1047.5</v>
      </c>
      <c r="CY13" cm="1">
        <f t="array" ref="CY13">_xll.EQNXTDZ($A$1,$B13,CY$1)</f>
        <v>1132</v>
      </c>
      <c r="CZ13" cm="1">
        <f t="array" ref="CZ13">_xll.EQNXTDZ($A$1,$B13,CZ$1)</f>
        <v>1016.75</v>
      </c>
      <c r="DA13" cm="1">
        <f t="array" ref="DA13">_xll.EQNXTDZ($A$1,$B13,DA$1)</f>
        <v>967.625</v>
      </c>
      <c r="DB13" cm="1">
        <f t="array" ref="DB13">_xll.EQNXTDZ($A$1,$B13,DB$1)</f>
        <v>993.07500000000005</v>
      </c>
      <c r="DC13" cm="1">
        <f t="array" ref="DC13">_xll.EQNXTDZ($A$1,$B13,DC$1)</f>
        <v>922.6</v>
      </c>
      <c r="DD13" cm="1">
        <f t="array" ref="DD13">_xll.EQNXTDZ($A$1,$B13,DD$1)</f>
        <v>1057.2249999999999</v>
      </c>
      <c r="DE13" cm="1">
        <f t="array" ref="DE13">_xll.EQNXTDZ($A$1,$B13,DE$1)</f>
        <v>1009.85</v>
      </c>
      <c r="DF13" cm="1">
        <f t="array" ref="DF13">_xll.EQNXTDZ($A$1,$B13,DF$1)</f>
        <v>981.85</v>
      </c>
      <c r="DG13" cm="1">
        <f t="array" ref="DG13">_xll.EQNXTDZ($A$1,$B13,DG$1)</f>
        <v>1082.05</v>
      </c>
      <c r="DH13" cm="1">
        <f t="array" ref="DH13">_xll.EQNXTDZ($A$1,$B13,DH$1)</f>
        <v>1057.05</v>
      </c>
      <c r="DI13" cm="1">
        <f t="array" ref="DI13">_xll.EQNXTDZ($A$1,$B13,DI$1)</f>
        <v>1023.6</v>
      </c>
      <c r="DJ13" cm="1">
        <f t="array" ref="DJ13">_xll.EQNXTDZ($A$1,$B13,DJ$1)</f>
        <v>1137.5</v>
      </c>
      <c r="DK13" cm="1">
        <f t="array" ref="DK13">_xll.EQNXTDZ($A$1,$B13,DK$1)</f>
        <v>1253</v>
      </c>
      <c r="DL13" cm="1">
        <f t="array" ref="DL13">_xll.EQNXTDZ($A$1,$B13,DL$1)</f>
        <v>1265.5999999999999</v>
      </c>
      <c r="DM13" cm="1">
        <f t="array" ref="DM13">_xll.EQNXTDZ($A$1,$B13,DM$1)</f>
        <v>1212.75</v>
      </c>
      <c r="DN13" cm="1">
        <f t="array" ref="DN13">_xll.EQNXTDZ($A$1,$B13,DN$1)</f>
        <v>1183.75</v>
      </c>
      <c r="DO13" cm="1">
        <f t="array" ref="DO13">_xll.EQNXTDZ($A$1,$B13,DO$1)</f>
        <v>1205</v>
      </c>
      <c r="DP13" cm="1">
        <f t="array" ref="DP13">_xll.EQNXTDZ($A$1,$B13,DP$1)</f>
        <v>1174.55</v>
      </c>
      <c r="DQ13" cm="1">
        <f t="array" ref="DQ13">_xll.EQNXTDZ($A$1,$B13,DQ$1)</f>
        <v>1320.65</v>
      </c>
      <c r="DR13" cm="1">
        <f t="array" ref="DR13">_xll.EQNXTDZ($A$1,$B13,DR$1)</f>
        <v>1377.75</v>
      </c>
      <c r="DS13" cm="1">
        <f t="array" ref="DS13">_xll.EQNXTDZ($A$1,$B13,DS$1)</f>
        <v>1316.175</v>
      </c>
      <c r="DT13" cm="1">
        <f t="array" ref="DT13">_xll.EQNXTDZ($A$1,$B13,DT$1)</f>
        <v>1290</v>
      </c>
      <c r="DU13" cm="1">
        <f t="array" ref="DU13">_xll.EQNXTDZ($A$1,$B13,DU$1)</f>
        <v>1256.5</v>
      </c>
      <c r="DV13" cm="1">
        <f t="array" ref="DV13">_xll.EQNXTDZ($A$1,$B13,DV$1)</f>
        <v>1294.55</v>
      </c>
      <c r="DW13" cm="1">
        <f t="array" ref="DW13">_xll.EQNXTDZ($A$1,$B13,DW$1)</f>
        <v>1198.5</v>
      </c>
      <c r="DX13" cm="1">
        <f t="array" ref="DX13">_xll.EQNXTDZ($A$1,$B13,DX$1)</f>
        <v>1291</v>
      </c>
      <c r="DY13" cm="1">
        <f t="array" ref="DY13">_xll.EQNXTDZ($A$1,$B13,DY$1)</f>
        <v>1368</v>
      </c>
      <c r="DZ13" cm="1">
        <f t="array" ref="DZ13">_xll.EQNXTDZ($A$1,$B13,DZ$1)</f>
        <v>1278.45</v>
      </c>
      <c r="EA13" cm="1">
        <f t="array" ref="EA13">_xll.EQNXTDZ($A$1,$B13,EA$1)</f>
        <v>1190</v>
      </c>
      <c r="EB13" cm="1">
        <f t="array" ref="EB13">_xll.EQNXTDZ($A$1,$B13,EB$1)</f>
        <v>1171.0999999999999</v>
      </c>
      <c r="EC13" cm="1">
        <f t="array" ref="EC13">_xll.EQNXTDZ($A$1,$B13,EC$1)</f>
        <v>1172.55</v>
      </c>
      <c r="ED13" cm="1">
        <f t="array" ref="ED13">_xll.EQNXTDZ($A$1,$B13,ED$1)</f>
        <v>1220</v>
      </c>
      <c r="EE13" cm="1">
        <f t="array" ref="EE13">_xll.EQNXTDZ($A$1,$B13,EE$1)</f>
        <v>1239</v>
      </c>
      <c r="EF13" cm="1">
        <f t="array" ref="EF13">_xll.EQNXTDZ($A$1,$B13,EF$1)</f>
        <v>1276.5999999999999</v>
      </c>
      <c r="EG13" cm="1">
        <f t="array" ref="EG13">_xll.EQNXTDZ($A$1,$B13,EG$1)</f>
        <v>1273.925</v>
      </c>
      <c r="EH13" cm="1">
        <f t="array" ref="EH13">_xll.EQNXTDZ($A$1,$B13,EH$1)</f>
        <v>1204</v>
      </c>
      <c r="EI13" cm="1">
        <f t="array" ref="EI13">_xll.EQNXTDZ($A$1,$B13,EI$1)</f>
        <v>1168.5</v>
      </c>
      <c r="EJ13" cm="1">
        <f t="array" ref="EJ13">_xll.EQNXTDZ($A$1,$B13,EJ$1)</f>
        <v>1144.95</v>
      </c>
      <c r="EK13" cm="1">
        <f t="array" ref="EK13">_xll.EQNXTDZ($A$1,$B13,EK$1)</f>
        <v>1190.5</v>
      </c>
      <c r="EL13" cm="1">
        <f t="array" ref="EL13">_xll.EQNXTDZ($A$1,$B13,EL$1)</f>
        <v>1290.5250000000001</v>
      </c>
      <c r="EM13" cm="1">
        <f t="array" ref="EM13">_xll.EQNXTDZ($A$1,$B13,EM$1)</f>
        <v>1435.6</v>
      </c>
      <c r="EN13" cm="1">
        <f t="array" ref="EN13">_xll.EQNXTDZ($A$1,$B13,EN$1)</f>
        <v>1458.35</v>
      </c>
      <c r="EO13" cm="1">
        <f t="array" ref="EO13">_xll.EQNXTDZ($A$1,$B13,EO$1)</f>
        <v>1492.5</v>
      </c>
      <c r="EP13" cm="1">
        <f t="array" ref="EP13">_xll.EQNXTDZ($A$1,$B13,EP$1)</f>
        <v>1472.675</v>
      </c>
      <c r="EQ13" cm="1">
        <f t="array" ref="EQ13">_xll.EQNXTDZ($A$1,$B13,EQ$1)</f>
        <v>1487.45</v>
      </c>
      <c r="ER13" cm="1">
        <f t="array" ref="ER13">_xll.EQNXTDZ($A$1,$B13,ER$1)</f>
        <v>1564.9749999999999</v>
      </c>
      <c r="ES13" cm="1">
        <f t="array" ref="ES13">_xll.EQNXTDZ($A$1,$B13,ES$1)</f>
        <v>1511.9</v>
      </c>
      <c r="ET13" cm="1">
        <f t="array" ref="ET13">_xll.EQNXTDZ($A$1,$B13,ET$1)</f>
        <v>1515.825</v>
      </c>
      <c r="EU13" cm="1">
        <f t="array" ref="EU13">_xll.EQNXTDZ($A$1,$B13,EU$1)</f>
        <v>1481.35</v>
      </c>
      <c r="EV13" cm="1">
        <f t="array" ref="EV13">_xll.EQNXTDZ($A$1,$B13,EV$1)</f>
        <v>1339.85</v>
      </c>
      <c r="EW13" cm="1">
        <f t="array" ref="EW13">_xll.EQNXTDZ($A$1,$B13,EW$1)</f>
        <v>1291.6500000000001</v>
      </c>
      <c r="EX13" cm="1">
        <f t="array" ref="EX13">_xll.EQNXTDZ($A$1,$B13,EX$1)</f>
        <v>1218.95</v>
      </c>
      <c r="EY13" cm="1">
        <f t="array" ref="EY13">_xll.EQNXTDZ($A$1,$B13,EY$1)</f>
        <v>1265</v>
      </c>
      <c r="EZ13" cm="1">
        <f t="array" ref="EZ13">_xll.EQNXTDZ($A$1,$B13,EZ$1)</f>
        <v>1209.8</v>
      </c>
      <c r="FA13" cm="1">
        <f t="array" ref="FA13">_xll.EQNXTDZ($A$1,$B13,FA$1)</f>
        <v>1274.5999999999999</v>
      </c>
      <c r="FB13" cm="1">
        <f t="array" ref="FB13">_xll.EQNXTDZ($A$1,$B13,FB$1)</f>
        <v>1408.4</v>
      </c>
      <c r="FC13" cm="1">
        <f t="array" ref="FC13">_xll.EQNXTDZ($A$1,$B13,FC$1)</f>
        <v>1415.95</v>
      </c>
      <c r="FD13" cm="1">
        <f t="array" ref="FD13">_xll.EQNXTDZ($A$1,$B13,FD$1)</f>
        <v>1500.65</v>
      </c>
      <c r="FE13" cm="1">
        <f t="array" ref="FE13">_xll.EQNXTDZ($A$1,$B13,FE$1)</f>
        <v>1387.95</v>
      </c>
      <c r="FF13" cm="1">
        <f t="array" ref="FF13">_xll.EQNXTDZ($A$1,$B13,FF$1)</f>
        <v>1357.85</v>
      </c>
      <c r="FG13" cm="1">
        <f t="array" ref="FG13">_xll.EQNXTDZ($A$1,$B13,FG$1)</f>
        <v>1364.25</v>
      </c>
      <c r="FH13" cm="1">
        <f t="array" ref="FH13">_xll.EQNXTDZ($A$1,$B13,FH$1)</f>
        <v>1486</v>
      </c>
      <c r="FI13" cm="1">
        <f t="array" ref="FI13">_xll.EQNXTDZ($A$1,$B13,FI$1)</f>
        <v>1575</v>
      </c>
      <c r="FJ13" cm="1">
        <f t="array" ref="FJ13">_xll.EQNXTDZ($A$1,$B13,FJ$1)</f>
        <v>1571.35</v>
      </c>
      <c r="FK13" cm="1">
        <f t="array" ref="FK13">_xll.EQNXTDZ($A$1,$B13,FK$1)</f>
        <v>1395.9</v>
      </c>
      <c r="FL13" cm="1">
        <f t="array" ref="FL13">_xll.EQNXTDZ($A$1,$B13,FL$1)</f>
        <v>1351.45</v>
      </c>
      <c r="FM13" cm="1">
        <f t="array" ref="FM13">_xll.EQNXTDZ($A$1,$B13,FM$1)</f>
        <v>1380.1</v>
      </c>
      <c r="FN13" cm="1">
        <f t="array" ref="FN13">_xll.EQNXTDZ($A$1,$B13,FN$1)</f>
        <v>0</v>
      </c>
      <c r="FO13" cm="1">
        <f t="array" ref="FO13">_xll.EQNXTDZ($A$1,$B13,FO$1)</f>
        <v>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183.87526257177799</v>
      </c>
      <c r="D14" s="116" cm="1">
        <f t="array" ref="D14">_xll.EQNXTDZ($A$1,$B14,D$1)</f>
        <v>184.494371199966</v>
      </c>
      <c r="E14" s="116" cm="1">
        <f t="array" ref="E14">_xll.EQNXTDZ($A$1,$B14,E$1)</f>
        <v>204.293465129412</v>
      </c>
      <c r="F14" s="116" cm="1">
        <f t="array" ref="F14">_xll.EQNXTDZ($A$1,$B14,F$1)</f>
        <v>218.173880573383</v>
      </c>
      <c r="G14" s="116" cm="1">
        <f t="array" ref="G14">_xll.EQNXTDZ($A$1,$B14,G$1)</f>
        <v>213.07242547711499</v>
      </c>
      <c r="H14" s="116" cm="1">
        <f t="array" ref="H14">_xll.EQNXTDZ($A$1,$B14,H$1)</f>
        <v>201.71797323615101</v>
      </c>
      <c r="I14" s="116" cm="1">
        <f t="array" ref="I14">_xll.EQNXTDZ($A$1,$B14,I$1)</f>
        <v>210.34834751308901</v>
      </c>
      <c r="J14" s="116" cm="1">
        <f t="array" ref="J14">_xll.EQNXTDZ($A$1,$B14,J$1)</f>
        <v>236.44996727748699</v>
      </c>
      <c r="K14" s="116" cm="1">
        <f t="array" ref="K14">_xll.EQNXTDZ($A$1,$B14,K$1)</f>
        <v>223.02769221837499</v>
      </c>
      <c r="L14" s="116" cm="1">
        <f t="array" ref="L14">_xll.EQNXTDZ($A$1,$B14,L$1)</f>
        <v>215.202159158081</v>
      </c>
      <c r="M14" s="116" cm="1">
        <f t="array" ref="M14">_xll.EQNXTDZ($A$1,$B14,M$1)</f>
        <v>204.76398768683501</v>
      </c>
      <c r="N14" s="116" cm="1">
        <f t="array" ref="N14">_xll.EQNXTDZ($A$1,$B14,N$1)</f>
        <v>211.68562214997499</v>
      </c>
      <c r="O14" s="116" cm="1">
        <f t="array" ref="O14">_xll.EQNXTDZ($A$1,$B14,O$1)</f>
        <v>216.19273296318201</v>
      </c>
      <c r="P14" s="116" cm="1">
        <f t="array" ref="P14">_xll.EQNXTDZ($A$1,$B14,P$1)</f>
        <v>229.78835843818601</v>
      </c>
      <c r="Q14" s="116" cm="1">
        <f t="array" ref="Q14">_xll.EQNXTDZ($A$1,$B14,Q$1)</f>
        <v>218.421524024658</v>
      </c>
      <c r="R14" s="116" cm="1">
        <f t="array" ref="R14">_xll.EQNXTDZ($A$1,$B14,R$1)</f>
        <v>223.10198525375799</v>
      </c>
      <c r="S14" s="116" cm="1">
        <f t="array" ref="S14">_xll.EQNXTDZ($A$1,$B14,S$1)</f>
        <v>226.791872677757</v>
      </c>
      <c r="T14" s="116" cm="1">
        <f t="array" ref="T14">_xll.EQNXTDZ($A$1,$B14,T$1)</f>
        <v>229.070192429488</v>
      </c>
      <c r="U14" s="116" cm="1">
        <f t="array" ref="U14">_xll.EQNXTDZ($A$1,$B14,U$1)</f>
        <v>224.94692896575799</v>
      </c>
      <c r="V14" s="116" cm="1">
        <f t="array" ref="V14">_xll.EQNXTDZ($A$1,$B14,V$1)</f>
        <v>222.38381924506001</v>
      </c>
      <c r="W14" s="116" cm="1">
        <f t="array" ref="W14">_xll.EQNXTDZ($A$1,$B14,W$1)</f>
        <v>205.39547848758701</v>
      </c>
      <c r="X14" s="116" cm="1">
        <f t="array" ref="X14">_xll.EQNXTDZ($A$1,$B14,X$1)</f>
        <v>232.61149378272299</v>
      </c>
      <c r="Y14" s="116" cm="1">
        <f t="array" ref="Y14">_xll.EQNXTDZ($A$1,$B14,Y$1)</f>
        <v>244.89460896596901</v>
      </c>
      <c r="Z14" s="116" cm="1">
        <f t="array" ref="Z14">_xll.EQNXTDZ($A$1,$B14,Z$1)</f>
        <v>282.932643081827</v>
      </c>
      <c r="AA14" s="116" cm="1">
        <f t="array" ref="AA14">_xll.EQNXTDZ($A$1,$B14,AA$1)</f>
        <v>280.530501604459</v>
      </c>
      <c r="AB14" s="116" cm="1">
        <f t="array" ref="AB14">_xll.EQNXTDZ($A$1,$B14,AB$1)</f>
        <v>258.16829795431499</v>
      </c>
      <c r="AC14" s="116" cm="1">
        <f t="array" ref="AC14">_xll.EQNXTDZ($A$1,$B14,AC$1)</f>
        <v>253.401161517269</v>
      </c>
      <c r="AD14" s="116" cm="1">
        <f t="array" ref="AD14">_xll.EQNXTDZ($A$1,$B14,AD$1)</f>
        <v>260.00085949375102</v>
      </c>
      <c r="AE14" s="116" cm="1">
        <f t="array" ref="AE14">_xll.EQNXTDZ($A$1,$B14,AE$1)</f>
        <v>248.31208859356499</v>
      </c>
      <c r="AF14" s="116" cm="1">
        <f t="array" ref="AF14">_xll.EQNXTDZ($A$1,$B14,AF$1)</f>
        <v>251.655275185779</v>
      </c>
      <c r="AG14" s="116" cm="1">
        <f t="array" ref="AG14">_xll.EQNXTDZ($A$1,$B14,AG$1)</f>
        <v>245.58801062953901</v>
      </c>
      <c r="AH14" s="116" cm="1">
        <f t="array" ref="AH14">_xll.EQNXTDZ($A$1,$B14,AH$1)</f>
        <v>231.36089435378301</v>
      </c>
      <c r="AI14" s="116" cm="1">
        <f t="array" ref="AI14">_xll.EQNXTDZ($A$1,$B14,AI$1)</f>
        <v>233.55253889756801</v>
      </c>
      <c r="AJ14" s="116" cm="1">
        <f t="array" ref="AJ14">_xll.EQNXTDZ($A$1,$B14,AJ$1)</f>
        <v>225.10789720908599</v>
      </c>
      <c r="AK14" s="116" cm="1">
        <f t="array" ref="AK14">_xll.EQNXTDZ($A$1,$B14,AK$1)</f>
        <v>233.72588931346101</v>
      </c>
      <c r="AL14" s="116" cm="1">
        <f t="array" ref="AL14">_xll.EQNXTDZ($A$1,$B14,AL$1)</f>
        <v>226.717579642375</v>
      </c>
      <c r="AM14" s="116" cm="1">
        <f t="array" ref="AM14">_xll.EQNXTDZ($A$1,$B14,AM$1)</f>
        <v>251.06093090271901</v>
      </c>
      <c r="AN14" s="116" cm="1">
        <f t="array" ref="AN14">_xll.EQNXTDZ($A$1,$B14,AN$1)</f>
        <v>264.23556251055601</v>
      </c>
      <c r="AO14" s="116" cm="1">
        <f t="array" ref="AO14">_xll.EQNXTDZ($A$1,$B14,AO$1)</f>
        <v>250.91234483195399</v>
      </c>
      <c r="AP14" s="116" cm="1">
        <f t="array" ref="AP14">_xll.EQNXTDZ($A$1,$B14,AP$1)</f>
        <v>222.63146269633501</v>
      </c>
      <c r="AQ14" s="116" cm="1">
        <f t="array" ref="AQ14">_xll.EQNXTDZ($A$1,$B14,AQ$1)</f>
        <v>241.20472154196901</v>
      </c>
      <c r="AR14" s="116" cm="1">
        <f t="array" ref="AR14">_xll.EQNXTDZ($A$1,$B14,AR$1)</f>
        <v>245.66230366492201</v>
      </c>
      <c r="AS14" s="116" cm="1">
        <f t="array" ref="AS14">_xll.EQNXTDZ($A$1,$B14,AS$1)</f>
        <v>252.22485512371199</v>
      </c>
      <c r="AT14" s="116" cm="1">
        <f t="array" ref="AT14">_xll.EQNXTDZ($A$1,$B14,AT$1)</f>
        <v>269.80754016424601</v>
      </c>
      <c r="AU14" s="116" cm="1">
        <f t="array" ref="AU14">_xll.EQNXTDZ($A$1,$B14,AU$1)</f>
        <v>257.79683277740202</v>
      </c>
      <c r="AV14" s="116" cm="1">
        <f t="array" ref="AV14">_xll.EQNXTDZ($A$1,$B14,AV$1)</f>
        <v>261.49910237396602</v>
      </c>
      <c r="AW14" s="116" cm="1">
        <f t="array" ref="AW14">_xll.EQNXTDZ($A$1,$B14,AW$1)</f>
        <v>264.978492864381</v>
      </c>
      <c r="AX14" s="116" cm="1">
        <f t="array" ref="AX14">_xll.EQNXTDZ($A$1,$B14,AX$1)</f>
        <v>246.330940983364</v>
      </c>
      <c r="AY14" s="116" cm="1">
        <f t="array" ref="AY14">_xll.EQNXTDZ($A$1,$B14,AY$1)</f>
        <v>246.405234018747</v>
      </c>
      <c r="AZ14" s="116" cm="1">
        <f t="array" ref="AZ14">_xll.EQNXTDZ($A$1,$B14,AZ$1)</f>
        <v>257.30154587485202</v>
      </c>
      <c r="BA14" s="116" cm="1">
        <f t="array" ref="BA14">_xll.EQNXTDZ($A$1,$B14,BA$1)</f>
        <v>265.85762711640803</v>
      </c>
      <c r="BB14" s="116" cm="1">
        <f t="array" ref="BB14">_xll.EQNXTDZ($A$1,$B14,BB$1)</f>
        <v>279.564692144486</v>
      </c>
      <c r="BC14" s="116" cm="1">
        <f t="array" ref="BC14">_xll.EQNXTDZ($A$1,$B14,BC$1)</f>
        <v>278.54935399425801</v>
      </c>
      <c r="BD14" s="116" cm="1">
        <f t="array" ref="BD14">_xll.EQNXTDZ($A$1,$B14,BD$1)</f>
        <v>261.26384109525401</v>
      </c>
      <c r="BE14" s="116" cm="1">
        <f t="array" ref="BE14">_xll.EQNXTDZ($A$1,$B14,BE$1)</f>
        <v>268.61885159812499</v>
      </c>
      <c r="BF14" s="116" cm="1">
        <f t="array" ref="BF14">_xll.EQNXTDZ($A$1,$B14,BF$1)</f>
        <v>271.66486604880902</v>
      </c>
      <c r="BG14" s="116" cm="1">
        <f t="array" ref="BG14">_xll.EQNXTDZ($A$1,$B14,BG$1)</f>
        <v>311.16399652719099</v>
      </c>
      <c r="BH14" s="116" cm="1">
        <f t="array" ref="BH14">_xll.EQNXTDZ($A$1,$B14,BH$1)</f>
        <v>330.85165090356401</v>
      </c>
      <c r="BI14" s="116" cm="1">
        <f t="array" ref="BI14">_xll.EQNXTDZ($A$1,$B14,BI$1)</f>
        <v>362.79765611805402</v>
      </c>
      <c r="BJ14" s="116" cm="1">
        <f t="array" ref="BJ14">_xll.EQNXTDZ($A$1,$B14,BJ$1)</f>
        <v>347.19611868772199</v>
      </c>
      <c r="BK14" s="116" cm="1">
        <f t="array" ref="BK14">_xll.EQNXTDZ($A$1,$B14,BK$1)</f>
        <v>357.597143641277</v>
      </c>
      <c r="BL14" s="116" cm="1">
        <f t="array" ref="BL14">_xll.EQNXTDZ($A$1,$B14,BL$1)</f>
        <v>403.93123337485201</v>
      </c>
      <c r="BM14" s="116" cm="1">
        <f t="array" ref="BM14">_xll.EQNXTDZ($A$1,$B14,BM$1)</f>
        <v>412.32634637307899</v>
      </c>
      <c r="BN14" s="116" cm="1">
        <f t="array" ref="BN14">_xll.EQNXTDZ($A$1,$B14,BN$1)</f>
        <v>431.93970771406902</v>
      </c>
      <c r="BO14" s="116" cm="1">
        <f t="array" ref="BO14">_xll.EQNXTDZ($A$1,$B14,BO$1)</f>
        <v>474.58391002364499</v>
      </c>
      <c r="BP14" s="116" cm="1">
        <f t="array" ref="BP14">_xll.EQNXTDZ($A$1,$B14,BP$1)</f>
        <v>474.98013954568501</v>
      </c>
      <c r="BQ14" s="116" cm="1">
        <f t="array" ref="BQ14">_xll.EQNXTDZ($A$1,$B14,BQ$1)</f>
        <v>464.08382768957898</v>
      </c>
      <c r="BR14" s="116" cm="1">
        <f t="array" ref="BR14">_xll.EQNXTDZ($A$1,$B14,BR$1)</f>
        <v>490.33403352474198</v>
      </c>
      <c r="BS14" s="116" cm="1">
        <f t="array" ref="BS14">_xll.EQNXTDZ($A$1,$B14,BS$1)</f>
        <v>481.047404101925</v>
      </c>
      <c r="BT14" s="116" cm="1">
        <f t="array" ref="BT14">_xll.EQNXTDZ($A$1,$B14,BT$1)</f>
        <v>474.88108216517497</v>
      </c>
      <c r="BU14" s="116" cm="1">
        <f t="array" ref="BU14">_xll.EQNXTDZ($A$1,$B14,BU$1)</f>
        <v>500.58647240753299</v>
      </c>
      <c r="BV14" s="116" cm="1">
        <f t="array" ref="BV14">_xll.EQNXTDZ($A$1,$B14,BV$1)</f>
        <v>494.94020171846</v>
      </c>
      <c r="BW14" s="116" cm="1">
        <f t="array" ref="BW14">_xll.EQNXTDZ($A$1,$B14,BW$1)</f>
        <v>513.01817366154398</v>
      </c>
      <c r="BX14" s="116" cm="1">
        <f t="array" ref="BX14">_xll.EQNXTDZ($A$1,$B14,BX$1)</f>
        <v>589.39141403479198</v>
      </c>
      <c r="BY14" s="116" cm="1">
        <f t="array" ref="BY14">_xll.EQNXTDZ($A$1,$B14,BY$1)</f>
        <v>658.11247176363804</v>
      </c>
      <c r="BZ14" s="116" cm="1">
        <f t="array" ref="BZ14">_xll.EQNXTDZ($A$1,$B14,BZ$1)</f>
        <v>633.91770657405903</v>
      </c>
      <c r="CA14" s="116" cm="1">
        <f t="array" ref="CA14">_xll.EQNXTDZ($A$1,$B14,CA$1)</f>
        <v>624.06149721330905</v>
      </c>
      <c r="CB14" s="116" cm="1">
        <f t="array" ref="CB14">_xll.EQNXTDZ($A$1,$B14,CB$1)</f>
        <v>587.41026642459099</v>
      </c>
      <c r="CC14" s="116" cm="1">
        <f t="array" ref="CC14">_xll.EQNXTDZ($A$1,$B14,CC$1)</f>
        <v>581.46682359398801</v>
      </c>
      <c r="CD14" s="116" cm="1">
        <f t="array" ref="CD14">_xll.EQNXTDZ($A$1,$B14,CD$1)</f>
        <v>625.54735792095903</v>
      </c>
      <c r="CE14" s="116" cm="1">
        <f t="array" ref="CE14">_xll.EQNXTDZ($A$1,$B14,CE$1)</f>
        <v>654.19970523349104</v>
      </c>
      <c r="CF14" s="116" cm="1">
        <f t="array" ref="CF14">_xll.EQNXTDZ($A$1,$B14,CF$1)</f>
        <v>686.76481907617006</v>
      </c>
      <c r="CG14" s="116" cm="1">
        <f t="array" ref="CG14">_xll.EQNXTDZ($A$1,$B14,CG$1)</f>
        <v>698.80029080814097</v>
      </c>
      <c r="CH14" s="116" cm="1">
        <f t="array" ref="CH14">_xll.EQNXTDZ($A$1,$B14,CH$1)</f>
        <v>701.82154091369705</v>
      </c>
      <c r="CI14" s="116" cm="1">
        <f t="array" ref="CI14">_xll.EQNXTDZ($A$1,$B14,CI$1)</f>
        <v>680.02891720148602</v>
      </c>
      <c r="CJ14" s="116" cm="1">
        <f t="array" ref="CJ14">_xll.EQNXTDZ($A$1,$B14,CJ$1)</f>
        <v>643.77391593480797</v>
      </c>
      <c r="CK14" s="116" cm="1">
        <f t="array" ref="CK14">_xll.EQNXTDZ($A$1,$B14,CK$1)</f>
        <v>645.85412092551906</v>
      </c>
      <c r="CL14" s="116" cm="1">
        <f t="array" ref="CL14">_xll.EQNXTDZ($A$1,$B14,CL$1)</f>
        <v>661.70330180712699</v>
      </c>
      <c r="CM14" s="116" cm="1">
        <f t="array" ref="CM14">_xll.EQNXTDZ($A$1,$B14,CM$1)</f>
        <v>737.72984134858996</v>
      </c>
      <c r="CN14" s="116" cm="1">
        <f t="array" ref="CN14">_xll.EQNXTDZ($A$1,$B14,CN$1)</f>
        <v>784.53445363958804</v>
      </c>
      <c r="CO14" s="116" cm="1">
        <f t="array" ref="CO14">_xll.EQNXTDZ($A$1,$B14,CO$1)</f>
        <v>801.27515094578598</v>
      </c>
      <c r="CP14" s="116" cm="1">
        <f t="array" ref="CP14">_xll.EQNXTDZ($A$1,$B14,CP$1)</f>
        <v>797.16426965461903</v>
      </c>
      <c r="CQ14" s="116" cm="1">
        <f t="array" ref="CQ14">_xll.EQNXTDZ($A$1,$B14,CQ$1)</f>
        <v>746.86788470064198</v>
      </c>
      <c r="CR14" s="116" cm="1">
        <f t="array" ref="CR14">_xll.EQNXTDZ($A$1,$B14,CR$1)</f>
        <v>677.92394786564796</v>
      </c>
      <c r="CS14" s="116" cm="1">
        <f t="array" ref="CS14">_xll.EQNXTDZ($A$1,$B14,CS$1)</f>
        <v>740.45391931261599</v>
      </c>
      <c r="CT14" s="116" cm="1">
        <f t="array" ref="CT14">_xll.EQNXTDZ($A$1,$B14,CT$1)</f>
        <v>799.81405458326299</v>
      </c>
      <c r="CU14" s="116" cm="1">
        <f t="array" ref="CU14">_xll.EQNXTDZ($A$1,$B14,CU$1)</f>
        <v>902.05</v>
      </c>
      <c r="CV14" s="116" cm="1">
        <f t="array" ref="CV14">_xll.EQNXTDZ($A$1,$B14,CV$1)</f>
        <v>1099.3499999999999</v>
      </c>
      <c r="CW14" s="116" cm="1">
        <f t="array" ref="CW14">_xll.EQNXTDZ($A$1,$B14,CW$1)</f>
        <v>1097.5</v>
      </c>
      <c r="CX14" s="116" cm="1">
        <f t="array" ref="CX14">_xll.EQNXTDZ($A$1,$B14,CX$1)</f>
        <v>1184.4000000000001</v>
      </c>
      <c r="CY14" s="116" cm="1">
        <f t="array" ref="CY14">_xll.EQNXTDZ($A$1,$B14,CY$1)</f>
        <v>1154.7</v>
      </c>
      <c r="CZ14" s="116" cm="1">
        <f t="array" ref="CZ14">_xll.EQNXTDZ($A$1,$B14,CZ$1)</f>
        <v>1047.675</v>
      </c>
      <c r="DA14" s="116" cm="1">
        <f t="array" ref="DA14">_xll.EQNXTDZ($A$1,$B14,DA$1)</f>
        <v>1018.9</v>
      </c>
      <c r="DB14" s="116" cm="1">
        <f t="array" ref="DB14">_xll.EQNXTDZ($A$1,$B14,DB$1)</f>
        <v>1059.9000000000001</v>
      </c>
      <c r="DC14" s="116" cm="1">
        <f t="array" ref="DC14">_xll.EQNXTDZ($A$1,$B14,DC$1)</f>
        <v>1076.125</v>
      </c>
      <c r="DD14" s="116" cm="1">
        <f t="array" ref="DD14">_xll.EQNXTDZ($A$1,$B14,DD$1)</f>
        <v>1115.5</v>
      </c>
      <c r="DE14" s="116" cm="1">
        <f t="array" ref="DE14">_xll.EQNXTDZ($A$1,$B14,DE$1)</f>
        <v>1023.05</v>
      </c>
      <c r="DF14" s="116" cm="1">
        <f t="array" ref="DF14">_xll.EQNXTDZ($A$1,$B14,DF$1)</f>
        <v>1095.75</v>
      </c>
      <c r="DG14" s="116" cm="1">
        <f t="array" ref="DG14">_xll.EQNXTDZ($A$1,$B14,DG$1)</f>
        <v>1137.25</v>
      </c>
      <c r="DH14" s="116" cm="1">
        <f t="array" ref="DH14">_xll.EQNXTDZ($A$1,$B14,DH$1)</f>
        <v>1076.5</v>
      </c>
      <c r="DI14" s="116" cm="1">
        <f t="array" ref="DI14">_xll.EQNXTDZ($A$1,$B14,DI$1)</f>
        <v>1141.5</v>
      </c>
      <c r="DJ14" s="116" cm="1">
        <f t="array" ref="DJ14">_xll.EQNXTDZ($A$1,$B14,DJ$1)</f>
        <v>1282.5</v>
      </c>
      <c r="DK14" s="116" cm="1">
        <f t="array" ref="DK14">_xll.EQNXTDZ($A$1,$B14,DK$1)</f>
        <v>1375</v>
      </c>
      <c r="DL14" s="116" cm="1">
        <f t="array" ref="DL14">_xll.EQNXTDZ($A$1,$B14,DL$1)</f>
        <v>1301.05</v>
      </c>
      <c r="DM14" s="116" cm="1">
        <f t="array" ref="DM14">_xll.EQNXTDZ($A$1,$B14,DM$1)</f>
        <v>1248</v>
      </c>
      <c r="DN14" s="116" cm="1">
        <f t="array" ref="DN14">_xll.EQNXTDZ($A$1,$B14,DN$1)</f>
        <v>1283.25</v>
      </c>
      <c r="DO14" s="116" cm="1">
        <f t="array" ref="DO14">_xll.EQNXTDZ($A$1,$B14,DO$1)</f>
        <v>1228</v>
      </c>
      <c r="DP14" s="116" cm="1">
        <f t="array" ref="DP14">_xll.EQNXTDZ($A$1,$B14,DP$1)</f>
        <v>1344</v>
      </c>
      <c r="DQ14" s="116" cm="1">
        <f t="array" ref="DQ14">_xll.EQNXTDZ($A$1,$B14,DQ$1)</f>
        <v>1427.5</v>
      </c>
      <c r="DR14" s="116" cm="1">
        <f t="array" ref="DR14">_xll.EQNXTDZ($A$1,$B14,DR$1)</f>
        <v>1402.5</v>
      </c>
      <c r="DS14" s="116" cm="1">
        <f t="array" ref="DS14">_xll.EQNXTDZ($A$1,$B14,DS$1)</f>
        <v>1408.175</v>
      </c>
      <c r="DT14" s="116" cm="1">
        <f t="array" ref="DT14">_xll.EQNXTDZ($A$1,$B14,DT$1)</f>
        <v>1295.825</v>
      </c>
      <c r="DU14" s="116" cm="1">
        <f t="array" ref="DU14">_xll.EQNXTDZ($A$1,$B14,DU$1)</f>
        <v>1338.8</v>
      </c>
      <c r="DV14" s="116" cm="1">
        <f t="array" ref="DV14">_xll.EQNXTDZ($A$1,$B14,DV$1)</f>
        <v>1314.2750000000001</v>
      </c>
      <c r="DW14" s="116" cm="1">
        <f t="array" ref="DW14">_xll.EQNXTDZ($A$1,$B14,DW$1)</f>
        <v>1280.25</v>
      </c>
      <c r="DX14" s="116" cm="1">
        <f t="array" ref="DX14">_xll.EQNXTDZ($A$1,$B14,DX$1)</f>
        <v>1371.8</v>
      </c>
      <c r="DY14" s="116" cm="1">
        <f t="array" ref="DY14">_xll.EQNXTDZ($A$1,$B14,DY$1)</f>
        <v>1377.35</v>
      </c>
      <c r="DZ14" s="116" cm="1">
        <f t="array" ref="DZ14">_xll.EQNXTDZ($A$1,$B14,DZ$1)</f>
        <v>1302.5</v>
      </c>
      <c r="EA14" s="116" cm="1">
        <f t="array" ref="EA14">_xll.EQNXTDZ($A$1,$B14,EA$1)</f>
        <v>1231.5</v>
      </c>
      <c r="EB14" s="116" cm="1">
        <f t="array" ref="EB14">_xll.EQNXTDZ($A$1,$B14,EB$1)</f>
        <v>1212.25</v>
      </c>
      <c r="EC14" s="116" cm="1">
        <f t="array" ref="EC14">_xll.EQNXTDZ($A$1,$B14,EC$1)</f>
        <v>1212</v>
      </c>
      <c r="ED14" s="116" cm="1">
        <f t="array" ref="ED14">_xll.EQNXTDZ($A$1,$B14,ED$1)</f>
        <v>1268.7249999999999</v>
      </c>
      <c r="EE14" s="116" cm="1">
        <f t="array" ref="EE14">_xll.EQNXTDZ($A$1,$B14,EE$1)</f>
        <v>1292</v>
      </c>
      <c r="EF14" s="116" cm="1">
        <f t="array" ref="EF14">_xll.EQNXTDZ($A$1,$B14,EF$1)</f>
        <v>1427.5</v>
      </c>
      <c r="EG14" s="116" cm="1">
        <f t="array" ref="EG14">_xll.EQNXTDZ($A$1,$B14,EG$1)</f>
        <v>1291.075</v>
      </c>
      <c r="EH14" s="116" cm="1">
        <f t="array" ref="EH14">_xll.EQNXTDZ($A$1,$B14,EH$1)</f>
        <v>1244.8499999999999</v>
      </c>
      <c r="EI14" s="116" cm="1">
        <f t="array" ref="EI14">_xll.EQNXTDZ($A$1,$B14,EI$1)</f>
        <v>1183.575</v>
      </c>
      <c r="EJ14" s="116" cm="1">
        <f t="array" ref="EJ14">_xll.EQNXTDZ($A$1,$B14,EJ$1)</f>
        <v>1205.875</v>
      </c>
      <c r="EK14" s="116" cm="1">
        <f t="array" ref="EK14">_xll.EQNXTDZ($A$1,$B14,EK$1)</f>
        <v>1307.4000000000001</v>
      </c>
      <c r="EL14" s="116" cm="1">
        <f t="array" ref="EL14">_xll.EQNXTDZ($A$1,$B14,EL$1)</f>
        <v>1458.9749999999999</v>
      </c>
      <c r="EM14" s="116" cm="1">
        <f t="array" ref="EM14">_xll.EQNXTDZ($A$1,$B14,EM$1)</f>
        <v>1499.925</v>
      </c>
      <c r="EN14" s="116" cm="1">
        <f t="array" ref="EN14">_xll.EQNXTDZ($A$1,$B14,EN$1)</f>
        <v>1512.4</v>
      </c>
      <c r="EO14" s="116" cm="1">
        <f t="array" ref="EO14">_xll.EQNXTDZ($A$1,$B14,EO$1)</f>
        <v>1494.25</v>
      </c>
      <c r="EP14" s="116" cm="1">
        <f t="array" ref="EP14">_xll.EQNXTDZ($A$1,$B14,EP$1)</f>
        <v>1491.7750000000001</v>
      </c>
      <c r="EQ14" s="116" cm="1">
        <f t="array" ref="EQ14">_xll.EQNXTDZ($A$1,$B14,EQ$1)</f>
        <v>1580.7249999999999</v>
      </c>
      <c r="ER14" s="116" cm="1">
        <f t="array" ref="ER14">_xll.EQNXTDZ($A$1,$B14,ER$1)</f>
        <v>1608.95</v>
      </c>
      <c r="ES14" s="116" cm="1">
        <f t="array" ref="ES14">_xll.EQNXTDZ($A$1,$B14,ES$1)</f>
        <v>1541.9749999999999</v>
      </c>
      <c r="ET14" s="116" cm="1">
        <f t="array" ref="ET14">_xll.EQNXTDZ($A$1,$B14,ET$1)</f>
        <v>1533.45</v>
      </c>
      <c r="EU14" s="116" cm="1">
        <f t="array" ref="EU14">_xll.EQNXTDZ($A$1,$B14,EU$1)</f>
        <v>1489</v>
      </c>
      <c r="EV14" s="116" cm="1">
        <f t="array" ref="EV14">_xll.EQNXTDZ($A$1,$B14,EV$1)</f>
        <v>1341</v>
      </c>
      <c r="EW14" s="116" cm="1">
        <f t="array" ref="EW14">_xll.EQNXTDZ($A$1,$B14,EW$1)</f>
        <v>1329.5</v>
      </c>
      <c r="EX14" s="116" cm="1">
        <f t="array" ref="EX14">_xll.EQNXTDZ($A$1,$B14,EX$1)</f>
        <v>1325.1</v>
      </c>
      <c r="EY14" s="116" cm="1">
        <f t="array" ref="EY14">_xll.EQNXTDZ($A$1,$B14,EY$1)</f>
        <v>1290</v>
      </c>
      <c r="EZ14" s="116" cm="1">
        <f t="array" ref="EZ14">_xll.EQNXTDZ($A$1,$B14,EZ$1)</f>
        <v>1307</v>
      </c>
      <c r="FA14" s="116" cm="1">
        <f t="array" ref="FA14">_xll.EQNXTDZ($A$1,$B14,FA$1)</f>
        <v>1411.85</v>
      </c>
      <c r="FB14" s="116" cm="1">
        <f t="array" ref="FB14">_xll.EQNXTDZ($A$1,$B14,FB$1)</f>
        <v>1461</v>
      </c>
      <c r="FC14" s="116" cm="1">
        <f t="array" ref="FC14">_xll.EQNXTDZ($A$1,$B14,FC$1)</f>
        <v>1524.95</v>
      </c>
      <c r="FD14" s="116" cm="1">
        <f t="array" ref="FD14">_xll.EQNXTDZ($A$1,$B14,FD$1)</f>
        <v>1551</v>
      </c>
      <c r="FE14" s="116" cm="1">
        <f t="array" ref="FE14">_xll.EQNXTDZ($A$1,$B14,FE$1)</f>
        <v>1431.8</v>
      </c>
      <c r="FF14" s="116" cm="1">
        <f t="array" ref="FF14">_xll.EQNXTDZ($A$1,$B14,FF$1)</f>
        <v>1421.8</v>
      </c>
      <c r="FG14" s="116" cm="1">
        <f t="array" ref="FG14">_xll.EQNXTDZ($A$1,$B14,FG$1)</f>
        <v>1508</v>
      </c>
      <c r="FH14" s="116" cm="1">
        <f t="array" ref="FH14">_xll.EQNXTDZ($A$1,$B14,FH$1)</f>
        <v>1580.9</v>
      </c>
      <c r="FI14" s="116" cm="1">
        <f t="array" ref="FI14">_xll.EQNXTDZ($A$1,$B14,FI$1)</f>
        <v>1580</v>
      </c>
      <c r="FJ14" s="116" cm="1">
        <f t="array" ref="FJ14">_xll.EQNXTDZ($A$1,$B14,FJ$1)</f>
        <v>1611.2</v>
      </c>
      <c r="FK14" s="116" cm="1">
        <f t="array" ref="FK14">_xll.EQNXTDZ($A$1,$B14,FK$1)</f>
        <v>1489</v>
      </c>
      <c r="FL14" s="116" cm="1">
        <f t="array" ref="FL14">_xll.EQNXTDZ($A$1,$B14,FL$1)</f>
        <v>1433.65</v>
      </c>
      <c r="FM14" s="116" cm="1">
        <f t="array" ref="FM14">_xll.EQNXTDZ($A$1,$B14,FM$1)</f>
        <v>1383.95</v>
      </c>
      <c r="FN14" s="116" cm="1">
        <f t="array" ref="FN14">_xll.EQNXTDZ($A$1,$B14,FN$1)</f>
        <v>0</v>
      </c>
      <c r="FO14" s="116" cm="1">
        <f t="array" ref="FO14">_xll.EQNXTDZ($A$1,$B14,FO$1)</f>
        <v>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218.173880573383</v>
      </c>
      <c r="HQ14" s="116">
        <f>+MAX(G14:I14)</f>
        <v>213.07242547711499</v>
      </c>
      <c r="HR14" s="116">
        <f>+MAX(J14:L14)</f>
        <v>236.44996727748699</v>
      </c>
      <c r="HS14" s="116">
        <f>+MAX(M14:O14)</f>
        <v>216.19273296318201</v>
      </c>
      <c r="HT14" s="116">
        <f>+MAX(P14:R14)</f>
        <v>229.78835843818601</v>
      </c>
      <c r="HU14" s="116">
        <f>+MAX(S14:U14)</f>
        <v>229.070192429488</v>
      </c>
      <c r="HV14" s="116">
        <f>+MAX(V14:X14)</f>
        <v>232.61149378272299</v>
      </c>
      <c r="HW14" s="116">
        <f>+MAX(Y14:AA14)</f>
        <v>282.932643081827</v>
      </c>
      <c r="HX14" s="116">
        <f>+MAX(AB14:AD14)</f>
        <v>260.00085949375102</v>
      </c>
      <c r="HY14" s="116">
        <f>+MAX(AE14:AG14)</f>
        <v>251.655275185779</v>
      </c>
      <c r="HZ14" s="116">
        <f>+MAX(AH14:AJ14)</f>
        <v>233.55253889756801</v>
      </c>
      <c r="IA14" s="116">
        <f>+MAX(AK14:AM14)</f>
        <v>251.06093090271901</v>
      </c>
      <c r="IB14" s="116">
        <f>+MAX(AN14:AP14)</f>
        <v>264.23556251055601</v>
      </c>
      <c r="IC14" s="116">
        <f>+MAX(AQ14:AS14)</f>
        <v>252.22485512371199</v>
      </c>
      <c r="ID14" s="116">
        <f>+MAX(AT14:AV14)</f>
        <v>269.80754016424601</v>
      </c>
      <c r="IE14" s="116">
        <f>+MAX(AW14:AY14)</f>
        <v>264.978492864381</v>
      </c>
      <c r="IF14" s="116">
        <f>+MAX(AZ14:BB14)</f>
        <v>279.564692144486</v>
      </c>
      <c r="IG14" s="116">
        <f>+MAX(BC14:BE14)</f>
        <v>278.54935399425801</v>
      </c>
      <c r="IH14" s="116">
        <f>+MAX(BF14:BH14)</f>
        <v>330.85165090356401</v>
      </c>
      <c r="II14" s="116">
        <f>+MAX(BI14:BK14)</f>
        <v>362.79765611805402</v>
      </c>
      <c r="IJ14" s="116">
        <f>+MAX(BL14:BN14)</f>
        <v>431.93970771406902</v>
      </c>
      <c r="IK14" s="116">
        <f>+MAX(BO14:BQ14)</f>
        <v>474.98013954568501</v>
      </c>
      <c r="IL14" s="116">
        <f>+MAX(BR14:BT14)</f>
        <v>490.33403352474198</v>
      </c>
      <c r="IM14" s="116">
        <f>+MAX(BU14:BW14)</f>
        <v>513.01817366154398</v>
      </c>
      <c r="IN14" s="116">
        <f>+MAX(BX14:BZ14)</f>
        <v>658.11247176363804</v>
      </c>
      <c r="IO14" s="116">
        <f>+MAX(CA14:CC14)</f>
        <v>624.06149721330905</v>
      </c>
      <c r="IP14" s="116">
        <f>+MAX(CD14:CF14)</f>
        <v>686.76481907617006</v>
      </c>
      <c r="IQ14" s="116">
        <f>+MAX(CG14:CI14)</f>
        <v>701.82154091369705</v>
      </c>
      <c r="IR14" s="116">
        <f>+MAX(CJ14:CL14)</f>
        <v>661.70330180712699</v>
      </c>
      <c r="IS14" s="116">
        <f>+MAX(CM14:CO14)</f>
        <v>801.27515094578598</v>
      </c>
      <c r="IT14" s="116">
        <f>+MAX(CP14:CR14)</f>
        <v>797.16426965461903</v>
      </c>
      <c r="IU14" s="116">
        <f>+MAX(CS14:CU14)</f>
        <v>902.05</v>
      </c>
      <c r="IV14" s="116">
        <f>+MAX(CV14:CX14)</f>
        <v>1184.4000000000001</v>
      </c>
      <c r="IW14" s="116">
        <f>+MAX(CY14:DA14)</f>
        <v>1154.7</v>
      </c>
      <c r="IX14" s="116">
        <f>+MAX(DB14:DD14)</f>
        <v>1115.5</v>
      </c>
      <c r="IY14" s="116">
        <f>+MAX(DE14:DG14)</f>
        <v>1137.25</v>
      </c>
      <c r="IZ14" s="116">
        <f>+MAX(DH14:DJ14)</f>
        <v>1282.5</v>
      </c>
      <c r="JA14" s="116">
        <f>+MAX(DK14:DM14)</f>
        <v>1375</v>
      </c>
      <c r="JB14" s="116">
        <f>+MAX(DN14:DP14)</f>
        <v>1344</v>
      </c>
      <c r="JC14" s="116">
        <f>+MAX(DQ14:DS14)</f>
        <v>1427.5</v>
      </c>
      <c r="JD14" s="116">
        <f>+MAX(DT14:DV14)</f>
        <v>1338.8</v>
      </c>
      <c r="JE14" s="116">
        <f>+MAX(DW14:DY14)</f>
        <v>1377.35</v>
      </c>
      <c r="JF14" s="116">
        <f>+MAX(DZ14:EB14)</f>
        <v>1302.5</v>
      </c>
      <c r="JG14" s="116">
        <f>+MAX(EC14:EE14)</f>
        <v>1292</v>
      </c>
      <c r="JH14" s="116">
        <f>+MAX(EF14:EH14)</f>
        <v>1427.5</v>
      </c>
      <c r="JI14" s="116">
        <f>+MAX(EI14:EK14)</f>
        <v>1307.4000000000001</v>
      </c>
      <c r="JJ14" s="116">
        <f>+MAX(EL14:EN14)</f>
        <v>1512.4</v>
      </c>
      <c r="JK14" s="116">
        <f>MAX(EO14:EQ14)</f>
        <v>1580.7249999999999</v>
      </c>
      <c r="JL14" s="116">
        <f>MAX(ER14:ET14)</f>
        <v>1608.95</v>
      </c>
      <c r="JM14" s="116">
        <f>MAX(EU14:EW14)</f>
        <v>1489</v>
      </c>
      <c r="JN14" s="116">
        <f>MAX(EX14:EZ14)</f>
        <v>1325.1</v>
      </c>
      <c r="JO14" s="116">
        <f>MAX(FA14:FC14)</f>
        <v>1524.95</v>
      </c>
      <c r="JP14" s="116">
        <f>MAX(FD14:FF14)</f>
        <v>1551</v>
      </c>
      <c r="JQ14" s="116">
        <f>MAX(FG14:FI14)</f>
        <v>1580.9</v>
      </c>
      <c r="JR14" s="116">
        <f>MAX(FJ14:FL14)</f>
        <v>1611.2</v>
      </c>
      <c r="JS14" s="116">
        <f>MAX(FM14:FO14)</f>
        <v>1383.95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166.78786443379499</v>
      </c>
      <c r="D15" s="116" cm="1">
        <f t="array" ref="D15">_xll.EQNXTDZ($A$1,$B15,D$1)</f>
        <v>175.15821308689399</v>
      </c>
      <c r="E15" s="116" cm="1">
        <f t="array" ref="E15">_xll.EQNXTDZ($A$1,$B15,E$1)</f>
        <v>180.90354115647699</v>
      </c>
      <c r="F15" s="116" cm="1">
        <f t="array" ref="F15">_xll.EQNXTDZ($A$1,$B15,F$1)</f>
        <v>188.23378731422099</v>
      </c>
      <c r="G15" s="116" cm="1">
        <f t="array" ref="G15">_xll.EQNXTDZ($A$1,$B15,G$1)</f>
        <v>196.22028861784301</v>
      </c>
      <c r="H15" s="116" cm="1">
        <f t="array" ref="H15">_xll.EQNXTDZ($A$1,$B15,H$1)</f>
        <v>188.45666642036801</v>
      </c>
      <c r="I15" s="116" cm="1">
        <f t="array" ref="I15">_xll.EQNXTDZ($A$1,$B15,I$1)</f>
        <v>195.53926912683701</v>
      </c>
      <c r="J15" s="116" cm="1">
        <f t="array" ref="J15">_xll.EQNXTDZ($A$1,$B15,J$1)</f>
        <v>207.104218301385</v>
      </c>
      <c r="K15" s="116" cm="1">
        <f t="array" ref="K15">_xll.EQNXTDZ($A$1,$B15,K$1)</f>
        <v>199.55109303749401</v>
      </c>
      <c r="L15" s="116" cm="1">
        <f t="array" ref="L15">_xll.EQNXTDZ($A$1,$B15,L$1)</f>
        <v>189.44724022546899</v>
      </c>
      <c r="M15" s="116" cm="1">
        <f t="array" ref="M15">_xll.EQNXTDZ($A$1,$B15,M$1)</f>
        <v>189.44724022546899</v>
      </c>
      <c r="N15" s="116" cm="1">
        <f t="array" ref="N15">_xll.EQNXTDZ($A$1,$B15,N$1)</f>
        <v>193.161891994596</v>
      </c>
      <c r="O15" s="116" cm="1">
        <f t="array" ref="O15">_xll.EQNXTDZ($A$1,$B15,O$1)</f>
        <v>192.29513991513301</v>
      </c>
      <c r="P15" s="116" cm="1">
        <f t="array" ref="P15">_xll.EQNXTDZ($A$1,$B15,P$1)</f>
        <v>198.114761020098</v>
      </c>
      <c r="Q15" s="116" cm="1">
        <f t="array" ref="Q15">_xll.EQNXTDZ($A$1,$B15,Q$1)</f>
        <v>189.44724022546899</v>
      </c>
      <c r="R15" s="116" cm="1">
        <f t="array" ref="R15">_xll.EQNXTDZ($A$1,$B15,R$1)</f>
        <v>202.832368766889</v>
      </c>
      <c r="S15" s="116" cm="1">
        <f t="array" ref="S15">_xll.EQNXTDZ($A$1,$B15,S$1)</f>
        <v>202.69616486868799</v>
      </c>
      <c r="T15" s="116" cm="1">
        <f t="array" ref="T15">_xll.EQNXTDZ($A$1,$B15,T$1)</f>
        <v>207.02992526600201</v>
      </c>
      <c r="U15" s="116" cm="1">
        <f t="array" ref="U15">_xll.EQNXTDZ($A$1,$B15,U$1)</f>
        <v>207.091836128821</v>
      </c>
      <c r="V15" s="116" cm="1">
        <f t="array" ref="V15">_xll.EQNXTDZ($A$1,$B15,V$1)</f>
        <v>203.81056039942601</v>
      </c>
      <c r="W15" s="116" cm="1">
        <f t="array" ref="W15">_xll.EQNXTDZ($A$1,$B15,W$1)</f>
        <v>196.628900312447</v>
      </c>
      <c r="X15" s="116" cm="1">
        <f t="array" ref="X15">_xll.EQNXTDZ($A$1,$B15,X$1)</f>
        <v>197.61947411754801</v>
      </c>
      <c r="Y15" s="116" cm="1">
        <f t="array" ref="Y15">_xll.EQNXTDZ($A$1,$B15,Y$1)</f>
        <v>230.30840968586401</v>
      </c>
      <c r="Z15" s="116" cm="1">
        <f t="array" ref="Z15">_xll.EQNXTDZ($A$1,$B15,Z$1)</f>
        <v>229.070192429488</v>
      </c>
      <c r="AA15" s="116" cm="1">
        <f t="array" ref="AA15">_xll.EQNXTDZ($A$1,$B15,AA$1)</f>
        <v>247.66821562025001</v>
      </c>
      <c r="AB15" s="116" cm="1">
        <f t="array" ref="AB15">_xll.EQNXTDZ($A$1,$B15,AB$1)</f>
        <v>237.49006977284199</v>
      </c>
      <c r="AC15" s="116" cm="1">
        <f t="array" ref="AC15">_xll.EQNXTDZ($A$1,$B15,AC$1)</f>
        <v>240.61037725890901</v>
      </c>
      <c r="AD15" s="116" cm="1">
        <f t="array" ref="AD15">_xll.EQNXTDZ($A$1,$B15,AD$1)</f>
        <v>227.36145261569001</v>
      </c>
      <c r="AE15" s="116" cm="1">
        <f t="array" ref="AE15">_xll.EQNXTDZ($A$1,$B15,AE$1)</f>
        <v>226.03656015136801</v>
      </c>
      <c r="AF15" s="116" cm="1">
        <f t="array" ref="AF15">_xll.EQNXTDZ($A$1,$B15,AF$1)</f>
        <v>238.76543354690901</v>
      </c>
      <c r="AG15" s="116" cm="1">
        <f t="array" ref="AG15">_xll.EQNXTDZ($A$1,$B15,AG$1)</f>
        <v>212.96098592404201</v>
      </c>
      <c r="AH15" s="116" cm="1">
        <f t="array" ref="AH15">_xll.EQNXTDZ($A$1,$B15,AH$1)</f>
        <v>205.81647235475401</v>
      </c>
      <c r="AI15" s="116" cm="1">
        <f t="array" ref="AI15">_xll.EQNXTDZ($A$1,$B15,AI$1)</f>
        <v>207.30233306240501</v>
      </c>
      <c r="AJ15" s="116" cm="1">
        <f t="array" ref="AJ15">_xll.EQNXTDZ($A$1,$B15,AJ$1)</f>
        <v>197.30991980345399</v>
      </c>
      <c r="AK15" s="116" cm="1">
        <f t="array" ref="AK15">_xll.EQNXTDZ($A$1,$B15,AK$1)</f>
        <v>201.58176933794999</v>
      </c>
      <c r="AL15" s="116" cm="1">
        <f t="array" ref="AL15">_xll.EQNXTDZ($A$1,$B15,AL$1)</f>
        <v>212.45331684892801</v>
      </c>
      <c r="AM15" s="116" cm="1">
        <f t="array" ref="AM15">_xll.EQNXTDZ($A$1,$B15,AM$1)</f>
        <v>216.44037641445701</v>
      </c>
      <c r="AN15" s="116" cm="1">
        <f t="array" ref="AN15">_xll.EQNXTDZ($A$1,$B15,AN$1)</f>
        <v>243.75544909010301</v>
      </c>
      <c r="AO15" s="116" cm="1">
        <f t="array" ref="AO15">_xll.EQNXTDZ($A$1,$B15,AO$1)</f>
        <v>202.819986594325</v>
      </c>
      <c r="AP15" s="116" cm="1">
        <f t="array" ref="AP15">_xll.EQNXTDZ($A$1,$B15,AP$1)</f>
        <v>204.36775816479499</v>
      </c>
      <c r="AQ15" s="116" cm="1">
        <f t="array" ref="AQ15">_xll.EQNXTDZ($A$1,$B15,AQ$1)</f>
        <v>212.676195955075</v>
      </c>
      <c r="AR15" s="116" cm="1">
        <f t="array" ref="AR15">_xll.EQNXTDZ($A$1,$B15,AR$1)</f>
        <v>225.35554066036099</v>
      </c>
      <c r="AS15" s="116" cm="1">
        <f t="array" ref="AS15">_xll.EQNXTDZ($A$1,$B15,AS$1)</f>
        <v>226.098471014187</v>
      </c>
      <c r="AT15" s="116" cm="1">
        <f t="array" ref="AT15">_xll.EQNXTDZ($A$1,$B15,AT$1)</f>
        <v>242.232441864761</v>
      </c>
      <c r="AU15" s="116" cm="1">
        <f t="array" ref="AU15">_xll.EQNXTDZ($A$1,$B15,AU$1)</f>
        <v>220.03120645794601</v>
      </c>
      <c r="AV15" s="116" cm="1">
        <f t="array" ref="AV15">_xll.EQNXTDZ($A$1,$B15,AV$1)</f>
        <v>238.97593048049299</v>
      </c>
      <c r="AW15" s="116" cm="1">
        <f t="array" ref="AW15">_xll.EQNXTDZ($A$1,$B15,AW$1)</f>
        <v>242.158148829379</v>
      </c>
      <c r="AX15" s="116" cm="1">
        <f t="array" ref="AX15">_xll.EQNXTDZ($A$1,$B15,AX$1)</f>
        <v>229.243542845381</v>
      </c>
      <c r="AY15" s="116" cm="1">
        <f t="array" ref="AY15">_xll.EQNXTDZ($A$1,$B15,AY$1)</f>
        <v>231.398040871474</v>
      </c>
      <c r="AZ15" s="116" cm="1">
        <f t="array" ref="AZ15">_xll.EQNXTDZ($A$1,$B15,AZ$1)</f>
        <v>240.26367642712401</v>
      </c>
      <c r="BA15" s="116" cm="1">
        <f t="array" ref="BA15">_xll.EQNXTDZ($A$1,$B15,BA$1)</f>
        <v>243.804977780358</v>
      </c>
      <c r="BB15" s="116" cm="1">
        <f t="array" ref="BB15">_xll.EQNXTDZ($A$1,$B15,BB$1)</f>
        <v>248.411145974075</v>
      </c>
      <c r="BC15" s="116" cm="1">
        <f t="array" ref="BC15">_xll.EQNXTDZ($A$1,$B15,BC$1)</f>
        <v>258.34164837020802</v>
      </c>
      <c r="BD15" s="116" cm="1">
        <f t="array" ref="BD15">_xll.EQNXTDZ($A$1,$B15,BD$1)</f>
        <v>230.803696588414</v>
      </c>
      <c r="BE15" s="116" cm="1">
        <f t="array" ref="BE15">_xll.EQNXTDZ($A$1,$B15,BE$1)</f>
        <v>244.56029030674699</v>
      </c>
      <c r="BF15" s="116" cm="1">
        <f t="array" ref="BF15">_xll.EQNXTDZ($A$1,$B15,BF$1)</f>
        <v>251.122841765538</v>
      </c>
      <c r="BG15" s="116" cm="1">
        <f t="array" ref="BG15">_xll.EQNXTDZ($A$1,$B15,BG$1)</f>
        <v>253.09160720317499</v>
      </c>
      <c r="BH15" s="116" cm="1">
        <f t="array" ref="BH15">_xll.EQNXTDZ($A$1,$B15,BH$1)</f>
        <v>303.52419605535403</v>
      </c>
      <c r="BI15" s="116" cm="1">
        <f t="array" ref="BI15">_xll.EQNXTDZ($A$1,$B15,BI$1)</f>
        <v>329.861077098463</v>
      </c>
      <c r="BJ15" s="116" cm="1">
        <f t="array" ref="BJ15">_xll.EQNXTDZ($A$1,$B15,BJ$1)</f>
        <v>320.69826940128399</v>
      </c>
      <c r="BK15" s="116" cm="1">
        <f t="array" ref="BK15">_xll.EQNXTDZ($A$1,$B15,BK$1)</f>
        <v>324.06622033862499</v>
      </c>
      <c r="BL15" s="116" cm="1">
        <f t="array" ref="BL15">_xll.EQNXTDZ($A$1,$B15,BL$1)</f>
        <v>339.79157949459602</v>
      </c>
      <c r="BM15" s="116" cm="1">
        <f t="array" ref="BM15">_xll.EQNXTDZ($A$1,$B15,BM$1)</f>
        <v>378.89448045093701</v>
      </c>
      <c r="BN15" s="116" cm="1">
        <f t="array" ref="BN15">_xll.EQNXTDZ($A$1,$B15,BN$1)</f>
        <v>386.32378398919099</v>
      </c>
      <c r="BO15" s="116" cm="1">
        <f t="array" ref="BO15">_xll.EQNXTDZ($A$1,$B15,BO$1)</f>
        <v>389.41932713013</v>
      </c>
      <c r="BP15" s="116" cm="1">
        <f t="array" ref="BP15">_xll.EQNXTDZ($A$1,$B15,BP$1)</f>
        <v>432.38546592636402</v>
      </c>
      <c r="BQ15" s="116" cm="1">
        <f t="array" ref="BQ15">_xll.EQNXTDZ($A$1,$B15,BQ$1)</f>
        <v>426.78872392754602</v>
      </c>
      <c r="BR15" s="116" cm="1">
        <f t="array" ref="BR15">_xll.EQNXTDZ($A$1,$B15,BR$1)</f>
        <v>449.34904233870998</v>
      </c>
      <c r="BS15" s="116" cm="1">
        <f t="array" ref="BS15">_xll.EQNXTDZ($A$1,$B15,BS$1)</f>
        <v>431.93970771406902</v>
      </c>
      <c r="BT15" s="116" cm="1">
        <f t="array" ref="BT15">_xll.EQNXTDZ($A$1,$B15,BT$1)</f>
        <v>436.347761146766</v>
      </c>
      <c r="BU15" s="116" cm="1">
        <f t="array" ref="BU15">_xll.EQNXTDZ($A$1,$B15,BU$1)</f>
        <v>438.87372434977198</v>
      </c>
      <c r="BV15" s="116" cm="1">
        <f t="array" ref="BV15">_xll.EQNXTDZ($A$1,$B15,BV$1)</f>
        <v>449.27474930332698</v>
      </c>
      <c r="BW15" s="116" cm="1">
        <f t="array" ref="BW15">_xll.EQNXTDZ($A$1,$B15,BW$1)</f>
        <v>455.21819213393002</v>
      </c>
      <c r="BX15" s="116" cm="1">
        <f t="array" ref="BX15">_xll.EQNXTDZ($A$1,$B15,BX$1)</f>
        <v>474.261973536987</v>
      </c>
      <c r="BY15" s="116" cm="1">
        <f t="array" ref="BY15">_xll.EQNXTDZ($A$1,$B15,BY$1)</f>
        <v>577.50452837358603</v>
      </c>
      <c r="BZ15" s="116" cm="1">
        <f t="array" ref="BZ15">_xll.EQNXTDZ($A$1,$B15,BZ$1)</f>
        <v>586.02346309744996</v>
      </c>
      <c r="CA15" s="116" cm="1">
        <f t="array" ref="CA15">_xll.EQNXTDZ($A$1,$B15,CA$1)</f>
        <v>503.70677989359899</v>
      </c>
      <c r="CB15" s="116" cm="1">
        <f t="array" ref="CB15">_xll.EQNXTDZ($A$1,$B15,CB$1)</f>
        <v>520.199833748522</v>
      </c>
      <c r="CC15" s="116" cm="1">
        <f t="array" ref="CC15">_xll.EQNXTDZ($A$1,$B15,CC$1)</f>
        <v>522.70103260640099</v>
      </c>
      <c r="CD15" s="116" cm="1">
        <f t="array" ref="CD15">_xll.EQNXTDZ($A$1,$B15,CD$1)</f>
        <v>535.52896338245205</v>
      </c>
      <c r="CE15" s="116" cm="1">
        <f t="array" ref="CE15">_xll.EQNXTDZ($A$1,$B15,CE$1)</f>
        <v>597.39029751097803</v>
      </c>
      <c r="CF15" s="116" cm="1">
        <f t="array" ref="CF15">_xll.EQNXTDZ($A$1,$B15,CF$1)</f>
        <v>603.35850468670799</v>
      </c>
      <c r="CG15" s="116" cm="1">
        <f t="array" ref="CG15">_xll.EQNXTDZ($A$1,$B15,CG$1)</f>
        <v>654.57117041040397</v>
      </c>
      <c r="CH15" s="116" cm="1">
        <f t="array" ref="CH15">_xll.EQNXTDZ($A$1,$B15,CH$1)</f>
        <v>607.71702942915101</v>
      </c>
      <c r="CI15" s="116" cm="1">
        <f t="array" ref="CI15">_xll.EQNXTDZ($A$1,$B15,CI$1)</f>
        <v>618.14281872783295</v>
      </c>
      <c r="CJ15" s="116" cm="1">
        <f t="array" ref="CJ15">_xll.EQNXTDZ($A$1,$B15,CJ$1)</f>
        <v>576.01866766593503</v>
      </c>
      <c r="CK15" s="116" cm="1">
        <f t="array" ref="CK15">_xll.EQNXTDZ($A$1,$B15,CK$1)</f>
        <v>542.66109477917598</v>
      </c>
      <c r="CL15" s="116" cm="1">
        <f t="array" ref="CL15">_xll.EQNXTDZ($A$1,$B15,CL$1)</f>
        <v>581.09535841707498</v>
      </c>
      <c r="CM15" s="116" cm="1">
        <f t="array" ref="CM15">_xll.EQNXTDZ($A$1,$B15,CM$1)</f>
        <v>634.56157954737398</v>
      </c>
      <c r="CN15" s="116" cm="1">
        <f t="array" ref="CN15">_xll.EQNXTDZ($A$1,$B15,CN$1)</f>
        <v>704.96661274489099</v>
      </c>
      <c r="CO15" s="116" cm="1">
        <f t="array" ref="CO15">_xll.EQNXTDZ($A$1,$B15,CO$1)</f>
        <v>747.43746463857497</v>
      </c>
      <c r="CP15" s="116" cm="1">
        <f t="array" ref="CP15">_xll.EQNXTDZ($A$1,$B15,CP$1)</f>
        <v>697.09155099434201</v>
      </c>
      <c r="CQ15" s="116" cm="1">
        <f t="array" ref="CQ15">_xll.EQNXTDZ($A$1,$B15,CQ$1)</f>
        <v>656.25514587907503</v>
      </c>
      <c r="CR15" s="116" cm="1">
        <f t="array" ref="CR15">_xll.EQNXTDZ($A$1,$B15,CR$1)</f>
        <v>433.72274056325</v>
      </c>
      <c r="CS15" s="116" cm="1">
        <f t="array" ref="CS15">_xll.EQNXTDZ($A$1,$B15,CS$1)</f>
        <v>517.45099143936795</v>
      </c>
      <c r="CT15" s="116" cm="1">
        <f t="array" ref="CT15">_xll.EQNXTDZ($A$1,$B15,CT$1)</f>
        <v>696.82500000000005</v>
      </c>
      <c r="CU15" s="116" cm="1">
        <f t="array" ref="CU15">_xll.EQNXTDZ($A$1,$B15,CU$1)</f>
        <v>737.82500000000005</v>
      </c>
      <c r="CV15" s="116" cm="1">
        <f t="array" ref="CV15">_xll.EQNXTDZ($A$1,$B15,CV$1)</f>
        <v>854.375</v>
      </c>
      <c r="CW15" s="116" cm="1">
        <f t="array" ref="CW15">_xll.EQNXTDZ($A$1,$B15,CW$1)</f>
        <v>1000.625</v>
      </c>
      <c r="CX15" s="116" cm="1">
        <f t="array" ref="CX15">_xll.EQNXTDZ($A$1,$B15,CX$1)</f>
        <v>1022.675</v>
      </c>
      <c r="CY15" s="116" cm="1">
        <f t="array" ref="CY15">_xll.EQNXTDZ($A$1,$B15,CY$1)</f>
        <v>995.375</v>
      </c>
      <c r="CZ15" s="116" cm="1">
        <f t="array" ref="CZ15">_xll.EQNXTDZ($A$1,$B15,CZ$1)</f>
        <v>917.5</v>
      </c>
      <c r="DA15" s="116" cm="1">
        <f t="array" ref="DA15">_xll.EQNXTDZ($A$1,$B15,DA$1)</f>
        <v>928.02499999999998</v>
      </c>
      <c r="DB15" s="116" cm="1">
        <f t="array" ref="DB15">_xll.EQNXTDZ($A$1,$B15,DB$1)</f>
        <v>915</v>
      </c>
      <c r="DC15" s="116" cm="1">
        <f t="array" ref="DC15">_xll.EQNXTDZ($A$1,$B15,DC$1)</f>
        <v>922.6</v>
      </c>
      <c r="DD15" s="116" cm="1">
        <f t="array" ref="DD15">_xll.EQNXTDZ($A$1,$B15,DD$1)</f>
        <v>986.52499999999998</v>
      </c>
      <c r="DE15" s="116" cm="1">
        <f t="array" ref="DE15">_xll.EQNXTDZ($A$1,$B15,DE$1)</f>
        <v>938.8</v>
      </c>
      <c r="DF15" s="116" cm="1">
        <f t="array" ref="DF15">_xll.EQNXTDZ($A$1,$B15,DF$1)</f>
        <v>953.25</v>
      </c>
      <c r="DG15" s="116" cm="1">
        <f t="array" ref="DG15">_xll.EQNXTDZ($A$1,$B15,DG$1)</f>
        <v>1040.55</v>
      </c>
      <c r="DH15" s="116" cm="1">
        <f t="array" ref="DH15">_xll.EQNXTDZ($A$1,$B15,DH$1)</f>
        <v>1008.3</v>
      </c>
      <c r="DI15" s="116" cm="1">
        <f t="array" ref="DI15">_xll.EQNXTDZ($A$1,$B15,DI$1)</f>
        <v>1020.5</v>
      </c>
      <c r="DJ15" s="116" cm="1">
        <f t="array" ref="DJ15">_xll.EQNXTDZ($A$1,$B15,DJ$1)</f>
        <v>1065</v>
      </c>
      <c r="DK15" s="116" cm="1">
        <f t="array" ref="DK15">_xll.EQNXTDZ($A$1,$B15,DK$1)</f>
        <v>1247.925</v>
      </c>
      <c r="DL15" s="116" cm="1">
        <f t="array" ref="DL15">_xll.EQNXTDZ($A$1,$B15,DL$1)</f>
        <v>1154.7</v>
      </c>
      <c r="DM15" s="116" cm="1">
        <f t="array" ref="DM15">_xll.EQNXTDZ($A$1,$B15,DM$1)</f>
        <v>1124</v>
      </c>
      <c r="DN15" s="116" cm="1">
        <f t="array" ref="DN15">_xll.EQNXTDZ($A$1,$B15,DN$1)</f>
        <v>1152.5250000000001</v>
      </c>
      <c r="DO15" s="116" cm="1">
        <f t="array" ref="DO15">_xll.EQNXTDZ($A$1,$B15,DO$1)</f>
        <v>1121.25</v>
      </c>
      <c r="DP15" s="116" cm="1">
        <f t="array" ref="DP15">_xll.EQNXTDZ($A$1,$B15,DP$1)</f>
        <v>1090.5</v>
      </c>
      <c r="DQ15" s="116" cm="1">
        <f t="array" ref="DQ15">_xll.EQNXTDZ($A$1,$B15,DQ$1)</f>
        <v>1261.3</v>
      </c>
      <c r="DR15" s="116" cm="1">
        <f t="array" ref="DR15">_xll.EQNXTDZ($A$1,$B15,DR$1)</f>
        <v>1185</v>
      </c>
      <c r="DS15" s="116" cm="1">
        <f t="array" ref="DS15">_xll.EQNXTDZ($A$1,$B15,DS$1)</f>
        <v>1223</v>
      </c>
      <c r="DT15" s="116" cm="1">
        <f t="array" ref="DT15">_xll.EQNXTDZ($A$1,$B15,DT$1)</f>
        <v>1182.5</v>
      </c>
      <c r="DU15" s="116" cm="1">
        <f t="array" ref="DU15">_xll.EQNXTDZ($A$1,$B15,DU$1)</f>
        <v>1253.9749999999999</v>
      </c>
      <c r="DV15" s="116" cm="1">
        <f t="array" ref="DV15">_xll.EQNXTDZ($A$1,$B15,DV$1)</f>
        <v>1156.7750000000001</v>
      </c>
      <c r="DW15" s="116" cm="1">
        <f t="array" ref="DW15">_xll.EQNXTDZ($A$1,$B15,DW$1)</f>
        <v>1171.8</v>
      </c>
      <c r="DX15" s="116" cm="1">
        <f t="array" ref="DX15">_xll.EQNXTDZ($A$1,$B15,DX$1)</f>
        <v>1254</v>
      </c>
      <c r="DY15" s="116" cm="1">
        <f t="array" ref="DY15">_xll.EQNXTDZ($A$1,$B15,DY$1)</f>
        <v>1246.5</v>
      </c>
      <c r="DZ15" s="116" cm="1">
        <f t="array" ref="DZ15">_xll.EQNXTDZ($A$1,$B15,DZ$1)</f>
        <v>1150.575</v>
      </c>
      <c r="EA15" s="116" cm="1">
        <f t="array" ref="EA15">_xll.EQNXTDZ($A$1,$B15,EA$1)</f>
        <v>1146.55</v>
      </c>
      <c r="EB15" s="116" cm="1">
        <f t="array" ref="EB15">_xll.EQNXTDZ($A$1,$B15,EB$1)</f>
        <v>1090</v>
      </c>
      <c r="EC15" s="116" cm="1">
        <f t="array" ref="EC15">_xll.EQNXTDZ($A$1,$B15,EC$1)</f>
        <v>1154.25</v>
      </c>
      <c r="ED15" s="116" cm="1">
        <f t="array" ref="ED15">_xll.EQNXTDZ($A$1,$B15,ED$1)</f>
        <v>1206.675</v>
      </c>
      <c r="EE15" s="116" cm="1">
        <f t="array" ref="EE15">_xll.EQNXTDZ($A$1,$B15,EE$1)</f>
        <v>1225.5250000000001</v>
      </c>
      <c r="EF15" s="116" cm="1">
        <f t="array" ref="EF15">_xll.EQNXTDZ($A$1,$B15,EF$1)</f>
        <v>1234.7750000000001</v>
      </c>
      <c r="EG15" s="116" cm="1">
        <f t="array" ref="EG15">_xll.EQNXTDZ($A$1,$B15,EG$1)</f>
        <v>1200</v>
      </c>
      <c r="EH15" s="116" cm="1">
        <f t="array" ref="EH15">_xll.EQNXTDZ($A$1,$B15,EH$1)</f>
        <v>1162.825</v>
      </c>
      <c r="EI15" s="116" cm="1">
        <f t="array" ref="EI15">_xll.EQNXTDZ($A$1,$B15,EI$1)</f>
        <v>1110.5250000000001</v>
      </c>
      <c r="EJ15" s="116" cm="1">
        <f t="array" ref="EJ15">_xll.EQNXTDZ($A$1,$B15,EJ$1)</f>
        <v>1137.625</v>
      </c>
      <c r="EK15" s="116" cm="1">
        <f t="array" ref="EK15">_xll.EQNXTDZ($A$1,$B15,EK$1)</f>
        <v>1190</v>
      </c>
      <c r="EL15" s="116" cm="1">
        <f t="array" ref="EL15">_xll.EQNXTDZ($A$1,$B15,EL$1)</f>
        <v>1284.1500000000001</v>
      </c>
      <c r="EM15" s="116" cm="1">
        <f t="array" ref="EM15">_xll.EQNXTDZ($A$1,$B15,EM$1)</f>
        <v>1418.35</v>
      </c>
      <c r="EN15" s="116" cm="1">
        <f t="array" ref="EN15">_xll.EQNXTDZ($A$1,$B15,EN$1)</f>
        <v>1413.45</v>
      </c>
      <c r="EO15" s="116" cm="1">
        <f t="array" ref="EO15">_xll.EQNXTDZ($A$1,$B15,EO$1)</f>
        <v>1442.6</v>
      </c>
      <c r="EP15" s="116" cm="1">
        <f t="array" ref="EP15">_xll.EQNXTDZ($A$1,$B15,EP$1)</f>
        <v>1384.0250000000001</v>
      </c>
      <c r="EQ15" s="116" cm="1">
        <f t="array" ref="EQ15">_xll.EQNXTDZ($A$1,$B15,EQ$1)</f>
        <v>1359.575</v>
      </c>
      <c r="ER15" s="116" cm="1">
        <f t="array" ref="ER15">_xll.EQNXTDZ($A$1,$B15,ER$1)</f>
        <v>1463.55</v>
      </c>
      <c r="ES15" s="116" cm="1">
        <f t="array" ref="ES15">_xll.EQNXTDZ($A$1,$B15,ES$1)</f>
        <v>1432.9</v>
      </c>
      <c r="ET15" s="116" cm="1">
        <f t="array" ref="ET15">_xll.EQNXTDZ($A$1,$B15,ET$1)</f>
        <v>1446.15</v>
      </c>
      <c r="EU15" s="116" cm="1">
        <f t="array" ref="EU15">_xll.EQNXTDZ($A$1,$B15,EU$1)</f>
        <v>1320.5</v>
      </c>
      <c r="EV15" s="116" cm="1">
        <f t="array" ref="EV15">_xll.EQNXTDZ($A$1,$B15,EV$1)</f>
        <v>1217.7</v>
      </c>
      <c r="EW15" s="116" cm="1">
        <f t="array" ref="EW15">_xll.EQNXTDZ($A$1,$B15,EW$1)</f>
        <v>1202.0999999999999</v>
      </c>
      <c r="EX15" s="116" cm="1">
        <f t="array" ref="EX15">_xll.EQNXTDZ($A$1,$B15,EX$1)</f>
        <v>1212.0999999999999</v>
      </c>
      <c r="EY15" s="116" cm="1">
        <f t="array" ref="EY15">_xll.EQNXTDZ($A$1,$B15,EY$1)</f>
        <v>1193.3</v>
      </c>
      <c r="EZ15" s="116" cm="1">
        <f t="array" ref="EZ15">_xll.EQNXTDZ($A$1,$B15,EZ$1)</f>
        <v>1156</v>
      </c>
      <c r="FA15" s="116" cm="1">
        <f t="array" ref="FA15">_xll.EQNXTDZ($A$1,$B15,FA$1)</f>
        <v>1115.55</v>
      </c>
      <c r="FB15" s="116" cm="1">
        <f t="array" ref="FB15">_xll.EQNXTDZ($A$1,$B15,FB$1)</f>
        <v>1372.05</v>
      </c>
      <c r="FC15" s="116" cm="1">
        <f t="array" ref="FC15">_xll.EQNXTDZ($A$1,$B15,FC$1)</f>
        <v>1395.9</v>
      </c>
      <c r="FD15" s="116" cm="1">
        <f t="array" ref="FD15">_xll.EQNXTDZ($A$1,$B15,FD$1)</f>
        <v>1383.5</v>
      </c>
      <c r="FE15" s="116" cm="1">
        <f t="array" ref="FE15">_xll.EQNXTDZ($A$1,$B15,FE$1)</f>
        <v>1350.3</v>
      </c>
      <c r="FF15" s="116" cm="1">
        <f t="array" ref="FF15">_xll.EQNXTDZ($A$1,$B15,FF$1)</f>
        <v>1341.7</v>
      </c>
      <c r="FG15" s="116" cm="1">
        <f t="array" ref="FG15">_xll.EQNXTDZ($A$1,$B15,FG$1)</f>
        <v>1357.2</v>
      </c>
      <c r="FH15" s="116" cm="1">
        <f t="array" ref="FH15">_xll.EQNXTDZ($A$1,$B15,FH$1)</f>
        <v>1470.3</v>
      </c>
      <c r="FI15" s="116" cm="1">
        <f t="array" ref="FI15">_xll.EQNXTDZ($A$1,$B15,FI$1)</f>
        <v>1518</v>
      </c>
      <c r="FJ15" s="116" cm="1">
        <f t="array" ref="FJ15">_xll.EQNXTDZ($A$1,$B15,FJ$1)</f>
        <v>1368.5</v>
      </c>
      <c r="FK15" s="116" cm="1">
        <f t="array" ref="FK15">_xll.EQNXTDZ($A$1,$B15,FK$1)</f>
        <v>1335.7</v>
      </c>
      <c r="FL15" s="116" cm="1">
        <f t="array" ref="FL15">_xll.EQNXTDZ($A$1,$B15,FL$1)</f>
        <v>1307</v>
      </c>
      <c r="FM15" s="116" cm="1">
        <f t="array" ref="FM15">_xll.EQNXTDZ($A$1,$B15,FM$1)</f>
        <v>1290</v>
      </c>
      <c r="FN15" s="116" cm="1">
        <f t="array" ref="FN15">_xll.EQNXTDZ($A$1,$B15,FN$1)</f>
        <v>0</v>
      </c>
      <c r="FO15" s="116" cm="1">
        <f t="array" ref="FO15">_xll.EQNXTDZ($A$1,$B15,FO$1)</f>
        <v>0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175.15821308689399</v>
      </c>
      <c r="HQ15" s="116">
        <f>+MIN(G15:I15)</f>
        <v>188.45666642036801</v>
      </c>
      <c r="HR15" s="116">
        <f>+MIN(J15:L15)</f>
        <v>189.44724022546899</v>
      </c>
      <c r="HS15" s="116">
        <f>+MIN(M15:O15)</f>
        <v>189.44724022546899</v>
      </c>
      <c r="HT15" s="116">
        <f>+MIN(P15:R15)</f>
        <v>189.44724022546899</v>
      </c>
      <c r="HU15" s="116">
        <f>+MIN(S15:U15)</f>
        <v>202.69616486868799</v>
      </c>
      <c r="HV15" s="116">
        <f>+MIN(V15:X15)</f>
        <v>196.628900312447</v>
      </c>
      <c r="HW15" s="116">
        <f>+MIN(Y15:AA15)</f>
        <v>229.070192429488</v>
      </c>
      <c r="HX15" s="116">
        <f>+MIN(AB15:AD15)</f>
        <v>227.36145261569001</v>
      </c>
      <c r="HY15" s="116">
        <f>+MIN(AE15:AG15)</f>
        <v>212.96098592404201</v>
      </c>
      <c r="HZ15" s="116">
        <f>+MIN(AH15:AJ15)</f>
        <v>197.30991980345399</v>
      </c>
      <c r="IA15" s="116">
        <f>+MIN(AK15:AM15)</f>
        <v>201.58176933794999</v>
      </c>
      <c r="IB15" s="116">
        <f>+MIN(AN15:AP15)</f>
        <v>202.819986594325</v>
      </c>
      <c r="IC15" s="116">
        <f>+MIN(AQ15:AS15)</f>
        <v>212.676195955075</v>
      </c>
      <c r="ID15" s="116">
        <f>+MIN(AT15:AV15)</f>
        <v>220.03120645794601</v>
      </c>
      <c r="IE15" s="116">
        <f>+MIN(AW15:AY15)</f>
        <v>229.243542845381</v>
      </c>
      <c r="IF15" s="116">
        <f>+MIN(AZ15:BB15)</f>
        <v>240.26367642712401</v>
      </c>
      <c r="IG15" s="116">
        <f>+MIN(BC15:BE15)</f>
        <v>230.803696588414</v>
      </c>
      <c r="IH15" s="116">
        <f>+MIN(BF15:BH15)</f>
        <v>251.122841765538</v>
      </c>
      <c r="II15" s="116">
        <f>+MIN(BI15:BK15)</f>
        <v>320.69826940128399</v>
      </c>
      <c r="IJ15" s="116">
        <f>+MIN(BL15:BN15)</f>
        <v>339.79157949459602</v>
      </c>
      <c r="IK15" s="116">
        <f>+MIN(BO15:BQ15)</f>
        <v>389.41932713013</v>
      </c>
      <c r="IL15" s="116">
        <f>+MIN(BR15:BT15)</f>
        <v>431.93970771406902</v>
      </c>
      <c r="IM15" s="116">
        <f>+MIN(BU15:BW15)</f>
        <v>438.87372434977198</v>
      </c>
      <c r="IN15" s="116">
        <f>+MIN(BX15:BZ15)</f>
        <v>474.261973536987</v>
      </c>
      <c r="IO15" s="116">
        <f>+MIN(CA15:CC15)</f>
        <v>503.70677989359899</v>
      </c>
      <c r="IP15" s="116">
        <f>+MIN(CD15:CF15)</f>
        <v>535.52896338245205</v>
      </c>
      <c r="IQ15" s="116">
        <f>+MIN(CG15:CI15)</f>
        <v>607.71702942915101</v>
      </c>
      <c r="IR15" s="116">
        <f>+MIN(CJ15:CL15)</f>
        <v>542.66109477917598</v>
      </c>
      <c r="IS15" s="116">
        <f>+MIN(CM15:CO15)</f>
        <v>634.56157954737398</v>
      </c>
      <c r="IT15" s="116">
        <f>+MIN(CP15:CR15)</f>
        <v>433.72274056325</v>
      </c>
      <c r="IU15" s="116">
        <f>+MIN(CS15:CU15)</f>
        <v>517.45099143936795</v>
      </c>
      <c r="IV15" s="116">
        <f>+MIN(CV15:CX15)</f>
        <v>854.375</v>
      </c>
      <c r="IW15" s="116">
        <f>+MIN(CY15:DA15)</f>
        <v>917.5</v>
      </c>
      <c r="IX15" s="116">
        <f>+MIN(DB15:DD15)</f>
        <v>915</v>
      </c>
      <c r="IY15" s="116">
        <f>+MIN(DE15:DG15)</f>
        <v>938.8</v>
      </c>
      <c r="IZ15" s="116">
        <f>+MIN(DH15:DJ15)</f>
        <v>1008.3</v>
      </c>
      <c r="JA15" s="116">
        <f>+MIN(DK15:DM15)</f>
        <v>1124</v>
      </c>
      <c r="JB15" s="116">
        <f>+MIN(DN15:DP15)</f>
        <v>1090.5</v>
      </c>
      <c r="JC15" s="116">
        <f>+MIN(DQ15:DS15)</f>
        <v>1185</v>
      </c>
      <c r="JD15" s="116">
        <f>+MIN(DT15:DV15)</f>
        <v>1156.7750000000001</v>
      </c>
      <c r="JE15" s="116">
        <f>+MIN(DW15:DY15)</f>
        <v>1171.8</v>
      </c>
      <c r="JF15" s="116">
        <f>+MIN(DZ15:EB15)</f>
        <v>1090</v>
      </c>
      <c r="JG15" s="116">
        <f>+MIN(EC15:EE15)</f>
        <v>1154.25</v>
      </c>
      <c r="JH15" s="116">
        <f>+MIN(EF15:EH15)</f>
        <v>1162.825</v>
      </c>
      <c r="JI15" s="116">
        <f>+MIN(EI15:EK15)</f>
        <v>1110.5250000000001</v>
      </c>
      <c r="JJ15" s="116">
        <f>+MIN(EL15:EN15)</f>
        <v>1284.1500000000001</v>
      </c>
      <c r="JK15" s="116">
        <f>MIN(EO15:EQ15)</f>
        <v>1359.575</v>
      </c>
      <c r="JL15" s="116">
        <f>MIN(ER15:ET15)</f>
        <v>1432.9</v>
      </c>
      <c r="JM15" s="116">
        <f>MIN(EU15:EW15)</f>
        <v>1202.0999999999999</v>
      </c>
      <c r="JN15" s="116">
        <f>MIN(EX15:EZ15)</f>
        <v>1156</v>
      </c>
      <c r="JO15" s="116">
        <f>MIN(FA15:FC15)</f>
        <v>1115.55</v>
      </c>
      <c r="JP15" s="116">
        <f>MIN(FD15:FF15)</f>
        <v>1341.7</v>
      </c>
      <c r="JQ15" s="116">
        <f>MIN(FG15:FI15)</f>
        <v>1357.2</v>
      </c>
      <c r="JR15" s="116">
        <f>MIN(FJ15:FL15)</f>
        <v>1307</v>
      </c>
      <c r="JS15" s="116">
        <f>MIN(FM15:FO15)</f>
        <v>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182.62466314283901</v>
      </c>
      <c r="D16" s="116" cm="1">
        <f t="array" ref="D16">_xll.EQNXTDZ($A$1,$B16,D$1)</f>
        <v>183.96193777972499</v>
      </c>
      <c r="E16" s="116" cm="1">
        <f t="array" ref="E16">_xll.EQNXTDZ($A$1,$B16,E$1)</f>
        <v>191.16836221183101</v>
      </c>
      <c r="F16" s="116" cm="1">
        <f t="array" ref="F16">_xll.EQNXTDZ($A$1,$B16,F$1)</f>
        <v>207.20327568189501</v>
      </c>
      <c r="G16" s="116" cm="1">
        <f t="array" ref="G16">_xll.EQNXTDZ($A$1,$B16,G$1)</f>
        <v>199.414889139292</v>
      </c>
      <c r="H16" s="116" cm="1">
        <f t="array" ref="H16">_xll.EQNXTDZ($A$1,$B16,H$1)</f>
        <v>196.60413596731999</v>
      </c>
      <c r="I16" s="116" cm="1">
        <f t="array" ref="I16">_xll.EQNXTDZ($A$1,$B16,I$1)</f>
        <v>207.797619964955</v>
      </c>
      <c r="J16" s="116" cm="1">
        <f t="array" ref="J16">_xll.EQNXTDZ($A$1,$B16,J$1)</f>
        <v>219.54830172795999</v>
      </c>
      <c r="K16" s="116" cm="1">
        <f t="array" ref="K16">_xll.EQNXTDZ($A$1,$B16,K$1)</f>
        <v>201.74273758127899</v>
      </c>
      <c r="L16" s="116" cm="1">
        <f t="array" ref="L16">_xll.EQNXTDZ($A$1,$B16,L$1)</f>
        <v>191.60173825156201</v>
      </c>
      <c r="M16" s="116" cm="1">
        <f t="array" ref="M16">_xll.EQNXTDZ($A$1,$B16,M$1)</f>
        <v>195.18018612248801</v>
      </c>
      <c r="N16" s="116" cm="1">
        <f t="array" ref="N16">_xll.EQNXTDZ($A$1,$B16,N$1)</f>
        <v>199.501564347239</v>
      </c>
      <c r="O16" s="116" cm="1">
        <f t="array" ref="O16">_xll.EQNXTDZ($A$1,$B16,O$1)</f>
        <v>213.43150848146399</v>
      </c>
      <c r="P16" s="116" cm="1">
        <f t="array" ref="P16">_xll.EQNXTDZ($A$1,$B16,P$1)</f>
        <v>215.84603213139701</v>
      </c>
      <c r="Q16" s="116" cm="1">
        <f t="array" ref="Q16">_xll.EQNXTDZ($A$1,$B16,Q$1)</f>
        <v>210.88078093333101</v>
      </c>
      <c r="R16" s="116" cm="1">
        <f t="array" ref="R16">_xll.EQNXTDZ($A$1,$B16,R$1)</f>
        <v>203.64959215609699</v>
      </c>
      <c r="S16" s="116" cm="1">
        <f t="array" ref="S16">_xll.EQNXTDZ($A$1,$B16,S$1)</f>
        <v>225.937502770858</v>
      </c>
      <c r="T16" s="116" cm="1">
        <f t="array" ref="T16">_xll.EQNXTDZ($A$1,$B16,T$1)</f>
        <v>211.264628282807</v>
      </c>
      <c r="U16" s="116" cm="1">
        <f t="array" ref="U16">_xll.EQNXTDZ($A$1,$B16,U$1)</f>
        <v>221.59136020098001</v>
      </c>
      <c r="V16" s="116" cm="1">
        <f t="array" ref="V16">_xll.EQNXTDZ($A$1,$B16,V$1)</f>
        <v>205.75456149193599</v>
      </c>
      <c r="W16" s="116" cm="1">
        <f t="array" ref="W16">_xll.EQNXTDZ($A$1,$B16,W$1)</f>
        <v>197.929028431642</v>
      </c>
      <c r="X16" s="116" cm="1">
        <f t="array" ref="X16">_xll.EQNXTDZ($A$1,$B16,X$1)</f>
        <v>230.184587960226</v>
      </c>
      <c r="Y16" s="116" cm="1">
        <f t="array" ref="Y16">_xll.EQNXTDZ($A$1,$B16,Y$1)</f>
        <v>231.62091997762201</v>
      </c>
      <c r="Z16" s="116" cm="1">
        <f t="array" ref="Z16">_xll.EQNXTDZ($A$1,$B16,Z$1)</f>
        <v>263.777422125697</v>
      </c>
      <c r="AA16" s="116" cm="1">
        <f t="array" ref="AA16">_xll.EQNXTDZ($A$1,$B16,AA$1)</f>
        <v>251.28381000886699</v>
      </c>
      <c r="AB16" s="116" cm="1">
        <f t="array" ref="AB16">_xll.EQNXTDZ($A$1,$B16,AB$1)</f>
        <v>249.129311982773</v>
      </c>
      <c r="AC16" s="116" cm="1">
        <f t="array" ref="AC16">_xll.EQNXTDZ($A$1,$B16,AC$1)</f>
        <v>247.457718686666</v>
      </c>
      <c r="AD16" s="116" cm="1">
        <f t="array" ref="AD16">_xll.EQNXTDZ($A$1,$B16,AD$1)</f>
        <v>234.109736662937</v>
      </c>
      <c r="AE16" s="116" cm="1">
        <f t="array" ref="AE16">_xll.EQNXTDZ($A$1,$B16,AE$1)</f>
        <v>247.445336514102</v>
      </c>
      <c r="AF16" s="116" cm="1">
        <f t="array" ref="AF16">_xll.EQNXTDZ($A$1,$B16,AF$1)</f>
        <v>245.377513695955</v>
      </c>
      <c r="AG16" s="116" cm="1">
        <f t="array" ref="AG16">_xll.EQNXTDZ($A$1,$B16,AG$1)</f>
        <v>220.687461603825</v>
      </c>
      <c r="AH16" s="116" cm="1">
        <f t="array" ref="AH16">_xll.EQNXTDZ($A$1,$B16,AH$1)</f>
        <v>226.68043312468299</v>
      </c>
      <c r="AI16" s="116" cm="1">
        <f t="array" ref="AI16">_xll.EQNXTDZ($A$1,$B16,AI$1)</f>
        <v>214.521139667075</v>
      </c>
      <c r="AJ16" s="116" cm="1">
        <f t="array" ref="AJ16">_xll.EQNXTDZ($A$1,$B16,AJ$1)</f>
        <v>204.231554266594</v>
      </c>
      <c r="AK16" s="116" cm="1">
        <f t="array" ref="AK16">_xll.EQNXTDZ($A$1,$B16,AK$1)</f>
        <v>213.67915193273899</v>
      </c>
      <c r="AL16" s="116" cm="1">
        <f t="array" ref="AL16">_xll.EQNXTDZ($A$1,$B16,AL$1)</f>
        <v>217.220453285974</v>
      </c>
      <c r="AM16" s="116" cm="1">
        <f t="array" ref="AM16">_xll.EQNXTDZ($A$1,$B16,AM$1)</f>
        <v>247.75489082819601</v>
      </c>
      <c r="AN16" s="116" cm="1">
        <f t="array" ref="AN16">_xll.EQNXTDZ($A$1,$B16,AN$1)</f>
        <v>248.05206296972599</v>
      </c>
      <c r="AO16" s="116" cm="1">
        <f t="array" ref="AO16">_xll.EQNXTDZ($A$1,$B16,AO$1)</f>
        <v>212.18090905252501</v>
      </c>
      <c r="AP16" s="116" cm="1">
        <f t="array" ref="AP16">_xll.EQNXTDZ($A$1,$B16,AP$1)</f>
        <v>213.097189822243</v>
      </c>
      <c r="AQ16" s="116" cm="1">
        <f t="array" ref="AQ16">_xll.EQNXTDZ($A$1,$B16,AQ$1)</f>
        <v>234.728845291125</v>
      </c>
      <c r="AR16" s="116" cm="1">
        <f t="array" ref="AR16">_xll.EQNXTDZ($A$1,$B16,AR$1)</f>
        <v>239.718860834319</v>
      </c>
      <c r="AS16" s="116" cm="1">
        <f t="array" ref="AS16">_xll.EQNXTDZ($A$1,$B16,AS$1)</f>
        <v>250.763758761189</v>
      </c>
      <c r="AT16" s="116" cm="1">
        <f t="array" ref="AT16">_xll.EQNXTDZ($A$1,$B16,AT$1)</f>
        <v>256.32335424231599</v>
      </c>
      <c r="AU16" s="116" cm="1">
        <f t="array" ref="AU16">_xll.EQNXTDZ($A$1,$B16,AU$1)</f>
        <v>239.35977782997</v>
      </c>
      <c r="AV16" s="116" cm="1">
        <f t="array" ref="AV16">_xll.EQNXTDZ($A$1,$B16,AV$1)</f>
        <v>258.84931744532201</v>
      </c>
      <c r="AW16" s="116" cm="1">
        <f t="array" ref="AW16">_xll.EQNXTDZ($A$1,$B16,AW$1)</f>
        <v>243.32207305037201</v>
      </c>
      <c r="AX16" s="116" cm="1">
        <f t="array" ref="AX16">_xll.EQNXTDZ($A$1,$B16,AX$1)</f>
        <v>237.47768760027901</v>
      </c>
      <c r="AY16" s="116" cm="1">
        <f t="array" ref="AY16">_xll.EQNXTDZ($A$1,$B16,AY$1)</f>
        <v>240.07794383866701</v>
      </c>
      <c r="AZ16" s="116" cm="1">
        <f t="array" ref="AZ16">_xll.EQNXTDZ($A$1,$B16,AZ$1)</f>
        <v>251.481924769887</v>
      </c>
      <c r="BA16" s="116" cm="1">
        <f t="array" ref="BA16">_xll.EQNXTDZ($A$1,$B16,BA$1)</f>
        <v>262.00677144908002</v>
      </c>
      <c r="BB16" s="116" cm="1">
        <f t="array" ref="BB16">_xll.EQNXTDZ($A$1,$B16,BB$1)</f>
        <v>267.97497862480998</v>
      </c>
      <c r="BC16" s="116" cm="1">
        <f t="array" ref="BC16">_xll.EQNXTDZ($A$1,$B16,BC$1)</f>
        <v>260.32279598040901</v>
      </c>
      <c r="BD16" s="116" cm="1">
        <f t="array" ref="BD16">_xll.EQNXTDZ($A$1,$B16,BD$1)</f>
        <v>245.84803625337801</v>
      </c>
      <c r="BE16" s="116" cm="1">
        <f t="array" ref="BE16">_xll.EQNXTDZ($A$1,$B16,BE$1)</f>
        <v>267.47969172225999</v>
      </c>
      <c r="BF16" s="116" cm="1">
        <f t="array" ref="BF16">_xll.EQNXTDZ($A$1,$B16,BF$1)</f>
        <v>258.39117706046301</v>
      </c>
      <c r="BG16" s="116" cm="1">
        <f t="array" ref="BG16">_xll.EQNXTDZ($A$1,$B16,BG$1)</f>
        <v>306.64450354142002</v>
      </c>
      <c r="BH16" s="116" cm="1">
        <f t="array" ref="BH16">_xll.EQNXTDZ($A$1,$B16,BH$1)</f>
        <v>326.69124092214201</v>
      </c>
      <c r="BI16" s="116" cm="1">
        <f t="array" ref="BI16">_xll.EQNXTDZ($A$1,$B16,BI$1)</f>
        <v>345.41308583854101</v>
      </c>
      <c r="BJ16" s="116" cm="1">
        <f t="array" ref="BJ16">_xll.EQNXTDZ($A$1,$B16,BJ$1)</f>
        <v>331.99081077942901</v>
      </c>
      <c r="BK16" s="116" cm="1">
        <f t="array" ref="BK16">_xll.EQNXTDZ($A$1,$B16,BK$1)</f>
        <v>341.809873622488</v>
      </c>
      <c r="BL16" s="116" cm="1">
        <f t="array" ref="BL16">_xll.EQNXTDZ($A$1,$B16,BL$1)</f>
        <v>399.65938384035599</v>
      </c>
      <c r="BM16" s="116" cm="1">
        <f t="array" ref="BM16">_xll.EQNXTDZ($A$1,$B16,BM$1)</f>
        <v>394.61983960690799</v>
      </c>
      <c r="BN16" s="116" cm="1">
        <f t="array" ref="BN16">_xll.EQNXTDZ($A$1,$B16,BN$1)</f>
        <v>387.38865082967402</v>
      </c>
      <c r="BO16" s="116" cm="1">
        <f t="array" ref="BO16">_xll.EQNXTDZ($A$1,$B16,BO$1)</f>
        <v>465.96591791927</v>
      </c>
      <c r="BP16" s="116" cm="1">
        <f t="array" ref="BP16">_xll.EQNXTDZ($A$1,$B16,BP$1)</f>
        <v>456.95169629285601</v>
      </c>
      <c r="BQ16" s="116" cm="1">
        <f t="array" ref="BQ16">_xll.EQNXTDZ($A$1,$B16,BQ$1)</f>
        <v>456.18400159390302</v>
      </c>
      <c r="BR16" s="116" cm="1">
        <f t="array" ref="BR16">_xll.EQNXTDZ($A$1,$B16,BR$1)</f>
        <v>476.04500638616798</v>
      </c>
      <c r="BS16" s="116" cm="1">
        <f t="array" ref="BS16">_xll.EQNXTDZ($A$1,$B16,BS$1)</f>
        <v>471.73601033398103</v>
      </c>
      <c r="BT16" s="116" cm="1">
        <f t="array" ref="BT16">_xll.EQNXTDZ($A$1,$B16,BT$1)</f>
        <v>437.23927757135601</v>
      </c>
      <c r="BU16" s="116" cm="1">
        <f t="array" ref="BU16">_xll.EQNXTDZ($A$1,$B16,BU$1)</f>
        <v>477.01081584614099</v>
      </c>
      <c r="BV16" s="116" cm="1">
        <f t="array" ref="BV16">_xll.EQNXTDZ($A$1,$B16,BV$1)</f>
        <v>456.307823319541</v>
      </c>
      <c r="BW16" s="116" cm="1">
        <f t="array" ref="BW16">_xll.EQNXTDZ($A$1,$B16,BW$1)</f>
        <v>481.88939183626098</v>
      </c>
      <c r="BX16" s="116" cm="1">
        <f t="array" ref="BX16">_xll.EQNXTDZ($A$1,$B16,BX$1)</f>
        <v>587.33597338920799</v>
      </c>
      <c r="BY16" s="116" cm="1">
        <f t="array" ref="BY16">_xll.EQNXTDZ($A$1,$B16,BY$1)</f>
        <v>614.62628171972699</v>
      </c>
      <c r="BZ16" s="116" cm="1">
        <f t="array" ref="BZ16">_xll.EQNXTDZ($A$1,$B16,BZ$1)</f>
        <v>623.16998078871802</v>
      </c>
      <c r="CA16" s="116" cm="1">
        <f t="array" ref="CA16">_xll.EQNXTDZ($A$1,$B16,CA$1)</f>
        <v>525.69751836682997</v>
      </c>
      <c r="CB16" s="116" cm="1">
        <f t="array" ref="CB16">_xll.EQNXTDZ($A$1,$B16,CB$1)</f>
        <v>578.59415955919599</v>
      </c>
      <c r="CC16" s="116" cm="1">
        <f t="array" ref="CC16">_xll.EQNXTDZ($A$1,$B16,CC$1)</f>
        <v>555.24138210395199</v>
      </c>
      <c r="CD16" s="116" cm="1">
        <f t="array" ref="CD16">_xll.EQNXTDZ($A$1,$B16,CD$1)</f>
        <v>607.766558119406</v>
      </c>
      <c r="CE16" s="116" cm="1">
        <f t="array" ref="CE16">_xll.EQNXTDZ($A$1,$B16,CE$1)</f>
        <v>609.97058483575404</v>
      </c>
      <c r="CF16" s="116" cm="1">
        <f t="array" ref="CF16">_xll.EQNXTDZ($A$1,$B16,CF$1)</f>
        <v>675.10081252111104</v>
      </c>
      <c r="CG16" s="116" cm="1">
        <f t="array" ref="CG16">_xll.EQNXTDZ($A$1,$B16,CG$1)</f>
        <v>689.34031096943102</v>
      </c>
      <c r="CH16" s="116" cm="1">
        <f t="array" ref="CH16">_xll.EQNXTDZ($A$1,$B16,CH$1)</f>
        <v>658.60775866618803</v>
      </c>
      <c r="CI16" s="116" cm="1">
        <f t="array" ref="CI16">_xll.EQNXTDZ($A$1,$B16,CI$1)</f>
        <v>620.09920199290696</v>
      </c>
      <c r="CJ16" s="116" cm="1">
        <f t="array" ref="CJ16">_xll.EQNXTDZ($A$1,$B16,CJ$1)</f>
        <v>577.50452837358603</v>
      </c>
      <c r="CK16" s="116" cm="1">
        <f t="array" ref="CK16">_xll.EQNXTDZ($A$1,$B16,CK$1)</f>
        <v>618.29140479859802</v>
      </c>
      <c r="CL16" s="116" cm="1">
        <f t="array" ref="CL16">_xll.EQNXTDZ($A$1,$B16,CL$1)</f>
        <v>660.01932633845604</v>
      </c>
      <c r="CM16" s="116" cm="1">
        <f t="array" ref="CM16">_xll.EQNXTDZ($A$1,$B16,CM$1)</f>
        <v>725.19908271406905</v>
      </c>
      <c r="CN16" s="116" cm="1">
        <f t="array" ref="CN16">_xll.EQNXTDZ($A$1,$B16,CN$1)</f>
        <v>768.14045716517501</v>
      </c>
      <c r="CO16" s="116" cm="1">
        <f t="array" ref="CO16">_xll.EQNXTDZ($A$1,$B16,CO$1)</f>
        <v>749.91389915132595</v>
      </c>
      <c r="CP16" s="116" cm="1">
        <f t="array" ref="CP16">_xll.EQNXTDZ($A$1,$B16,CP$1)</f>
        <v>699.19652033018099</v>
      </c>
      <c r="CQ16" s="116" cm="1">
        <f t="array" ref="CQ16">_xll.EQNXTDZ($A$1,$B16,CQ$1)</f>
        <v>658.06294307338305</v>
      </c>
      <c r="CR16" s="116" cm="1">
        <f t="array" ref="CR16">_xll.EQNXTDZ($A$1,$B16,CR$1)</f>
        <v>550.98191474201997</v>
      </c>
      <c r="CS16" s="116" cm="1">
        <f t="array" ref="CS16">_xll.EQNXTDZ($A$1,$B16,CS$1)</f>
        <v>726.61065038633706</v>
      </c>
      <c r="CT16" s="116" cm="1">
        <f t="array" ref="CT16">_xll.EQNXTDZ($A$1,$B16,CT$1)</f>
        <v>732.6</v>
      </c>
      <c r="CU16" s="116" cm="1">
        <f t="array" ref="CU16">_xll.EQNXTDZ($A$1,$B16,CU$1)</f>
        <v>851.67499999999995</v>
      </c>
      <c r="CV16" s="116" cm="1">
        <f t="array" ref="CV16">_xll.EQNXTDZ($A$1,$B16,CV$1)</f>
        <v>1033.4749999999999</v>
      </c>
      <c r="CW16" s="116" cm="1">
        <f t="array" ref="CW16">_xll.EQNXTDZ($A$1,$B16,CW$1)</f>
        <v>1039.2750000000001</v>
      </c>
      <c r="CX16" s="116" cm="1">
        <f t="array" ref="CX16">_xll.EQNXTDZ($A$1,$B16,CX$1)</f>
        <v>1116.875</v>
      </c>
      <c r="CY16" s="116" cm="1">
        <f t="array" ref="CY16">_xll.EQNXTDZ($A$1,$B16,CY$1)</f>
        <v>1027.175</v>
      </c>
      <c r="CZ16" s="116" cm="1">
        <f t="array" ref="CZ16">_xll.EQNXTDZ($A$1,$B16,CZ$1)</f>
        <v>964.92499999999995</v>
      </c>
      <c r="DA16" s="116" cm="1">
        <f t="array" ref="DA16">_xll.EQNXTDZ($A$1,$B16,DA$1)</f>
        <v>992.32500000000005</v>
      </c>
      <c r="DB16" s="116" cm="1">
        <f t="array" ref="DB16">_xll.EQNXTDZ($A$1,$B16,DB$1)</f>
        <v>921.57500000000005</v>
      </c>
      <c r="DC16" s="116" cm="1">
        <f t="array" ref="DC16">_xll.EQNXTDZ($A$1,$B16,DC$1)</f>
        <v>1041.925</v>
      </c>
      <c r="DD16" s="116" cm="1">
        <f t="array" ref="DD16">_xll.EQNXTDZ($A$1,$B16,DD$1)</f>
        <v>1001.6</v>
      </c>
      <c r="DE16" s="116" cm="1">
        <f t="array" ref="DE16">_xll.EQNXTDZ($A$1,$B16,DE$1)</f>
        <v>997.22500000000002</v>
      </c>
      <c r="DF16" s="116" cm="1">
        <f t="array" ref="DF16">_xll.EQNXTDZ($A$1,$B16,DF$1)</f>
        <v>1080.2249999999999</v>
      </c>
      <c r="DG16" s="116" cm="1">
        <f t="array" ref="DG16">_xll.EQNXTDZ($A$1,$B16,DG$1)</f>
        <v>1055.45</v>
      </c>
      <c r="DH16" s="116" cm="1">
        <f t="array" ref="DH16">_xll.EQNXTDZ($A$1,$B16,DH$1)</f>
        <v>1017.7</v>
      </c>
      <c r="DI16" s="116" cm="1">
        <f t="array" ref="DI16">_xll.EQNXTDZ($A$1,$B16,DI$1)</f>
        <v>1129.6500000000001</v>
      </c>
      <c r="DJ16" s="116" cm="1">
        <f t="array" ref="DJ16">_xll.EQNXTDZ($A$1,$B16,DJ$1)</f>
        <v>1258.5</v>
      </c>
      <c r="DK16" s="116" cm="1">
        <f t="array" ref="DK16">_xll.EQNXTDZ($A$1,$B16,DK$1)</f>
        <v>1268.8</v>
      </c>
      <c r="DL16" s="116" cm="1">
        <f t="array" ref="DL16">_xll.EQNXTDZ($A$1,$B16,DL$1)</f>
        <v>1203.375</v>
      </c>
      <c r="DM16" s="116" cm="1">
        <f t="array" ref="DM16">_xll.EQNXTDZ($A$1,$B16,DM$1)</f>
        <v>1184.075</v>
      </c>
      <c r="DN16" s="116" cm="1">
        <f t="array" ref="DN16">_xll.EQNXTDZ($A$1,$B16,DN$1)</f>
        <v>1193.175</v>
      </c>
      <c r="DO16" s="116" cm="1">
        <f t="array" ref="DO16">_xll.EQNXTDZ($A$1,$B16,DO$1)</f>
        <v>1179.55</v>
      </c>
      <c r="DP16" s="116" cm="1">
        <f t="array" ref="DP16">_xll.EQNXTDZ($A$1,$B16,DP$1)</f>
        <v>1316.9749999999999</v>
      </c>
      <c r="DQ16" s="116" cm="1">
        <f t="array" ref="DQ16">_xll.EQNXTDZ($A$1,$B16,DQ$1)</f>
        <v>1395.4</v>
      </c>
      <c r="DR16" s="116" cm="1">
        <f t="array" ref="DR16">_xll.EQNXTDZ($A$1,$B16,DR$1)</f>
        <v>1316.95</v>
      </c>
      <c r="DS16" s="116" cm="1">
        <f t="array" ref="DS16">_xll.EQNXTDZ($A$1,$B16,DS$1)</f>
        <v>1297.0250000000001</v>
      </c>
      <c r="DT16" s="116" cm="1">
        <f t="array" ref="DT16">_xll.EQNXTDZ($A$1,$B16,DT$1)</f>
        <v>1254.375</v>
      </c>
      <c r="DU16" s="116" cm="1">
        <f t="array" ref="DU16">_xll.EQNXTDZ($A$1,$B16,DU$1)</f>
        <v>1319.55</v>
      </c>
      <c r="DV16" s="116" cm="1">
        <f t="array" ref="DV16">_xll.EQNXTDZ($A$1,$B16,DV$1)</f>
        <v>1188.8499999999999</v>
      </c>
      <c r="DW16" s="116" cm="1">
        <f t="array" ref="DW16">_xll.EQNXTDZ($A$1,$B16,DW$1)</f>
        <v>1274.7750000000001</v>
      </c>
      <c r="DX16" s="116" cm="1">
        <f t="array" ref="DX16">_xll.EQNXTDZ($A$1,$B16,DX$1)</f>
        <v>1366.2</v>
      </c>
      <c r="DY16" s="116" cm="1">
        <f t="array" ref="DY16">_xll.EQNXTDZ($A$1,$B16,DY$1)</f>
        <v>1274.0999999999999</v>
      </c>
      <c r="DZ16" s="116" cm="1">
        <f t="array" ref="DZ16">_xll.EQNXTDZ($A$1,$B16,DZ$1)</f>
        <v>1176.95</v>
      </c>
      <c r="EA16" s="116" cm="1">
        <f t="array" ref="EA16">_xll.EQNXTDZ($A$1,$B16,EA$1)</f>
        <v>1160.9749999999999</v>
      </c>
      <c r="EB16" s="116" cm="1">
        <f t="array" ref="EB16">_xll.EQNXTDZ($A$1,$B16,EB$1)</f>
        <v>1165.5250000000001</v>
      </c>
      <c r="EC16" s="116" cm="1">
        <f t="array" ref="EC16">_xll.EQNXTDZ($A$1,$B16,EC$1)</f>
        <v>1210.0999999999999</v>
      </c>
      <c r="ED16" s="116" cm="1">
        <f t="array" ref="ED16">_xll.EQNXTDZ($A$1,$B16,ED$1)</f>
        <v>1237.3499999999999</v>
      </c>
      <c r="EE16" s="116" cm="1">
        <f t="array" ref="EE16">_xll.EQNXTDZ($A$1,$B16,EE$1)</f>
        <v>1275.3499999999999</v>
      </c>
      <c r="EF16" s="116" cm="1">
        <f t="array" ref="EF16">_xll.EQNXTDZ($A$1,$B16,EF$1)</f>
        <v>1273.925</v>
      </c>
      <c r="EG16" s="116" cm="1">
        <f t="array" ref="EG16">_xll.EQNXTDZ($A$1,$B16,EG$1)</f>
        <v>1203.45</v>
      </c>
      <c r="EH16" s="116" cm="1">
        <f t="array" ref="EH16">_xll.EQNXTDZ($A$1,$B16,EH$1)</f>
        <v>1173.25</v>
      </c>
      <c r="EI16" s="116" cm="1">
        <f t="array" ref="EI16">_xll.EQNXTDZ($A$1,$B16,EI$1)</f>
        <v>1144.2750000000001</v>
      </c>
      <c r="EJ16" s="116" cm="1">
        <f t="array" ref="EJ16">_xll.EQNXTDZ($A$1,$B16,EJ$1)</f>
        <v>1188.2</v>
      </c>
      <c r="EK16" s="116" cm="1">
        <f t="array" ref="EK16">_xll.EQNXTDZ($A$1,$B16,EK$1)</f>
        <v>1292.425</v>
      </c>
      <c r="EL16" s="116" cm="1">
        <f t="array" ref="EL16">_xll.EQNXTDZ($A$1,$B16,EL$1)</f>
        <v>1426.6</v>
      </c>
      <c r="EM16" s="116" cm="1">
        <f t="array" ref="EM16">_xll.EQNXTDZ($A$1,$B16,EM$1)</f>
        <v>1462.375</v>
      </c>
      <c r="EN16" s="116" cm="1">
        <f t="array" ref="EN16">_xll.EQNXTDZ($A$1,$B16,EN$1)</f>
        <v>1488.4</v>
      </c>
      <c r="EO16" s="116" cm="1">
        <f t="array" ref="EO16">_xll.EQNXTDZ($A$1,$B16,EO$1)</f>
        <v>1465.575</v>
      </c>
      <c r="EP16" s="116" cm="1">
        <f t="array" ref="EP16">_xll.EQNXTDZ($A$1,$B16,EP$1)</f>
        <v>1429.8</v>
      </c>
      <c r="EQ16" s="116" cm="1">
        <f t="array" ref="EQ16">_xll.EQNXTDZ($A$1,$B16,EQ$1)</f>
        <v>1565.925</v>
      </c>
      <c r="ER16" s="116" cm="1">
        <f t="array" ref="ER16">_xll.EQNXTDZ($A$1,$B16,ER$1)</f>
        <v>1505.125</v>
      </c>
      <c r="ES16" s="116" cm="1">
        <f t="array" ref="ES16">_xll.EQNXTDZ($A$1,$B16,ES$1)</f>
        <v>1509.875</v>
      </c>
      <c r="ET16" s="116" cm="1">
        <f t="array" ref="ET16">_xll.EQNXTDZ($A$1,$B16,ET$1)</f>
        <v>1476.9</v>
      </c>
      <c r="EU16" s="116" cm="1">
        <f t="array" ref="EU16">_xll.EQNXTDZ($A$1,$B16,EU$1)</f>
        <v>1332.6</v>
      </c>
      <c r="EV16" s="116" cm="1">
        <f t="array" ref="EV16">_xll.EQNXTDZ($A$1,$B16,EV$1)</f>
        <v>1292.45</v>
      </c>
      <c r="EW16" s="116" cm="1">
        <f t="array" ref="EW16">_xll.EQNXTDZ($A$1,$B16,EW$1)</f>
        <v>1215.45</v>
      </c>
      <c r="EX16" s="116" cm="1">
        <f t="array" ref="EX16">_xll.EQNXTDZ($A$1,$B16,EX$1)</f>
        <v>1264.9000000000001</v>
      </c>
      <c r="EY16" s="116" cm="1">
        <f t="array" ref="EY16">_xll.EQNXTDZ($A$1,$B16,EY$1)</f>
        <v>1199.5999999999999</v>
      </c>
      <c r="EZ16" s="116" cm="1">
        <f t="array" ref="EZ16">_xll.EQNXTDZ($A$1,$B16,EZ$1)</f>
        <v>1275</v>
      </c>
      <c r="FA16" s="116" cm="1">
        <f t="array" ref="FA16">_xll.EQNXTDZ($A$1,$B16,FA$1)</f>
        <v>1408.35</v>
      </c>
      <c r="FB16" s="116" cm="1">
        <f t="array" ref="FB16">_xll.EQNXTDZ($A$1,$B16,FB$1)</f>
        <v>1420.8</v>
      </c>
      <c r="FC16" s="116" cm="1">
        <f t="array" ref="FC16">_xll.EQNXTDZ($A$1,$B16,FC$1)</f>
        <v>1500.65</v>
      </c>
      <c r="FD16" s="116" cm="1">
        <f t="array" ref="FD16">_xll.EQNXTDZ($A$1,$B16,FD$1)</f>
        <v>1390.3</v>
      </c>
      <c r="FE16" s="116" cm="1">
        <f t="array" ref="FE16">_xll.EQNXTDZ($A$1,$B16,FE$1)</f>
        <v>1357.05</v>
      </c>
      <c r="FF16" s="116" cm="1">
        <f t="array" ref="FF16">_xll.EQNXTDZ($A$1,$B16,FF$1)</f>
        <v>1363.8</v>
      </c>
      <c r="FG16" s="116" cm="1">
        <f t="array" ref="FG16">_xll.EQNXTDZ($A$1,$B16,FG$1)</f>
        <v>1486.5</v>
      </c>
      <c r="FH16" s="116" cm="1">
        <f t="array" ref="FH16">_xll.EQNXTDZ($A$1,$B16,FH$1)</f>
        <v>1566.85</v>
      </c>
      <c r="FI16" s="116" cm="1">
        <f t="array" ref="FI16">_xll.EQNXTDZ($A$1,$B16,FI$1)</f>
        <v>1569.4</v>
      </c>
      <c r="FJ16" s="116" cm="1">
        <f t="array" ref="FJ16">_xll.EQNXTDZ($A$1,$B16,FJ$1)</f>
        <v>1395.9</v>
      </c>
      <c r="FK16" s="116" cm="1">
        <f t="array" ref="FK16">_xll.EQNXTDZ($A$1,$B16,FK$1)</f>
        <v>1394.3</v>
      </c>
      <c r="FL16" s="116" cm="1">
        <f t="array" ref="FL16">_xll.EQNXTDZ($A$1,$B16,FL$1)</f>
        <v>1344.25</v>
      </c>
      <c r="FM16" s="116" cm="1">
        <f t="array" ref="FM16">_xll.EQNXTDZ($A$1,$B16,FM$1)</f>
        <v>1327.65</v>
      </c>
      <c r="FN16" s="116" cm="1">
        <f t="array" ref="FN16">_xll.EQNXTDZ($A$1,$B16,FN$1)</f>
        <v>0</v>
      </c>
      <c r="FO16" s="116" cm="1">
        <f t="array" ref="FO16">_xll.EQNXTDZ($A$1,$B16,FO$1)</f>
        <v>0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207.20327568189501</v>
      </c>
      <c r="HQ16" s="116">
        <f>+I16</f>
        <v>207.797619964955</v>
      </c>
      <c r="HR16" s="116">
        <f>+L16</f>
        <v>191.60173825156201</v>
      </c>
      <c r="HS16" s="116">
        <f>+O16</f>
        <v>213.43150848146399</v>
      </c>
      <c r="HT16" s="116">
        <f>+R16</f>
        <v>203.64959215609699</v>
      </c>
      <c r="HU16" s="116">
        <f>+U16</f>
        <v>221.59136020098001</v>
      </c>
      <c r="HV16" s="116">
        <f>+X16</f>
        <v>230.184587960226</v>
      </c>
      <c r="HW16" s="116">
        <f>+AA16</f>
        <v>251.28381000886699</v>
      </c>
      <c r="HX16" s="116">
        <f>+AD16</f>
        <v>234.109736662937</v>
      </c>
      <c r="HY16" s="116">
        <f>+AG16</f>
        <v>220.687461603825</v>
      </c>
      <c r="HZ16" s="116">
        <f>+AJ16</f>
        <v>204.231554266594</v>
      </c>
      <c r="IA16" s="116">
        <f>+AM16</f>
        <v>247.75489082819601</v>
      </c>
      <c r="IB16" s="116">
        <f>+AP16</f>
        <v>213.097189822243</v>
      </c>
      <c r="IC16" s="116">
        <f>+AS16</f>
        <v>250.763758761189</v>
      </c>
      <c r="ID16" s="116">
        <f>+AV16</f>
        <v>258.84931744532201</v>
      </c>
      <c r="IE16" s="116">
        <f>+AY16</f>
        <v>240.07794383866701</v>
      </c>
      <c r="IF16" s="116">
        <f>+BB16</f>
        <v>267.97497862480998</v>
      </c>
      <c r="IG16" s="116">
        <f>+BE16</f>
        <v>267.47969172225999</v>
      </c>
      <c r="IH16" s="116">
        <f>+BH16</f>
        <v>326.69124092214201</v>
      </c>
      <c r="II16" s="116">
        <f>+BK16</f>
        <v>341.809873622488</v>
      </c>
      <c r="IJ16" s="116">
        <f>+BN16</f>
        <v>387.38865082967402</v>
      </c>
      <c r="IK16" s="116">
        <f>+BQ16</f>
        <v>456.18400159390302</v>
      </c>
      <c r="IL16" s="116">
        <f>+BT16</f>
        <v>437.23927757135601</v>
      </c>
      <c r="IM16" s="116">
        <f>+BW16</f>
        <v>481.88939183626098</v>
      </c>
      <c r="IN16" s="116">
        <f>+BZ16</f>
        <v>623.16998078871802</v>
      </c>
      <c r="IO16" s="116">
        <f>+CC16</f>
        <v>555.24138210395199</v>
      </c>
      <c r="IP16" s="116">
        <f>+CF16</f>
        <v>675.10081252111104</v>
      </c>
      <c r="IQ16" s="116">
        <f>+CI16</f>
        <v>620.09920199290696</v>
      </c>
      <c r="IR16" s="116">
        <f>+CL16</f>
        <v>660.01932633845604</v>
      </c>
      <c r="IS16" s="116">
        <f>+CO16</f>
        <v>749.91389915132595</v>
      </c>
      <c r="IT16" s="116">
        <f>+CR16</f>
        <v>550.98191474201997</v>
      </c>
      <c r="IU16" s="116">
        <f>+CU16</f>
        <v>851.67499999999995</v>
      </c>
      <c r="IV16" s="116">
        <f>+CX16</f>
        <v>1116.875</v>
      </c>
      <c r="IW16" s="116">
        <f>+DA16</f>
        <v>992.32500000000005</v>
      </c>
      <c r="IX16" s="116">
        <f>+DD16</f>
        <v>1001.6</v>
      </c>
      <c r="IY16" s="116">
        <f>+DG16</f>
        <v>1055.45</v>
      </c>
      <c r="IZ16" s="116">
        <f>+DJ16</f>
        <v>1258.5</v>
      </c>
      <c r="JA16" s="116">
        <f>+DM16</f>
        <v>1184.075</v>
      </c>
      <c r="JB16" s="116">
        <f>+DP16</f>
        <v>1316.9749999999999</v>
      </c>
      <c r="JC16" s="116">
        <f>+DS16</f>
        <v>1297.0250000000001</v>
      </c>
      <c r="JD16" s="116">
        <f>+DV16</f>
        <v>1188.8499999999999</v>
      </c>
      <c r="JE16" s="116">
        <f>+DY16</f>
        <v>1274.0999999999999</v>
      </c>
      <c r="JF16" s="116">
        <f>+EB16</f>
        <v>1165.5250000000001</v>
      </c>
      <c r="JG16" s="116">
        <f>+EE16</f>
        <v>1275.3499999999999</v>
      </c>
      <c r="JH16" s="116">
        <f>+EH16</f>
        <v>1173.25</v>
      </c>
      <c r="JI16" s="116">
        <f>+EK16</f>
        <v>1292.425</v>
      </c>
      <c r="JJ16" s="116">
        <f>+EN16</f>
        <v>1488.4</v>
      </c>
      <c r="JK16" s="116">
        <f>EQ16</f>
        <v>1565.925</v>
      </c>
      <c r="JL16" s="116">
        <f>ET16</f>
        <v>1476.9</v>
      </c>
      <c r="JM16" s="116">
        <f>EW16</f>
        <v>1215.45</v>
      </c>
      <c r="JN16" s="116">
        <f>EZ16</f>
        <v>1275</v>
      </c>
      <c r="JO16" s="116">
        <f>FC16</f>
        <v>1500.65</v>
      </c>
      <c r="JP16" s="116">
        <f>FF16</f>
        <v>1363.8</v>
      </c>
      <c r="JQ16" s="116">
        <f>FI16</f>
        <v>1569.4</v>
      </c>
      <c r="JR16" s="116">
        <f>FL16</f>
        <v>1344.25</v>
      </c>
      <c r="JS16" s="116">
        <f>FO16</f>
        <v>0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218.173880573383</v>
      </c>
      <c r="HQ19" s="116">
        <f t="shared" ref="HQ19:JI21" si="1">+IF(HQ14=0,HQ7,HQ14)</f>
        <v>213.07242547711499</v>
      </c>
      <c r="HR19" s="116">
        <f t="shared" si="1"/>
        <v>236.44996727748699</v>
      </c>
      <c r="HS19" s="116">
        <f t="shared" si="1"/>
        <v>216.19273296318201</v>
      </c>
      <c r="HT19" s="116">
        <f t="shared" si="1"/>
        <v>229.78835843818601</v>
      </c>
      <c r="HU19" s="116">
        <f t="shared" si="1"/>
        <v>229.070192429488</v>
      </c>
      <c r="HV19" s="116">
        <f t="shared" si="1"/>
        <v>232.61149378272299</v>
      </c>
      <c r="HW19" s="116">
        <f t="shared" si="1"/>
        <v>282.932643081827</v>
      </c>
      <c r="HX19" s="116">
        <f t="shared" si="1"/>
        <v>260.00085949375102</v>
      </c>
      <c r="HY19" s="116">
        <f t="shared" si="1"/>
        <v>251.655275185779</v>
      </c>
      <c r="HZ19" s="116">
        <f t="shared" si="1"/>
        <v>233.55253889756801</v>
      </c>
      <c r="IA19" s="116">
        <f t="shared" si="1"/>
        <v>251.06093090271901</v>
      </c>
      <c r="IB19" s="116">
        <f t="shared" si="1"/>
        <v>264.23556251055601</v>
      </c>
      <c r="IC19" s="116">
        <f t="shared" si="1"/>
        <v>252.22485512371199</v>
      </c>
      <c r="ID19" s="116">
        <f t="shared" si="1"/>
        <v>269.80754016424601</v>
      </c>
      <c r="IE19" s="116">
        <f t="shared" si="1"/>
        <v>264.978492864381</v>
      </c>
      <c r="IF19" s="116">
        <f t="shared" si="1"/>
        <v>279.564692144486</v>
      </c>
      <c r="IG19" s="116">
        <f t="shared" si="1"/>
        <v>278.54935399425801</v>
      </c>
      <c r="IH19" s="116">
        <f t="shared" si="1"/>
        <v>330.85165090356401</v>
      </c>
      <c r="II19" s="116">
        <f t="shared" si="1"/>
        <v>362.79765611805402</v>
      </c>
      <c r="IJ19" s="116">
        <f t="shared" si="1"/>
        <v>431.93970771406902</v>
      </c>
      <c r="IK19" s="116">
        <f t="shared" si="1"/>
        <v>474.98013954568501</v>
      </c>
      <c r="IL19" s="116">
        <f t="shared" si="1"/>
        <v>490.33403352474198</v>
      </c>
      <c r="IM19" s="116">
        <f t="shared" si="1"/>
        <v>513.01817366154398</v>
      </c>
      <c r="IN19" s="116">
        <f t="shared" si="1"/>
        <v>658.11247176363804</v>
      </c>
      <c r="IO19" s="116">
        <f t="shared" si="1"/>
        <v>624.06149721330905</v>
      </c>
      <c r="IP19" s="116">
        <f t="shared" si="1"/>
        <v>686.76481907617006</v>
      </c>
      <c r="IQ19" s="116">
        <f t="shared" si="1"/>
        <v>701.82154091369705</v>
      </c>
      <c r="IR19" s="116">
        <f t="shared" si="1"/>
        <v>661.70330180712699</v>
      </c>
      <c r="IS19" s="116">
        <f t="shared" si="1"/>
        <v>801.27515094578598</v>
      </c>
      <c r="IT19" s="116">
        <f t="shared" si="1"/>
        <v>797.16426965461903</v>
      </c>
      <c r="IU19" s="116">
        <f t="shared" si="1"/>
        <v>902.05</v>
      </c>
      <c r="IV19" s="116">
        <f t="shared" si="1"/>
        <v>1184.4000000000001</v>
      </c>
      <c r="IW19" s="116">
        <f t="shared" si="1"/>
        <v>1154.7</v>
      </c>
      <c r="IX19" s="116">
        <f t="shared" si="1"/>
        <v>1115.5</v>
      </c>
      <c r="IY19" s="116">
        <f t="shared" si="1"/>
        <v>1137.25</v>
      </c>
      <c r="IZ19" s="116">
        <f t="shared" si="1"/>
        <v>1282.5</v>
      </c>
      <c r="JA19" s="116">
        <f t="shared" si="1"/>
        <v>1375</v>
      </c>
      <c r="JB19" s="116">
        <f t="shared" si="1"/>
        <v>1344</v>
      </c>
      <c r="JC19" s="116">
        <f t="shared" si="1"/>
        <v>1427.5</v>
      </c>
      <c r="JD19" s="116">
        <f t="shared" si="1"/>
        <v>1338.8</v>
      </c>
      <c r="JE19" s="116">
        <f t="shared" si="1"/>
        <v>1377.35</v>
      </c>
      <c r="JF19" s="116">
        <f t="shared" si="1"/>
        <v>1302.5</v>
      </c>
      <c r="JG19" s="116">
        <f t="shared" si="1"/>
        <v>1292</v>
      </c>
      <c r="JH19" s="116">
        <f t="shared" si="1"/>
        <v>1427.5</v>
      </c>
      <c r="JI19" s="116">
        <f t="shared" si="1"/>
        <v>1307.4000000000001</v>
      </c>
      <c r="JJ19" s="116">
        <f t="shared" ref="JJ19:JJ21" si="2">+IF(JJ14=0,JJ7,JJ14)</f>
        <v>1512.4</v>
      </c>
      <c r="JK19" s="116">
        <f t="shared" ref="JK19" si="3">+IF(JK14=0,JK7,JK14)</f>
        <v>1580.7249999999999</v>
      </c>
      <c r="JL19" s="116">
        <f t="shared" ref="JL19:JM19" si="4">+IF(JL14=0,JL7,JL14)</f>
        <v>1608.95</v>
      </c>
      <c r="JM19" s="116">
        <f t="shared" si="4"/>
        <v>1489</v>
      </c>
      <c r="JN19" s="116">
        <f t="shared" ref="JN19:JO19" si="5">+IF(JN14=0,JN7,JN14)</f>
        <v>1325.1</v>
      </c>
      <c r="JO19" s="116">
        <f t="shared" si="5"/>
        <v>1524.95</v>
      </c>
      <c r="JP19" s="116">
        <f t="shared" ref="JP19" si="6">+IF(JP14=0,JP7,JP14)</f>
        <v>1551</v>
      </c>
      <c r="JQ19" s="116">
        <f t="shared" ref="JQ19:KH19" si="7">+IF(JQ14=0,JQ7,JQ14)</f>
        <v>1580.9</v>
      </c>
      <c r="JR19" s="116">
        <f t="shared" si="7"/>
        <v>1611.2</v>
      </c>
      <c r="JS19" s="116">
        <f t="shared" si="7"/>
        <v>1383.95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175.15821308689399</v>
      </c>
      <c r="HQ20" s="116">
        <f t="shared" si="8"/>
        <v>188.45666642036801</v>
      </c>
      <c r="HR20" s="116">
        <f t="shared" si="8"/>
        <v>189.44724022546899</v>
      </c>
      <c r="HS20" s="116">
        <f t="shared" si="8"/>
        <v>189.44724022546899</v>
      </c>
      <c r="HT20" s="116">
        <f t="shared" si="8"/>
        <v>189.44724022546899</v>
      </c>
      <c r="HU20" s="116">
        <f t="shared" si="8"/>
        <v>202.69616486868799</v>
      </c>
      <c r="HV20" s="116">
        <f t="shared" si="8"/>
        <v>196.628900312447</v>
      </c>
      <c r="HW20" s="116">
        <f t="shared" si="8"/>
        <v>229.070192429488</v>
      </c>
      <c r="HX20" s="116">
        <f t="shared" si="8"/>
        <v>227.36145261569001</v>
      </c>
      <c r="HY20" s="116">
        <f t="shared" si="8"/>
        <v>212.96098592404201</v>
      </c>
      <c r="HZ20" s="116">
        <f t="shared" si="8"/>
        <v>197.30991980345399</v>
      </c>
      <c r="IA20" s="116">
        <f t="shared" si="8"/>
        <v>201.58176933794999</v>
      </c>
      <c r="IB20" s="116">
        <f t="shared" si="8"/>
        <v>202.819986594325</v>
      </c>
      <c r="IC20" s="116">
        <f t="shared" si="8"/>
        <v>212.676195955075</v>
      </c>
      <c r="ID20" s="116">
        <f t="shared" si="8"/>
        <v>220.03120645794601</v>
      </c>
      <c r="IE20" s="116">
        <f t="shared" si="8"/>
        <v>229.243542845381</v>
      </c>
      <c r="IF20" s="116">
        <f t="shared" si="1"/>
        <v>240.26367642712401</v>
      </c>
      <c r="IG20" s="116">
        <f t="shared" si="1"/>
        <v>230.803696588414</v>
      </c>
      <c r="IH20" s="116">
        <f t="shared" si="1"/>
        <v>251.122841765538</v>
      </c>
      <c r="II20" s="116">
        <f t="shared" si="1"/>
        <v>320.69826940128399</v>
      </c>
      <c r="IJ20" s="116">
        <f t="shared" si="1"/>
        <v>339.79157949459602</v>
      </c>
      <c r="IK20" s="116">
        <f t="shared" si="1"/>
        <v>389.41932713013</v>
      </c>
      <c r="IL20" s="116">
        <f t="shared" si="1"/>
        <v>431.93970771406902</v>
      </c>
      <c r="IM20" s="116">
        <f t="shared" si="1"/>
        <v>438.87372434977198</v>
      </c>
      <c r="IN20" s="116">
        <f t="shared" si="1"/>
        <v>474.261973536987</v>
      </c>
      <c r="IO20" s="116">
        <f t="shared" si="1"/>
        <v>503.70677989359899</v>
      </c>
      <c r="IP20" s="116">
        <f t="shared" si="1"/>
        <v>535.52896338245205</v>
      </c>
      <c r="IQ20" s="116">
        <f t="shared" si="1"/>
        <v>607.71702942915101</v>
      </c>
      <c r="IR20" s="116">
        <f t="shared" si="1"/>
        <v>542.66109477917598</v>
      </c>
      <c r="IS20" s="116">
        <f t="shared" si="1"/>
        <v>634.56157954737398</v>
      </c>
      <c r="IT20" s="116">
        <f t="shared" si="1"/>
        <v>433.72274056325</v>
      </c>
      <c r="IU20" s="116">
        <f t="shared" si="1"/>
        <v>517.45099143936795</v>
      </c>
      <c r="IV20" s="116">
        <f t="shared" si="1"/>
        <v>854.375</v>
      </c>
      <c r="IW20" s="116">
        <f t="shared" si="1"/>
        <v>917.5</v>
      </c>
      <c r="IX20" s="116">
        <f t="shared" si="1"/>
        <v>915</v>
      </c>
      <c r="IY20" s="116">
        <f t="shared" si="1"/>
        <v>938.8</v>
      </c>
      <c r="IZ20" s="116">
        <f t="shared" si="1"/>
        <v>1008.3</v>
      </c>
      <c r="JA20" s="116">
        <f t="shared" si="1"/>
        <v>1124</v>
      </c>
      <c r="JB20" s="116">
        <f t="shared" si="1"/>
        <v>1090.5</v>
      </c>
      <c r="JC20" s="116">
        <f t="shared" si="1"/>
        <v>1185</v>
      </c>
      <c r="JD20" s="116">
        <f t="shared" si="1"/>
        <v>1156.7750000000001</v>
      </c>
      <c r="JE20" s="116">
        <f t="shared" si="1"/>
        <v>1171.8</v>
      </c>
      <c r="JF20" s="116">
        <f t="shared" si="1"/>
        <v>1090</v>
      </c>
      <c r="JG20" s="116">
        <f t="shared" si="1"/>
        <v>1154.25</v>
      </c>
      <c r="JH20" s="116">
        <f t="shared" si="1"/>
        <v>1162.825</v>
      </c>
      <c r="JI20" s="116">
        <f t="shared" si="1"/>
        <v>1110.5250000000001</v>
      </c>
      <c r="JJ20" s="116">
        <f t="shared" si="2"/>
        <v>1284.1500000000001</v>
      </c>
      <c r="JK20" s="116">
        <f t="shared" ref="JK20" si="9">+IF(JK15=0,JK8,JK15)</f>
        <v>1359.575</v>
      </c>
      <c r="JL20" s="116">
        <f t="shared" ref="JL20:JM20" si="10">+IF(JL15=0,JL8,JL15)</f>
        <v>1432.9</v>
      </c>
      <c r="JM20" s="116">
        <f t="shared" si="10"/>
        <v>1202.0999999999999</v>
      </c>
      <c r="JN20" s="116">
        <f t="shared" ref="JN20:JO20" si="11">+IF(JN15=0,JN8,JN15)</f>
        <v>1156</v>
      </c>
      <c r="JO20" s="116">
        <f t="shared" si="11"/>
        <v>1115.55</v>
      </c>
      <c r="JP20" s="116">
        <f t="shared" ref="JP20" si="12">+IF(JP15=0,JP8,JP15)</f>
        <v>1341.7</v>
      </c>
      <c r="JQ20" s="116">
        <f t="shared" ref="JQ20:KH20" si="13">+IF(JQ15=0,JQ8,JQ15)</f>
        <v>1357.2</v>
      </c>
      <c r="JR20" s="116">
        <f t="shared" si="13"/>
        <v>1307</v>
      </c>
      <c r="JS20" s="116">
        <f t="shared" si="13"/>
        <v>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207.20327568189501</v>
      </c>
      <c r="HQ21" s="116">
        <f t="shared" si="1"/>
        <v>207.797619964955</v>
      </c>
      <c r="HR21" s="116">
        <f t="shared" si="1"/>
        <v>191.60173825156201</v>
      </c>
      <c r="HS21" s="116">
        <f t="shared" si="1"/>
        <v>213.43150848146399</v>
      </c>
      <c r="HT21" s="116">
        <f t="shared" si="1"/>
        <v>203.64959215609699</v>
      </c>
      <c r="HU21" s="116">
        <f t="shared" si="1"/>
        <v>221.59136020098001</v>
      </c>
      <c r="HV21" s="116">
        <f t="shared" si="1"/>
        <v>230.184587960226</v>
      </c>
      <c r="HW21" s="116">
        <f t="shared" si="1"/>
        <v>251.28381000886699</v>
      </c>
      <c r="HX21" s="116">
        <f t="shared" si="1"/>
        <v>234.109736662937</v>
      </c>
      <c r="HY21" s="116">
        <f t="shared" si="1"/>
        <v>220.687461603825</v>
      </c>
      <c r="HZ21" s="116">
        <f t="shared" si="1"/>
        <v>204.231554266594</v>
      </c>
      <c r="IA21" s="116">
        <f t="shared" si="1"/>
        <v>247.75489082819601</v>
      </c>
      <c r="IB21" s="116">
        <f t="shared" si="1"/>
        <v>213.097189822243</v>
      </c>
      <c r="IC21" s="116">
        <f t="shared" si="1"/>
        <v>250.763758761189</v>
      </c>
      <c r="ID21" s="116">
        <f t="shared" si="1"/>
        <v>258.84931744532201</v>
      </c>
      <c r="IE21" s="116">
        <f t="shared" si="1"/>
        <v>240.07794383866701</v>
      </c>
      <c r="IF21" s="116">
        <f t="shared" si="1"/>
        <v>267.97497862480998</v>
      </c>
      <c r="IG21" s="116">
        <f t="shared" si="1"/>
        <v>267.47969172225999</v>
      </c>
      <c r="IH21" s="116">
        <f t="shared" si="1"/>
        <v>326.69124092214201</v>
      </c>
      <c r="II21" s="116">
        <f t="shared" si="1"/>
        <v>341.809873622488</v>
      </c>
      <c r="IJ21" s="116">
        <f t="shared" si="1"/>
        <v>387.38865082967402</v>
      </c>
      <c r="IK21" s="116">
        <f t="shared" si="1"/>
        <v>456.18400159390302</v>
      </c>
      <c r="IL21" s="116">
        <f t="shared" si="1"/>
        <v>437.23927757135601</v>
      </c>
      <c r="IM21" s="116">
        <f t="shared" si="1"/>
        <v>481.88939183626098</v>
      </c>
      <c r="IN21" s="116">
        <f t="shared" si="1"/>
        <v>623.16998078871802</v>
      </c>
      <c r="IO21" s="116">
        <f t="shared" si="1"/>
        <v>555.24138210395199</v>
      </c>
      <c r="IP21" s="116">
        <f t="shared" si="1"/>
        <v>675.10081252111104</v>
      </c>
      <c r="IQ21" s="116">
        <f t="shared" si="1"/>
        <v>620.09920199290696</v>
      </c>
      <c r="IR21" s="116">
        <f t="shared" si="1"/>
        <v>660.01932633845604</v>
      </c>
      <c r="IS21" s="116">
        <f t="shared" si="1"/>
        <v>749.91389915132595</v>
      </c>
      <c r="IT21" s="116">
        <f t="shared" si="1"/>
        <v>550.98191474201997</v>
      </c>
      <c r="IU21" s="116">
        <f t="shared" si="1"/>
        <v>851.67499999999995</v>
      </c>
      <c r="IV21" s="116">
        <f t="shared" si="1"/>
        <v>1116.875</v>
      </c>
      <c r="IW21" s="116">
        <f t="shared" si="1"/>
        <v>992.32500000000005</v>
      </c>
      <c r="IX21" s="116">
        <f t="shared" si="1"/>
        <v>1001.6</v>
      </c>
      <c r="IY21" s="116">
        <f t="shared" si="1"/>
        <v>1055.45</v>
      </c>
      <c r="IZ21" s="116">
        <f t="shared" si="1"/>
        <v>1258.5</v>
      </c>
      <c r="JA21" s="116">
        <f t="shared" si="1"/>
        <v>1184.075</v>
      </c>
      <c r="JB21" s="116">
        <f t="shared" si="1"/>
        <v>1316.9749999999999</v>
      </c>
      <c r="JC21" s="116">
        <f t="shared" si="1"/>
        <v>1297.0250000000001</v>
      </c>
      <c r="JD21" s="116">
        <f t="shared" si="1"/>
        <v>1188.8499999999999</v>
      </c>
      <c r="JE21" s="116">
        <f t="shared" si="1"/>
        <v>1274.0999999999999</v>
      </c>
      <c r="JF21" s="116">
        <f t="shared" si="1"/>
        <v>1165.5250000000001</v>
      </c>
      <c r="JG21" s="116">
        <f t="shared" si="1"/>
        <v>1275.3499999999999</v>
      </c>
      <c r="JH21" s="116">
        <f t="shared" si="1"/>
        <v>1173.25</v>
      </c>
      <c r="JI21" s="116">
        <f t="shared" si="1"/>
        <v>1292.425</v>
      </c>
      <c r="JJ21" s="116">
        <f t="shared" si="2"/>
        <v>1488.4</v>
      </c>
      <c r="JK21" s="116">
        <f t="shared" ref="JK21" si="14">+IF(JK16=0,JK9,JK16)</f>
        <v>1565.925</v>
      </c>
      <c r="JL21" s="116">
        <f t="shared" ref="JL21:JM21" si="15">+IF(JL16=0,JL9,JL16)</f>
        <v>1476.9</v>
      </c>
      <c r="JM21" s="116">
        <f t="shared" si="15"/>
        <v>1215.45</v>
      </c>
      <c r="JN21" s="116">
        <f t="shared" ref="JN21:JO21" si="16">+IF(JN16=0,JN9,JN16)</f>
        <v>1275</v>
      </c>
      <c r="JO21" s="116">
        <f t="shared" si="16"/>
        <v>1500.65</v>
      </c>
      <c r="JP21" s="116">
        <f t="shared" ref="JP21" si="17">+IF(JP16=0,JP9,JP16)</f>
        <v>1363.8</v>
      </c>
      <c r="JQ21" s="116">
        <f t="shared" ref="JQ21:KH21" si="18">+IF(JQ16=0,JQ9,JQ16)</f>
        <v>1569.4</v>
      </c>
      <c r="JR21" s="116">
        <f t="shared" si="18"/>
        <v>1344.25</v>
      </c>
      <c r="JS21" s="116">
        <f t="shared" si="18"/>
        <v>0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100325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3242474279</v>
      </c>
      <c r="D6" cm="1">
        <f t="array" ref="D6">_xll.EQNXTDZ($A$1,$B6,D$1)</f>
        <v>3235672724</v>
      </c>
      <c r="E6" cm="1">
        <f t="array" ref="E6">_xll.EQNXTDZ($A$1,$B6,E$1)</f>
        <v>3228496491</v>
      </c>
      <c r="F6" cm="1">
        <f t="array" ref="F6">_xll.EQNXTDZ($A$1,$B6,F$1)</f>
        <v>3228663382</v>
      </c>
      <c r="G6" cm="1">
        <f t="array" ref="G6">_xll.EQNXTDZ($A$1,$B6,G$1)</f>
        <v>3229433073</v>
      </c>
      <c r="H6" cm="1">
        <f t="array" ref="H6">_xll.EQNXTDZ($A$1,$B6,H$1)</f>
        <v>3230645601</v>
      </c>
      <c r="I6" cm="1">
        <f t="array" ref="I6">_xll.EQNXTDZ($A$1,$B6,I$1)</f>
        <v>3231247307</v>
      </c>
      <c r="J6" cm="1">
        <f t="array" ref="J6">_xll.EQNXTDZ($A$1,$B6,J$1)</f>
        <v>3231901858</v>
      </c>
      <c r="K6" cm="1">
        <f t="array" ref="K6">_xll.EQNXTDZ($A$1,$B6,K$1)</f>
        <v>3232715592</v>
      </c>
      <c r="L6" cm="1">
        <f t="array" ref="L6">_xll.EQNXTDZ($A$1,$B6,L$1)</f>
        <v>3234242991</v>
      </c>
      <c r="M6" cm="1">
        <f t="array" ref="M6">_xll.EQNXTDZ($A$1,$B6,M$1)</f>
        <v>3235069941</v>
      </c>
      <c r="N6" cm="1">
        <f t="array" ref="N6">_xll.EQNXTDZ($A$1,$B6,N$1)</f>
        <v>3235688765</v>
      </c>
      <c r="O6" cm="1">
        <f t="array" ref="O6">_xll.EQNXTDZ($A$1,$B6,O$1)</f>
        <v>3236439248</v>
      </c>
      <c r="P6" cm="1">
        <f t="array" ref="P6">_xll.EQNXTDZ($A$1,$B6,P$1)</f>
        <v>3238428600</v>
      </c>
      <c r="Q6" cm="1">
        <f t="array" ref="Q6">_xll.EQNXTDZ($A$1,$B6,Q$1)</f>
        <v>3137509755</v>
      </c>
      <c r="R6" cm="1">
        <f t="array" ref="R6">_xll.EQNXTDZ($A$1,$B6,R$1)</f>
        <v>3240376321</v>
      </c>
      <c r="S6" cm="1">
        <f t="array" ref="S6">_xll.EQNXTDZ($A$1,$B6,S$1)</f>
        <v>3242445749</v>
      </c>
      <c r="T6" cm="1">
        <f t="array" ref="T6">_xll.EQNXTDZ($A$1,$B6,T$1)</f>
        <v>3243105885</v>
      </c>
      <c r="U6" cm="1">
        <f t="array" ref="U6">_xll.EQNXTDZ($A$1,$B6,U$1)</f>
        <v>3243593710</v>
      </c>
      <c r="V6" cm="1">
        <f t="array" ref="V6">_xll.EQNXTDZ($A$1,$B6,V$1)</f>
        <v>3251278100</v>
      </c>
      <c r="W6" cm="1">
        <f t="array" ref="W6">_xll.EQNXTDZ($A$1,$B6,W$1)</f>
        <v>3251565753</v>
      </c>
      <c r="X6" cm="1">
        <f t="array" ref="X6">_xll.EQNXTDZ($A$1,$B6,X$1)</f>
        <v>6332551296</v>
      </c>
      <c r="Y6" cm="1">
        <f t="array" ref="Y6">_xll.EQNXTDZ($A$1,$B6,Y$1)</f>
        <v>6333503519</v>
      </c>
      <c r="Z6" cm="1">
        <f t="array" ref="Z6">_xll.EQNXTDZ($A$1,$B6,Z$1)</f>
        <v>6334651022</v>
      </c>
      <c r="AA6" cm="1">
        <f t="array" ref="AA6">_xll.EQNXTDZ($A$1,$B6,AA$1)</f>
        <v>6336398954</v>
      </c>
      <c r="AB6" cm="1">
        <f t="array" ref="AB6">_xll.EQNXTDZ($A$1,$B6,AB$1)</f>
        <v>6338440341</v>
      </c>
      <c r="AC6" cm="1">
        <f t="array" ref="AC6">_xll.EQNXTDZ($A$1,$B6,AC$1)</f>
        <v>6338561852</v>
      </c>
      <c r="AD6" cm="1">
        <f t="array" ref="AD6">_xll.EQNXTDZ($A$1,$B6,AD$1)</f>
        <v>6338693823</v>
      </c>
      <c r="AE6" cm="1">
        <f t="array" ref="AE6">_xll.EQNXTDZ($A$1,$B6,AE$1)</f>
        <v>6339038430</v>
      </c>
      <c r="AF6" cm="1">
        <f t="array" ref="AF6">_xll.EQNXTDZ($A$1,$B6,AF$1)</f>
        <v>6339123229</v>
      </c>
      <c r="AG6" cm="1">
        <f t="array" ref="AG6">_xll.EQNXTDZ($A$1,$B6,AG$1)</f>
        <v>6339203530</v>
      </c>
      <c r="AH6" cm="1">
        <f t="array" ref="AH6">_xll.EQNXTDZ($A$1,$B6,AH$1)</f>
        <v>6339267510</v>
      </c>
      <c r="AI6" cm="1">
        <f t="array" ref="AI6">_xll.EQNXTDZ($A$1,$B6,AI$1)</f>
        <v>6761844754</v>
      </c>
      <c r="AJ6" cm="1">
        <f t="array" ref="AJ6">_xll.EQNXTDZ($A$1,$B6,AJ$1)</f>
        <v>6762037614</v>
      </c>
      <c r="AK6" cm="1">
        <f t="array" ref="AK6">_xll.EQNXTDZ($A$1,$B6,AK$1)</f>
        <v>6762067614</v>
      </c>
      <c r="AL6" cm="1">
        <f t="array" ref="AL6">_xll.EQNXTDZ($A$1,$B6,AL$1)</f>
        <v>6762068814</v>
      </c>
      <c r="AM6" cm="1">
        <f t="array" ref="AM6">_xll.EQNXTDZ($A$1,$B6,AM$1)</f>
        <v>6762070014</v>
      </c>
      <c r="AN6" cm="1">
        <f t="array" ref="AN6">_xll.EQNXTDZ($A$1,$B6,AN$1)</f>
        <v>6762070014</v>
      </c>
      <c r="AO6" cm="1">
        <f t="array" ref="AO6">_xll.EQNXTDZ($A$1,$B6,AO$1)</f>
        <v>6765994014</v>
      </c>
      <c r="AP6" cm="1">
        <f t="array" ref="AP6">_xll.EQNXTDZ($A$1,$B6,AP$1)</f>
        <v>6765994014</v>
      </c>
      <c r="AQ6" cm="1">
        <f t="array" ref="AQ6">_xll.EQNXTDZ($A$1,$B6,AQ$1)</f>
        <v>6765994014</v>
      </c>
      <c r="AR6" cm="1">
        <f t="array" ref="AR6">_xll.EQNXTDZ($A$1,$B6,AR$1)</f>
        <v>6765994014</v>
      </c>
      <c r="AS6" cm="1">
        <f t="array" ref="AS6">_xll.EQNXTDZ($A$1,$B6,AS$1)</f>
        <v>6765994014</v>
      </c>
      <c r="AT6" cm="1">
        <f t="array" ref="AT6">_xll.EQNXTDZ($A$1,$B6,AT$1)</f>
        <v>6766094014</v>
      </c>
      <c r="AU6" cm="1">
        <f t="array" ref="AU6">_xll.EQNXTDZ($A$1,$B6,AU$1)</f>
        <v>6766109014</v>
      </c>
      <c r="AV6" cm="1">
        <f t="array" ref="AV6">_xll.EQNXTDZ($A$1,$B6,AV$1)</f>
        <v>6766109014</v>
      </c>
      <c r="AW6" cm="1">
        <f t="array" ref="AW6">_xll.EQNXTDZ($A$1,$B6,AW$1)</f>
        <v>6766109014</v>
      </c>
      <c r="AX6" cm="1">
        <f t="array" ref="AX6">_xll.EQNXTDZ($A$1,$B6,AX$1)</f>
        <v>6766109014</v>
      </c>
      <c r="AY6" cm="1">
        <f t="array" ref="AY6">_xll.EQNXTDZ($A$1,$B6,AY$1)</f>
        <v>6766229014</v>
      </c>
    </row>
    <row r="7" spans="1:51" x14ac:dyDescent="0.25">
      <c r="B7" t="s">
        <v>429</v>
      </c>
      <c r="C7" s="100">
        <f>+C6/10^7</f>
        <v>324.24742789999999</v>
      </c>
      <c r="D7" s="100">
        <f t="shared" ref="D7:X7" si="0">+D6/10^7</f>
        <v>323.56727239999998</v>
      </c>
      <c r="E7" s="100">
        <f t="shared" si="0"/>
        <v>322.84964910000002</v>
      </c>
      <c r="F7" s="100">
        <f t="shared" si="0"/>
        <v>322.86633819999997</v>
      </c>
      <c r="G7" s="100">
        <f t="shared" si="0"/>
        <v>322.94330730000001</v>
      </c>
      <c r="H7" s="100">
        <f t="shared" si="0"/>
        <v>323.06456009999999</v>
      </c>
      <c r="I7" s="100">
        <f t="shared" si="0"/>
        <v>323.12473069999999</v>
      </c>
      <c r="J7" s="100">
        <f t="shared" si="0"/>
        <v>323.19018579999999</v>
      </c>
      <c r="K7" s="100">
        <f t="shared" si="0"/>
        <v>323.27155920000001</v>
      </c>
      <c r="L7" s="100">
        <f t="shared" si="0"/>
        <v>323.42429909999998</v>
      </c>
      <c r="M7" s="100">
        <f t="shared" si="0"/>
        <v>323.50699409999999</v>
      </c>
      <c r="N7" s="100">
        <f t="shared" si="0"/>
        <v>323.56887649999999</v>
      </c>
      <c r="O7" s="100">
        <f t="shared" si="0"/>
        <v>323.64392479999998</v>
      </c>
      <c r="P7" s="100">
        <f t="shared" si="0"/>
        <v>323.84285999999997</v>
      </c>
      <c r="Q7" s="100">
        <f t="shared" si="0"/>
        <v>313.75097549999998</v>
      </c>
      <c r="R7" s="100">
        <f t="shared" si="0"/>
        <v>324.0376321</v>
      </c>
      <c r="S7" s="100">
        <f t="shared" si="0"/>
        <v>324.24457489999998</v>
      </c>
      <c r="T7" s="100">
        <f t="shared" si="0"/>
        <v>324.31058849999999</v>
      </c>
      <c r="U7" s="100">
        <f t="shared" si="0"/>
        <v>324.35937100000001</v>
      </c>
      <c r="V7" s="100">
        <f t="shared" si="0"/>
        <v>325.12781000000001</v>
      </c>
      <c r="W7" s="100">
        <f t="shared" si="0"/>
        <v>325.15657529999999</v>
      </c>
      <c r="X7" s="100">
        <f t="shared" si="0"/>
        <v>633.25512960000003</v>
      </c>
      <c r="Y7" s="100">
        <f t="shared" ref="Y7:AS7" si="1">+Y6/10^7</f>
        <v>633.35035189999996</v>
      </c>
      <c r="Z7" s="100">
        <f t="shared" si="1"/>
        <v>633.46510220000005</v>
      </c>
      <c r="AA7" s="100">
        <f t="shared" si="1"/>
        <v>633.6398954</v>
      </c>
      <c r="AB7" s="100">
        <f t="shared" si="1"/>
        <v>633.84403410000004</v>
      </c>
      <c r="AC7" s="100">
        <f t="shared" si="1"/>
        <v>633.85618520000003</v>
      </c>
      <c r="AD7" s="100">
        <f t="shared" si="1"/>
        <v>633.86938229999998</v>
      </c>
      <c r="AE7" s="100">
        <f t="shared" si="1"/>
        <v>633.90384300000005</v>
      </c>
      <c r="AF7" s="100">
        <f t="shared" si="1"/>
        <v>633.91232290000005</v>
      </c>
      <c r="AG7" s="100">
        <f t="shared" si="1"/>
        <v>633.92035299999998</v>
      </c>
      <c r="AH7" s="100">
        <f t="shared" si="1"/>
        <v>633.92675099999997</v>
      </c>
      <c r="AI7" s="100">
        <f t="shared" si="1"/>
        <v>676.1844754</v>
      </c>
      <c r="AJ7" s="100">
        <f t="shared" si="1"/>
        <v>676.20376139999996</v>
      </c>
      <c r="AK7" s="100">
        <f t="shared" si="1"/>
        <v>676.2067614</v>
      </c>
      <c r="AL7" s="100">
        <f t="shared" si="1"/>
        <v>676.20688140000004</v>
      </c>
      <c r="AM7" s="100">
        <f t="shared" si="1"/>
        <v>676.20700139999997</v>
      </c>
      <c r="AN7" s="100">
        <f t="shared" si="1"/>
        <v>676.20700139999997</v>
      </c>
      <c r="AO7" s="100">
        <f t="shared" si="1"/>
        <v>676.59940140000003</v>
      </c>
      <c r="AP7" s="100">
        <f t="shared" si="1"/>
        <v>676.59940140000003</v>
      </c>
      <c r="AQ7" s="100">
        <f t="shared" si="1"/>
        <v>676.59940140000003</v>
      </c>
      <c r="AR7" s="100">
        <f t="shared" si="1"/>
        <v>676.59940140000003</v>
      </c>
      <c r="AS7" s="100">
        <f t="shared" si="1"/>
        <v>676.59940140000003</v>
      </c>
      <c r="AT7" s="100">
        <f t="shared" ref="AT7:AX7" si="2">+AT6/10^7</f>
        <v>676.60940140000002</v>
      </c>
      <c r="AU7" s="100">
        <f t="shared" si="2"/>
        <v>676.61090139999999</v>
      </c>
      <c r="AV7" s="100">
        <f t="shared" si="2"/>
        <v>676.61090139999999</v>
      </c>
      <c r="AW7" s="100">
        <f t="shared" si="2"/>
        <v>676.61090139999999</v>
      </c>
      <c r="AX7" s="100">
        <f t="shared" si="2"/>
        <v>676.61090139999999</v>
      </c>
      <c r="AY7" s="100">
        <f t="shared" ref="AY7" si="3">+AY6/10^7</f>
        <v>676.62290140000005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100325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220.93510505510099</v>
      </c>
      <c r="C4" s="116">
        <v>219.91976690487201</v>
      </c>
      <c r="D4" s="116">
        <v>218.96633961746301</v>
      </c>
      <c r="E4" s="116">
        <v>219.288276104121</v>
      </c>
      <c r="F4" s="116">
        <v>888.05</v>
      </c>
      <c r="G4">
        <v>181432</v>
      </c>
      <c r="H4" s="116"/>
      <c r="I4" s="116"/>
      <c r="L4" s="170">
        <v>42005</v>
      </c>
      <c r="M4" s="116">
        <v>219.89058459734699</v>
      </c>
      <c r="N4" s="116">
        <v>220.90595952340701</v>
      </c>
      <c r="O4" s="116">
        <v>218.83806180813801</v>
      </c>
      <c r="P4" s="116">
        <v>219.49434072376201</v>
      </c>
      <c r="Q4" s="116">
        <v>887.9</v>
      </c>
      <c r="R4">
        <v>677439</v>
      </c>
    </row>
    <row r="5" spans="1:18" x14ac:dyDescent="0.25">
      <c r="A5" s="170">
        <v>42006</v>
      </c>
      <c r="B5" s="116">
        <v>221.88853234250999</v>
      </c>
      <c r="C5" s="116">
        <v>219.31304044924801</v>
      </c>
      <c r="D5" s="116">
        <v>218.91681092720799</v>
      </c>
      <c r="E5" s="116">
        <v>220.10549949332901</v>
      </c>
      <c r="F5" s="116">
        <v>885.6</v>
      </c>
      <c r="G5">
        <v>260835</v>
      </c>
      <c r="H5" s="116"/>
      <c r="I5" s="116"/>
      <c r="L5" s="170">
        <v>42006</v>
      </c>
      <c r="M5" s="116">
        <v>219.308601408019</v>
      </c>
      <c r="N5" s="116">
        <v>221.908951828418</v>
      </c>
      <c r="O5" s="116">
        <v>218.999035881781</v>
      </c>
      <c r="P5" s="116">
        <v>219.940115081545</v>
      </c>
      <c r="Q5" s="116">
        <v>885.55</v>
      </c>
      <c r="R5">
        <v>1675827</v>
      </c>
    </row>
    <row r="6" spans="1:18" x14ac:dyDescent="0.25">
      <c r="A6" s="170">
        <v>42009</v>
      </c>
      <c r="B6" s="116">
        <v>220.625550741007</v>
      </c>
      <c r="C6" s="116">
        <v>217.20807111341</v>
      </c>
      <c r="D6" s="116">
        <v>216.762312901115</v>
      </c>
      <c r="E6" s="116">
        <v>219.300658276685</v>
      </c>
      <c r="F6" s="116">
        <v>877.1</v>
      </c>
      <c r="G6">
        <v>328788</v>
      </c>
      <c r="H6" s="116"/>
      <c r="I6" s="116"/>
      <c r="L6" s="170">
        <v>42009</v>
      </c>
      <c r="M6" s="116">
        <v>216.90637292441301</v>
      </c>
      <c r="N6" s="116">
        <v>220.63354186031799</v>
      </c>
      <c r="O6" s="116">
        <v>216.47298118768001</v>
      </c>
      <c r="P6" s="116">
        <v>219.172392576475</v>
      </c>
      <c r="Q6" s="116">
        <v>875.85</v>
      </c>
      <c r="R6">
        <v>2309591</v>
      </c>
    </row>
    <row r="7" spans="1:18" x14ac:dyDescent="0.25">
      <c r="A7" s="170">
        <v>42010</v>
      </c>
      <c r="B7" s="116">
        <v>215.94508951190701</v>
      </c>
      <c r="C7" s="116">
        <v>207.05468961112999</v>
      </c>
      <c r="D7" s="116">
        <v>206.06411580602901</v>
      </c>
      <c r="E7" s="116">
        <v>215.94508951190701</v>
      </c>
      <c r="F7" s="116">
        <v>836.1</v>
      </c>
      <c r="G7">
        <v>975422</v>
      </c>
      <c r="H7" s="116"/>
      <c r="I7" s="116"/>
      <c r="L7" s="170">
        <v>42010</v>
      </c>
      <c r="M7" s="116">
        <v>207.06218919004601</v>
      </c>
      <c r="N7" s="116">
        <v>216.20056352459</v>
      </c>
      <c r="O7" s="116">
        <v>206.046814263985</v>
      </c>
      <c r="P7" s="116">
        <v>215.45760626161899</v>
      </c>
      <c r="Q7" s="116">
        <v>836.1</v>
      </c>
      <c r="R7">
        <v>4258043</v>
      </c>
    </row>
    <row r="8" spans="1:18" x14ac:dyDescent="0.25">
      <c r="A8" s="170">
        <v>42011</v>
      </c>
      <c r="B8" s="116">
        <v>212.676195955075</v>
      </c>
      <c r="C8" s="116">
        <v>211.83420822074001</v>
      </c>
      <c r="D8" s="116">
        <v>207.32709740753299</v>
      </c>
      <c r="E8" s="116">
        <v>207.698562584445</v>
      </c>
      <c r="F8" s="116">
        <v>855.4</v>
      </c>
      <c r="G8">
        <v>660342</v>
      </c>
      <c r="H8" s="116"/>
      <c r="I8" s="116"/>
      <c r="L8" s="170">
        <v>42011</v>
      </c>
      <c r="M8" s="116">
        <v>211.56946325206999</v>
      </c>
      <c r="N8" s="116">
        <v>212.68389914652701</v>
      </c>
      <c r="O8" s="116">
        <v>207.28507636893701</v>
      </c>
      <c r="P8" s="116">
        <v>207.30984161103601</v>
      </c>
      <c r="Q8" s="116">
        <v>854.3</v>
      </c>
      <c r="R8">
        <v>4736315</v>
      </c>
    </row>
    <row r="9" spans="1:18" x14ac:dyDescent="0.25">
      <c r="A9" s="170">
        <v>42012</v>
      </c>
      <c r="B9" s="116">
        <v>213.70391627786699</v>
      </c>
      <c r="C9" s="116">
        <v>208.72628290723699</v>
      </c>
      <c r="D9" s="116">
        <v>208.44149293827101</v>
      </c>
      <c r="E9" s="116">
        <v>212.936221578914</v>
      </c>
      <c r="F9" s="116">
        <v>842.85</v>
      </c>
      <c r="G9">
        <v>787134</v>
      </c>
      <c r="H9" s="116"/>
      <c r="I9" s="116"/>
      <c r="L9" s="170">
        <v>42012</v>
      </c>
      <c r="M9" s="116">
        <v>208.535721094938</v>
      </c>
      <c r="N9" s="116">
        <v>213.699274072587</v>
      </c>
      <c r="O9" s="116">
        <v>208.065181495057</v>
      </c>
      <c r="P9" s="116">
        <v>213.00584729381401</v>
      </c>
      <c r="Q9" s="116">
        <v>842.05</v>
      </c>
      <c r="R9">
        <v>4542457</v>
      </c>
    </row>
    <row r="10" spans="1:18" x14ac:dyDescent="0.25">
      <c r="A10" s="170">
        <v>42013</v>
      </c>
      <c r="B10" s="116">
        <v>213.59247672479299</v>
      </c>
      <c r="C10" s="116">
        <v>213.08480764967899</v>
      </c>
      <c r="D10" s="116">
        <v>209.283480672606</v>
      </c>
      <c r="E10" s="116">
        <v>209.543506296445</v>
      </c>
      <c r="F10" s="116">
        <v>860.45</v>
      </c>
      <c r="G10">
        <v>510671</v>
      </c>
      <c r="H10" s="116"/>
      <c r="I10" s="116"/>
      <c r="L10" s="170">
        <v>42013</v>
      </c>
      <c r="M10" s="116">
        <v>213.055377778013</v>
      </c>
      <c r="N10" s="116">
        <v>213.476386893696</v>
      </c>
      <c r="O10" s="116">
        <v>209.26629573686</v>
      </c>
      <c r="P10" s="116">
        <v>210.10831396822701</v>
      </c>
      <c r="Q10" s="116">
        <v>860.3</v>
      </c>
      <c r="R10">
        <v>3061366</v>
      </c>
    </row>
    <row r="11" spans="1:18" x14ac:dyDescent="0.25">
      <c r="A11" s="170">
        <v>42016</v>
      </c>
      <c r="B11" s="116">
        <v>213.716298450431</v>
      </c>
      <c r="C11" s="116">
        <v>210.63313748205499</v>
      </c>
      <c r="D11" s="116">
        <v>208.60246118159901</v>
      </c>
      <c r="E11" s="116">
        <v>213.59247672479299</v>
      </c>
      <c r="F11" s="116">
        <v>850.55</v>
      </c>
      <c r="G11">
        <v>503008</v>
      </c>
      <c r="H11" s="116"/>
      <c r="I11" s="116"/>
      <c r="L11" s="170">
        <v>42016</v>
      </c>
      <c r="M11" s="116">
        <v>210.578853568109</v>
      </c>
      <c r="N11" s="116">
        <v>213.22873447270601</v>
      </c>
      <c r="O11" s="116">
        <v>208.424277505493</v>
      </c>
      <c r="P11" s="116">
        <v>213.10490826221101</v>
      </c>
      <c r="Q11" s="116">
        <v>850.3</v>
      </c>
      <c r="R11">
        <v>2308716</v>
      </c>
    </row>
    <row r="12" spans="1:18" x14ac:dyDescent="0.25">
      <c r="A12" s="170">
        <v>42017</v>
      </c>
      <c r="B12" s="116">
        <v>211.59894694202799</v>
      </c>
      <c r="C12" s="116">
        <v>208.77581159749201</v>
      </c>
      <c r="D12" s="116">
        <v>208.18146731443201</v>
      </c>
      <c r="E12" s="116">
        <v>211.17795307486099</v>
      </c>
      <c r="F12" s="116">
        <v>843.05</v>
      </c>
      <c r="G12">
        <v>426946</v>
      </c>
      <c r="H12" s="116"/>
      <c r="I12" s="116"/>
      <c r="L12" s="170">
        <v>42017</v>
      </c>
      <c r="M12" s="116">
        <v>208.80813875802801</v>
      </c>
      <c r="N12" s="116">
        <v>211.73043732571401</v>
      </c>
      <c r="O12" s="116">
        <v>208.15185984240301</v>
      </c>
      <c r="P12" s="116">
        <v>211.24751510478299</v>
      </c>
      <c r="Q12" s="116">
        <v>843.15</v>
      </c>
      <c r="R12">
        <v>2274108</v>
      </c>
    </row>
    <row r="13" spans="1:18" x14ac:dyDescent="0.25">
      <c r="A13" s="170">
        <v>42018</v>
      </c>
      <c r="B13" s="116">
        <v>209.72923888490101</v>
      </c>
      <c r="C13" s="116">
        <v>206.79466398729099</v>
      </c>
      <c r="D13" s="116">
        <v>205.81647235475401</v>
      </c>
      <c r="E13" s="116">
        <v>208.78819377005601</v>
      </c>
      <c r="F13" s="116">
        <v>835.05</v>
      </c>
      <c r="G13">
        <v>669183</v>
      </c>
      <c r="H13" s="116"/>
      <c r="I13" s="116"/>
      <c r="L13" s="170">
        <v>42018</v>
      </c>
      <c r="M13" s="116">
        <v>206.777388905907</v>
      </c>
      <c r="N13" s="116">
        <v>209.76160057884101</v>
      </c>
      <c r="O13" s="116">
        <v>205.84869232719299</v>
      </c>
      <c r="P13" s="116">
        <v>208.77099089487899</v>
      </c>
      <c r="Q13" s="116">
        <v>834.95</v>
      </c>
      <c r="R13">
        <v>2601286</v>
      </c>
    </row>
    <row r="14" spans="1:18" x14ac:dyDescent="0.25">
      <c r="A14" s="170">
        <v>42019</v>
      </c>
      <c r="B14" s="116">
        <v>215.49933129961201</v>
      </c>
      <c r="C14" s="116">
        <v>214.11252797247101</v>
      </c>
      <c r="D14" s="116">
        <v>208.29290686750599</v>
      </c>
      <c r="E14" s="116">
        <v>208.330053385197</v>
      </c>
      <c r="F14" s="116">
        <v>864.6</v>
      </c>
      <c r="G14">
        <v>574183</v>
      </c>
      <c r="H14" s="116"/>
      <c r="I14" s="116"/>
      <c r="L14" s="170">
        <v>42019</v>
      </c>
      <c r="M14" s="116">
        <v>214.033604840924</v>
      </c>
      <c r="N14" s="116">
        <v>215.73002392470801</v>
      </c>
      <c r="O14" s="116">
        <v>208.02803363190799</v>
      </c>
      <c r="P14" s="116">
        <v>208.02803363190799</v>
      </c>
      <c r="Q14" s="116">
        <v>864.25</v>
      </c>
      <c r="R14">
        <v>3869247</v>
      </c>
    </row>
    <row r="15" spans="1:18" x14ac:dyDescent="0.25">
      <c r="A15" s="170">
        <v>42020</v>
      </c>
      <c r="B15" s="116">
        <v>216.45275858702101</v>
      </c>
      <c r="C15" s="116">
        <v>215.202159158081</v>
      </c>
      <c r="D15" s="116">
        <v>211.029367004096</v>
      </c>
      <c r="E15" s="116">
        <v>213.22101154788001</v>
      </c>
      <c r="F15" s="116">
        <v>869</v>
      </c>
      <c r="G15">
        <v>394114</v>
      </c>
      <c r="H15" s="116"/>
      <c r="I15" s="116"/>
      <c r="L15" s="170">
        <v>42020</v>
      </c>
      <c r="M15" s="116">
        <v>215.38331053532201</v>
      </c>
      <c r="N15" s="116">
        <v>216.69586836657101</v>
      </c>
      <c r="O15" s="116">
        <v>211.012245304842</v>
      </c>
      <c r="P15" s="116">
        <v>212.98108205171499</v>
      </c>
      <c r="Q15" s="116">
        <v>869.7</v>
      </c>
      <c r="R15">
        <v>4374388</v>
      </c>
    </row>
    <row r="16" spans="1:18" x14ac:dyDescent="0.25">
      <c r="A16" s="170">
        <v>42023</v>
      </c>
      <c r="B16" s="116">
        <v>219.35018696693999</v>
      </c>
      <c r="C16" s="116">
        <v>217.88909060441699</v>
      </c>
      <c r="D16" s="116">
        <v>212.73810681789399</v>
      </c>
      <c r="E16" s="116">
        <v>215.44980260935699</v>
      </c>
      <c r="F16" s="116">
        <v>879.85</v>
      </c>
      <c r="G16">
        <v>460462</v>
      </c>
      <c r="H16" s="116"/>
      <c r="I16" s="116"/>
      <c r="L16" s="170">
        <v>42023</v>
      </c>
      <c r="M16" s="116">
        <v>217.84745212417599</v>
      </c>
      <c r="N16" s="116">
        <v>219.420044997465</v>
      </c>
      <c r="O16" s="116">
        <v>212.67151652547699</v>
      </c>
      <c r="P16" s="116">
        <v>215.50713674581701</v>
      </c>
      <c r="Q16" s="116">
        <v>879.65</v>
      </c>
      <c r="R16">
        <v>3049291</v>
      </c>
    </row>
    <row r="17" spans="1:18" x14ac:dyDescent="0.25">
      <c r="A17" s="170">
        <v>42024</v>
      </c>
      <c r="B17" s="116">
        <v>223.80776908989199</v>
      </c>
      <c r="C17" s="116">
        <v>223.16389611657701</v>
      </c>
      <c r="D17" s="116">
        <v>217.57953629032301</v>
      </c>
      <c r="E17" s="116">
        <v>218.61963878567801</v>
      </c>
      <c r="F17" s="116">
        <v>901.15</v>
      </c>
      <c r="G17">
        <v>397727</v>
      </c>
      <c r="H17" s="116"/>
      <c r="I17" s="116"/>
      <c r="L17" s="170">
        <v>42024</v>
      </c>
      <c r="M17" s="116">
        <v>223.64251877535099</v>
      </c>
      <c r="N17" s="116">
        <v>224.261649827827</v>
      </c>
      <c r="O17" s="116">
        <v>217.64933018738401</v>
      </c>
      <c r="P17" s="116">
        <v>218.30560910300801</v>
      </c>
      <c r="Q17" s="116">
        <v>903.05</v>
      </c>
      <c r="R17">
        <v>3054173</v>
      </c>
    </row>
    <row r="18" spans="1:18" x14ac:dyDescent="0.25">
      <c r="A18" s="170">
        <v>42025</v>
      </c>
      <c r="B18" s="116">
        <v>225.15742589934101</v>
      </c>
      <c r="C18" s="116">
        <v>224.03064819604</v>
      </c>
      <c r="D18" s="116">
        <v>220.972251572792</v>
      </c>
      <c r="E18" s="116">
        <v>223.86967995271101</v>
      </c>
      <c r="F18" s="116">
        <v>904.65</v>
      </c>
      <c r="G18">
        <v>358347</v>
      </c>
      <c r="H18" s="116"/>
      <c r="I18" s="116"/>
      <c r="L18" s="170">
        <v>42025</v>
      </c>
      <c r="M18" s="116">
        <v>224.55883273301501</v>
      </c>
      <c r="N18" s="116">
        <v>225.71041649061999</v>
      </c>
      <c r="O18" s="116">
        <v>220.918342144457</v>
      </c>
      <c r="P18" s="116">
        <v>224.12544099628201</v>
      </c>
      <c r="Q18" s="116">
        <v>906.75</v>
      </c>
      <c r="R18">
        <v>3905183</v>
      </c>
    </row>
    <row r="19" spans="1:18" x14ac:dyDescent="0.25">
      <c r="A19" s="170">
        <v>42026</v>
      </c>
      <c r="B19" s="116">
        <v>224.600228133972</v>
      </c>
      <c r="C19" s="116">
        <v>218.941575272336</v>
      </c>
      <c r="D19" s="116">
        <v>217.76526887877901</v>
      </c>
      <c r="E19" s="116">
        <v>224.16685209424099</v>
      </c>
      <c r="F19" s="116">
        <v>884.1</v>
      </c>
      <c r="G19">
        <v>425122</v>
      </c>
      <c r="H19" s="116"/>
      <c r="I19" s="116"/>
      <c r="L19" s="170">
        <v>42026</v>
      </c>
      <c r="M19" s="116">
        <v>218.862827050237</v>
      </c>
      <c r="N19" s="116">
        <v>224.67027632246101</v>
      </c>
      <c r="O19" s="116">
        <v>217.81030426102799</v>
      </c>
      <c r="P19" s="116">
        <v>224.16258885943</v>
      </c>
      <c r="Q19" s="116">
        <v>883.75</v>
      </c>
      <c r="R19">
        <v>5422365</v>
      </c>
    </row>
    <row r="20" spans="1:18" x14ac:dyDescent="0.25">
      <c r="A20" s="170">
        <v>42027</v>
      </c>
      <c r="B20" s="116">
        <v>222.11141144865701</v>
      </c>
      <c r="C20" s="116">
        <v>219.64735910847</v>
      </c>
      <c r="D20" s="116">
        <v>217.294746321356</v>
      </c>
      <c r="E20" s="116">
        <v>220.40267163485899</v>
      </c>
      <c r="F20" s="116">
        <v>886.95</v>
      </c>
      <c r="G20">
        <v>405448</v>
      </c>
      <c r="H20" s="116"/>
      <c r="I20" s="116"/>
      <c r="L20" s="170">
        <v>42027</v>
      </c>
      <c r="M20" s="116">
        <v>219.642932176356</v>
      </c>
      <c r="N20" s="116">
        <v>222.342343565151</v>
      </c>
      <c r="O20" s="116">
        <v>217.19117320855199</v>
      </c>
      <c r="P20" s="116">
        <v>220.410654681426</v>
      </c>
      <c r="Q20" s="116">
        <v>886.9</v>
      </c>
      <c r="R20">
        <v>4132897</v>
      </c>
    </row>
    <row r="21" spans="1:18" x14ac:dyDescent="0.25">
      <c r="A21" s="170">
        <v>42031</v>
      </c>
      <c r="B21" s="116">
        <v>222.11141144865701</v>
      </c>
      <c r="C21" s="116">
        <v>220.093117320765</v>
      </c>
      <c r="D21" s="116">
        <v>218.149116228255</v>
      </c>
      <c r="E21" s="116">
        <v>220.45220032511401</v>
      </c>
      <c r="F21" s="116">
        <v>888.75</v>
      </c>
      <c r="G21">
        <v>360069</v>
      </c>
      <c r="H21" s="116"/>
      <c r="I21" s="116"/>
      <c r="L21" s="170">
        <v>42031</v>
      </c>
      <c r="M21" s="116">
        <v>220.175384881486</v>
      </c>
      <c r="N21" s="116">
        <v>222.06992590206201</v>
      </c>
      <c r="O21" s="116">
        <v>218.05795668201799</v>
      </c>
      <c r="P21" s="116">
        <v>221.12884670229801</v>
      </c>
      <c r="Q21" s="116">
        <v>889.05</v>
      </c>
      <c r="R21">
        <v>4100754</v>
      </c>
    </row>
    <row r="22" spans="1:18" x14ac:dyDescent="0.25">
      <c r="A22" s="170">
        <v>42032</v>
      </c>
      <c r="B22" s="116">
        <v>225.29362979754299</v>
      </c>
      <c r="C22" s="116">
        <v>224.32782033756999</v>
      </c>
      <c r="D22" s="116">
        <v>219.16445437848299</v>
      </c>
      <c r="E22" s="116">
        <v>219.18921872361099</v>
      </c>
      <c r="F22" s="116">
        <v>905.85</v>
      </c>
      <c r="G22">
        <v>398082</v>
      </c>
      <c r="H22" s="116"/>
      <c r="I22" s="116"/>
      <c r="L22" s="170">
        <v>42032</v>
      </c>
      <c r="M22" s="116">
        <v>224.583597975114</v>
      </c>
      <c r="N22" s="116">
        <v>225.31417261703601</v>
      </c>
      <c r="O22" s="116">
        <v>219.44481023956399</v>
      </c>
      <c r="P22" s="116">
        <v>219.44481023956399</v>
      </c>
      <c r="Q22" s="116">
        <v>906.85</v>
      </c>
      <c r="R22">
        <v>4411227</v>
      </c>
    </row>
    <row r="23" spans="1:18" x14ac:dyDescent="0.25">
      <c r="A23" s="170">
        <v>42033</v>
      </c>
      <c r="B23" s="116">
        <v>231.36089435378301</v>
      </c>
      <c r="C23" s="116">
        <v>229.78835843818601</v>
      </c>
      <c r="D23" s="116">
        <v>223.37439305015999</v>
      </c>
      <c r="E23" s="116">
        <v>224.364966855261</v>
      </c>
      <c r="F23" s="116">
        <v>927.9</v>
      </c>
      <c r="G23">
        <v>550069</v>
      </c>
      <c r="H23" s="116"/>
      <c r="I23" s="116"/>
      <c r="L23" s="170">
        <v>42033</v>
      </c>
      <c r="M23" s="116">
        <v>230.16816006844701</v>
      </c>
      <c r="N23" s="116">
        <v>231.43118741549799</v>
      </c>
      <c r="O23" s="116">
        <v>224.595980596164</v>
      </c>
      <c r="P23" s="116">
        <v>224.64551108036201</v>
      </c>
      <c r="Q23" s="116">
        <v>929.4</v>
      </c>
      <c r="R23">
        <v>8255888</v>
      </c>
    </row>
    <row r="24" spans="1:18" x14ac:dyDescent="0.25">
      <c r="A24" s="170">
        <v>42034</v>
      </c>
      <c r="B24" s="116">
        <v>230.803696588414</v>
      </c>
      <c r="C24" s="116">
        <v>226.68043312468299</v>
      </c>
      <c r="D24" s="116">
        <v>225.35554066036099</v>
      </c>
      <c r="E24" s="116">
        <v>230.32079185842801</v>
      </c>
      <c r="F24" s="116">
        <v>915.35</v>
      </c>
      <c r="G24">
        <v>242053</v>
      </c>
      <c r="H24" s="116"/>
      <c r="I24" s="116"/>
      <c r="L24" s="170">
        <v>42034</v>
      </c>
      <c r="M24" s="116">
        <v>226.663878311433</v>
      </c>
      <c r="N24" s="116">
        <v>230.626317047279</v>
      </c>
      <c r="O24" s="116">
        <v>225.11605068024301</v>
      </c>
      <c r="P24" s="116">
        <v>230.316751521041</v>
      </c>
      <c r="Q24" s="116">
        <v>915.25</v>
      </c>
      <c r="R24">
        <v>4970953</v>
      </c>
    </row>
    <row r="25" spans="1:18" x14ac:dyDescent="0.25">
      <c r="A25" s="170">
        <v>42037</v>
      </c>
      <c r="B25" s="116">
        <v>227.671006929784</v>
      </c>
      <c r="C25" s="116">
        <v>224.83548941268401</v>
      </c>
      <c r="D25" s="116">
        <v>224.364966855261</v>
      </c>
      <c r="E25" s="116">
        <v>226.630904434428</v>
      </c>
      <c r="F25" s="116">
        <v>907.9</v>
      </c>
      <c r="G25">
        <v>845402</v>
      </c>
      <c r="H25" s="116"/>
      <c r="I25" s="116"/>
      <c r="L25" s="170">
        <v>42037</v>
      </c>
      <c r="M25" s="116">
        <v>224.88078088030301</v>
      </c>
      <c r="N25" s="116">
        <v>227.81546206903801</v>
      </c>
      <c r="O25" s="116">
        <v>224.29879769097499</v>
      </c>
      <c r="P25" s="116">
        <v>226.862000248225</v>
      </c>
      <c r="Q25" s="116">
        <v>908.05</v>
      </c>
      <c r="R25">
        <v>4412275</v>
      </c>
    </row>
    <row r="26" spans="1:18" x14ac:dyDescent="0.25">
      <c r="A26" s="170">
        <v>42038</v>
      </c>
      <c r="B26" s="116">
        <v>232.83437288887001</v>
      </c>
      <c r="C26" s="116">
        <v>232.15335339786401</v>
      </c>
      <c r="D26" s="116">
        <v>225.677477147019</v>
      </c>
      <c r="E26" s="116">
        <v>225.97464928854899</v>
      </c>
      <c r="F26" s="116">
        <v>937.45</v>
      </c>
      <c r="G26">
        <v>432764</v>
      </c>
      <c r="H26" s="116"/>
      <c r="I26" s="116"/>
      <c r="L26" s="170">
        <v>42038</v>
      </c>
      <c r="M26" s="116">
        <v>232.19890992056801</v>
      </c>
      <c r="N26" s="116">
        <v>233.003780288787</v>
      </c>
      <c r="O26" s="116">
        <v>226.15619084840301</v>
      </c>
      <c r="P26" s="116">
        <v>226.15619084840301</v>
      </c>
      <c r="Q26" s="116">
        <v>937.6</v>
      </c>
      <c r="R26">
        <v>3907020</v>
      </c>
    </row>
    <row r="27" spans="1:18" x14ac:dyDescent="0.25">
      <c r="A27" s="170">
        <v>42039</v>
      </c>
      <c r="B27" s="116">
        <v>233.55253889756801</v>
      </c>
      <c r="C27" s="116">
        <v>229.98647319920599</v>
      </c>
      <c r="D27" s="116">
        <v>229.243542845381</v>
      </c>
      <c r="E27" s="116">
        <v>232.63625812785</v>
      </c>
      <c r="F27" s="116">
        <v>928.7</v>
      </c>
      <c r="G27">
        <v>399472</v>
      </c>
      <c r="H27" s="116"/>
      <c r="I27" s="116"/>
      <c r="L27" s="170">
        <v>42039</v>
      </c>
      <c r="M27" s="116">
        <v>230.01956861585299</v>
      </c>
      <c r="N27" s="116">
        <v>233.73435493070801</v>
      </c>
      <c r="O27" s="116">
        <v>229.30137659498101</v>
      </c>
      <c r="P27" s="116">
        <v>232.570388552053</v>
      </c>
      <c r="Q27" s="116">
        <v>928.8</v>
      </c>
      <c r="R27">
        <v>3216827</v>
      </c>
    </row>
    <row r="28" spans="1:18" x14ac:dyDescent="0.25">
      <c r="A28" s="170">
        <v>42040</v>
      </c>
      <c r="B28" s="116">
        <v>232.43814336682999</v>
      </c>
      <c r="C28" s="116">
        <v>228.41393728360899</v>
      </c>
      <c r="D28" s="116">
        <v>227.37383478825399</v>
      </c>
      <c r="E28" s="116">
        <v>230.92751831405201</v>
      </c>
      <c r="F28" s="116">
        <v>922.35</v>
      </c>
      <c r="G28">
        <v>333040</v>
      </c>
      <c r="H28" s="116"/>
      <c r="I28" s="116"/>
      <c r="L28" s="170">
        <v>42040</v>
      </c>
      <c r="M28" s="116">
        <v>228.75654126880201</v>
      </c>
      <c r="N28" s="116">
        <v>232.768510488846</v>
      </c>
      <c r="O28" s="116">
        <v>227.24586150076101</v>
      </c>
      <c r="P28" s="116">
        <v>231.80266604698301</v>
      </c>
      <c r="Q28" s="116">
        <v>923.7</v>
      </c>
      <c r="R28">
        <v>2826578</v>
      </c>
    </row>
    <row r="29" spans="1:18" x14ac:dyDescent="0.25">
      <c r="A29" s="170">
        <v>42041</v>
      </c>
      <c r="B29" s="116">
        <v>230.34555620355499</v>
      </c>
      <c r="C29" s="116">
        <v>225.46698021343499</v>
      </c>
      <c r="D29" s="116">
        <v>223.86967995271101</v>
      </c>
      <c r="E29" s="116">
        <v>229.243542845381</v>
      </c>
      <c r="F29" s="116">
        <v>910.45</v>
      </c>
      <c r="G29">
        <v>302154</v>
      </c>
      <c r="H29" s="116"/>
      <c r="I29" s="116"/>
      <c r="L29" s="170">
        <v>42041</v>
      </c>
      <c r="M29" s="116">
        <v>225.338937859135</v>
      </c>
      <c r="N29" s="116">
        <v>230.316751521041</v>
      </c>
      <c r="O29" s="116">
        <v>223.630136154301</v>
      </c>
      <c r="P29" s="116">
        <v>228.85560223719801</v>
      </c>
      <c r="Q29" s="116">
        <v>909.9</v>
      </c>
      <c r="R29">
        <v>2067728</v>
      </c>
    </row>
    <row r="30" spans="1:18" x14ac:dyDescent="0.25">
      <c r="A30" s="170">
        <v>42044</v>
      </c>
      <c r="B30" s="116">
        <v>226.76710833262999</v>
      </c>
      <c r="C30" s="116">
        <v>222.21046882916701</v>
      </c>
      <c r="D30" s="116">
        <v>220.88557636484501</v>
      </c>
      <c r="E30" s="116">
        <v>223.62203650143601</v>
      </c>
      <c r="F30" s="116">
        <v>897.3</v>
      </c>
      <c r="G30">
        <v>441242</v>
      </c>
      <c r="H30" s="116"/>
      <c r="I30" s="116"/>
      <c r="L30" s="170">
        <v>42044</v>
      </c>
      <c r="M30" s="116">
        <v>222.06992590206201</v>
      </c>
      <c r="N30" s="116">
        <v>227.34492246915701</v>
      </c>
      <c r="O30" s="116">
        <v>220.90595952340701</v>
      </c>
      <c r="P30" s="116">
        <v>223.184361796519</v>
      </c>
      <c r="Q30" s="116">
        <v>896.7</v>
      </c>
      <c r="R30">
        <v>2020605</v>
      </c>
    </row>
    <row r="31" spans="1:18" x14ac:dyDescent="0.25">
      <c r="A31" s="170">
        <v>42045</v>
      </c>
      <c r="B31" s="116">
        <v>224.11732340398601</v>
      </c>
      <c r="C31" s="116">
        <v>218.594874440551</v>
      </c>
      <c r="D31" s="116">
        <v>213.56771237966601</v>
      </c>
      <c r="E31" s="116">
        <v>220.89795853740901</v>
      </c>
      <c r="F31" s="116">
        <v>882.7</v>
      </c>
      <c r="G31">
        <v>486418</v>
      </c>
      <c r="H31" s="116"/>
      <c r="I31" s="116"/>
      <c r="L31" s="170">
        <v>42045</v>
      </c>
      <c r="M31" s="116">
        <v>218.42943531350301</v>
      </c>
      <c r="N31" s="116">
        <v>224.00161478578701</v>
      </c>
      <c r="O31" s="116">
        <v>213.30303019900299</v>
      </c>
      <c r="P31" s="116">
        <v>222.39187404934901</v>
      </c>
      <c r="Q31" s="116">
        <v>882</v>
      </c>
      <c r="R31">
        <v>3120391</v>
      </c>
    </row>
    <row r="32" spans="1:18" x14ac:dyDescent="0.25">
      <c r="A32" s="170">
        <v>42046</v>
      </c>
      <c r="B32" s="116">
        <v>223.919208642966</v>
      </c>
      <c r="C32" s="116">
        <v>223.11436742632199</v>
      </c>
      <c r="D32" s="116">
        <v>218.83013571926199</v>
      </c>
      <c r="E32" s="116">
        <v>219.16445437848299</v>
      </c>
      <c r="F32" s="116">
        <v>900.95</v>
      </c>
      <c r="G32">
        <v>263416</v>
      </c>
      <c r="H32" s="116"/>
      <c r="I32" s="116"/>
      <c r="L32" s="170">
        <v>42046</v>
      </c>
      <c r="M32" s="116">
        <v>223.06053558602301</v>
      </c>
      <c r="N32" s="116">
        <v>224.063527891034</v>
      </c>
      <c r="O32" s="116">
        <v>218.67708773449399</v>
      </c>
      <c r="P32" s="116">
        <v>219.420044997465</v>
      </c>
      <c r="Q32" s="116">
        <v>900.7</v>
      </c>
      <c r="R32">
        <v>2235774</v>
      </c>
    </row>
    <row r="33" spans="1:18" x14ac:dyDescent="0.25">
      <c r="A33" s="170">
        <v>42047</v>
      </c>
      <c r="B33" s="116">
        <v>226.59375791673699</v>
      </c>
      <c r="C33" s="116">
        <v>225.46698021343499</v>
      </c>
      <c r="D33" s="116">
        <v>219.734034316416</v>
      </c>
      <c r="E33" s="116">
        <v>224.451642063207</v>
      </c>
      <c r="F33" s="116">
        <v>910.45</v>
      </c>
      <c r="G33">
        <v>315228</v>
      </c>
      <c r="H33" s="116"/>
      <c r="I33" s="116"/>
      <c r="L33" s="170">
        <v>42047</v>
      </c>
      <c r="M33" s="116">
        <v>225.15319854339199</v>
      </c>
      <c r="N33" s="116">
        <v>226.34193016414599</v>
      </c>
      <c r="O33" s="116">
        <v>219.729610523703</v>
      </c>
      <c r="P33" s="116">
        <v>224.86839825925301</v>
      </c>
      <c r="Q33" s="116">
        <v>909.15</v>
      </c>
      <c r="R33">
        <v>1990874</v>
      </c>
    </row>
    <row r="34" spans="1:18" x14ac:dyDescent="0.25">
      <c r="A34" s="170">
        <v>42048</v>
      </c>
      <c r="B34" s="116">
        <v>227.83197517311299</v>
      </c>
      <c r="C34" s="116">
        <v>227.138573509542</v>
      </c>
      <c r="D34" s="116">
        <v>225.26886545241501</v>
      </c>
      <c r="E34" s="116">
        <v>226.59375791673699</v>
      </c>
      <c r="F34" s="116">
        <v>917.2</v>
      </c>
      <c r="G34">
        <v>277851</v>
      </c>
      <c r="H34" s="116"/>
      <c r="I34" s="116"/>
      <c r="L34" s="170">
        <v>42048</v>
      </c>
      <c r="M34" s="116">
        <v>227.22109625866199</v>
      </c>
      <c r="N34" s="116">
        <v>228.03834924793</v>
      </c>
      <c r="O34" s="116">
        <v>225.128433301293</v>
      </c>
      <c r="P34" s="116">
        <v>226.35431278519499</v>
      </c>
      <c r="Q34" s="116">
        <v>917.5</v>
      </c>
      <c r="R34">
        <v>1690071</v>
      </c>
    </row>
    <row r="35" spans="1:18" x14ac:dyDescent="0.25">
      <c r="A35" s="170">
        <v>42051</v>
      </c>
      <c r="B35" s="116">
        <v>228.810166805649</v>
      </c>
      <c r="C35" s="116">
        <v>223.53536129348899</v>
      </c>
      <c r="D35" s="116">
        <v>222.89148832017401</v>
      </c>
      <c r="E35" s="116">
        <v>227.83197517311299</v>
      </c>
      <c r="F35" s="116">
        <v>902.65</v>
      </c>
      <c r="G35">
        <v>275109</v>
      </c>
      <c r="H35" s="116"/>
      <c r="I35" s="116"/>
      <c r="L35" s="170">
        <v>42051</v>
      </c>
      <c r="M35" s="116">
        <v>223.58060567010301</v>
      </c>
      <c r="N35" s="116">
        <v>228.88036747929701</v>
      </c>
      <c r="O35" s="116">
        <v>222.88717889133</v>
      </c>
      <c r="P35" s="116">
        <v>227.51827916385</v>
      </c>
      <c r="Q35" s="116">
        <v>902.8</v>
      </c>
      <c r="R35">
        <v>2803961</v>
      </c>
    </row>
    <row r="36" spans="1:18" x14ac:dyDescent="0.25">
      <c r="A36" s="170">
        <v>42053</v>
      </c>
      <c r="B36" s="116">
        <v>224.86025375781099</v>
      </c>
      <c r="C36" s="116">
        <v>223.23818915195901</v>
      </c>
      <c r="D36" s="116">
        <v>221.653271063798</v>
      </c>
      <c r="E36" s="116">
        <v>222.87910614761</v>
      </c>
      <c r="F36" s="116">
        <v>901.45</v>
      </c>
      <c r="G36">
        <v>211791</v>
      </c>
      <c r="H36" s="116"/>
      <c r="I36" s="116"/>
      <c r="L36" s="170">
        <v>42053</v>
      </c>
      <c r="M36" s="116">
        <v>223.295805385964</v>
      </c>
      <c r="N36" s="116">
        <v>224.86839825925301</v>
      </c>
      <c r="O36" s="116">
        <v>221.50032533378399</v>
      </c>
      <c r="P36" s="116">
        <v>222.88717889133</v>
      </c>
      <c r="Q36" s="116">
        <v>901.65</v>
      </c>
      <c r="R36">
        <v>2248124</v>
      </c>
    </row>
    <row r="37" spans="1:18" x14ac:dyDescent="0.25">
      <c r="A37" s="170">
        <v>42054</v>
      </c>
      <c r="B37" s="116">
        <v>224.64975682422701</v>
      </c>
      <c r="C37" s="116">
        <v>223.21342480683199</v>
      </c>
      <c r="D37" s="116">
        <v>219.79594517923499</v>
      </c>
      <c r="E37" s="116">
        <v>224.11732340398601</v>
      </c>
      <c r="F37" s="116">
        <v>901.35</v>
      </c>
      <c r="G37">
        <v>291714</v>
      </c>
      <c r="H37" s="116"/>
      <c r="I37" s="116"/>
      <c r="L37" s="170">
        <v>42054</v>
      </c>
      <c r="M37" s="116">
        <v>223.39486635436</v>
      </c>
      <c r="N37" s="116">
        <v>224.76933729085701</v>
      </c>
      <c r="O37" s="116">
        <v>219.80390625000001</v>
      </c>
      <c r="P37" s="116">
        <v>224.608363217213</v>
      </c>
      <c r="Q37" s="116">
        <v>902.05</v>
      </c>
      <c r="R37">
        <v>2183115</v>
      </c>
    </row>
    <row r="38" spans="1:18" x14ac:dyDescent="0.25">
      <c r="A38" s="170">
        <v>42055</v>
      </c>
      <c r="B38" s="116">
        <v>222.13617579378499</v>
      </c>
      <c r="C38" s="116">
        <v>216.254643826001</v>
      </c>
      <c r="D38" s="116">
        <v>215.94508951190701</v>
      </c>
      <c r="E38" s="116">
        <v>222.13617579378499</v>
      </c>
      <c r="F38" s="116">
        <v>873.25</v>
      </c>
      <c r="G38">
        <v>575890</v>
      </c>
      <c r="H38" s="116"/>
      <c r="I38" s="116"/>
      <c r="L38" s="170">
        <v>42055</v>
      </c>
      <c r="M38" s="116">
        <v>216.22532876668899</v>
      </c>
      <c r="N38" s="116">
        <v>221.896569207369</v>
      </c>
      <c r="O38" s="116">
        <v>215.77955440890699</v>
      </c>
      <c r="P38" s="116">
        <v>221.71082989162599</v>
      </c>
      <c r="Q38" s="116">
        <v>873.1</v>
      </c>
      <c r="R38">
        <v>4278437</v>
      </c>
    </row>
    <row r="39" spans="1:18" x14ac:dyDescent="0.25">
      <c r="A39" s="170">
        <v>42058</v>
      </c>
      <c r="B39" s="116">
        <v>217.034720697517</v>
      </c>
      <c r="C39" s="116">
        <v>210.78172355282001</v>
      </c>
      <c r="D39" s="116">
        <v>209.66732802208199</v>
      </c>
      <c r="E39" s="116">
        <v>215.40027391910201</v>
      </c>
      <c r="F39" s="116">
        <v>851.15</v>
      </c>
      <c r="G39">
        <v>530826</v>
      </c>
      <c r="H39" s="116"/>
      <c r="I39" s="116"/>
      <c r="L39" s="170">
        <v>42058</v>
      </c>
      <c r="M39" s="116">
        <v>210.86365385224801</v>
      </c>
      <c r="N39" s="116">
        <v>217.12926010330401</v>
      </c>
      <c r="O39" s="116">
        <v>209.78636582094001</v>
      </c>
      <c r="P39" s="116">
        <v>215.44522364056999</v>
      </c>
      <c r="Q39" s="116">
        <v>851.45</v>
      </c>
      <c r="R39">
        <v>3224043</v>
      </c>
    </row>
    <row r="40" spans="1:18" x14ac:dyDescent="0.25">
      <c r="A40" s="170">
        <v>42059</v>
      </c>
      <c r="B40" s="116">
        <v>212.27996643303501</v>
      </c>
      <c r="C40" s="116">
        <v>208.45387511083399</v>
      </c>
      <c r="D40" s="116">
        <v>207.30233306240501</v>
      </c>
      <c r="E40" s="116">
        <v>211.23986393767899</v>
      </c>
      <c r="F40" s="116">
        <v>841.75</v>
      </c>
      <c r="G40">
        <v>616856</v>
      </c>
      <c r="H40" s="116"/>
      <c r="I40" s="116"/>
      <c r="L40" s="170">
        <v>42059</v>
      </c>
      <c r="M40" s="116">
        <v>208.38712964234401</v>
      </c>
      <c r="N40" s="116">
        <v>212.188594304546</v>
      </c>
      <c r="O40" s="116">
        <v>207.28507636893701</v>
      </c>
      <c r="P40" s="116">
        <v>211.55708063102099</v>
      </c>
      <c r="Q40" s="116">
        <v>841.45</v>
      </c>
      <c r="R40">
        <v>4559370</v>
      </c>
    </row>
    <row r="41" spans="1:18" x14ac:dyDescent="0.25">
      <c r="A41" s="170">
        <v>42060</v>
      </c>
      <c r="B41" s="116">
        <v>212.08185167201501</v>
      </c>
      <c r="C41" s="116">
        <v>208.89963332312999</v>
      </c>
      <c r="D41" s="116">
        <v>208.41672859314301</v>
      </c>
      <c r="E41" s="116">
        <v>209.75400323002901</v>
      </c>
      <c r="F41" s="116">
        <v>843.55</v>
      </c>
      <c r="G41">
        <v>643101</v>
      </c>
      <c r="H41" s="116"/>
      <c r="I41" s="116"/>
      <c r="L41" s="170">
        <v>42060</v>
      </c>
      <c r="M41" s="116">
        <v>208.80813875802801</v>
      </c>
      <c r="N41" s="116">
        <v>212.11429857824899</v>
      </c>
      <c r="O41" s="116">
        <v>208.288068673948</v>
      </c>
      <c r="P41" s="116">
        <v>210.20737493662301</v>
      </c>
      <c r="Q41" s="116">
        <v>843.15</v>
      </c>
      <c r="R41">
        <v>3491406</v>
      </c>
    </row>
    <row r="42" spans="1:18" x14ac:dyDescent="0.25">
      <c r="A42" s="170">
        <v>42061</v>
      </c>
      <c r="B42" s="116">
        <v>210.496933583854</v>
      </c>
      <c r="C42" s="116">
        <v>208.577696836472</v>
      </c>
      <c r="D42" s="116">
        <v>207.30233306240501</v>
      </c>
      <c r="E42" s="116">
        <v>209.518741951317</v>
      </c>
      <c r="F42" s="116">
        <v>842.25</v>
      </c>
      <c r="G42">
        <v>632989</v>
      </c>
      <c r="H42" s="116"/>
      <c r="I42" s="116"/>
      <c r="L42" s="170">
        <v>42061</v>
      </c>
      <c r="M42" s="116">
        <v>208.523338473889</v>
      </c>
      <c r="N42" s="116">
        <v>210.50455784181199</v>
      </c>
      <c r="O42" s="116">
        <v>207.18601540054101</v>
      </c>
      <c r="P42" s="116">
        <v>209.53871339994899</v>
      </c>
      <c r="Q42" s="116">
        <v>842</v>
      </c>
      <c r="R42">
        <v>4905338</v>
      </c>
    </row>
    <row r="43" spans="1:18" x14ac:dyDescent="0.25">
      <c r="A43" s="170">
        <v>42062</v>
      </c>
      <c r="B43" s="116">
        <v>213.097189822243</v>
      </c>
      <c r="C43" s="116">
        <v>211.896119083559</v>
      </c>
      <c r="D43" s="116">
        <v>209.15965894696799</v>
      </c>
      <c r="E43" s="116">
        <v>209.543506296445</v>
      </c>
      <c r="F43" s="116">
        <v>855.65</v>
      </c>
      <c r="G43">
        <v>426181</v>
      </c>
      <c r="H43" s="116"/>
      <c r="I43" s="116"/>
      <c r="L43" s="170">
        <v>42062</v>
      </c>
      <c r="M43" s="116">
        <v>211.879028778308</v>
      </c>
      <c r="N43" s="116">
        <v>213.22873447270601</v>
      </c>
      <c r="O43" s="116">
        <v>209.167234768464</v>
      </c>
      <c r="P43" s="116">
        <v>209.89780941038501</v>
      </c>
      <c r="Q43" s="116">
        <v>855.55</v>
      </c>
      <c r="R43">
        <v>4265220</v>
      </c>
    </row>
    <row r="44" spans="1:18" x14ac:dyDescent="0.25">
      <c r="A44" s="170">
        <v>42063</v>
      </c>
      <c r="B44" s="116">
        <v>215.05357308731601</v>
      </c>
      <c r="C44" s="116">
        <v>214.521139667075</v>
      </c>
      <c r="D44" s="116">
        <v>209.75400323002901</v>
      </c>
      <c r="E44" s="116">
        <v>213.41912630890101</v>
      </c>
      <c r="F44" s="116">
        <v>866.25</v>
      </c>
      <c r="G44">
        <v>511174</v>
      </c>
      <c r="H44" s="116"/>
      <c r="I44" s="116"/>
      <c r="L44" s="170">
        <v>42063</v>
      </c>
      <c r="M44" s="116">
        <v>214.25649201981599</v>
      </c>
      <c r="N44" s="116">
        <v>215.06136238803401</v>
      </c>
      <c r="O44" s="116">
        <v>209.66253961044501</v>
      </c>
      <c r="P44" s="116">
        <v>213.67450883048801</v>
      </c>
      <c r="Q44" s="116">
        <v>865.15</v>
      </c>
      <c r="R44">
        <v>2093776</v>
      </c>
    </row>
    <row r="45" spans="1:18" x14ac:dyDescent="0.25">
      <c r="A45" s="170">
        <v>42065</v>
      </c>
      <c r="B45" s="116">
        <v>216.83660593649699</v>
      </c>
      <c r="C45" s="116">
        <v>213.889648866323</v>
      </c>
      <c r="D45" s="116">
        <v>212.01994080919599</v>
      </c>
      <c r="E45" s="116">
        <v>215.41265609166501</v>
      </c>
      <c r="F45" s="116">
        <v>863.7</v>
      </c>
      <c r="G45">
        <v>360646</v>
      </c>
      <c r="H45" s="116"/>
      <c r="I45" s="116"/>
      <c r="L45" s="170">
        <v>42065</v>
      </c>
      <c r="M45" s="116">
        <v>214.033604840924</v>
      </c>
      <c r="N45" s="116">
        <v>216.819694577066</v>
      </c>
      <c r="O45" s="116">
        <v>211.879028778308</v>
      </c>
      <c r="P45" s="116">
        <v>215.209953840629</v>
      </c>
      <c r="Q45" s="116">
        <v>864.25</v>
      </c>
      <c r="R45">
        <v>3332631</v>
      </c>
    </row>
    <row r="46" spans="1:18" x14ac:dyDescent="0.25">
      <c r="A46" s="170">
        <v>42066</v>
      </c>
      <c r="B46" s="116">
        <v>224.48878858089901</v>
      </c>
      <c r="C46" s="116">
        <v>223.28771784221399</v>
      </c>
      <c r="D46" s="116">
        <v>214.80592963604099</v>
      </c>
      <c r="E46" s="116">
        <v>215.44980260935699</v>
      </c>
      <c r="F46" s="116">
        <v>901.65</v>
      </c>
      <c r="G46">
        <v>707794</v>
      </c>
      <c r="H46" s="116"/>
      <c r="I46" s="116"/>
      <c r="L46" s="170">
        <v>42066</v>
      </c>
      <c r="M46" s="116">
        <v>223.085300828122</v>
      </c>
      <c r="N46" s="116">
        <v>224.484537006718</v>
      </c>
      <c r="O46" s="116">
        <v>214.81370996704399</v>
      </c>
      <c r="P46" s="116">
        <v>215.209953840629</v>
      </c>
      <c r="Q46" s="116">
        <v>900.8</v>
      </c>
      <c r="R46">
        <v>4717254</v>
      </c>
    </row>
    <row r="47" spans="1:18" x14ac:dyDescent="0.25">
      <c r="A47" s="170">
        <v>42067</v>
      </c>
      <c r="B47" s="116">
        <v>225.10789720908599</v>
      </c>
      <c r="C47" s="116">
        <v>219.64735910847</v>
      </c>
      <c r="D47" s="116">
        <v>218.02529450261801</v>
      </c>
      <c r="E47" s="116">
        <v>224.11732340398601</v>
      </c>
      <c r="F47" s="116">
        <v>886.95</v>
      </c>
      <c r="G47">
        <v>384308</v>
      </c>
      <c r="H47" s="116"/>
      <c r="I47" s="116"/>
      <c r="L47" s="170">
        <v>42067</v>
      </c>
      <c r="M47" s="116">
        <v>219.87820197629699</v>
      </c>
      <c r="N47" s="116">
        <v>225.27702475388699</v>
      </c>
      <c r="O47" s="116">
        <v>217.94651309257199</v>
      </c>
      <c r="P47" s="116">
        <v>224.373093417272</v>
      </c>
      <c r="Q47" s="116">
        <v>887.85</v>
      </c>
      <c r="R47">
        <v>3308981</v>
      </c>
    </row>
    <row r="48" spans="1:18" x14ac:dyDescent="0.25">
      <c r="A48" s="170">
        <v>42068</v>
      </c>
      <c r="B48" s="116">
        <v>222.48287662556999</v>
      </c>
      <c r="C48" s="116">
        <v>219.01586830771799</v>
      </c>
      <c r="D48" s="116">
        <v>217.80241539647</v>
      </c>
      <c r="E48" s="116">
        <v>220.65031508613399</v>
      </c>
      <c r="F48" s="116">
        <v>884.4</v>
      </c>
      <c r="G48">
        <v>306655</v>
      </c>
      <c r="H48" s="116"/>
      <c r="I48" s="116"/>
      <c r="L48" s="170">
        <v>42068</v>
      </c>
      <c r="M48" s="116">
        <v>219.16000995542501</v>
      </c>
      <c r="N48" s="116">
        <v>222.57761336509199</v>
      </c>
      <c r="O48" s="116">
        <v>217.475973492691</v>
      </c>
      <c r="P48" s="116">
        <v>221.029785733902</v>
      </c>
      <c r="Q48" s="116">
        <v>884.95</v>
      </c>
      <c r="R48">
        <v>2449658</v>
      </c>
    </row>
    <row r="49" spans="1:18" x14ac:dyDescent="0.25">
      <c r="A49" s="170">
        <v>42072</v>
      </c>
      <c r="B49" s="116">
        <v>220.84842984715399</v>
      </c>
      <c r="C49" s="116">
        <v>215.115483950135</v>
      </c>
      <c r="D49" s="116">
        <v>214.01347059196101</v>
      </c>
      <c r="E49" s="116">
        <v>218.91681092720799</v>
      </c>
      <c r="F49" s="116">
        <v>868.65</v>
      </c>
      <c r="G49">
        <v>299199</v>
      </c>
      <c r="H49" s="116"/>
      <c r="I49" s="116"/>
      <c r="L49" s="170">
        <v>42072</v>
      </c>
      <c r="M49" s="116">
        <v>215.37092791427199</v>
      </c>
      <c r="N49" s="116">
        <v>220.84404641815999</v>
      </c>
      <c r="O49" s="116">
        <v>214.00883959882501</v>
      </c>
      <c r="P49" s="116">
        <v>219.197157818574</v>
      </c>
      <c r="Q49" s="116">
        <v>869.65</v>
      </c>
      <c r="R49">
        <v>3215112</v>
      </c>
    </row>
    <row r="50" spans="1:18" x14ac:dyDescent="0.25">
      <c r="A50" s="170">
        <v>42073</v>
      </c>
      <c r="B50" s="116">
        <v>216.66325552060499</v>
      </c>
      <c r="C50" s="116">
        <v>212.750488990458</v>
      </c>
      <c r="D50" s="116">
        <v>211.83420822074001</v>
      </c>
      <c r="E50" s="116">
        <v>215.44980260935699</v>
      </c>
      <c r="F50" s="116">
        <v>859.1</v>
      </c>
      <c r="G50">
        <v>589174</v>
      </c>
      <c r="H50" s="116"/>
      <c r="I50" s="116"/>
      <c r="L50" s="170">
        <v>42073</v>
      </c>
      <c r="M50" s="116">
        <v>212.77057749387399</v>
      </c>
      <c r="N50" s="116">
        <v>216.89399030336301</v>
      </c>
      <c r="O50" s="116">
        <v>211.84188091516</v>
      </c>
      <c r="P50" s="116">
        <v>215.197571219579</v>
      </c>
      <c r="Q50" s="116">
        <v>859.15</v>
      </c>
      <c r="R50">
        <v>3482250</v>
      </c>
    </row>
    <row r="51" spans="1:18" x14ac:dyDescent="0.25">
      <c r="A51" s="170">
        <v>42074</v>
      </c>
      <c r="B51" s="116">
        <v>215.32598088371901</v>
      </c>
      <c r="C51" s="116">
        <v>211.94564777381399</v>
      </c>
      <c r="D51" s="116">
        <v>211.289392627935</v>
      </c>
      <c r="E51" s="116">
        <v>212.97336809660499</v>
      </c>
      <c r="F51" s="116">
        <v>855.85</v>
      </c>
      <c r="G51">
        <v>240858</v>
      </c>
      <c r="H51" s="116"/>
      <c r="I51" s="116"/>
      <c r="L51" s="170">
        <v>42074</v>
      </c>
      <c r="M51" s="116">
        <v>211.978089746704</v>
      </c>
      <c r="N51" s="116">
        <v>215.35854529322299</v>
      </c>
      <c r="O51" s="116">
        <v>211.098923652189</v>
      </c>
      <c r="P51" s="116">
        <v>213.21635185165599</v>
      </c>
      <c r="Q51" s="116">
        <v>855.95</v>
      </c>
      <c r="R51">
        <v>2659765</v>
      </c>
    </row>
    <row r="52" spans="1:18" x14ac:dyDescent="0.25">
      <c r="A52" s="170">
        <v>42075</v>
      </c>
      <c r="B52" s="116">
        <v>214.508757494511</v>
      </c>
      <c r="C52" s="116">
        <v>213.902031038887</v>
      </c>
      <c r="D52" s="116">
        <v>211.87135473843099</v>
      </c>
      <c r="E52" s="116">
        <v>212.97336809660499</v>
      </c>
      <c r="F52" s="116">
        <v>863.75</v>
      </c>
      <c r="G52">
        <v>218285</v>
      </c>
      <c r="H52" s="116"/>
      <c r="I52" s="116"/>
      <c r="L52" s="170">
        <v>42075</v>
      </c>
      <c r="M52" s="116">
        <v>213.922161251479</v>
      </c>
      <c r="N52" s="116">
        <v>214.81370996704399</v>
      </c>
      <c r="O52" s="116">
        <v>211.89141139935799</v>
      </c>
      <c r="P52" s="116">
        <v>212.48577720973501</v>
      </c>
      <c r="Q52" s="116">
        <v>863.8</v>
      </c>
      <c r="R52">
        <v>2693254</v>
      </c>
    </row>
    <row r="53" spans="1:18" x14ac:dyDescent="0.25">
      <c r="A53" s="170">
        <v>42076</v>
      </c>
      <c r="B53" s="116">
        <v>215.43742043679299</v>
      </c>
      <c r="C53" s="116">
        <v>210.53408010154499</v>
      </c>
      <c r="D53" s="116">
        <v>209.75400323002901</v>
      </c>
      <c r="E53" s="116">
        <v>215.202159158081</v>
      </c>
      <c r="F53" s="116">
        <v>850.15</v>
      </c>
      <c r="G53">
        <v>294391</v>
      </c>
      <c r="H53" s="116"/>
      <c r="I53" s="116"/>
      <c r="L53" s="170">
        <v>42076</v>
      </c>
      <c r="M53" s="116">
        <v>210.52932308391101</v>
      </c>
      <c r="N53" s="116">
        <v>215.35854529322299</v>
      </c>
      <c r="O53" s="116">
        <v>209.76160057884101</v>
      </c>
      <c r="P53" s="116">
        <v>215.209953840629</v>
      </c>
      <c r="Q53" s="116">
        <v>850.1</v>
      </c>
      <c r="R53">
        <v>2956988</v>
      </c>
    </row>
    <row r="54" spans="1:18" x14ac:dyDescent="0.25">
      <c r="A54" s="170">
        <v>42079</v>
      </c>
      <c r="B54" s="116">
        <v>211.48750738895501</v>
      </c>
      <c r="C54" s="116">
        <v>208.52816814621701</v>
      </c>
      <c r="D54" s="116">
        <v>208.26814252237801</v>
      </c>
      <c r="E54" s="116">
        <v>211.48750738895501</v>
      </c>
      <c r="F54" s="116">
        <v>842.05</v>
      </c>
      <c r="G54">
        <v>567883</v>
      </c>
      <c r="H54" s="116"/>
      <c r="I54" s="116"/>
      <c r="L54" s="170">
        <v>42079</v>
      </c>
      <c r="M54" s="116">
        <v>208.54810371598799</v>
      </c>
      <c r="N54" s="116">
        <v>211.48278490472401</v>
      </c>
      <c r="O54" s="116">
        <v>208.102329358205</v>
      </c>
      <c r="P54" s="116">
        <v>210.87603647329701</v>
      </c>
      <c r="Q54" s="116">
        <v>842.1</v>
      </c>
      <c r="R54">
        <v>3163589</v>
      </c>
    </row>
    <row r="55" spans="1:18" x14ac:dyDescent="0.25">
      <c r="A55" s="170">
        <v>42080</v>
      </c>
      <c r="B55" s="116">
        <v>212.92383940635</v>
      </c>
      <c r="C55" s="116">
        <v>212.19329122508901</v>
      </c>
      <c r="D55" s="116">
        <v>208.26814252237801</v>
      </c>
      <c r="E55" s="116">
        <v>210.03879319899499</v>
      </c>
      <c r="F55" s="116">
        <v>856.85</v>
      </c>
      <c r="G55">
        <v>588090</v>
      </c>
      <c r="H55" s="116"/>
      <c r="I55" s="116"/>
      <c r="L55" s="170">
        <v>42080</v>
      </c>
      <c r="M55" s="116">
        <v>212.200976925596</v>
      </c>
      <c r="N55" s="116">
        <v>212.956316809616</v>
      </c>
      <c r="O55" s="116">
        <v>208.27568605289801</v>
      </c>
      <c r="P55" s="116">
        <v>210.64076667335601</v>
      </c>
      <c r="Q55" s="116">
        <v>856.85</v>
      </c>
      <c r="R55">
        <v>4359100</v>
      </c>
    </row>
    <row r="56" spans="1:18" x14ac:dyDescent="0.25">
      <c r="A56" s="170">
        <v>42081</v>
      </c>
      <c r="B56" s="116">
        <v>216.167968618054</v>
      </c>
      <c r="C56" s="116">
        <v>215.14024829526301</v>
      </c>
      <c r="D56" s="116">
        <v>211.73515084023001</v>
      </c>
      <c r="E56" s="116">
        <v>212.47808119405499</v>
      </c>
      <c r="F56" s="116">
        <v>868.75</v>
      </c>
      <c r="G56">
        <v>310093</v>
      </c>
      <c r="H56" s="116"/>
      <c r="I56" s="116"/>
      <c r="L56" s="170">
        <v>42081</v>
      </c>
      <c r="M56" s="116">
        <v>215.12327549328199</v>
      </c>
      <c r="N56" s="116">
        <v>216.01482420884699</v>
      </c>
      <c r="O56" s="116">
        <v>211.668524220466</v>
      </c>
      <c r="P56" s="116">
        <v>212.23812478874399</v>
      </c>
      <c r="Q56" s="116">
        <v>868.65</v>
      </c>
      <c r="R56">
        <v>2118940</v>
      </c>
    </row>
    <row r="57" spans="1:18" x14ac:dyDescent="0.25">
      <c r="A57" s="170">
        <v>42082</v>
      </c>
      <c r="B57" s="116">
        <v>216.935663317007</v>
      </c>
      <c r="C57" s="116">
        <v>212.04470515432399</v>
      </c>
      <c r="D57" s="116">
        <v>211.016984831532</v>
      </c>
      <c r="E57" s="116">
        <v>216.688019865732</v>
      </c>
      <c r="F57" s="116">
        <v>856.25</v>
      </c>
      <c r="G57">
        <v>254726</v>
      </c>
      <c r="H57" s="116"/>
      <c r="I57" s="116"/>
      <c r="L57" s="170">
        <v>42082</v>
      </c>
      <c r="M57" s="116">
        <v>212.02762023090199</v>
      </c>
      <c r="N57" s="116">
        <v>217.11687748225501</v>
      </c>
      <c r="O57" s="116">
        <v>211.51993276787201</v>
      </c>
      <c r="P57" s="116">
        <v>216.832077198116</v>
      </c>
      <c r="Q57" s="116">
        <v>856.15</v>
      </c>
      <c r="R57">
        <v>3185218</v>
      </c>
    </row>
    <row r="58" spans="1:18" x14ac:dyDescent="0.25">
      <c r="A58" s="170">
        <v>42083</v>
      </c>
      <c r="B58" s="116">
        <v>213.22101154788001</v>
      </c>
      <c r="C58" s="116">
        <v>211.56180042433701</v>
      </c>
      <c r="D58" s="116">
        <v>210.21214361488799</v>
      </c>
      <c r="E58" s="116">
        <v>212.00755863663201</v>
      </c>
      <c r="F58" s="116">
        <v>854.3</v>
      </c>
      <c r="G58">
        <v>195127</v>
      </c>
      <c r="H58" s="116"/>
      <c r="I58" s="116"/>
      <c r="L58" s="170">
        <v>42083</v>
      </c>
      <c r="M58" s="116">
        <v>211.51993276787201</v>
      </c>
      <c r="N58" s="116">
        <v>213.265882335854</v>
      </c>
      <c r="O58" s="116">
        <v>210.157844452425</v>
      </c>
      <c r="P58" s="116">
        <v>212.46101196763601</v>
      </c>
      <c r="Q58" s="116">
        <v>854.1</v>
      </c>
      <c r="R58">
        <v>2378572</v>
      </c>
    </row>
    <row r="59" spans="1:18" x14ac:dyDescent="0.25">
      <c r="A59" s="170">
        <v>42086</v>
      </c>
      <c r="B59" s="116">
        <v>213.827738003505</v>
      </c>
      <c r="C59" s="116">
        <v>208.577696836472</v>
      </c>
      <c r="D59" s="116">
        <v>207.54997651368001</v>
      </c>
      <c r="E59" s="116">
        <v>212.069469499451</v>
      </c>
      <c r="F59" s="116">
        <v>842.25</v>
      </c>
      <c r="G59">
        <v>311055</v>
      </c>
      <c r="H59" s="116"/>
      <c r="I59" s="116"/>
      <c r="L59" s="170">
        <v>42086</v>
      </c>
      <c r="M59" s="116">
        <v>208.510955852839</v>
      </c>
      <c r="N59" s="116">
        <v>213.97169173567701</v>
      </c>
      <c r="O59" s="116">
        <v>207.557494032026</v>
      </c>
      <c r="P59" s="116">
        <v>212.11429857824899</v>
      </c>
      <c r="Q59" s="116">
        <v>841.95</v>
      </c>
      <c r="R59">
        <v>3029112</v>
      </c>
    </row>
    <row r="60" spans="1:18" x14ac:dyDescent="0.25">
      <c r="A60" s="170">
        <v>42087</v>
      </c>
      <c r="B60" s="116">
        <v>211.59894694202799</v>
      </c>
      <c r="C60" s="116">
        <v>210.19976144232399</v>
      </c>
      <c r="D60" s="116">
        <v>208.52816814621701</v>
      </c>
      <c r="E60" s="116">
        <v>208.62722552672699</v>
      </c>
      <c r="F60" s="116">
        <v>848.8</v>
      </c>
      <c r="G60">
        <v>438979</v>
      </c>
      <c r="H60" s="116"/>
      <c r="I60" s="116"/>
      <c r="L60" s="170">
        <v>42087</v>
      </c>
      <c r="M60" s="116">
        <v>209.99687037878101</v>
      </c>
      <c r="N60" s="116">
        <v>211.56946325206999</v>
      </c>
      <c r="O60" s="116">
        <v>208.54810371598799</v>
      </c>
      <c r="P60" s="116">
        <v>208.54810371598799</v>
      </c>
      <c r="Q60" s="116">
        <v>847.95</v>
      </c>
      <c r="R60">
        <v>2111750</v>
      </c>
    </row>
    <row r="61" spans="1:18" x14ac:dyDescent="0.25">
      <c r="A61" s="170">
        <v>42088</v>
      </c>
      <c r="B61" s="116">
        <v>210.62075530949201</v>
      </c>
      <c r="C61" s="116">
        <v>209.184423292096</v>
      </c>
      <c r="D61" s="116">
        <v>208.057645588794</v>
      </c>
      <c r="E61" s="116">
        <v>210.62075530949201</v>
      </c>
      <c r="F61" s="116">
        <v>844.7</v>
      </c>
      <c r="G61">
        <v>382017</v>
      </c>
      <c r="H61" s="116"/>
      <c r="I61" s="116"/>
      <c r="L61" s="170">
        <v>42088</v>
      </c>
      <c r="M61" s="116">
        <v>209.24153049476101</v>
      </c>
      <c r="N61" s="116">
        <v>210.38073163131699</v>
      </c>
      <c r="O61" s="116">
        <v>208.27568605289801</v>
      </c>
      <c r="P61" s="116">
        <v>210.256905420821</v>
      </c>
      <c r="Q61" s="116">
        <v>844.9</v>
      </c>
      <c r="R61">
        <v>2346393</v>
      </c>
    </row>
    <row r="62" spans="1:18" x14ac:dyDescent="0.25">
      <c r="A62" s="170">
        <v>42089</v>
      </c>
      <c r="B62" s="116">
        <v>210.18737926975999</v>
      </c>
      <c r="C62" s="116">
        <v>205.692650629117</v>
      </c>
      <c r="D62" s="116">
        <v>204.19440774890199</v>
      </c>
      <c r="E62" s="116">
        <v>208.35481773032399</v>
      </c>
      <c r="F62" s="116">
        <v>830.6</v>
      </c>
      <c r="G62">
        <v>382644</v>
      </c>
      <c r="H62" s="116"/>
      <c r="I62" s="116"/>
      <c r="L62" s="170">
        <v>42089</v>
      </c>
      <c r="M62" s="116">
        <v>205.378152727311</v>
      </c>
      <c r="N62" s="116">
        <v>210.31881852606901</v>
      </c>
      <c r="O62" s="116">
        <v>204.090360138161</v>
      </c>
      <c r="P62" s="116">
        <v>208.300451294997</v>
      </c>
      <c r="Q62" s="116">
        <v>829.3</v>
      </c>
      <c r="R62">
        <v>4713693</v>
      </c>
    </row>
    <row r="63" spans="1:18" x14ac:dyDescent="0.25">
      <c r="A63" s="170">
        <v>42090</v>
      </c>
      <c r="B63" s="116">
        <v>206.81942833241899</v>
      </c>
      <c r="C63" s="116">
        <v>201.02457157258101</v>
      </c>
      <c r="D63" s="116">
        <v>198.48622619701101</v>
      </c>
      <c r="E63" s="116">
        <v>206.18793753166699</v>
      </c>
      <c r="F63" s="116">
        <v>811.75</v>
      </c>
      <c r="G63">
        <v>535694</v>
      </c>
      <c r="H63" s="116"/>
      <c r="I63" s="116"/>
      <c r="L63" s="170">
        <v>42090</v>
      </c>
      <c r="M63" s="116">
        <v>201.01947011788101</v>
      </c>
      <c r="N63" s="116">
        <v>206.789771526956</v>
      </c>
      <c r="O63" s="116">
        <v>198.481032802729</v>
      </c>
      <c r="P63" s="116">
        <v>206.51735386386699</v>
      </c>
      <c r="Q63" s="116">
        <v>811.7</v>
      </c>
      <c r="R63">
        <v>5332142</v>
      </c>
    </row>
    <row r="64" spans="1:18" x14ac:dyDescent="0.25">
      <c r="A64" s="170">
        <v>42093</v>
      </c>
      <c r="B64" s="116">
        <v>202.57234314305001</v>
      </c>
      <c r="C64" s="116">
        <v>200.67787074079601</v>
      </c>
      <c r="D64" s="116">
        <v>197.30991980345399</v>
      </c>
      <c r="E64" s="116">
        <v>202.07705624050001</v>
      </c>
      <c r="F64" s="116">
        <v>810.35</v>
      </c>
      <c r="G64">
        <v>451512</v>
      </c>
      <c r="H64" s="116"/>
      <c r="I64" s="116"/>
      <c r="L64" s="170">
        <v>42093</v>
      </c>
      <c r="M64" s="116">
        <v>200.78420031793999</v>
      </c>
      <c r="N64" s="116">
        <v>202.50538464382299</v>
      </c>
      <c r="O64" s="116">
        <v>197.24277069777801</v>
      </c>
      <c r="P64" s="116">
        <v>202.23296698073301</v>
      </c>
      <c r="Q64" s="116">
        <v>810.75</v>
      </c>
      <c r="R64">
        <v>3961481</v>
      </c>
    </row>
    <row r="65" spans="1:18" x14ac:dyDescent="0.25">
      <c r="A65" s="170">
        <v>42094</v>
      </c>
      <c r="B65" s="116">
        <v>206.051733633466</v>
      </c>
      <c r="C65" s="116">
        <v>204.231554266594</v>
      </c>
      <c r="D65" s="116">
        <v>202.101820585627</v>
      </c>
      <c r="E65" s="116">
        <v>202.101820585627</v>
      </c>
      <c r="F65" s="116">
        <v>824.7</v>
      </c>
      <c r="G65">
        <v>314795</v>
      </c>
      <c r="H65" s="116"/>
      <c r="I65" s="116"/>
      <c r="L65" s="170">
        <v>42094</v>
      </c>
      <c r="M65" s="116">
        <v>204.56089973804299</v>
      </c>
      <c r="N65" s="116">
        <v>206.269701442876</v>
      </c>
      <c r="O65" s="116">
        <v>202.57968037012</v>
      </c>
      <c r="P65" s="116">
        <v>202.57968037012</v>
      </c>
      <c r="Q65" s="116">
        <v>826</v>
      </c>
      <c r="R65">
        <v>4625471</v>
      </c>
    </row>
    <row r="66" spans="1:18" x14ac:dyDescent="0.25">
      <c r="A66" s="170">
        <v>42095</v>
      </c>
      <c r="B66" s="116">
        <v>207.525212168553</v>
      </c>
      <c r="C66" s="116">
        <v>206.67084226165301</v>
      </c>
      <c r="D66" s="116">
        <v>201.58176933794999</v>
      </c>
      <c r="E66" s="116">
        <v>204.293465129412</v>
      </c>
      <c r="F66" s="116">
        <v>834.55</v>
      </c>
      <c r="G66">
        <v>254414</v>
      </c>
      <c r="H66" s="116"/>
      <c r="I66" s="116"/>
      <c r="L66" s="170">
        <v>42095</v>
      </c>
      <c r="M66" s="116">
        <v>207.04980656899599</v>
      </c>
      <c r="N66" s="116">
        <v>207.78038121091799</v>
      </c>
      <c r="O66" s="116">
        <v>201.36618350726701</v>
      </c>
      <c r="P66" s="116">
        <v>204.288482074954</v>
      </c>
      <c r="Q66" s="116">
        <v>836.05</v>
      </c>
      <c r="R66">
        <v>3334693</v>
      </c>
    </row>
    <row r="67" spans="1:18" x14ac:dyDescent="0.25">
      <c r="A67" s="170">
        <v>42100</v>
      </c>
      <c r="B67" s="116">
        <v>207.51282999598899</v>
      </c>
      <c r="C67" s="116">
        <v>204.05820385070101</v>
      </c>
      <c r="D67" s="116">
        <v>203.426713049949</v>
      </c>
      <c r="E67" s="116">
        <v>206.85657485011001</v>
      </c>
      <c r="F67" s="116">
        <v>824</v>
      </c>
      <c r="G67">
        <v>219606</v>
      </c>
      <c r="H67" s="116"/>
      <c r="I67" s="116"/>
      <c r="L67" s="170">
        <v>42100</v>
      </c>
      <c r="M67" s="116">
        <v>204.22656896970599</v>
      </c>
      <c r="N67" s="116">
        <v>207.53272878992701</v>
      </c>
      <c r="O67" s="116">
        <v>203.42169860148701</v>
      </c>
      <c r="P67" s="116">
        <v>207.03742394794699</v>
      </c>
      <c r="Q67" s="116">
        <v>824.65</v>
      </c>
      <c r="R67">
        <v>2819367</v>
      </c>
    </row>
    <row r="68" spans="1:18" x14ac:dyDescent="0.25">
      <c r="A68" s="170">
        <v>42101</v>
      </c>
      <c r="B68" s="116">
        <v>207.005160920875</v>
      </c>
      <c r="C68" s="116">
        <v>206.23746622192201</v>
      </c>
      <c r="D68" s="116">
        <v>204.33061164710401</v>
      </c>
      <c r="E68" s="116">
        <v>204.33061164710401</v>
      </c>
      <c r="F68" s="116">
        <v>832.8</v>
      </c>
      <c r="G68">
        <v>255261</v>
      </c>
      <c r="H68" s="116"/>
      <c r="I68" s="116"/>
      <c r="L68" s="170">
        <v>42101</v>
      </c>
      <c r="M68" s="116">
        <v>206.257318821827</v>
      </c>
      <c r="N68" s="116">
        <v>207.06218919004601</v>
      </c>
      <c r="O68" s="116">
        <v>204.57328235909199</v>
      </c>
      <c r="P68" s="116">
        <v>204.57328235909199</v>
      </c>
      <c r="Q68" s="116">
        <v>832.85</v>
      </c>
      <c r="R68">
        <v>4863211</v>
      </c>
    </row>
    <row r="69" spans="1:18" x14ac:dyDescent="0.25">
      <c r="A69" s="170">
        <v>42102</v>
      </c>
      <c r="B69" s="116">
        <v>215.23930567577301</v>
      </c>
      <c r="C69" s="116">
        <v>214.335407078618</v>
      </c>
      <c r="D69" s="116">
        <v>206.28699491217699</v>
      </c>
      <c r="E69" s="116">
        <v>207.02992526600201</v>
      </c>
      <c r="F69" s="116">
        <v>865.5</v>
      </c>
      <c r="G69">
        <v>651313</v>
      </c>
      <c r="H69" s="116"/>
      <c r="I69" s="116"/>
      <c r="L69" s="170">
        <v>42102</v>
      </c>
      <c r="M69" s="116">
        <v>214.442231335559</v>
      </c>
      <c r="N69" s="116">
        <v>215.33378005112399</v>
      </c>
      <c r="O69" s="116">
        <v>206.269701442876</v>
      </c>
      <c r="P69" s="116">
        <v>206.41829289547101</v>
      </c>
      <c r="Q69" s="116">
        <v>865.9</v>
      </c>
      <c r="R69">
        <v>5673710</v>
      </c>
    </row>
    <row r="70" spans="1:18" x14ac:dyDescent="0.25">
      <c r="A70" s="170">
        <v>42103</v>
      </c>
      <c r="B70" s="116">
        <v>222.606698351208</v>
      </c>
      <c r="C70" s="116">
        <v>221.62850671867099</v>
      </c>
      <c r="D70" s="116">
        <v>212.97336809660499</v>
      </c>
      <c r="E70" s="116">
        <v>214.48399314938399</v>
      </c>
      <c r="F70" s="116">
        <v>894.95</v>
      </c>
      <c r="G70">
        <v>1119528</v>
      </c>
      <c r="H70" s="116"/>
      <c r="I70" s="116"/>
      <c r="L70" s="170">
        <v>42103</v>
      </c>
      <c r="M70" s="116">
        <v>221.673682028477</v>
      </c>
      <c r="N70" s="116">
        <v>222.63952647034</v>
      </c>
      <c r="O70" s="116">
        <v>212.68389914652701</v>
      </c>
      <c r="P70" s="116">
        <v>214.343170367162</v>
      </c>
      <c r="Q70" s="116">
        <v>895.1</v>
      </c>
      <c r="R70">
        <v>6234931</v>
      </c>
    </row>
    <row r="71" spans="1:18" x14ac:dyDescent="0.25">
      <c r="A71" s="170">
        <v>42104</v>
      </c>
      <c r="B71" s="116">
        <v>224.538317271154</v>
      </c>
      <c r="C71" s="116">
        <v>223.78300474476401</v>
      </c>
      <c r="D71" s="116">
        <v>220.15502818358399</v>
      </c>
      <c r="E71" s="116">
        <v>221.64088889123499</v>
      </c>
      <c r="F71" s="116">
        <v>903.65</v>
      </c>
      <c r="G71">
        <v>478685</v>
      </c>
      <c r="H71" s="116"/>
      <c r="I71" s="116"/>
      <c r="L71" s="170">
        <v>42104</v>
      </c>
      <c r="M71" s="116">
        <v>223.964466922638</v>
      </c>
      <c r="N71" s="116">
        <v>225.06652019604499</v>
      </c>
      <c r="O71" s="116">
        <v>220.187767502535</v>
      </c>
      <c r="P71" s="116">
        <v>221.63653416532901</v>
      </c>
      <c r="Q71" s="116">
        <v>904.35</v>
      </c>
      <c r="R71">
        <v>5788462</v>
      </c>
    </row>
    <row r="72" spans="1:18" x14ac:dyDescent="0.25">
      <c r="A72" s="170">
        <v>42107</v>
      </c>
      <c r="B72" s="116">
        <v>229.070192429488</v>
      </c>
      <c r="C72" s="116">
        <v>228.42631945617299</v>
      </c>
      <c r="D72" s="116">
        <v>222.532405315825</v>
      </c>
      <c r="E72" s="116">
        <v>224.959311138321</v>
      </c>
      <c r="F72" s="116">
        <v>922.4</v>
      </c>
      <c r="G72">
        <v>469162</v>
      </c>
      <c r="H72" s="116"/>
      <c r="I72" s="116"/>
      <c r="L72" s="170">
        <v>42107</v>
      </c>
      <c r="M72" s="116">
        <v>228.45935836361301</v>
      </c>
      <c r="N72" s="116">
        <v>229.016576310842</v>
      </c>
      <c r="O72" s="116">
        <v>222.57761336509199</v>
      </c>
      <c r="P72" s="116">
        <v>224.571215354065</v>
      </c>
      <c r="Q72" s="116">
        <v>922.5</v>
      </c>
      <c r="R72">
        <v>4612201</v>
      </c>
    </row>
    <row r="73" spans="1:18" x14ac:dyDescent="0.25">
      <c r="A73" s="170">
        <v>42109</v>
      </c>
      <c r="B73" s="116">
        <v>232.63625812785</v>
      </c>
      <c r="C73" s="116">
        <v>228.76063811539399</v>
      </c>
      <c r="D73" s="116">
        <v>224.76119637730099</v>
      </c>
      <c r="E73" s="116">
        <v>228.05485427926001</v>
      </c>
      <c r="F73" s="116">
        <v>923.75</v>
      </c>
      <c r="G73">
        <v>513681</v>
      </c>
      <c r="H73" s="116"/>
      <c r="I73" s="116"/>
      <c r="L73" s="170">
        <v>42109</v>
      </c>
      <c r="M73" s="116">
        <v>228.74415864775199</v>
      </c>
      <c r="N73" s="116">
        <v>232.694214762549</v>
      </c>
      <c r="O73" s="116">
        <v>224.67027632246101</v>
      </c>
      <c r="P73" s="116">
        <v>228.08787973212799</v>
      </c>
      <c r="Q73" s="116">
        <v>923.65</v>
      </c>
      <c r="R73">
        <v>5081693</v>
      </c>
    </row>
    <row r="74" spans="1:18" x14ac:dyDescent="0.25">
      <c r="A74" s="170">
        <v>42110</v>
      </c>
      <c r="B74" s="116">
        <v>232.19049991555499</v>
      </c>
      <c r="C74" s="116">
        <v>229.676918885112</v>
      </c>
      <c r="D74" s="116">
        <v>227.584331721838</v>
      </c>
      <c r="E74" s="116">
        <v>229.35498239845501</v>
      </c>
      <c r="F74" s="116">
        <v>927.45</v>
      </c>
      <c r="G74">
        <v>499935</v>
      </c>
      <c r="H74" s="116"/>
      <c r="I74" s="116"/>
      <c r="L74" s="170">
        <v>42110</v>
      </c>
      <c r="M74" s="116">
        <v>229.90812502640699</v>
      </c>
      <c r="N74" s="116">
        <v>232.29797088896399</v>
      </c>
      <c r="O74" s="116">
        <v>227.59257489014701</v>
      </c>
      <c r="P74" s="116">
        <v>228.95466320559399</v>
      </c>
      <c r="Q74" s="116">
        <v>928.35</v>
      </c>
      <c r="R74">
        <v>4612192</v>
      </c>
    </row>
    <row r="75" spans="1:18" x14ac:dyDescent="0.25">
      <c r="A75" s="170">
        <v>42111</v>
      </c>
      <c r="B75" s="116">
        <v>233.72588931346101</v>
      </c>
      <c r="C75" s="116">
        <v>229.52833281434701</v>
      </c>
      <c r="D75" s="116">
        <v>228.612052044629</v>
      </c>
      <c r="E75" s="116">
        <v>231.64568432274999</v>
      </c>
      <c r="F75" s="116">
        <v>926.85</v>
      </c>
      <c r="G75">
        <v>462394</v>
      </c>
      <c r="H75" s="116"/>
      <c r="I75" s="116"/>
      <c r="L75" s="170">
        <v>42111</v>
      </c>
      <c r="M75" s="116">
        <v>229.53664639492101</v>
      </c>
      <c r="N75" s="116">
        <v>233.858181141203</v>
      </c>
      <c r="O75" s="116">
        <v>228.484123605712</v>
      </c>
      <c r="P75" s="116">
        <v>231.56739624704201</v>
      </c>
      <c r="Q75" s="116">
        <v>926.85</v>
      </c>
      <c r="R75">
        <v>5476551</v>
      </c>
    </row>
    <row r="76" spans="1:18" x14ac:dyDescent="0.25">
      <c r="A76" s="170">
        <v>42114</v>
      </c>
      <c r="B76" s="116">
        <v>232.277175123501</v>
      </c>
      <c r="C76" s="116">
        <v>219.300658276685</v>
      </c>
      <c r="D76" s="116">
        <v>217.61668280801399</v>
      </c>
      <c r="E76" s="116">
        <v>231.930474291716</v>
      </c>
      <c r="F76" s="116">
        <v>885.55</v>
      </c>
      <c r="G76">
        <v>827606</v>
      </c>
      <c r="H76" s="116"/>
      <c r="I76" s="116"/>
      <c r="L76" s="170">
        <v>42114</v>
      </c>
      <c r="M76" s="116">
        <v>219.33336665011799</v>
      </c>
      <c r="N76" s="116">
        <v>232.161762057419</v>
      </c>
      <c r="O76" s="116">
        <v>217.56265184003701</v>
      </c>
      <c r="P76" s="116">
        <v>232.124614194271</v>
      </c>
      <c r="Q76" s="116">
        <v>885.65</v>
      </c>
      <c r="R76">
        <v>8601165</v>
      </c>
    </row>
    <row r="77" spans="1:18" x14ac:dyDescent="0.25">
      <c r="A77" s="170">
        <v>42115</v>
      </c>
      <c r="B77" s="116">
        <v>221.653271063798</v>
      </c>
      <c r="C77" s="116">
        <v>216.91089897187999</v>
      </c>
      <c r="D77" s="116">
        <v>216.05652906498099</v>
      </c>
      <c r="E77" s="116">
        <v>219.907384732309</v>
      </c>
      <c r="F77" s="116">
        <v>875.9</v>
      </c>
      <c r="G77">
        <v>425129</v>
      </c>
      <c r="H77" s="116"/>
      <c r="I77" s="116"/>
      <c r="L77" s="170">
        <v>42115</v>
      </c>
      <c r="M77" s="116">
        <v>217.054964377007</v>
      </c>
      <c r="N77" s="116">
        <v>221.77274299687301</v>
      </c>
      <c r="O77" s="116">
        <v>216.064354693045</v>
      </c>
      <c r="P77" s="116">
        <v>220.44780254457501</v>
      </c>
      <c r="Q77" s="116">
        <v>876.45</v>
      </c>
      <c r="R77">
        <v>4047524</v>
      </c>
    </row>
    <row r="78" spans="1:18" x14ac:dyDescent="0.25">
      <c r="A78" s="170">
        <v>42116</v>
      </c>
      <c r="B78" s="116">
        <v>219.560683900524</v>
      </c>
      <c r="C78" s="116">
        <v>217.90147277698</v>
      </c>
      <c r="D78" s="116">
        <v>214.855458326296</v>
      </c>
      <c r="E78" s="116">
        <v>218.074823192873</v>
      </c>
      <c r="F78" s="116">
        <v>879.9</v>
      </c>
      <c r="G78">
        <v>302454</v>
      </c>
      <c r="H78" s="116"/>
      <c r="I78" s="116"/>
      <c r="L78" s="170">
        <v>42116</v>
      </c>
      <c r="M78" s="116">
        <v>217.87221736627501</v>
      </c>
      <c r="N78" s="116">
        <v>219.60578431320801</v>
      </c>
      <c r="O78" s="116">
        <v>214.71464899864799</v>
      </c>
      <c r="P78" s="116">
        <v>218.40467007140401</v>
      </c>
      <c r="Q78" s="116">
        <v>879.75</v>
      </c>
      <c r="R78">
        <v>3374188</v>
      </c>
    </row>
    <row r="79" spans="1:18" x14ac:dyDescent="0.25">
      <c r="A79" s="170">
        <v>42117</v>
      </c>
      <c r="B79" s="116">
        <v>220.37790728973201</v>
      </c>
      <c r="C79" s="116">
        <v>217.18330676828199</v>
      </c>
      <c r="D79" s="116">
        <v>215.26407002089999</v>
      </c>
      <c r="E79" s="116">
        <v>219.07777917053701</v>
      </c>
      <c r="F79" s="116">
        <v>877</v>
      </c>
      <c r="G79">
        <v>310531</v>
      </c>
      <c r="H79" s="116"/>
      <c r="I79" s="116"/>
      <c r="L79" s="170">
        <v>42117</v>
      </c>
      <c r="M79" s="116">
        <v>217.20355582960099</v>
      </c>
      <c r="N79" s="116">
        <v>220.26206322883201</v>
      </c>
      <c r="O79" s="116">
        <v>215.222336461678</v>
      </c>
      <c r="P79" s="116">
        <v>218.887592292336</v>
      </c>
      <c r="Q79" s="116">
        <v>877.05</v>
      </c>
      <c r="R79">
        <v>3048801</v>
      </c>
    </row>
    <row r="80" spans="1:18" x14ac:dyDescent="0.25">
      <c r="A80" s="170">
        <v>42118</v>
      </c>
      <c r="B80" s="116">
        <v>218.90442875464501</v>
      </c>
      <c r="C80" s="116">
        <v>217.77765105134301</v>
      </c>
      <c r="D80" s="116">
        <v>215.05357308731601</v>
      </c>
      <c r="E80" s="116">
        <v>217.14616025059101</v>
      </c>
      <c r="F80" s="116">
        <v>879.4</v>
      </c>
      <c r="G80">
        <v>307251</v>
      </c>
      <c r="H80" s="116"/>
      <c r="I80" s="116"/>
      <c r="L80" s="170">
        <v>42118</v>
      </c>
      <c r="M80" s="116">
        <v>217.66171280843301</v>
      </c>
      <c r="N80" s="116">
        <v>219.03618374493001</v>
      </c>
      <c r="O80" s="116">
        <v>215.12327549328199</v>
      </c>
      <c r="P80" s="116">
        <v>217.19117320855199</v>
      </c>
      <c r="Q80" s="116">
        <v>878.9</v>
      </c>
      <c r="R80">
        <v>2905259</v>
      </c>
    </row>
    <row r="81" spans="1:18" x14ac:dyDescent="0.25">
      <c r="A81" s="170">
        <v>42121</v>
      </c>
      <c r="B81" s="116">
        <v>219.78356300667099</v>
      </c>
      <c r="C81" s="116">
        <v>216.576580312658</v>
      </c>
      <c r="D81" s="116">
        <v>215.69744606063199</v>
      </c>
      <c r="E81" s="116">
        <v>218.173880573383</v>
      </c>
      <c r="F81" s="116">
        <v>874.55</v>
      </c>
      <c r="G81">
        <v>245491</v>
      </c>
      <c r="H81" s="116"/>
      <c r="I81" s="116"/>
      <c r="L81" s="170">
        <v>42121</v>
      </c>
      <c r="M81" s="116">
        <v>216.77016409286799</v>
      </c>
      <c r="N81" s="116">
        <v>219.79152362895101</v>
      </c>
      <c r="O81" s="116">
        <v>215.81670227205501</v>
      </c>
      <c r="P81" s="116">
        <v>217.94651309257199</v>
      </c>
      <c r="Q81" s="116">
        <v>875.3</v>
      </c>
      <c r="R81">
        <v>2524227</v>
      </c>
    </row>
    <row r="82" spans="1:18" x14ac:dyDescent="0.25">
      <c r="A82" s="170">
        <v>42122</v>
      </c>
      <c r="B82" s="116">
        <v>218.35961316183901</v>
      </c>
      <c r="C82" s="116">
        <v>214.21158535298099</v>
      </c>
      <c r="D82" s="116">
        <v>212.97336809660499</v>
      </c>
      <c r="E82" s="116">
        <v>216.688019865732</v>
      </c>
      <c r="F82" s="116">
        <v>865</v>
      </c>
      <c r="G82">
        <v>477021</v>
      </c>
      <c r="H82" s="116"/>
      <c r="I82" s="116"/>
      <c r="L82" s="170">
        <v>42122</v>
      </c>
      <c r="M82" s="116">
        <v>214.26887464086499</v>
      </c>
      <c r="N82" s="116">
        <v>218.42943531350301</v>
      </c>
      <c r="O82" s="116">
        <v>212.621986041279</v>
      </c>
      <c r="P82" s="116">
        <v>216.621572640274</v>
      </c>
      <c r="Q82" s="116">
        <v>865.2</v>
      </c>
      <c r="R82">
        <v>3357286</v>
      </c>
    </row>
    <row r="83" spans="1:18" x14ac:dyDescent="0.25">
      <c r="A83" s="170">
        <v>42123</v>
      </c>
      <c r="B83" s="116">
        <v>215.68506388806799</v>
      </c>
      <c r="C83" s="116">
        <v>210.80648789794799</v>
      </c>
      <c r="D83" s="116">
        <v>210.07593971668601</v>
      </c>
      <c r="E83" s="116">
        <v>213.815355830941</v>
      </c>
      <c r="F83" s="116">
        <v>851.25</v>
      </c>
      <c r="G83">
        <v>309185</v>
      </c>
      <c r="H83" s="116"/>
      <c r="I83" s="116"/>
      <c r="L83" s="170">
        <v>42123</v>
      </c>
      <c r="M83" s="116">
        <v>210.50455784181199</v>
      </c>
      <c r="N83" s="116">
        <v>215.59381509316401</v>
      </c>
      <c r="O83" s="116">
        <v>209.86066154723699</v>
      </c>
      <c r="P83" s="116">
        <v>213.476386893696</v>
      </c>
      <c r="Q83" s="116">
        <v>850</v>
      </c>
      <c r="R83">
        <v>3746012</v>
      </c>
    </row>
    <row r="84" spans="1:18" x14ac:dyDescent="0.25">
      <c r="A84" s="170">
        <v>42124</v>
      </c>
      <c r="B84" s="116">
        <v>214.434464459129</v>
      </c>
      <c r="C84" s="116">
        <v>213.67915193273899</v>
      </c>
      <c r="D84" s="116">
        <v>210.125468406941</v>
      </c>
      <c r="E84" s="116">
        <v>210.917927451022</v>
      </c>
      <c r="F84" s="116">
        <v>862.85</v>
      </c>
      <c r="G84">
        <v>333967</v>
      </c>
      <c r="H84" s="116"/>
      <c r="I84" s="116"/>
      <c r="L84" s="170">
        <v>42124</v>
      </c>
      <c r="M84" s="116">
        <v>213.56306524104301</v>
      </c>
      <c r="N84" s="116">
        <v>214.442231335559</v>
      </c>
      <c r="O84" s="116">
        <v>209.99687037878101</v>
      </c>
      <c r="P84" s="116">
        <v>210.50455784181199</v>
      </c>
      <c r="Q84" s="116">
        <v>862.35</v>
      </c>
      <c r="R84">
        <v>7955186</v>
      </c>
    </row>
    <row r="85" spans="1:18" x14ac:dyDescent="0.25">
      <c r="A85" s="170">
        <v>42128</v>
      </c>
      <c r="B85" s="116">
        <v>221.207512851503</v>
      </c>
      <c r="C85" s="116">
        <v>220.514111187933</v>
      </c>
      <c r="D85" s="116">
        <v>213.270540238135</v>
      </c>
      <c r="E85" s="116">
        <v>214.70687225553101</v>
      </c>
      <c r="F85" s="116">
        <v>890.45</v>
      </c>
      <c r="G85">
        <v>357224</v>
      </c>
      <c r="H85" s="116"/>
      <c r="I85" s="116"/>
      <c r="L85" s="170">
        <v>42128</v>
      </c>
      <c r="M85" s="116">
        <v>220.64592448136699</v>
      </c>
      <c r="N85" s="116">
        <v>221.37649912328899</v>
      </c>
      <c r="O85" s="116">
        <v>213.10490826221101</v>
      </c>
      <c r="P85" s="116">
        <v>214.51652706185601</v>
      </c>
      <c r="Q85" s="116">
        <v>890.95</v>
      </c>
      <c r="R85">
        <v>3446692</v>
      </c>
    </row>
    <row r="86" spans="1:18" x14ac:dyDescent="0.25">
      <c r="A86" s="170">
        <v>42129</v>
      </c>
      <c r="B86" s="116">
        <v>223.312482187342</v>
      </c>
      <c r="C86" s="116">
        <v>220.625550741007</v>
      </c>
      <c r="D86" s="116">
        <v>219.16445437848299</v>
      </c>
      <c r="E86" s="116">
        <v>221.14560198868401</v>
      </c>
      <c r="F86" s="116">
        <v>890.9</v>
      </c>
      <c r="G86">
        <v>357104</v>
      </c>
      <c r="H86" s="116"/>
      <c r="I86" s="116"/>
      <c r="L86" s="170">
        <v>42129</v>
      </c>
      <c r="M86" s="116">
        <v>220.94310738655599</v>
      </c>
      <c r="N86" s="116">
        <v>223.33295324911299</v>
      </c>
      <c r="O86" s="116">
        <v>219.197157818574</v>
      </c>
      <c r="P86" s="116">
        <v>221.32696863909101</v>
      </c>
      <c r="Q86" s="116">
        <v>892.15</v>
      </c>
      <c r="R86">
        <v>4079468</v>
      </c>
    </row>
    <row r="87" spans="1:18" x14ac:dyDescent="0.25">
      <c r="A87" s="170">
        <v>42130</v>
      </c>
      <c r="B87" s="116">
        <v>221.98758972301999</v>
      </c>
      <c r="C87" s="116">
        <v>217.74050453365101</v>
      </c>
      <c r="D87" s="116">
        <v>215.94508951190701</v>
      </c>
      <c r="E87" s="116">
        <v>220.66269725869799</v>
      </c>
      <c r="F87" s="116">
        <v>879.25</v>
      </c>
      <c r="G87">
        <v>532670</v>
      </c>
      <c r="H87" s="116"/>
      <c r="I87" s="116"/>
      <c r="L87" s="170">
        <v>42130</v>
      </c>
      <c r="M87" s="116">
        <v>217.99604357677001</v>
      </c>
      <c r="N87" s="116">
        <v>222.08230852311101</v>
      </c>
      <c r="O87" s="116">
        <v>215.9529111036</v>
      </c>
      <c r="P87" s="116">
        <v>220.410654681426</v>
      </c>
      <c r="Q87" s="116">
        <v>880.25</v>
      </c>
      <c r="R87">
        <v>5128997</v>
      </c>
    </row>
    <row r="88" spans="1:18" x14ac:dyDescent="0.25">
      <c r="A88" s="170">
        <v>42131</v>
      </c>
      <c r="B88" s="116">
        <v>217.67859367083301</v>
      </c>
      <c r="C88" s="116">
        <v>215.30121653859101</v>
      </c>
      <c r="D88" s="116">
        <v>212.97336809660499</v>
      </c>
      <c r="E88" s="116">
        <v>217.25759980366499</v>
      </c>
      <c r="F88" s="116">
        <v>869.4</v>
      </c>
      <c r="G88">
        <v>439971</v>
      </c>
      <c r="H88" s="116"/>
      <c r="I88" s="116"/>
      <c r="L88" s="170">
        <v>42131</v>
      </c>
      <c r="M88" s="116">
        <v>215.643345577362</v>
      </c>
      <c r="N88" s="116">
        <v>217.55026921898801</v>
      </c>
      <c r="O88" s="116">
        <v>212.98108205171499</v>
      </c>
      <c r="P88" s="116">
        <v>216.69586836657101</v>
      </c>
      <c r="Q88" s="116">
        <v>870.75</v>
      </c>
      <c r="R88">
        <v>3825462</v>
      </c>
    </row>
    <row r="89" spans="1:18" x14ac:dyDescent="0.25">
      <c r="A89" s="170">
        <v>42132</v>
      </c>
      <c r="B89" s="116">
        <v>221.24465936919401</v>
      </c>
      <c r="C89" s="116">
        <v>220.37790728973201</v>
      </c>
      <c r="D89" s="116">
        <v>213.86488452119599</v>
      </c>
      <c r="E89" s="116">
        <v>215.69744606063199</v>
      </c>
      <c r="F89" s="116">
        <v>889.9</v>
      </c>
      <c r="G89">
        <v>489222</v>
      </c>
      <c r="H89" s="116"/>
      <c r="I89" s="116"/>
      <c r="L89" s="170">
        <v>42132</v>
      </c>
      <c r="M89" s="116">
        <v>220.33635895512899</v>
      </c>
      <c r="N89" s="116">
        <v>221.33935126014001</v>
      </c>
      <c r="O89" s="116">
        <v>213.253499714805</v>
      </c>
      <c r="P89" s="116">
        <v>215.70525868260901</v>
      </c>
      <c r="Q89" s="116">
        <v>889.7</v>
      </c>
      <c r="R89">
        <v>3909788</v>
      </c>
    </row>
    <row r="90" spans="1:18" x14ac:dyDescent="0.25">
      <c r="A90" s="170">
        <v>42135</v>
      </c>
      <c r="B90" s="116">
        <v>222.619080523771</v>
      </c>
      <c r="C90" s="116">
        <v>221.826621479691</v>
      </c>
      <c r="D90" s="116">
        <v>218.71869616618801</v>
      </c>
      <c r="E90" s="116">
        <v>220.89795853740901</v>
      </c>
      <c r="F90" s="116">
        <v>895.75</v>
      </c>
      <c r="G90">
        <v>367532</v>
      </c>
      <c r="H90" s="116"/>
      <c r="I90" s="116"/>
      <c r="L90" s="170">
        <v>42135</v>
      </c>
      <c r="M90" s="116">
        <v>221.884186586319</v>
      </c>
      <c r="N90" s="116">
        <v>222.750970059785</v>
      </c>
      <c r="O90" s="116">
        <v>218.77614870289</v>
      </c>
      <c r="P90" s="116">
        <v>221.11646408124901</v>
      </c>
      <c r="Q90" s="116">
        <v>895.95</v>
      </c>
      <c r="R90">
        <v>3249083</v>
      </c>
    </row>
    <row r="91" spans="1:18" x14ac:dyDescent="0.25">
      <c r="A91" s="170">
        <v>42136</v>
      </c>
      <c r="B91" s="116">
        <v>221.64088889123499</v>
      </c>
      <c r="C91" s="116">
        <v>215.041190914753</v>
      </c>
      <c r="D91" s="116">
        <v>214.27349621580001</v>
      </c>
      <c r="E91" s="116">
        <v>221.64088889123499</v>
      </c>
      <c r="F91" s="116">
        <v>868.35</v>
      </c>
      <c r="G91">
        <v>373248</v>
      </c>
      <c r="H91" s="116"/>
      <c r="I91" s="116"/>
      <c r="L91" s="170">
        <v>42136</v>
      </c>
      <c r="M91" s="116">
        <v>215.13565811433199</v>
      </c>
      <c r="N91" s="116">
        <v>221.62415154427899</v>
      </c>
      <c r="O91" s="116">
        <v>214.25649201981599</v>
      </c>
      <c r="P91" s="116">
        <v>221.62415154427899</v>
      </c>
      <c r="Q91" s="116">
        <v>868.7</v>
      </c>
      <c r="R91">
        <v>3805956</v>
      </c>
    </row>
    <row r="92" spans="1:18" x14ac:dyDescent="0.25">
      <c r="A92" s="170">
        <v>42137</v>
      </c>
      <c r="B92" s="116">
        <v>220.15502818358399</v>
      </c>
      <c r="C92" s="116">
        <v>219.114925688228</v>
      </c>
      <c r="D92" s="116">
        <v>212.45331684892801</v>
      </c>
      <c r="E92" s="116">
        <v>216.688019865732</v>
      </c>
      <c r="F92" s="116">
        <v>884.8</v>
      </c>
      <c r="G92">
        <v>437442</v>
      </c>
      <c r="H92" s="116"/>
      <c r="I92" s="116"/>
      <c r="L92" s="170">
        <v>42137</v>
      </c>
      <c r="M92" s="116">
        <v>219.197157818574</v>
      </c>
      <c r="N92" s="116">
        <v>220.076323913089</v>
      </c>
      <c r="O92" s="116">
        <v>212.287655272942</v>
      </c>
      <c r="P92" s="116">
        <v>216.287241871937</v>
      </c>
      <c r="Q92" s="116">
        <v>885.1</v>
      </c>
      <c r="R92">
        <v>3817667</v>
      </c>
    </row>
    <row r="93" spans="1:18" x14ac:dyDescent="0.25">
      <c r="A93" s="170">
        <v>42138</v>
      </c>
      <c r="B93" s="116">
        <v>219.41209782975901</v>
      </c>
      <c r="C93" s="116">
        <v>217.554771945195</v>
      </c>
      <c r="D93" s="116">
        <v>215.69744606063199</v>
      </c>
      <c r="E93" s="116">
        <v>218.48343488747699</v>
      </c>
      <c r="F93" s="116">
        <v>878.5</v>
      </c>
      <c r="G93">
        <v>316156</v>
      </c>
      <c r="H93" s="116"/>
      <c r="I93" s="116"/>
      <c r="L93" s="170">
        <v>42138</v>
      </c>
      <c r="M93" s="116">
        <v>217.48835611374</v>
      </c>
      <c r="N93" s="116">
        <v>219.46957548166299</v>
      </c>
      <c r="O93" s="116">
        <v>215.531901987916</v>
      </c>
      <c r="P93" s="116">
        <v>219.420044997465</v>
      </c>
      <c r="Q93" s="116">
        <v>878.2</v>
      </c>
      <c r="R93">
        <v>2818365</v>
      </c>
    </row>
    <row r="94" spans="1:18" x14ac:dyDescent="0.25">
      <c r="A94" s="170">
        <v>42139</v>
      </c>
      <c r="B94" s="116">
        <v>219.51115521026901</v>
      </c>
      <c r="C94" s="116">
        <v>216.427994241893</v>
      </c>
      <c r="D94" s="116">
        <v>215.74697475088701</v>
      </c>
      <c r="E94" s="116">
        <v>218.248173608765</v>
      </c>
      <c r="F94" s="116">
        <v>873.95</v>
      </c>
      <c r="G94">
        <v>200012</v>
      </c>
      <c r="H94" s="116"/>
      <c r="I94" s="116"/>
      <c r="L94" s="170">
        <v>42139</v>
      </c>
      <c r="M94" s="116">
        <v>216.43583332453099</v>
      </c>
      <c r="N94" s="116">
        <v>219.65531479740599</v>
      </c>
      <c r="O94" s="116">
        <v>215.48237150371801</v>
      </c>
      <c r="P94" s="116">
        <v>218.40467007140401</v>
      </c>
      <c r="Q94" s="116">
        <v>873.95</v>
      </c>
      <c r="R94">
        <v>1904490</v>
      </c>
    </row>
    <row r="95" spans="1:18" x14ac:dyDescent="0.25">
      <c r="A95" s="170">
        <v>42142</v>
      </c>
      <c r="B95" s="116">
        <v>220.92272288253699</v>
      </c>
      <c r="C95" s="116">
        <v>220.526493360497</v>
      </c>
      <c r="D95" s="116">
        <v>216.19273296318201</v>
      </c>
      <c r="E95" s="116">
        <v>216.98519200726199</v>
      </c>
      <c r="F95" s="116">
        <v>890.5</v>
      </c>
      <c r="G95">
        <v>262804</v>
      </c>
      <c r="H95" s="116"/>
      <c r="I95" s="116"/>
      <c r="L95" s="170">
        <v>42142</v>
      </c>
      <c r="M95" s="116">
        <v>220.79451593396101</v>
      </c>
      <c r="N95" s="116">
        <v>221.40126436538799</v>
      </c>
      <c r="O95" s="116">
        <v>216.00244158779799</v>
      </c>
      <c r="P95" s="116">
        <v>216.67110312447201</v>
      </c>
      <c r="Q95" s="116">
        <v>891.55</v>
      </c>
      <c r="R95">
        <v>2250982</v>
      </c>
    </row>
    <row r="96" spans="1:18" x14ac:dyDescent="0.25">
      <c r="A96" s="170">
        <v>42143</v>
      </c>
      <c r="B96" s="116">
        <v>224.104941231422</v>
      </c>
      <c r="C96" s="116">
        <v>221.76471061687201</v>
      </c>
      <c r="D96" s="116">
        <v>219.68450562616101</v>
      </c>
      <c r="E96" s="116">
        <v>220.89795853740901</v>
      </c>
      <c r="F96" s="116">
        <v>895.5</v>
      </c>
      <c r="G96">
        <v>399582</v>
      </c>
      <c r="H96" s="116"/>
      <c r="I96" s="116"/>
      <c r="L96" s="170">
        <v>42143</v>
      </c>
      <c r="M96" s="116">
        <v>221.785125617923</v>
      </c>
      <c r="N96" s="116">
        <v>224.063527891034</v>
      </c>
      <c r="O96" s="116">
        <v>219.56863645005899</v>
      </c>
      <c r="P96" s="116">
        <v>220.720220207664</v>
      </c>
      <c r="Q96" s="116">
        <v>895.55</v>
      </c>
      <c r="R96">
        <v>3317436</v>
      </c>
    </row>
    <row r="97" spans="1:18" x14ac:dyDescent="0.25">
      <c r="A97" s="170">
        <v>42144</v>
      </c>
      <c r="B97" s="116">
        <v>225.231718934724</v>
      </c>
      <c r="C97" s="116">
        <v>224.711667687046</v>
      </c>
      <c r="D97" s="116">
        <v>222.606698351208</v>
      </c>
      <c r="E97" s="116">
        <v>222.87910614761</v>
      </c>
      <c r="F97" s="116">
        <v>907.4</v>
      </c>
      <c r="G97">
        <v>301940</v>
      </c>
      <c r="H97" s="116"/>
      <c r="I97" s="116"/>
      <c r="L97" s="170">
        <v>42144</v>
      </c>
      <c r="M97" s="116">
        <v>225.07890281709501</v>
      </c>
      <c r="N97" s="116">
        <v>225.61135552222399</v>
      </c>
      <c r="O97" s="116">
        <v>222.317578323052</v>
      </c>
      <c r="P97" s="116">
        <v>222.986239859726</v>
      </c>
      <c r="Q97" s="116">
        <v>908.85</v>
      </c>
      <c r="R97">
        <v>1990706</v>
      </c>
    </row>
    <row r="98" spans="1:18" x14ac:dyDescent="0.25">
      <c r="A98" s="170">
        <v>42145</v>
      </c>
      <c r="B98" s="116">
        <v>226.717579642375</v>
      </c>
      <c r="C98" s="116">
        <v>222.11141144865701</v>
      </c>
      <c r="D98" s="116">
        <v>221.393245439959</v>
      </c>
      <c r="E98" s="116">
        <v>225.41745152318001</v>
      </c>
      <c r="F98" s="116">
        <v>896.9</v>
      </c>
      <c r="G98">
        <v>485092</v>
      </c>
      <c r="H98" s="116"/>
      <c r="I98" s="116"/>
      <c r="L98" s="170">
        <v>42145</v>
      </c>
      <c r="M98" s="116">
        <v>222.08230852311101</v>
      </c>
      <c r="N98" s="116">
        <v>226.70102617458201</v>
      </c>
      <c r="O98" s="116">
        <v>221.42602960748701</v>
      </c>
      <c r="P98" s="116">
        <v>225.673268627472</v>
      </c>
      <c r="Q98" s="116">
        <v>896.75</v>
      </c>
      <c r="R98">
        <v>2459446</v>
      </c>
    </row>
    <row r="99" spans="1:18" x14ac:dyDescent="0.25">
      <c r="A99" s="170">
        <v>42146</v>
      </c>
      <c r="B99" s="116">
        <v>224.06779471373099</v>
      </c>
      <c r="C99" s="116">
        <v>223.53536129348899</v>
      </c>
      <c r="D99" s="116">
        <v>222.13617579378499</v>
      </c>
      <c r="E99" s="116">
        <v>222.18570448404</v>
      </c>
      <c r="F99" s="116">
        <v>902.65</v>
      </c>
      <c r="G99">
        <v>189317</v>
      </c>
      <c r="H99" s="116"/>
      <c r="I99" s="116"/>
      <c r="L99" s="170">
        <v>42146</v>
      </c>
      <c r="M99" s="116">
        <v>223.840640712143</v>
      </c>
      <c r="N99" s="116">
        <v>224.274032448876</v>
      </c>
      <c r="O99" s="116">
        <v>222.14422162835899</v>
      </c>
      <c r="P99" s="116">
        <v>222.14422162835899</v>
      </c>
      <c r="Q99" s="116">
        <v>903.85</v>
      </c>
      <c r="R99">
        <v>1908452</v>
      </c>
    </row>
    <row r="100" spans="1:18" x14ac:dyDescent="0.25">
      <c r="A100" s="170">
        <v>42149</v>
      </c>
      <c r="B100" s="116">
        <v>224.76119637730099</v>
      </c>
      <c r="C100" s="116">
        <v>221.44277413021501</v>
      </c>
      <c r="D100" s="116">
        <v>220.947487227664</v>
      </c>
      <c r="E100" s="116">
        <v>223.21342480683199</v>
      </c>
      <c r="F100" s="116">
        <v>894.2</v>
      </c>
      <c r="G100">
        <v>190722</v>
      </c>
      <c r="H100" s="116"/>
      <c r="I100" s="116"/>
      <c r="L100" s="170">
        <v>42149</v>
      </c>
      <c r="M100" s="116">
        <v>221.52509057588301</v>
      </c>
      <c r="N100" s="116">
        <v>224.86839825925301</v>
      </c>
      <c r="O100" s="116">
        <v>220.99263787075401</v>
      </c>
      <c r="P100" s="116">
        <v>222.88717889133</v>
      </c>
      <c r="Q100" s="116">
        <v>894.5</v>
      </c>
      <c r="R100">
        <v>1512612</v>
      </c>
    </row>
    <row r="101" spans="1:18" x14ac:dyDescent="0.25">
      <c r="A101" s="170">
        <v>42150</v>
      </c>
      <c r="B101" s="116">
        <v>222.012354068147</v>
      </c>
      <c r="C101" s="116">
        <v>219.07777917053701</v>
      </c>
      <c r="D101" s="116">
        <v>218.71869616618801</v>
      </c>
      <c r="E101" s="116">
        <v>221.76471061687201</v>
      </c>
      <c r="F101" s="116">
        <v>884.65</v>
      </c>
      <c r="G101">
        <v>154381</v>
      </c>
      <c r="H101" s="116"/>
      <c r="I101" s="116"/>
      <c r="L101" s="170">
        <v>42150</v>
      </c>
      <c r="M101" s="116">
        <v>219.07333160807801</v>
      </c>
      <c r="N101" s="116">
        <v>221.896569207369</v>
      </c>
      <c r="O101" s="116">
        <v>218.60279200819701</v>
      </c>
      <c r="P101" s="116">
        <v>221.64891678637801</v>
      </c>
      <c r="Q101" s="116">
        <v>884.6</v>
      </c>
      <c r="R101">
        <v>2173883</v>
      </c>
    </row>
    <row r="102" spans="1:18" x14ac:dyDescent="0.25">
      <c r="A102" s="170">
        <v>42151</v>
      </c>
      <c r="B102" s="116">
        <v>220.600786395879</v>
      </c>
      <c r="C102" s="116">
        <v>219.64735910847</v>
      </c>
      <c r="D102" s="116">
        <v>218.11196971056401</v>
      </c>
      <c r="E102" s="116">
        <v>218.941575272336</v>
      </c>
      <c r="F102" s="116">
        <v>886.95</v>
      </c>
      <c r="G102">
        <v>188643</v>
      </c>
      <c r="H102" s="116"/>
      <c r="I102" s="116"/>
      <c r="L102" s="170">
        <v>42151</v>
      </c>
      <c r="M102" s="116">
        <v>219.24668830277199</v>
      </c>
      <c r="N102" s="116">
        <v>220.63354186031799</v>
      </c>
      <c r="O102" s="116">
        <v>217.98366095572101</v>
      </c>
      <c r="P102" s="116">
        <v>219.420044997465</v>
      </c>
      <c r="Q102" s="116">
        <v>885.3</v>
      </c>
      <c r="R102">
        <v>1846549</v>
      </c>
    </row>
    <row r="103" spans="1:18" x14ac:dyDescent="0.25">
      <c r="A103" s="170">
        <v>42152</v>
      </c>
      <c r="B103" s="116">
        <v>221.393245439959</v>
      </c>
      <c r="C103" s="116">
        <v>217.121395905464</v>
      </c>
      <c r="D103" s="116">
        <v>216.29179034369201</v>
      </c>
      <c r="E103" s="116">
        <v>219.634976935906</v>
      </c>
      <c r="F103" s="116">
        <v>876.75</v>
      </c>
      <c r="G103">
        <v>235493</v>
      </c>
      <c r="H103" s="116"/>
      <c r="I103" s="116"/>
      <c r="L103" s="170">
        <v>42152</v>
      </c>
      <c r="M103" s="116">
        <v>216.89399030336301</v>
      </c>
      <c r="N103" s="116">
        <v>221.463177470635</v>
      </c>
      <c r="O103" s="116">
        <v>215.9529111036</v>
      </c>
      <c r="P103" s="116">
        <v>219.38289713431601</v>
      </c>
      <c r="Q103" s="116">
        <v>875.8</v>
      </c>
      <c r="R103">
        <v>6066339</v>
      </c>
    </row>
    <row r="104" spans="1:18" x14ac:dyDescent="0.25">
      <c r="A104" s="170">
        <v>42153</v>
      </c>
      <c r="B104" s="116">
        <v>219.53591955539599</v>
      </c>
      <c r="C104" s="116">
        <v>217.220453285974</v>
      </c>
      <c r="D104" s="116">
        <v>216.44037641445701</v>
      </c>
      <c r="E104" s="116">
        <v>217.80241539647</v>
      </c>
      <c r="F104" s="116">
        <v>877.15</v>
      </c>
      <c r="G104">
        <v>623744</v>
      </c>
      <c r="H104" s="116"/>
      <c r="I104" s="116"/>
      <c r="L104" s="170">
        <v>42153</v>
      </c>
      <c r="M104" s="116">
        <v>217.19117320855199</v>
      </c>
      <c r="N104" s="116">
        <v>219.531488586911</v>
      </c>
      <c r="O104" s="116">
        <v>216.22532876668899</v>
      </c>
      <c r="P104" s="116">
        <v>217.909365229424</v>
      </c>
      <c r="Q104" s="116">
        <v>877</v>
      </c>
      <c r="R104">
        <v>6692348</v>
      </c>
    </row>
    <row r="105" spans="1:18" x14ac:dyDescent="0.25">
      <c r="A105" s="170">
        <v>42156</v>
      </c>
      <c r="B105" s="116">
        <v>223.86967995271101</v>
      </c>
      <c r="C105" s="116">
        <v>223.21342480683199</v>
      </c>
      <c r="D105" s="116">
        <v>217.18330676828199</v>
      </c>
      <c r="E105" s="116">
        <v>217.18330676828199</v>
      </c>
      <c r="F105" s="116">
        <v>901.35</v>
      </c>
      <c r="G105">
        <v>271380</v>
      </c>
      <c r="H105" s="116"/>
      <c r="I105" s="116"/>
      <c r="L105" s="170">
        <v>42156</v>
      </c>
      <c r="M105" s="116">
        <v>223.44439683855799</v>
      </c>
      <c r="N105" s="116">
        <v>224.10067575418299</v>
      </c>
      <c r="O105" s="116">
        <v>217.43882562954201</v>
      </c>
      <c r="P105" s="116">
        <v>217.93413047152299</v>
      </c>
      <c r="Q105" s="116">
        <v>902.25</v>
      </c>
      <c r="R105">
        <v>4479082</v>
      </c>
    </row>
    <row r="106" spans="1:18" x14ac:dyDescent="0.25">
      <c r="A106" s="170">
        <v>42157</v>
      </c>
      <c r="B106" s="116">
        <v>227.46050999619999</v>
      </c>
      <c r="C106" s="116">
        <v>222.55716966095301</v>
      </c>
      <c r="D106" s="116">
        <v>220.687461603825</v>
      </c>
      <c r="E106" s="116">
        <v>223.906826470402</v>
      </c>
      <c r="F106" s="116">
        <v>898.7</v>
      </c>
      <c r="G106">
        <v>558053</v>
      </c>
      <c r="H106" s="116"/>
      <c r="I106" s="116"/>
      <c r="L106" s="170">
        <v>42157</v>
      </c>
      <c r="M106" s="116">
        <v>222.552848122993</v>
      </c>
      <c r="N106" s="116">
        <v>227.54304440594899</v>
      </c>
      <c r="O106" s="116">
        <v>220.76975069186199</v>
      </c>
      <c r="P106" s="116">
        <v>224.31118031202499</v>
      </c>
      <c r="Q106" s="116">
        <v>898.65</v>
      </c>
      <c r="R106">
        <v>4612571</v>
      </c>
    </row>
    <row r="107" spans="1:18" x14ac:dyDescent="0.25">
      <c r="A107" s="170">
        <v>42158</v>
      </c>
      <c r="B107" s="116">
        <v>225.44221586830801</v>
      </c>
      <c r="C107" s="116">
        <v>221.86376799738201</v>
      </c>
      <c r="D107" s="116">
        <v>220.15502818358399</v>
      </c>
      <c r="E107" s="116">
        <v>222.63146269633501</v>
      </c>
      <c r="F107" s="116">
        <v>895.9</v>
      </c>
      <c r="G107">
        <v>445685</v>
      </c>
      <c r="H107" s="116"/>
      <c r="I107" s="116"/>
      <c r="L107" s="170">
        <v>42158</v>
      </c>
      <c r="M107" s="116">
        <v>221.98324755471501</v>
      </c>
      <c r="N107" s="116">
        <v>225.475146690679</v>
      </c>
      <c r="O107" s="116">
        <v>220.03917604994101</v>
      </c>
      <c r="P107" s="116">
        <v>222.63952647034</v>
      </c>
      <c r="Q107" s="116">
        <v>896.35</v>
      </c>
      <c r="R107">
        <v>3553618</v>
      </c>
    </row>
    <row r="108" spans="1:18" x14ac:dyDescent="0.25">
      <c r="A108" s="170">
        <v>42159</v>
      </c>
      <c r="B108" s="116">
        <v>226.816637022885</v>
      </c>
      <c r="C108" s="116">
        <v>225.97464928854899</v>
      </c>
      <c r="D108" s="116">
        <v>221.653271063798</v>
      </c>
      <c r="E108" s="116">
        <v>223.646800846563</v>
      </c>
      <c r="F108" s="116">
        <v>912.5</v>
      </c>
      <c r="G108">
        <v>461778</v>
      </c>
      <c r="H108" s="116"/>
      <c r="I108" s="116"/>
      <c r="L108" s="170">
        <v>42159</v>
      </c>
      <c r="M108" s="116">
        <v>226.03236463790799</v>
      </c>
      <c r="N108" s="116">
        <v>226.89914811137399</v>
      </c>
      <c r="O108" s="116">
        <v>221.042168354952</v>
      </c>
      <c r="P108" s="116">
        <v>223.92731905949</v>
      </c>
      <c r="Q108" s="116">
        <v>912.7</v>
      </c>
      <c r="R108">
        <v>3641649</v>
      </c>
    </row>
    <row r="109" spans="1:18" x14ac:dyDescent="0.25">
      <c r="A109" s="170">
        <v>42160</v>
      </c>
      <c r="B109" s="116">
        <v>227.00236961134101</v>
      </c>
      <c r="C109" s="116">
        <v>224.37734902782501</v>
      </c>
      <c r="D109" s="116">
        <v>223.86967995271101</v>
      </c>
      <c r="E109" s="116">
        <v>225.35554066036099</v>
      </c>
      <c r="F109" s="116">
        <v>906.05</v>
      </c>
      <c r="G109">
        <v>287749</v>
      </c>
      <c r="H109" s="116"/>
      <c r="I109" s="116"/>
      <c r="L109" s="170">
        <v>42160</v>
      </c>
      <c r="M109" s="116">
        <v>224.806485154005</v>
      </c>
      <c r="N109" s="116">
        <v>227.084887427117</v>
      </c>
      <c r="O109" s="116">
        <v>223.98923216473699</v>
      </c>
      <c r="P109" s="116">
        <v>225.338937859135</v>
      </c>
      <c r="Q109" s="116">
        <v>907.75</v>
      </c>
      <c r="R109">
        <v>2986745</v>
      </c>
    </row>
    <row r="110" spans="1:18" x14ac:dyDescent="0.25">
      <c r="A110" s="170">
        <v>42163</v>
      </c>
      <c r="B110" s="116">
        <v>225.51650890369001</v>
      </c>
      <c r="C110" s="116">
        <v>219.22636524130201</v>
      </c>
      <c r="D110" s="116">
        <v>218.83013571926199</v>
      </c>
      <c r="E110" s="116">
        <v>225.058368518831</v>
      </c>
      <c r="F110" s="116">
        <v>885.25</v>
      </c>
      <c r="G110">
        <v>216884</v>
      </c>
      <c r="H110" s="116"/>
      <c r="I110" s="116"/>
      <c r="L110" s="170">
        <v>42163</v>
      </c>
      <c r="M110" s="116">
        <v>219.28383616592001</v>
      </c>
      <c r="N110" s="116">
        <v>225.36370310123399</v>
      </c>
      <c r="O110" s="116">
        <v>218.70185297659299</v>
      </c>
      <c r="P110" s="116">
        <v>224.571215354065</v>
      </c>
      <c r="Q110" s="116">
        <v>885.45</v>
      </c>
      <c r="R110">
        <v>2479431</v>
      </c>
    </row>
    <row r="111" spans="1:18" x14ac:dyDescent="0.25">
      <c r="A111" s="170">
        <v>42164</v>
      </c>
      <c r="B111" s="116">
        <v>220.526493360497</v>
      </c>
      <c r="C111" s="116">
        <v>218.89204658208101</v>
      </c>
      <c r="D111" s="116">
        <v>217.43095021955801</v>
      </c>
      <c r="E111" s="116">
        <v>219.22636524130201</v>
      </c>
      <c r="F111" s="116">
        <v>883.9</v>
      </c>
      <c r="G111">
        <v>204010</v>
      </c>
      <c r="H111" s="116"/>
      <c r="I111" s="116"/>
      <c r="L111" s="170">
        <v>42164</v>
      </c>
      <c r="M111" s="116">
        <v>218.85044442918701</v>
      </c>
      <c r="N111" s="116">
        <v>220.57162875507001</v>
      </c>
      <c r="O111" s="116">
        <v>217.277851555898</v>
      </c>
      <c r="P111" s="116">
        <v>218.81329656603901</v>
      </c>
      <c r="Q111" s="116">
        <v>883.7</v>
      </c>
      <c r="R111">
        <v>2092303</v>
      </c>
    </row>
    <row r="112" spans="1:18" x14ac:dyDescent="0.25">
      <c r="A112" s="170">
        <v>42165</v>
      </c>
      <c r="B112" s="116">
        <v>225.330776315234</v>
      </c>
      <c r="C112" s="116">
        <v>224.340202510133</v>
      </c>
      <c r="D112" s="116">
        <v>219.16445437848299</v>
      </c>
      <c r="E112" s="116">
        <v>219.16445437848299</v>
      </c>
      <c r="F112" s="116">
        <v>905.9</v>
      </c>
      <c r="G112">
        <v>289182</v>
      </c>
      <c r="H112" s="116"/>
      <c r="I112" s="116"/>
      <c r="L112" s="170">
        <v>42165</v>
      </c>
      <c r="M112" s="116">
        <v>224.32356293307399</v>
      </c>
      <c r="N112" s="116">
        <v>225.338937859135</v>
      </c>
      <c r="O112" s="116">
        <v>219.172392576475</v>
      </c>
      <c r="P112" s="116">
        <v>219.420044997465</v>
      </c>
      <c r="Q112" s="116">
        <v>905.8</v>
      </c>
      <c r="R112">
        <v>3088017</v>
      </c>
    </row>
    <row r="113" spans="1:18" x14ac:dyDescent="0.25">
      <c r="A113" s="170">
        <v>42166</v>
      </c>
      <c r="B113" s="116">
        <v>225.09551503652301</v>
      </c>
      <c r="C113" s="116">
        <v>217.23283545853701</v>
      </c>
      <c r="D113" s="116">
        <v>216.44037641445701</v>
      </c>
      <c r="E113" s="116">
        <v>224.58784596140899</v>
      </c>
      <c r="F113" s="116">
        <v>877.2</v>
      </c>
      <c r="G113">
        <v>416598</v>
      </c>
      <c r="H113" s="116"/>
      <c r="I113" s="116"/>
      <c r="L113" s="170">
        <v>42166</v>
      </c>
      <c r="M113" s="116">
        <v>217.22832107170001</v>
      </c>
      <c r="N113" s="116">
        <v>225.239876890739</v>
      </c>
      <c r="O113" s="116">
        <v>216.36153759823401</v>
      </c>
      <c r="P113" s="116">
        <v>224.373093417272</v>
      </c>
      <c r="Q113" s="116">
        <v>877.15</v>
      </c>
      <c r="R113">
        <v>3354787</v>
      </c>
    </row>
    <row r="114" spans="1:18" x14ac:dyDescent="0.25">
      <c r="A114" s="170">
        <v>42167</v>
      </c>
      <c r="B114" s="116">
        <v>221.02178026304699</v>
      </c>
      <c r="C114" s="116">
        <v>220.19217470127501</v>
      </c>
      <c r="D114" s="116">
        <v>217.641447153141</v>
      </c>
      <c r="E114" s="116">
        <v>217.75288670621501</v>
      </c>
      <c r="F114" s="116">
        <v>889.15</v>
      </c>
      <c r="G114">
        <v>397129</v>
      </c>
      <c r="H114" s="116"/>
      <c r="I114" s="116"/>
      <c r="L114" s="170">
        <v>42167</v>
      </c>
      <c r="M114" s="116">
        <v>220.373506818278</v>
      </c>
      <c r="N114" s="116">
        <v>221.07931621809999</v>
      </c>
      <c r="O114" s="116">
        <v>217.50073873478999</v>
      </c>
      <c r="P114" s="116">
        <v>217.686478050532</v>
      </c>
      <c r="Q114" s="116">
        <v>889.85</v>
      </c>
      <c r="R114">
        <v>4924556</v>
      </c>
    </row>
    <row r="115" spans="1:18" x14ac:dyDescent="0.25">
      <c r="A115" s="170">
        <v>42170</v>
      </c>
      <c r="B115" s="116">
        <v>224.018266023476</v>
      </c>
      <c r="C115" s="116">
        <v>223.126749598885</v>
      </c>
      <c r="D115" s="116">
        <v>220.40267163485899</v>
      </c>
      <c r="E115" s="116">
        <v>221.318952404577</v>
      </c>
      <c r="F115" s="116">
        <v>901</v>
      </c>
      <c r="G115">
        <v>259776</v>
      </c>
      <c r="H115" s="116"/>
      <c r="I115" s="116"/>
      <c r="L115" s="170">
        <v>42170</v>
      </c>
      <c r="M115" s="116">
        <v>223.320570628063</v>
      </c>
      <c r="N115" s="116">
        <v>224.12544099628201</v>
      </c>
      <c r="O115" s="116">
        <v>220.410654681426</v>
      </c>
      <c r="P115" s="116">
        <v>221.62415154427899</v>
      </c>
      <c r="Q115" s="116">
        <v>901.75</v>
      </c>
      <c r="R115">
        <v>2939253</v>
      </c>
    </row>
    <row r="116" spans="1:18" x14ac:dyDescent="0.25">
      <c r="A116" s="170">
        <v>42171</v>
      </c>
      <c r="B116" s="116">
        <v>224.340202510133</v>
      </c>
      <c r="C116" s="116">
        <v>223.85729778014701</v>
      </c>
      <c r="D116" s="116">
        <v>221.02178026304699</v>
      </c>
      <c r="E116" s="116">
        <v>222.85434180248299</v>
      </c>
      <c r="F116" s="116">
        <v>903.95</v>
      </c>
      <c r="G116">
        <v>312970</v>
      </c>
      <c r="H116" s="116"/>
      <c r="I116" s="116"/>
      <c r="L116" s="170">
        <v>42171</v>
      </c>
      <c r="M116" s="116">
        <v>223.86540595424199</v>
      </c>
      <c r="N116" s="116">
        <v>224.12544099628201</v>
      </c>
      <c r="O116" s="116">
        <v>221.20314242859601</v>
      </c>
      <c r="P116" s="116">
        <v>222.63952647034</v>
      </c>
      <c r="Q116" s="116">
        <v>903.95</v>
      </c>
      <c r="R116">
        <v>3184005</v>
      </c>
    </row>
    <row r="117" spans="1:18" x14ac:dyDescent="0.25">
      <c r="A117" s="170">
        <v>42172</v>
      </c>
      <c r="B117" s="116">
        <v>232.88390157912499</v>
      </c>
      <c r="C117" s="116">
        <v>230.58081748226701</v>
      </c>
      <c r="D117" s="116">
        <v>221.49230282047</v>
      </c>
      <c r="E117" s="116">
        <v>224.11732340398601</v>
      </c>
      <c r="F117" s="116">
        <v>931.1</v>
      </c>
      <c r="G117">
        <v>869836</v>
      </c>
      <c r="H117" s="116"/>
      <c r="I117" s="116"/>
      <c r="L117" s="170">
        <v>42172</v>
      </c>
      <c r="M117" s="116">
        <v>230.61393442623</v>
      </c>
      <c r="N117" s="116">
        <v>233.37525892027199</v>
      </c>
      <c r="O117" s="116">
        <v>221.40126436538799</v>
      </c>
      <c r="P117" s="116">
        <v>224.13782361733101</v>
      </c>
      <c r="Q117" s="116">
        <v>931.2</v>
      </c>
      <c r="R117">
        <v>5996339</v>
      </c>
    </row>
    <row r="118" spans="1:18" x14ac:dyDescent="0.25">
      <c r="A118" s="170">
        <v>42173</v>
      </c>
      <c r="B118" s="116">
        <v>243.18586915217</v>
      </c>
      <c r="C118" s="116">
        <v>242.45532097090901</v>
      </c>
      <c r="D118" s="116">
        <v>231.05134003968899</v>
      </c>
      <c r="E118" s="116">
        <v>231.398040871474</v>
      </c>
      <c r="F118" s="116">
        <v>979.05</v>
      </c>
      <c r="G118">
        <v>1403351</v>
      </c>
      <c r="H118" s="116"/>
      <c r="I118" s="116"/>
      <c r="L118" s="170">
        <v>42173</v>
      </c>
      <c r="M118" s="116">
        <v>242.43933752852001</v>
      </c>
      <c r="N118" s="116">
        <v>243.19467741253999</v>
      </c>
      <c r="O118" s="116">
        <v>230.93588257351701</v>
      </c>
      <c r="P118" s="116">
        <v>230.94826519456601</v>
      </c>
      <c r="Q118" s="116">
        <v>978.95</v>
      </c>
      <c r="R118">
        <v>11284420</v>
      </c>
    </row>
    <row r="119" spans="1:18" x14ac:dyDescent="0.25">
      <c r="A119" s="170">
        <v>42174</v>
      </c>
      <c r="B119" s="116">
        <v>249.129311982773</v>
      </c>
      <c r="C119" s="116">
        <v>246.77669919566</v>
      </c>
      <c r="D119" s="116">
        <v>243.433512603445</v>
      </c>
      <c r="E119" s="116">
        <v>243.433512603445</v>
      </c>
      <c r="F119" s="116">
        <v>996.5</v>
      </c>
      <c r="G119">
        <v>1072967</v>
      </c>
      <c r="H119" s="116"/>
      <c r="I119" s="116"/>
      <c r="L119" s="170">
        <v>42174</v>
      </c>
      <c r="M119" s="116">
        <v>246.822785380049</v>
      </c>
      <c r="N119" s="116">
        <v>249.23739648470499</v>
      </c>
      <c r="O119" s="116">
        <v>243.31850362303501</v>
      </c>
      <c r="P119" s="116">
        <v>243.31850362303501</v>
      </c>
      <c r="Q119" s="116">
        <v>996.65</v>
      </c>
      <c r="R119">
        <v>10448751</v>
      </c>
    </row>
    <row r="120" spans="1:18" x14ac:dyDescent="0.25">
      <c r="A120" s="170">
        <v>42177</v>
      </c>
      <c r="B120" s="116">
        <v>249.79794930121599</v>
      </c>
      <c r="C120" s="116">
        <v>245.50133542159301</v>
      </c>
      <c r="D120" s="116">
        <v>244.3374112006</v>
      </c>
      <c r="E120" s="116">
        <v>246.87575657617001</v>
      </c>
      <c r="F120" s="116">
        <v>991.35</v>
      </c>
      <c r="G120">
        <v>649734</v>
      </c>
      <c r="H120" s="116"/>
      <c r="I120" s="116"/>
      <c r="L120" s="170">
        <v>42177</v>
      </c>
      <c r="M120" s="116">
        <v>245.59690589614701</v>
      </c>
      <c r="N120" s="116">
        <v>249.80699705298301</v>
      </c>
      <c r="O120" s="116">
        <v>244.30911330699701</v>
      </c>
      <c r="P120" s="116">
        <v>246.89708110634601</v>
      </c>
      <c r="Q120" s="116">
        <v>991.7</v>
      </c>
      <c r="R120">
        <v>4433185</v>
      </c>
    </row>
    <row r="121" spans="1:18" x14ac:dyDescent="0.25">
      <c r="A121" s="170">
        <v>42178</v>
      </c>
      <c r="B121" s="116">
        <v>248.237795558183</v>
      </c>
      <c r="C121" s="116">
        <v>246.343323155928</v>
      </c>
      <c r="D121" s="116">
        <v>245.35274935082799</v>
      </c>
      <c r="E121" s="116">
        <v>245.84803625337801</v>
      </c>
      <c r="F121" s="116">
        <v>994.75</v>
      </c>
      <c r="G121">
        <v>508162</v>
      </c>
      <c r="H121" s="116"/>
      <c r="I121" s="116"/>
      <c r="L121" s="170">
        <v>42178</v>
      </c>
      <c r="M121" s="116">
        <v>246.41415888541499</v>
      </c>
      <c r="N121" s="116">
        <v>248.321082527041</v>
      </c>
      <c r="O121" s="116">
        <v>245.423549201453</v>
      </c>
      <c r="P121" s="116">
        <v>245.832175696088</v>
      </c>
      <c r="Q121" s="116">
        <v>995</v>
      </c>
      <c r="R121">
        <v>3659045</v>
      </c>
    </row>
    <row r="122" spans="1:18" x14ac:dyDescent="0.25">
      <c r="A122" s="170">
        <v>42179</v>
      </c>
      <c r="B122" s="116">
        <v>249.26551588097499</v>
      </c>
      <c r="C122" s="116">
        <v>245.35274935082799</v>
      </c>
      <c r="D122" s="116">
        <v>244.17644295727101</v>
      </c>
      <c r="E122" s="116">
        <v>246.46714488156601</v>
      </c>
      <c r="F122" s="116">
        <v>990.75</v>
      </c>
      <c r="G122">
        <v>659933</v>
      </c>
      <c r="H122" s="116"/>
      <c r="I122" s="116"/>
      <c r="L122" s="170">
        <v>42179</v>
      </c>
      <c r="M122" s="116">
        <v>245.39878395935401</v>
      </c>
      <c r="N122" s="116">
        <v>249.24977910575501</v>
      </c>
      <c r="O122" s="116">
        <v>244.346261170145</v>
      </c>
      <c r="P122" s="116">
        <v>246.41415888541499</v>
      </c>
      <c r="Q122" s="116">
        <v>990.9</v>
      </c>
      <c r="R122">
        <v>4252334</v>
      </c>
    </row>
    <row r="123" spans="1:18" x14ac:dyDescent="0.25">
      <c r="A123" s="170">
        <v>42180</v>
      </c>
      <c r="B123" s="116">
        <v>249.88462450916199</v>
      </c>
      <c r="C123" s="116">
        <v>248.79499332355201</v>
      </c>
      <c r="D123" s="116">
        <v>243.965946023687</v>
      </c>
      <c r="E123" s="116">
        <v>245.290838488009</v>
      </c>
      <c r="F123" s="116">
        <v>1004.65</v>
      </c>
      <c r="G123">
        <v>778667</v>
      </c>
      <c r="H123" s="116"/>
      <c r="I123" s="116"/>
      <c r="L123" s="170">
        <v>42180</v>
      </c>
      <c r="M123" s="116">
        <v>248.77923950587299</v>
      </c>
      <c r="N123" s="116">
        <v>249.88129277927999</v>
      </c>
      <c r="O123" s="116">
        <v>243.93763467551099</v>
      </c>
      <c r="P123" s="116">
        <v>244.432939517492</v>
      </c>
      <c r="Q123" s="116">
        <v>1004.55</v>
      </c>
      <c r="R123">
        <v>6211775</v>
      </c>
    </row>
    <row r="124" spans="1:18" x14ac:dyDescent="0.25">
      <c r="A124" s="170">
        <v>42181</v>
      </c>
      <c r="B124" s="116">
        <v>251.06093090271901</v>
      </c>
      <c r="C124" s="116">
        <v>247.53201172204899</v>
      </c>
      <c r="D124" s="116">
        <v>246.52905574438401</v>
      </c>
      <c r="E124" s="116">
        <v>248.20064904049201</v>
      </c>
      <c r="F124" s="116">
        <v>999.55</v>
      </c>
      <c r="G124">
        <v>552085</v>
      </c>
      <c r="H124" s="116"/>
      <c r="I124" s="116"/>
      <c r="L124" s="170">
        <v>42181</v>
      </c>
      <c r="M124" s="116">
        <v>247.82577768505999</v>
      </c>
      <c r="N124" s="116">
        <v>251.144320126331</v>
      </c>
      <c r="O124" s="116">
        <v>246.51321985381099</v>
      </c>
      <c r="P124" s="116">
        <v>247.62765574826801</v>
      </c>
      <c r="Q124" s="116">
        <v>1000.7</v>
      </c>
      <c r="R124">
        <v>4792657</v>
      </c>
    </row>
    <row r="125" spans="1:18" x14ac:dyDescent="0.25">
      <c r="A125" s="170">
        <v>42184</v>
      </c>
      <c r="B125" s="116">
        <v>246.05853318696199</v>
      </c>
      <c r="C125" s="116">
        <v>245.35274935082799</v>
      </c>
      <c r="D125" s="116">
        <v>240.85802071018401</v>
      </c>
      <c r="E125" s="116">
        <v>243.92879950599601</v>
      </c>
      <c r="F125" s="116">
        <v>990.75</v>
      </c>
      <c r="G125">
        <v>536953</v>
      </c>
      <c r="H125" s="116"/>
      <c r="I125" s="116"/>
      <c r="L125" s="170">
        <v>42184</v>
      </c>
      <c r="M125" s="116">
        <v>245.38640133830501</v>
      </c>
      <c r="N125" s="116">
        <v>246.12935860127601</v>
      </c>
      <c r="O125" s="116">
        <v>240.71815320263599</v>
      </c>
      <c r="P125" s="116">
        <v>244.655826696383</v>
      </c>
      <c r="Q125" s="116">
        <v>990.85</v>
      </c>
      <c r="R125">
        <v>4610282</v>
      </c>
    </row>
    <row r="126" spans="1:18" x14ac:dyDescent="0.25">
      <c r="A126" s="170">
        <v>42185</v>
      </c>
      <c r="B126" s="116">
        <v>248.510203354585</v>
      </c>
      <c r="C126" s="116">
        <v>247.75489082819601</v>
      </c>
      <c r="D126" s="116">
        <v>244.671729859821</v>
      </c>
      <c r="E126" s="116">
        <v>245.16701676237099</v>
      </c>
      <c r="F126" s="116">
        <v>1000.45</v>
      </c>
      <c r="G126">
        <v>488603</v>
      </c>
      <c r="H126" s="116"/>
      <c r="I126" s="116"/>
      <c r="L126" s="170">
        <v>42185</v>
      </c>
      <c r="M126" s="116">
        <v>247.677186232466</v>
      </c>
      <c r="N126" s="116">
        <v>248.35823039018899</v>
      </c>
      <c r="O126" s="116">
        <v>244.680591938482</v>
      </c>
      <c r="P126" s="116">
        <v>245.15113153836401</v>
      </c>
      <c r="Q126" s="116">
        <v>1000.1</v>
      </c>
      <c r="R126">
        <v>5299670</v>
      </c>
    </row>
    <row r="127" spans="1:18" x14ac:dyDescent="0.25">
      <c r="A127" s="170">
        <v>42186</v>
      </c>
      <c r="B127" s="116">
        <v>250.28085403120301</v>
      </c>
      <c r="C127" s="116">
        <v>249.06740111995401</v>
      </c>
      <c r="D127" s="116">
        <v>248.13873817767299</v>
      </c>
      <c r="E127" s="116">
        <v>248.237795558183</v>
      </c>
      <c r="F127" s="116">
        <v>1005.75</v>
      </c>
      <c r="G127">
        <v>463792</v>
      </c>
      <c r="H127" s="116"/>
      <c r="I127" s="116"/>
      <c r="L127" s="170">
        <v>42186</v>
      </c>
      <c r="M127" s="116">
        <v>249.05165716896201</v>
      </c>
      <c r="N127" s="116">
        <v>250.24038878971601</v>
      </c>
      <c r="O127" s="116">
        <v>247.900073411357</v>
      </c>
      <c r="P127" s="116">
        <v>247.900073411357</v>
      </c>
      <c r="Q127" s="116">
        <v>1005.65</v>
      </c>
      <c r="R127">
        <v>3388578</v>
      </c>
    </row>
    <row r="128" spans="1:18" x14ac:dyDescent="0.25">
      <c r="A128" s="170">
        <v>42187</v>
      </c>
      <c r="B128" s="116">
        <v>252.58393812806099</v>
      </c>
      <c r="C128" s="116">
        <v>250.19417882325601</v>
      </c>
      <c r="D128" s="116">
        <v>249.16645850046399</v>
      </c>
      <c r="E128" s="116">
        <v>249.389337606612</v>
      </c>
      <c r="F128" s="116">
        <v>1010.3</v>
      </c>
      <c r="G128">
        <v>585463</v>
      </c>
      <c r="H128" s="116"/>
      <c r="I128" s="116"/>
      <c r="L128" s="170">
        <v>42187</v>
      </c>
      <c r="M128" s="116">
        <v>250.33944975811201</v>
      </c>
      <c r="N128" s="116">
        <v>252.543556304926</v>
      </c>
      <c r="O128" s="116">
        <v>249.410753179398</v>
      </c>
      <c r="P128" s="116">
        <v>249.88129277927999</v>
      </c>
      <c r="Q128" s="116">
        <v>1010.85</v>
      </c>
      <c r="R128">
        <v>3641605</v>
      </c>
    </row>
    <row r="129" spans="1:18" x14ac:dyDescent="0.25">
      <c r="A129" s="170">
        <v>42188</v>
      </c>
      <c r="B129" s="116">
        <v>250.98663786733701</v>
      </c>
      <c r="C129" s="116">
        <v>249.31504457123</v>
      </c>
      <c r="D129" s="116">
        <v>248.49782118202199</v>
      </c>
      <c r="E129" s="116">
        <v>250.342764894021</v>
      </c>
      <c r="F129" s="116">
        <v>1006.75</v>
      </c>
      <c r="G129">
        <v>532965</v>
      </c>
      <c r="H129" s="116"/>
      <c r="I129" s="116"/>
      <c r="L129" s="170">
        <v>42188</v>
      </c>
      <c r="M129" s="116">
        <v>249.43551842149699</v>
      </c>
      <c r="N129" s="116">
        <v>251.07002440003399</v>
      </c>
      <c r="O129" s="116">
        <v>248.40776087438701</v>
      </c>
      <c r="P129" s="116">
        <v>250.067032095023</v>
      </c>
      <c r="Q129" s="116">
        <v>1007.2</v>
      </c>
      <c r="R129">
        <v>3161556</v>
      </c>
    </row>
    <row r="130" spans="1:18" x14ac:dyDescent="0.25">
      <c r="A130" s="170">
        <v>42191</v>
      </c>
      <c r="B130" s="116">
        <v>252.31153033165899</v>
      </c>
      <c r="C130" s="116">
        <v>251.43239607963201</v>
      </c>
      <c r="D130" s="116">
        <v>246.65287747002199</v>
      </c>
      <c r="E130" s="116">
        <v>247.643451275122</v>
      </c>
      <c r="F130" s="116">
        <v>1015.3</v>
      </c>
      <c r="G130">
        <v>564557</v>
      </c>
      <c r="H130" s="116"/>
      <c r="I130" s="116"/>
      <c r="L130" s="170">
        <v>42191</v>
      </c>
      <c r="M130" s="116">
        <v>251.50341613676699</v>
      </c>
      <c r="N130" s="116">
        <v>252.33305174708499</v>
      </c>
      <c r="O130" s="116">
        <v>246.46368936961301</v>
      </c>
      <c r="P130" s="116">
        <v>246.68657654850401</v>
      </c>
      <c r="Q130" s="116">
        <v>1015.55</v>
      </c>
      <c r="R130">
        <v>2797340</v>
      </c>
    </row>
    <row r="131" spans="1:18" x14ac:dyDescent="0.25">
      <c r="A131" s="170">
        <v>42192</v>
      </c>
      <c r="B131" s="116">
        <v>251.729568221162</v>
      </c>
      <c r="C131" s="116">
        <v>248.48543900945799</v>
      </c>
      <c r="D131" s="116">
        <v>247.717744310505</v>
      </c>
      <c r="E131" s="116">
        <v>251.110459592974</v>
      </c>
      <c r="F131" s="116">
        <v>1003.4</v>
      </c>
      <c r="G131">
        <v>213529</v>
      </c>
      <c r="H131" s="116"/>
      <c r="I131" s="116"/>
      <c r="L131" s="170">
        <v>42192</v>
      </c>
      <c r="M131" s="116">
        <v>248.457291358585</v>
      </c>
      <c r="N131" s="116">
        <v>251.763451178807</v>
      </c>
      <c r="O131" s="116">
        <v>247.65242099036701</v>
      </c>
      <c r="P131" s="116">
        <v>250.376597621261</v>
      </c>
      <c r="Q131" s="116">
        <v>1003.25</v>
      </c>
      <c r="R131">
        <v>2581847</v>
      </c>
    </row>
    <row r="132" spans="1:18" x14ac:dyDescent="0.25">
      <c r="A132" s="170">
        <v>42193</v>
      </c>
      <c r="B132" s="116">
        <v>249.67412757557901</v>
      </c>
      <c r="C132" s="116">
        <v>246.35570532849201</v>
      </c>
      <c r="D132" s="116">
        <v>245.278456315445</v>
      </c>
      <c r="E132" s="116">
        <v>247.643451275122</v>
      </c>
      <c r="F132" s="116">
        <v>994.8</v>
      </c>
      <c r="G132">
        <v>410815</v>
      </c>
      <c r="H132" s="116"/>
      <c r="I132" s="116"/>
      <c r="L132" s="170">
        <v>42193</v>
      </c>
      <c r="M132" s="116">
        <v>246.810402759</v>
      </c>
      <c r="N132" s="116">
        <v>249.80699705298301</v>
      </c>
      <c r="O132" s="116">
        <v>245.58452327509701</v>
      </c>
      <c r="P132" s="116">
        <v>246.62466344325699</v>
      </c>
      <c r="Q132" s="116">
        <v>996.6</v>
      </c>
      <c r="R132">
        <v>3472328</v>
      </c>
    </row>
    <row r="133" spans="1:18" x14ac:dyDescent="0.25">
      <c r="A133" s="170">
        <v>42194</v>
      </c>
      <c r="B133" s="116">
        <v>248.00253427947101</v>
      </c>
      <c r="C133" s="116">
        <v>244.498379443928</v>
      </c>
      <c r="D133" s="116">
        <v>243.75544909010301</v>
      </c>
      <c r="E133" s="116">
        <v>246.491909226693</v>
      </c>
      <c r="F133" s="116">
        <v>987.3</v>
      </c>
      <c r="G133">
        <v>404304</v>
      </c>
      <c r="H133" s="116"/>
      <c r="I133" s="116"/>
      <c r="L133" s="170">
        <v>42194</v>
      </c>
      <c r="M133" s="116">
        <v>244.53200048588801</v>
      </c>
      <c r="N133" s="116">
        <v>247.900073411357</v>
      </c>
      <c r="O133" s="116">
        <v>243.479477696679</v>
      </c>
      <c r="P133" s="116">
        <v>246.66181130640501</v>
      </c>
      <c r="Q133" s="116">
        <v>987.4</v>
      </c>
      <c r="R133">
        <v>3713532</v>
      </c>
    </row>
    <row r="134" spans="1:18" x14ac:dyDescent="0.25">
      <c r="A134" s="170">
        <v>42195</v>
      </c>
      <c r="B134" s="116">
        <v>248.57211421740399</v>
      </c>
      <c r="C134" s="116">
        <v>248.02729862459901</v>
      </c>
      <c r="D134" s="116">
        <v>245.266074142881</v>
      </c>
      <c r="E134" s="116">
        <v>246.31855881080099</v>
      </c>
      <c r="F134" s="116">
        <v>1001.55</v>
      </c>
      <c r="G134">
        <v>327762</v>
      </c>
      <c r="H134" s="116"/>
      <c r="I134" s="116"/>
      <c r="L134" s="170">
        <v>42195</v>
      </c>
      <c r="M134" s="116">
        <v>248.09819534814901</v>
      </c>
      <c r="N134" s="116">
        <v>248.643030674328</v>
      </c>
      <c r="O134" s="116">
        <v>245.23780988571099</v>
      </c>
      <c r="P134" s="116">
        <v>245.44831444355199</v>
      </c>
      <c r="Q134" s="116">
        <v>1001.8</v>
      </c>
      <c r="R134">
        <v>3682606</v>
      </c>
    </row>
    <row r="135" spans="1:18" x14ac:dyDescent="0.25">
      <c r="A135" s="170">
        <v>42198</v>
      </c>
      <c r="B135" s="116">
        <v>250.67708355324299</v>
      </c>
      <c r="C135" s="116">
        <v>249.42648412430299</v>
      </c>
      <c r="D135" s="116">
        <v>246.504291399257</v>
      </c>
      <c r="E135" s="116">
        <v>247.89109472639799</v>
      </c>
      <c r="F135" s="116">
        <v>1007.2</v>
      </c>
      <c r="G135">
        <v>433427</v>
      </c>
      <c r="H135" s="116"/>
      <c r="I135" s="116"/>
      <c r="L135" s="170">
        <v>42198</v>
      </c>
      <c r="M135" s="116">
        <v>249.38598793729901</v>
      </c>
      <c r="N135" s="116">
        <v>250.74807625274599</v>
      </c>
      <c r="O135" s="116">
        <v>246.45130674856301</v>
      </c>
      <c r="P135" s="116">
        <v>248.09819534814901</v>
      </c>
      <c r="Q135" s="116">
        <v>1007</v>
      </c>
      <c r="R135">
        <v>2253887</v>
      </c>
    </row>
    <row r="136" spans="1:18" x14ac:dyDescent="0.25">
      <c r="A136" s="170">
        <v>42199</v>
      </c>
      <c r="B136" s="116">
        <v>250.47896879222299</v>
      </c>
      <c r="C136" s="116">
        <v>247.04910699206201</v>
      </c>
      <c r="D136" s="116">
        <v>246.46714488156601</v>
      </c>
      <c r="E136" s="116">
        <v>249.723656265833</v>
      </c>
      <c r="F136" s="116">
        <v>997.6</v>
      </c>
      <c r="G136">
        <v>301854</v>
      </c>
      <c r="H136" s="116"/>
      <c r="I136" s="116"/>
      <c r="L136" s="170">
        <v>42199</v>
      </c>
      <c r="M136" s="116">
        <v>247.10758566418801</v>
      </c>
      <c r="N136" s="116">
        <v>250.500423831756</v>
      </c>
      <c r="O136" s="116">
        <v>246.46368936961301</v>
      </c>
      <c r="P136" s="116">
        <v>249.85652753718099</v>
      </c>
      <c r="Q136" s="116">
        <v>997.8</v>
      </c>
      <c r="R136">
        <v>2272786</v>
      </c>
    </row>
    <row r="137" spans="1:18" x14ac:dyDescent="0.25">
      <c r="A137" s="170">
        <v>42200</v>
      </c>
      <c r="B137" s="116">
        <v>251.110459592974</v>
      </c>
      <c r="C137" s="116">
        <v>250.46658661965901</v>
      </c>
      <c r="D137" s="116">
        <v>247.39580782384701</v>
      </c>
      <c r="E137" s="116">
        <v>247.643451275122</v>
      </c>
      <c r="F137" s="116">
        <v>1011.4</v>
      </c>
      <c r="G137">
        <v>495718</v>
      </c>
      <c r="H137" s="116"/>
      <c r="I137" s="116"/>
      <c r="L137" s="170">
        <v>42200</v>
      </c>
      <c r="M137" s="116">
        <v>250.41374548440899</v>
      </c>
      <c r="N137" s="116">
        <v>251.21861585262801</v>
      </c>
      <c r="O137" s="116">
        <v>247.54097740092101</v>
      </c>
      <c r="P137" s="116">
        <v>247.590507885119</v>
      </c>
      <c r="Q137" s="116">
        <v>1011.15</v>
      </c>
      <c r="R137">
        <v>3093396</v>
      </c>
    </row>
    <row r="138" spans="1:18" x14ac:dyDescent="0.25">
      <c r="A138" s="170">
        <v>42201</v>
      </c>
      <c r="B138" s="116">
        <v>254.45364618518801</v>
      </c>
      <c r="C138" s="116">
        <v>253.50021889777901</v>
      </c>
      <c r="D138" s="116">
        <v>250.46658661965901</v>
      </c>
      <c r="E138" s="116">
        <v>250.73899441606201</v>
      </c>
      <c r="F138" s="116">
        <v>1023.65</v>
      </c>
      <c r="G138">
        <v>511991</v>
      </c>
      <c r="H138" s="116"/>
      <c r="I138" s="116"/>
      <c r="L138" s="170">
        <v>42201</v>
      </c>
      <c r="M138" s="116">
        <v>253.521783367838</v>
      </c>
      <c r="N138" s="116">
        <v>254.53715829389901</v>
      </c>
      <c r="O138" s="116">
        <v>250.41374548440899</v>
      </c>
      <c r="P138" s="116">
        <v>250.62425004225099</v>
      </c>
      <c r="Q138" s="116">
        <v>1023.7</v>
      </c>
      <c r="R138">
        <v>3395442</v>
      </c>
    </row>
    <row r="139" spans="1:18" x14ac:dyDescent="0.25">
      <c r="A139" s="170">
        <v>42202</v>
      </c>
      <c r="B139" s="116">
        <v>255.320398264651</v>
      </c>
      <c r="C139" s="116">
        <v>253.128753720866</v>
      </c>
      <c r="D139" s="116">
        <v>252.101033398075</v>
      </c>
      <c r="E139" s="116">
        <v>253.33925065445001</v>
      </c>
      <c r="F139" s="116">
        <v>1022.15</v>
      </c>
      <c r="G139">
        <v>405333</v>
      </c>
      <c r="H139" s="116"/>
      <c r="I139" s="116"/>
      <c r="L139" s="170">
        <v>42202</v>
      </c>
      <c r="M139" s="116">
        <v>253.02647852585801</v>
      </c>
      <c r="N139" s="116">
        <v>255.36679390421699</v>
      </c>
      <c r="O139" s="116">
        <v>252.110164568193</v>
      </c>
      <c r="P139" s="116">
        <v>253.90564462037301</v>
      </c>
      <c r="Q139" s="116">
        <v>1021.7</v>
      </c>
      <c r="R139">
        <v>2330438</v>
      </c>
    </row>
    <row r="140" spans="1:18" x14ac:dyDescent="0.25">
      <c r="A140" s="170">
        <v>42205</v>
      </c>
      <c r="B140" s="116">
        <v>255.047990468249</v>
      </c>
      <c r="C140" s="116">
        <v>253.77262669418201</v>
      </c>
      <c r="D140" s="116">
        <v>252.12579774320201</v>
      </c>
      <c r="E140" s="116">
        <v>254.10694535340301</v>
      </c>
      <c r="F140" s="116">
        <v>1024.75</v>
      </c>
      <c r="G140">
        <v>307533</v>
      </c>
      <c r="H140" s="116"/>
      <c r="I140" s="116"/>
      <c r="L140" s="170">
        <v>42205</v>
      </c>
      <c r="M140" s="116">
        <v>253.78181840987801</v>
      </c>
      <c r="N140" s="116">
        <v>255.06961099902799</v>
      </c>
      <c r="O140" s="116">
        <v>252.08539932609401</v>
      </c>
      <c r="P140" s="116">
        <v>254.53715829389901</v>
      </c>
      <c r="Q140" s="116">
        <v>1024.75</v>
      </c>
      <c r="R140">
        <v>1451127</v>
      </c>
    </row>
    <row r="141" spans="1:18" x14ac:dyDescent="0.25">
      <c r="A141" s="170">
        <v>42206</v>
      </c>
      <c r="B141" s="116">
        <v>254.57746791082599</v>
      </c>
      <c r="C141" s="116">
        <v>249.50077715968601</v>
      </c>
      <c r="D141" s="116">
        <v>248.36161728382001</v>
      </c>
      <c r="E141" s="116">
        <v>254.255531424168</v>
      </c>
      <c r="F141" s="116">
        <v>1007.5</v>
      </c>
      <c r="G141">
        <v>262687</v>
      </c>
      <c r="H141" s="116"/>
      <c r="I141" s="116"/>
      <c r="L141" s="170">
        <v>42206</v>
      </c>
      <c r="M141" s="116">
        <v>249.58410987409201</v>
      </c>
      <c r="N141" s="116">
        <v>254.698132367543</v>
      </c>
      <c r="O141" s="116">
        <v>248.33346514809</v>
      </c>
      <c r="P141" s="116">
        <v>254.586688778097</v>
      </c>
      <c r="Q141" s="116">
        <v>1007.8</v>
      </c>
      <c r="R141">
        <v>1811142</v>
      </c>
    </row>
    <row r="142" spans="1:18" x14ac:dyDescent="0.25">
      <c r="A142" s="170">
        <v>42207</v>
      </c>
      <c r="B142" s="116">
        <v>260.892375918342</v>
      </c>
      <c r="C142" s="116">
        <v>260.13706339195198</v>
      </c>
      <c r="D142" s="116">
        <v>248.91881504918899</v>
      </c>
      <c r="E142" s="116">
        <v>249.45124846943099</v>
      </c>
      <c r="F142" s="116">
        <v>1050.45</v>
      </c>
      <c r="G142">
        <v>825916</v>
      </c>
      <c r="H142" s="116"/>
      <c r="I142" s="116"/>
      <c r="L142" s="170">
        <v>42207</v>
      </c>
      <c r="M142" s="116">
        <v>260.13410300828099</v>
      </c>
      <c r="N142" s="116">
        <v>261.01326910279698</v>
      </c>
      <c r="O142" s="116">
        <v>248.79162212692199</v>
      </c>
      <c r="P142" s="116">
        <v>248.89068309531899</v>
      </c>
      <c r="Q142" s="116">
        <v>1050.4000000000001</v>
      </c>
      <c r="R142">
        <v>3956647</v>
      </c>
    </row>
    <row r="143" spans="1:18" x14ac:dyDescent="0.25">
      <c r="A143" s="170">
        <v>42208</v>
      </c>
      <c r="B143" s="116">
        <v>264.23556251055601</v>
      </c>
      <c r="C143" s="116">
        <v>258.94837482583199</v>
      </c>
      <c r="D143" s="116">
        <v>257.79683277740202</v>
      </c>
      <c r="E143" s="116">
        <v>261.26384109525401</v>
      </c>
      <c r="F143" s="116">
        <v>1045.6500000000001</v>
      </c>
      <c r="G143">
        <v>610364</v>
      </c>
      <c r="H143" s="116"/>
      <c r="I143" s="116"/>
      <c r="L143" s="170">
        <v>42208</v>
      </c>
      <c r="M143" s="116">
        <v>258.87107566123001</v>
      </c>
      <c r="N143" s="116">
        <v>264.45563775456299</v>
      </c>
      <c r="O143" s="116">
        <v>257.85570073516999</v>
      </c>
      <c r="P143" s="116">
        <v>260.90182551335101</v>
      </c>
      <c r="Q143" s="116">
        <v>1045.3</v>
      </c>
      <c r="R143">
        <v>4261457</v>
      </c>
    </row>
    <row r="144" spans="1:18" x14ac:dyDescent="0.25">
      <c r="A144" s="170">
        <v>42209</v>
      </c>
      <c r="B144" s="116">
        <v>260.02562383887903</v>
      </c>
      <c r="C144" s="116">
        <v>253.84691972956401</v>
      </c>
      <c r="D144" s="116">
        <v>252.99254982266501</v>
      </c>
      <c r="E144" s="116">
        <v>259.08457872403301</v>
      </c>
      <c r="F144" s="116">
        <v>1025.05</v>
      </c>
      <c r="G144">
        <v>290271</v>
      </c>
      <c r="H144" s="116"/>
      <c r="I144" s="116"/>
      <c r="L144" s="170">
        <v>42209</v>
      </c>
      <c r="M144" s="116">
        <v>253.85611413617499</v>
      </c>
      <c r="N144" s="116">
        <v>259.94836369253801</v>
      </c>
      <c r="O144" s="116">
        <v>252.877887073263</v>
      </c>
      <c r="P144" s="116">
        <v>259.539737197904</v>
      </c>
      <c r="Q144" s="116">
        <v>1025.05</v>
      </c>
      <c r="R144">
        <v>2994363</v>
      </c>
    </row>
    <row r="145" spans="1:18" x14ac:dyDescent="0.25">
      <c r="A145" s="170">
        <v>42212</v>
      </c>
      <c r="B145" s="116">
        <v>256.31097206975198</v>
      </c>
      <c r="C145" s="116">
        <v>249.07978329251799</v>
      </c>
      <c r="D145" s="116">
        <v>247.96538776177999</v>
      </c>
      <c r="E145" s="116">
        <v>254.32982445955099</v>
      </c>
      <c r="F145" s="116">
        <v>1005.8</v>
      </c>
      <c r="G145">
        <v>437703</v>
      </c>
      <c r="H145" s="116"/>
      <c r="I145" s="116"/>
      <c r="L145" s="170">
        <v>42212</v>
      </c>
      <c r="M145" s="116">
        <v>248.977361442665</v>
      </c>
      <c r="N145" s="116">
        <v>255.05722837797899</v>
      </c>
      <c r="O145" s="116">
        <v>248.08581272710001</v>
      </c>
      <c r="P145" s="116">
        <v>253.818966273027</v>
      </c>
      <c r="Q145" s="116">
        <v>1005.35</v>
      </c>
      <c r="R145">
        <v>4598763</v>
      </c>
    </row>
    <row r="146" spans="1:18" x14ac:dyDescent="0.25">
      <c r="A146" s="170">
        <v>42213</v>
      </c>
      <c r="B146" s="116">
        <v>251.79147908398099</v>
      </c>
      <c r="C146" s="116">
        <v>250.10750361531001</v>
      </c>
      <c r="D146" s="116">
        <v>247.70536213794099</v>
      </c>
      <c r="E146" s="116">
        <v>249.996064062236</v>
      </c>
      <c r="F146" s="116">
        <v>1009.95</v>
      </c>
      <c r="G146">
        <v>323485</v>
      </c>
      <c r="H146" s="116"/>
      <c r="I146" s="116"/>
      <c r="L146" s="170">
        <v>42213</v>
      </c>
      <c r="M146" s="116">
        <v>250.19085830551799</v>
      </c>
      <c r="N146" s="116">
        <v>251.788216420906</v>
      </c>
      <c r="O146" s="116">
        <v>247.677186232466</v>
      </c>
      <c r="P146" s="116">
        <v>249.707936084587</v>
      </c>
      <c r="Q146" s="116">
        <v>1010.25</v>
      </c>
      <c r="R146">
        <v>3059101</v>
      </c>
    </row>
    <row r="147" spans="1:18" x14ac:dyDescent="0.25">
      <c r="A147" s="170">
        <v>42214</v>
      </c>
      <c r="B147" s="116">
        <v>250.72661224349801</v>
      </c>
      <c r="C147" s="116">
        <v>246.516673571821</v>
      </c>
      <c r="D147" s="116">
        <v>245.71183235517699</v>
      </c>
      <c r="E147" s="116">
        <v>250.615172690424</v>
      </c>
      <c r="F147" s="116">
        <v>995.45</v>
      </c>
      <c r="G147">
        <v>240152</v>
      </c>
      <c r="H147" s="116"/>
      <c r="I147" s="116"/>
      <c r="L147" s="170">
        <v>42214</v>
      </c>
      <c r="M147" s="116">
        <v>246.66181130640501</v>
      </c>
      <c r="N147" s="116">
        <v>250.797606736944</v>
      </c>
      <c r="O147" s="116">
        <v>245.69596686454301</v>
      </c>
      <c r="P147" s="116">
        <v>250.00511898977501</v>
      </c>
      <c r="Q147" s="116">
        <v>996</v>
      </c>
      <c r="R147">
        <v>3380933</v>
      </c>
    </row>
    <row r="148" spans="1:18" x14ac:dyDescent="0.25">
      <c r="A148" s="170">
        <v>42215</v>
      </c>
      <c r="B148" s="116">
        <v>249.624598885323</v>
      </c>
      <c r="C148" s="116">
        <v>247.47010085923</v>
      </c>
      <c r="D148" s="116">
        <v>245.92232928876001</v>
      </c>
      <c r="E148" s="116">
        <v>248.06444514229</v>
      </c>
      <c r="F148" s="116">
        <v>999.3</v>
      </c>
      <c r="G148">
        <v>299237</v>
      </c>
      <c r="H148" s="116"/>
      <c r="I148" s="116"/>
      <c r="L148" s="170">
        <v>42215</v>
      </c>
      <c r="M148" s="116">
        <v>247.689568853515</v>
      </c>
      <c r="N148" s="116">
        <v>249.63364035828999</v>
      </c>
      <c r="O148" s="116">
        <v>245.745497348741</v>
      </c>
      <c r="P148" s="116">
        <v>247.677186232466</v>
      </c>
      <c r="Q148" s="116">
        <v>1000.15</v>
      </c>
      <c r="R148">
        <v>2674704</v>
      </c>
    </row>
    <row r="149" spans="1:18" x14ac:dyDescent="0.25">
      <c r="A149" s="170">
        <v>42216</v>
      </c>
      <c r="B149" s="116">
        <v>249.59983454019601</v>
      </c>
      <c r="C149" s="116">
        <v>248.05206296972599</v>
      </c>
      <c r="D149" s="116">
        <v>245.16701676237099</v>
      </c>
      <c r="E149" s="116">
        <v>248.13873817767299</v>
      </c>
      <c r="F149" s="116">
        <v>1001.65</v>
      </c>
      <c r="G149">
        <v>351772</v>
      </c>
      <c r="H149" s="116"/>
      <c r="I149" s="116"/>
      <c r="L149" s="170">
        <v>42216</v>
      </c>
      <c r="M149" s="116">
        <v>248.110577969199</v>
      </c>
      <c r="N149" s="116">
        <v>249.608875116191</v>
      </c>
      <c r="O149" s="116">
        <v>245.17589678046301</v>
      </c>
      <c r="P149" s="116">
        <v>247.65242099036701</v>
      </c>
      <c r="Q149" s="116">
        <v>1001.85</v>
      </c>
      <c r="R149">
        <v>3802312</v>
      </c>
    </row>
    <row r="150" spans="1:18" x14ac:dyDescent="0.25">
      <c r="A150" s="170">
        <v>42219</v>
      </c>
      <c r="B150" s="116">
        <v>250.91234483195399</v>
      </c>
      <c r="C150" s="116">
        <v>247.92824124408901</v>
      </c>
      <c r="D150" s="116">
        <v>247.197693062827</v>
      </c>
      <c r="E150" s="116">
        <v>247.92824124408901</v>
      </c>
      <c r="F150" s="116">
        <v>1001.15</v>
      </c>
      <c r="G150">
        <v>325060</v>
      </c>
      <c r="H150" s="116"/>
      <c r="I150" s="116"/>
      <c r="L150" s="170">
        <v>42219</v>
      </c>
      <c r="M150" s="116">
        <v>248.25916942179299</v>
      </c>
      <c r="N150" s="116">
        <v>251.08240702108299</v>
      </c>
      <c r="O150" s="116">
        <v>247.50382953777299</v>
      </c>
      <c r="P150" s="116">
        <v>247.900073411357</v>
      </c>
      <c r="Q150" s="116">
        <v>1002.45</v>
      </c>
      <c r="R150">
        <v>2260182</v>
      </c>
    </row>
    <row r="151" spans="1:18" x14ac:dyDescent="0.25">
      <c r="A151" s="170">
        <v>42220</v>
      </c>
      <c r="B151" s="116">
        <v>248.99310808457199</v>
      </c>
      <c r="C151" s="116">
        <v>244.696494204949</v>
      </c>
      <c r="D151" s="116">
        <v>242.72772876731099</v>
      </c>
      <c r="E151" s="116">
        <v>247.95300558921599</v>
      </c>
      <c r="F151" s="116">
        <v>988.1</v>
      </c>
      <c r="G151">
        <v>355105</v>
      </c>
      <c r="H151" s="116"/>
      <c r="I151" s="116"/>
      <c r="L151" s="170">
        <v>42220</v>
      </c>
      <c r="M151" s="116">
        <v>244.680591938482</v>
      </c>
      <c r="N151" s="116">
        <v>249.05165716896201</v>
      </c>
      <c r="O151" s="116">
        <v>242.69937257055901</v>
      </c>
      <c r="P151" s="116">
        <v>248.49443922173401</v>
      </c>
      <c r="Q151" s="116">
        <v>988</v>
      </c>
      <c r="R151">
        <v>2744569</v>
      </c>
    </row>
    <row r="152" spans="1:18" x14ac:dyDescent="0.25">
      <c r="A152" s="170">
        <v>42221</v>
      </c>
      <c r="B152" s="116">
        <v>247.643451275122</v>
      </c>
      <c r="C152" s="116">
        <v>244.585054651875</v>
      </c>
      <c r="D152" s="116">
        <v>243.68115605472099</v>
      </c>
      <c r="E152" s="116">
        <v>245.16701676237099</v>
      </c>
      <c r="F152" s="116">
        <v>987.65</v>
      </c>
      <c r="G152">
        <v>262896</v>
      </c>
      <c r="H152" s="116"/>
      <c r="I152" s="116"/>
      <c r="L152" s="170">
        <v>42221</v>
      </c>
      <c r="M152" s="116">
        <v>244.61867883323501</v>
      </c>
      <c r="N152" s="116">
        <v>247.85054292715901</v>
      </c>
      <c r="O152" s="116">
        <v>243.71474749661999</v>
      </c>
      <c r="P152" s="116">
        <v>244.74250504373001</v>
      </c>
      <c r="Q152" s="116">
        <v>987.75</v>
      </c>
      <c r="R152">
        <v>3279028</v>
      </c>
    </row>
    <row r="153" spans="1:18" x14ac:dyDescent="0.25">
      <c r="A153" s="170">
        <v>42222</v>
      </c>
      <c r="B153" s="116">
        <v>246.157590567472</v>
      </c>
      <c r="C153" s="116">
        <v>242.54199617885499</v>
      </c>
      <c r="D153" s="116">
        <v>242.19529534706999</v>
      </c>
      <c r="E153" s="116">
        <v>246.157590567472</v>
      </c>
      <c r="F153" s="116">
        <v>979.4</v>
      </c>
      <c r="G153">
        <v>239574</v>
      </c>
      <c r="H153" s="116"/>
      <c r="I153" s="116"/>
      <c r="L153" s="170">
        <v>42222</v>
      </c>
      <c r="M153" s="116">
        <v>242.43933752852001</v>
      </c>
      <c r="N153" s="116">
        <v>245.67120162244399</v>
      </c>
      <c r="O153" s="116">
        <v>242.080241518083</v>
      </c>
      <c r="P153" s="116">
        <v>245.423549201453</v>
      </c>
      <c r="Q153" s="116">
        <v>978.95</v>
      </c>
      <c r="R153">
        <v>1990511</v>
      </c>
    </row>
    <row r="154" spans="1:18" x14ac:dyDescent="0.25">
      <c r="A154" s="170">
        <v>42223</v>
      </c>
      <c r="B154" s="116">
        <v>246.157590567472</v>
      </c>
      <c r="C154" s="116">
        <v>243.74306691753901</v>
      </c>
      <c r="D154" s="116">
        <v>241.526658028627</v>
      </c>
      <c r="E154" s="116">
        <v>242.938225700895</v>
      </c>
      <c r="F154" s="116">
        <v>984.25</v>
      </c>
      <c r="G154">
        <v>249891</v>
      </c>
      <c r="H154" s="116"/>
      <c r="I154" s="116"/>
      <c r="L154" s="170">
        <v>42223</v>
      </c>
      <c r="M154" s="116">
        <v>243.776660601868</v>
      </c>
      <c r="N154" s="116">
        <v>246.166506464425</v>
      </c>
      <c r="O154" s="116">
        <v>241.99356317073699</v>
      </c>
      <c r="P154" s="116">
        <v>242.45172014956901</v>
      </c>
      <c r="Q154" s="116">
        <v>984.35</v>
      </c>
      <c r="R154">
        <v>1967847</v>
      </c>
    </row>
    <row r="155" spans="1:18" x14ac:dyDescent="0.25">
      <c r="A155" s="170">
        <v>42226</v>
      </c>
      <c r="B155" s="116">
        <v>245.117488072116</v>
      </c>
      <c r="C155" s="116">
        <v>240.23891208199601</v>
      </c>
      <c r="D155" s="116">
        <v>239.28548479458701</v>
      </c>
      <c r="E155" s="116">
        <v>243.92879950599601</v>
      </c>
      <c r="F155" s="116">
        <v>970.1</v>
      </c>
      <c r="G155">
        <v>192667</v>
      </c>
      <c r="H155" s="116"/>
      <c r="I155" s="116"/>
      <c r="L155" s="170">
        <v>42226</v>
      </c>
      <c r="M155" s="116">
        <v>239.95043069756599</v>
      </c>
      <c r="N155" s="116">
        <v>244.878713875275</v>
      </c>
      <c r="O155" s="116">
        <v>238.86076004520899</v>
      </c>
      <c r="P155" s="116">
        <v>243.813808465016</v>
      </c>
      <c r="Q155" s="116">
        <v>968.9</v>
      </c>
      <c r="R155">
        <v>2123285</v>
      </c>
    </row>
    <row r="156" spans="1:18" x14ac:dyDescent="0.25">
      <c r="A156" s="170">
        <v>42227</v>
      </c>
      <c r="B156" s="116">
        <v>241.70000844451999</v>
      </c>
      <c r="C156" s="116">
        <v>239.31024913971501</v>
      </c>
      <c r="D156" s="116">
        <v>237.37863021976901</v>
      </c>
      <c r="E156" s="116">
        <v>241.70000844451999</v>
      </c>
      <c r="F156" s="116">
        <v>966.35</v>
      </c>
      <c r="G156">
        <v>269415</v>
      </c>
      <c r="H156" s="116"/>
      <c r="I156" s="116"/>
      <c r="L156" s="170">
        <v>42227</v>
      </c>
      <c r="M156" s="116">
        <v>239.23223867669401</v>
      </c>
      <c r="N156" s="116">
        <v>241.12677969727099</v>
      </c>
      <c r="O156" s="116">
        <v>237.25101930877099</v>
      </c>
      <c r="P156" s="116">
        <v>240.470500781646</v>
      </c>
      <c r="Q156" s="116">
        <v>966</v>
      </c>
      <c r="R156">
        <v>2002952</v>
      </c>
    </row>
    <row r="157" spans="1:18" x14ac:dyDescent="0.25">
      <c r="A157" s="170">
        <v>42228</v>
      </c>
      <c r="B157" s="116">
        <v>239.31024913971501</v>
      </c>
      <c r="C157" s="116">
        <v>233.54015672500401</v>
      </c>
      <c r="D157" s="116">
        <v>232.821990716306</v>
      </c>
      <c r="E157" s="116">
        <v>239.31024913971501</v>
      </c>
      <c r="F157" s="116">
        <v>943.05</v>
      </c>
      <c r="G157">
        <v>391422</v>
      </c>
      <c r="H157" s="116"/>
      <c r="I157" s="116"/>
      <c r="L157" s="170">
        <v>42228</v>
      </c>
      <c r="M157" s="116">
        <v>233.51146775181701</v>
      </c>
      <c r="N157" s="116">
        <v>239.23223867669401</v>
      </c>
      <c r="O157" s="116">
        <v>232.92948456248899</v>
      </c>
      <c r="P157" s="116">
        <v>238.637872866317</v>
      </c>
      <c r="Q157" s="116">
        <v>942.9</v>
      </c>
      <c r="R157">
        <v>2205902</v>
      </c>
    </row>
    <row r="158" spans="1:18" x14ac:dyDescent="0.25">
      <c r="A158" s="170">
        <v>42229</v>
      </c>
      <c r="B158" s="116">
        <v>236.27661686159399</v>
      </c>
      <c r="C158" s="116">
        <v>231.521862597112</v>
      </c>
      <c r="D158" s="116">
        <v>230.61796399995799</v>
      </c>
      <c r="E158" s="116">
        <v>234.76599180881601</v>
      </c>
      <c r="F158" s="116">
        <v>934.9</v>
      </c>
      <c r="G158">
        <v>226828</v>
      </c>
      <c r="H158" s="116"/>
      <c r="I158" s="116"/>
      <c r="L158" s="170">
        <v>42229</v>
      </c>
      <c r="M158" s="116">
        <v>231.14638713135901</v>
      </c>
      <c r="N158" s="116">
        <v>236.24802700376</v>
      </c>
      <c r="O158" s="116">
        <v>230.16816006844701</v>
      </c>
      <c r="P158" s="116">
        <v>234.526842677877</v>
      </c>
      <c r="Q158" s="116">
        <v>933.35</v>
      </c>
      <c r="R158">
        <v>2135047</v>
      </c>
    </row>
    <row r="159" spans="1:18" x14ac:dyDescent="0.25">
      <c r="A159" s="170">
        <v>42230</v>
      </c>
      <c r="B159" s="116">
        <v>240.69705246685501</v>
      </c>
      <c r="C159" s="116">
        <v>239.48359955560699</v>
      </c>
      <c r="D159" s="116">
        <v>231.521862597112</v>
      </c>
      <c r="E159" s="116">
        <v>232.43814336682999</v>
      </c>
      <c r="F159" s="116">
        <v>967.05</v>
      </c>
      <c r="G159">
        <v>376123</v>
      </c>
      <c r="H159" s="116"/>
      <c r="I159" s="116"/>
      <c r="L159" s="170">
        <v>42230</v>
      </c>
      <c r="M159" s="116">
        <v>239.467508476635</v>
      </c>
      <c r="N159" s="116">
        <v>240.71815320263599</v>
      </c>
      <c r="O159" s="116">
        <v>231.3816569313</v>
      </c>
      <c r="P159" s="116">
        <v>232.85518883619201</v>
      </c>
      <c r="Q159" s="116">
        <v>966.95</v>
      </c>
      <c r="R159">
        <v>2912005</v>
      </c>
    </row>
    <row r="160" spans="1:18" x14ac:dyDescent="0.25">
      <c r="A160" s="170">
        <v>42233</v>
      </c>
      <c r="B160" s="116">
        <v>239.48359955560699</v>
      </c>
      <c r="C160" s="116">
        <v>235.27366088393001</v>
      </c>
      <c r="D160" s="116">
        <v>234.59264139292401</v>
      </c>
      <c r="E160" s="116">
        <v>239.47121738304301</v>
      </c>
      <c r="F160" s="116">
        <v>950.05</v>
      </c>
      <c r="G160">
        <v>278342</v>
      </c>
      <c r="H160" s="116"/>
      <c r="I160" s="116"/>
      <c r="L160" s="170">
        <v>42233</v>
      </c>
      <c r="M160" s="116">
        <v>235.44315663554201</v>
      </c>
      <c r="N160" s="116">
        <v>239.23223867669401</v>
      </c>
      <c r="O160" s="116">
        <v>234.29157287793601</v>
      </c>
      <c r="P160" s="116">
        <v>239.23223867669401</v>
      </c>
      <c r="Q160" s="116">
        <v>950.7</v>
      </c>
      <c r="R160">
        <v>2481826</v>
      </c>
    </row>
    <row r="161" spans="1:18" x14ac:dyDescent="0.25">
      <c r="A161" s="170">
        <v>42234</v>
      </c>
      <c r="B161" s="116">
        <v>237.45292325515101</v>
      </c>
      <c r="C161" s="116">
        <v>233.862093211662</v>
      </c>
      <c r="D161" s="116">
        <v>233.28013110116501</v>
      </c>
      <c r="E161" s="116">
        <v>236.54902465799699</v>
      </c>
      <c r="F161" s="116">
        <v>944.35</v>
      </c>
      <c r="G161">
        <v>262895</v>
      </c>
      <c r="H161" s="116"/>
      <c r="I161" s="116"/>
      <c r="L161" s="170">
        <v>42234</v>
      </c>
      <c r="M161" s="116">
        <v>233.80865065700499</v>
      </c>
      <c r="N161" s="116">
        <v>236.75571446679101</v>
      </c>
      <c r="O161" s="116">
        <v>233.338111057124</v>
      </c>
      <c r="P161" s="116">
        <v>236.75571446679101</v>
      </c>
      <c r="Q161" s="116">
        <v>944.1</v>
      </c>
      <c r="R161">
        <v>1515583</v>
      </c>
    </row>
    <row r="162" spans="1:18" x14ac:dyDescent="0.25">
      <c r="A162" s="170">
        <v>42235</v>
      </c>
      <c r="B162" s="116">
        <v>237.84915277719099</v>
      </c>
      <c r="C162" s="116">
        <v>235.92991602980899</v>
      </c>
      <c r="D162" s="116">
        <v>232.69816899066899</v>
      </c>
      <c r="E162" s="116">
        <v>233.99829710986299</v>
      </c>
      <c r="F162" s="116">
        <v>952.7</v>
      </c>
      <c r="G162">
        <v>299152</v>
      </c>
      <c r="H162" s="116"/>
      <c r="I162" s="116"/>
      <c r="L162" s="170">
        <v>42235</v>
      </c>
      <c r="M162" s="116">
        <v>236.40900107740401</v>
      </c>
      <c r="N162" s="116">
        <v>237.993976571742</v>
      </c>
      <c r="O162" s="116">
        <v>232.65706689940001</v>
      </c>
      <c r="P162" s="116">
        <v>233.783885414906</v>
      </c>
      <c r="Q162" s="116">
        <v>954.6</v>
      </c>
      <c r="R162">
        <v>2029201</v>
      </c>
    </row>
    <row r="163" spans="1:18" x14ac:dyDescent="0.25">
      <c r="A163" s="170">
        <v>42236</v>
      </c>
      <c r="B163" s="116">
        <v>237.73771322411801</v>
      </c>
      <c r="C163" s="116">
        <v>227.54718520414599</v>
      </c>
      <c r="D163" s="116">
        <v>226.90331223083101</v>
      </c>
      <c r="E163" s="116">
        <v>237.71294887899001</v>
      </c>
      <c r="F163" s="116">
        <v>918.85</v>
      </c>
      <c r="G163">
        <v>439271</v>
      </c>
      <c r="H163" s="116"/>
      <c r="I163" s="116"/>
      <c r="L163" s="170">
        <v>42236</v>
      </c>
      <c r="M163" s="116">
        <v>226.92391335347301</v>
      </c>
      <c r="N163" s="116">
        <v>237.733941529703</v>
      </c>
      <c r="O163" s="116">
        <v>226.29239967994801</v>
      </c>
      <c r="P163" s="116">
        <v>237.733941529703</v>
      </c>
      <c r="Q163" s="116">
        <v>916.3</v>
      </c>
      <c r="R163">
        <v>4344929</v>
      </c>
    </row>
    <row r="164" spans="1:18" x14ac:dyDescent="0.25">
      <c r="A164" s="170">
        <v>42237</v>
      </c>
      <c r="B164" s="116">
        <v>225.80129887265699</v>
      </c>
      <c r="C164" s="116">
        <v>224.68690334191899</v>
      </c>
      <c r="D164" s="116">
        <v>222.22285100173099</v>
      </c>
      <c r="E164" s="116">
        <v>225.35554066036099</v>
      </c>
      <c r="F164" s="116">
        <v>907.3</v>
      </c>
      <c r="G164">
        <v>559054</v>
      </c>
      <c r="H164" s="116"/>
      <c r="I164" s="116"/>
      <c r="L164" s="170">
        <v>42237</v>
      </c>
      <c r="M164" s="116">
        <v>224.85601563820401</v>
      </c>
      <c r="N164" s="116">
        <v>225.83424270111499</v>
      </c>
      <c r="O164" s="116">
        <v>222.14422162835899</v>
      </c>
      <c r="P164" s="116">
        <v>225.36370310123399</v>
      </c>
      <c r="Q164" s="116">
        <v>907.95</v>
      </c>
      <c r="R164">
        <v>4583212</v>
      </c>
    </row>
    <row r="165" spans="1:18" x14ac:dyDescent="0.25">
      <c r="A165" s="170">
        <v>42240</v>
      </c>
      <c r="B165" s="116">
        <v>220.40267163485899</v>
      </c>
      <c r="C165" s="116">
        <v>205.28403893451301</v>
      </c>
      <c r="D165" s="116">
        <v>202.819986594325</v>
      </c>
      <c r="E165" s="116">
        <v>220.40267163485899</v>
      </c>
      <c r="F165" s="116">
        <v>828.95</v>
      </c>
      <c r="G165">
        <v>915064</v>
      </c>
      <c r="H165" s="116"/>
      <c r="I165" s="116"/>
      <c r="L165" s="170">
        <v>42240</v>
      </c>
      <c r="M165" s="116">
        <v>205.44006583255899</v>
      </c>
      <c r="N165" s="116">
        <v>217.93413047152299</v>
      </c>
      <c r="O165" s="116">
        <v>202.57968037012</v>
      </c>
      <c r="P165" s="116">
        <v>217.93413047152299</v>
      </c>
      <c r="Q165" s="116">
        <v>829.55</v>
      </c>
      <c r="R165">
        <v>8145723</v>
      </c>
    </row>
    <row r="166" spans="1:18" x14ac:dyDescent="0.25">
      <c r="A166" s="170">
        <v>42241</v>
      </c>
      <c r="B166" s="116">
        <v>213.22101154788001</v>
      </c>
      <c r="C166" s="116">
        <v>211.21509959255201</v>
      </c>
      <c r="D166" s="116">
        <v>204.15726123121101</v>
      </c>
      <c r="E166" s="116">
        <v>208.02049907110299</v>
      </c>
      <c r="F166" s="116">
        <v>852.9</v>
      </c>
      <c r="G166">
        <v>680620</v>
      </c>
      <c r="H166" s="116"/>
      <c r="I166" s="116"/>
      <c r="L166" s="170">
        <v>42241</v>
      </c>
      <c r="M166" s="116">
        <v>210.04640086297999</v>
      </c>
      <c r="N166" s="116">
        <v>213.14205612535901</v>
      </c>
      <c r="O166" s="116">
        <v>203.86747295927</v>
      </c>
      <c r="P166" s="116">
        <v>208.23853818974999</v>
      </c>
      <c r="Q166" s="116">
        <v>848.15</v>
      </c>
      <c r="R166">
        <v>11315843</v>
      </c>
    </row>
    <row r="167" spans="1:18" x14ac:dyDescent="0.25">
      <c r="A167" s="170">
        <v>42242</v>
      </c>
      <c r="B167" s="116">
        <v>216.63849117547699</v>
      </c>
      <c r="C167" s="116">
        <v>211.351303490753</v>
      </c>
      <c r="D167" s="116">
        <v>208.37958207545199</v>
      </c>
      <c r="E167" s="116">
        <v>209.976882336176</v>
      </c>
      <c r="F167" s="116">
        <v>853.45</v>
      </c>
      <c r="G167">
        <v>398419</v>
      </c>
      <c r="H167" s="116"/>
      <c r="I167" s="116"/>
      <c r="L167" s="170">
        <v>42242</v>
      </c>
      <c r="M167" s="116">
        <v>211.34657607317899</v>
      </c>
      <c r="N167" s="116">
        <v>216.64633788237299</v>
      </c>
      <c r="O167" s="116">
        <v>208.02803363190799</v>
      </c>
      <c r="P167" s="116">
        <v>209.95972251563299</v>
      </c>
      <c r="Q167" s="116">
        <v>853.4</v>
      </c>
      <c r="R167">
        <v>4332912</v>
      </c>
    </row>
    <row r="168" spans="1:18" x14ac:dyDescent="0.25">
      <c r="A168" s="170">
        <v>42243</v>
      </c>
      <c r="B168" s="116">
        <v>217.92623712210801</v>
      </c>
      <c r="C168" s="116">
        <v>215.33836305628299</v>
      </c>
      <c r="D168" s="116">
        <v>212.39140598610899</v>
      </c>
      <c r="E168" s="116">
        <v>215.028808742189</v>
      </c>
      <c r="F168" s="116">
        <v>869.55</v>
      </c>
      <c r="G168">
        <v>338333</v>
      </c>
      <c r="H168" s="116"/>
      <c r="I168" s="116"/>
      <c r="L168" s="170">
        <v>42243</v>
      </c>
      <c r="M168" s="116">
        <v>215.24710170377699</v>
      </c>
      <c r="N168" s="116">
        <v>218.24369599776099</v>
      </c>
      <c r="O168" s="116">
        <v>212.25050740979401</v>
      </c>
      <c r="P168" s="116">
        <v>214.66511851445</v>
      </c>
      <c r="Q168" s="116">
        <v>869.15</v>
      </c>
      <c r="R168">
        <v>6171185</v>
      </c>
    </row>
    <row r="169" spans="1:18" x14ac:dyDescent="0.25">
      <c r="A169" s="170">
        <v>42244</v>
      </c>
      <c r="B169" s="116">
        <v>218.66916747593299</v>
      </c>
      <c r="C169" s="116">
        <v>215.74697475088701</v>
      </c>
      <c r="D169" s="116">
        <v>214.48399314938399</v>
      </c>
      <c r="E169" s="116">
        <v>217.814797569034</v>
      </c>
      <c r="F169" s="116">
        <v>871.2</v>
      </c>
      <c r="G169">
        <v>239263</v>
      </c>
      <c r="H169" s="116"/>
      <c r="I169" s="116"/>
      <c r="L169" s="170">
        <v>42244</v>
      </c>
      <c r="M169" s="116">
        <v>216.051972071996</v>
      </c>
      <c r="N169" s="116">
        <v>218.67708773449399</v>
      </c>
      <c r="O169" s="116">
        <v>214.49176181975699</v>
      </c>
      <c r="P169" s="116">
        <v>216.69586836657101</v>
      </c>
      <c r="Q169" s="116">
        <v>872.4</v>
      </c>
      <c r="R169">
        <v>2461890</v>
      </c>
    </row>
    <row r="170" spans="1:18" x14ac:dyDescent="0.25">
      <c r="A170" s="170">
        <v>42247</v>
      </c>
      <c r="B170" s="116">
        <v>215.74697475088701</v>
      </c>
      <c r="C170" s="116">
        <v>212.18090905252501</v>
      </c>
      <c r="D170" s="116">
        <v>211.611329114592</v>
      </c>
      <c r="E170" s="116">
        <v>215.51171347217499</v>
      </c>
      <c r="F170" s="116">
        <v>856.8</v>
      </c>
      <c r="G170">
        <v>352115</v>
      </c>
      <c r="H170" s="116"/>
      <c r="I170" s="116"/>
      <c r="L170" s="170">
        <v>42247</v>
      </c>
      <c r="M170" s="116">
        <v>211.965707125655</v>
      </c>
      <c r="N170" s="116">
        <v>216.163415661442</v>
      </c>
      <c r="O170" s="116">
        <v>211.445637041575</v>
      </c>
      <c r="P170" s="116">
        <v>216.163415661442</v>
      </c>
      <c r="Q170" s="116">
        <v>855.9</v>
      </c>
      <c r="R170">
        <v>4733716</v>
      </c>
    </row>
    <row r="171" spans="1:18" x14ac:dyDescent="0.25">
      <c r="A171" s="170">
        <v>42248</v>
      </c>
      <c r="B171" s="116">
        <v>211.23986393767899</v>
      </c>
      <c r="C171" s="116">
        <v>208.057645588794</v>
      </c>
      <c r="D171" s="116">
        <v>206.831810504982</v>
      </c>
      <c r="E171" s="116">
        <v>211.12842438460601</v>
      </c>
      <c r="F171" s="116">
        <v>840.15</v>
      </c>
      <c r="G171">
        <v>670601</v>
      </c>
      <c r="H171" s="116"/>
      <c r="I171" s="116"/>
      <c r="L171" s="170">
        <v>42248</v>
      </c>
      <c r="M171" s="116">
        <v>207.99088576875999</v>
      </c>
      <c r="N171" s="116">
        <v>211.47040228367399</v>
      </c>
      <c r="O171" s="116">
        <v>206.814536769055</v>
      </c>
      <c r="P171" s="116">
        <v>211.47040228367399</v>
      </c>
      <c r="Q171" s="116">
        <v>839.85</v>
      </c>
      <c r="R171">
        <v>4947842</v>
      </c>
    </row>
    <row r="172" spans="1:18" x14ac:dyDescent="0.25">
      <c r="A172" s="170">
        <v>42249</v>
      </c>
      <c r="B172" s="116">
        <v>212.21805557021599</v>
      </c>
      <c r="C172" s="116">
        <v>210.323583167962</v>
      </c>
      <c r="D172" s="116">
        <v>208.837722460311</v>
      </c>
      <c r="E172" s="116">
        <v>210.496933583854</v>
      </c>
      <c r="F172" s="116">
        <v>849.3</v>
      </c>
      <c r="G172">
        <v>368125</v>
      </c>
      <c r="H172" s="116"/>
      <c r="I172" s="116"/>
      <c r="L172" s="170">
        <v>42249</v>
      </c>
      <c r="M172" s="116">
        <v>210.39311425236599</v>
      </c>
      <c r="N172" s="116">
        <v>212.26289003084301</v>
      </c>
      <c r="O172" s="116">
        <v>208.67192992648299</v>
      </c>
      <c r="P172" s="116">
        <v>210.50455784181199</v>
      </c>
      <c r="Q172" s="116">
        <v>849.55</v>
      </c>
      <c r="R172">
        <v>4492201</v>
      </c>
    </row>
    <row r="173" spans="1:18" x14ac:dyDescent="0.25">
      <c r="A173" s="170">
        <v>42250</v>
      </c>
      <c r="B173" s="116">
        <v>213.07242547711499</v>
      </c>
      <c r="C173" s="116">
        <v>211.42559652613599</v>
      </c>
      <c r="D173" s="116">
        <v>209.271098500042</v>
      </c>
      <c r="E173" s="116">
        <v>211.462743043827</v>
      </c>
      <c r="F173" s="116">
        <v>853.75</v>
      </c>
      <c r="G173">
        <v>207655</v>
      </c>
      <c r="H173" s="116"/>
      <c r="I173" s="116"/>
      <c r="L173" s="170">
        <v>42250</v>
      </c>
      <c r="M173" s="116">
        <v>211.45801966262499</v>
      </c>
      <c r="N173" s="116">
        <v>213.166821367458</v>
      </c>
      <c r="O173" s="116">
        <v>209.11770428426601</v>
      </c>
      <c r="P173" s="116">
        <v>211.50755014682301</v>
      </c>
      <c r="Q173" s="116">
        <v>853.85</v>
      </c>
      <c r="R173">
        <v>2665275</v>
      </c>
    </row>
    <row r="174" spans="1:18" x14ac:dyDescent="0.25">
      <c r="A174" s="170">
        <v>42251</v>
      </c>
      <c r="B174" s="116">
        <v>210.5836087918</v>
      </c>
      <c r="C174" s="116">
        <v>206.93086788549201</v>
      </c>
      <c r="D174" s="116">
        <v>204.36775816479499</v>
      </c>
      <c r="E174" s="116">
        <v>209.778767575156</v>
      </c>
      <c r="F174" s="116">
        <v>835.6</v>
      </c>
      <c r="G174">
        <v>636304</v>
      </c>
      <c r="H174" s="116"/>
      <c r="I174" s="116"/>
      <c r="L174" s="170">
        <v>42251</v>
      </c>
      <c r="M174" s="116">
        <v>207.012658705848</v>
      </c>
      <c r="N174" s="116">
        <v>210.43026211551501</v>
      </c>
      <c r="O174" s="116">
        <v>204.33801255915199</v>
      </c>
      <c r="P174" s="116">
        <v>210.43026211551501</v>
      </c>
      <c r="Q174" s="116">
        <v>835.9</v>
      </c>
      <c r="R174">
        <v>3703036</v>
      </c>
    </row>
    <row r="175" spans="1:18" x14ac:dyDescent="0.25">
      <c r="A175" s="170">
        <v>42254</v>
      </c>
      <c r="B175" s="116">
        <v>209.011072876203</v>
      </c>
      <c r="C175" s="116">
        <v>206.299377084741</v>
      </c>
      <c r="D175" s="116">
        <v>204.98686679298299</v>
      </c>
      <c r="E175" s="116">
        <v>207.277568717278</v>
      </c>
      <c r="F175" s="116">
        <v>833.05</v>
      </c>
      <c r="G175">
        <v>177756</v>
      </c>
      <c r="H175" s="116"/>
      <c r="I175" s="116"/>
      <c r="L175" s="170">
        <v>42254</v>
      </c>
      <c r="M175" s="116">
        <v>206.343997169174</v>
      </c>
      <c r="N175" s="116">
        <v>209.01864331587001</v>
      </c>
      <c r="O175" s="116">
        <v>204.98190885372699</v>
      </c>
      <c r="P175" s="116">
        <v>207.59464189517499</v>
      </c>
      <c r="Q175" s="116">
        <v>833.2</v>
      </c>
      <c r="R175">
        <v>2339465</v>
      </c>
    </row>
    <row r="176" spans="1:18" x14ac:dyDescent="0.25">
      <c r="A176" s="170">
        <v>42255</v>
      </c>
      <c r="B176" s="116">
        <v>211.289392627935</v>
      </c>
      <c r="C176" s="116">
        <v>210.236907960015</v>
      </c>
      <c r="D176" s="116">
        <v>204.553490753251</v>
      </c>
      <c r="E176" s="116">
        <v>207.02992526600201</v>
      </c>
      <c r="F176" s="116">
        <v>848.95</v>
      </c>
      <c r="G176">
        <v>288488</v>
      </c>
      <c r="H176" s="116"/>
      <c r="I176" s="116"/>
      <c r="L176" s="170">
        <v>42255</v>
      </c>
      <c r="M176" s="116">
        <v>210.157844452425</v>
      </c>
      <c r="N176" s="116">
        <v>211.235132483733</v>
      </c>
      <c r="O176" s="116">
        <v>204.33801255915199</v>
      </c>
      <c r="P176" s="116">
        <v>207.03742394794699</v>
      </c>
      <c r="Q176" s="116">
        <v>848.6</v>
      </c>
      <c r="R176">
        <v>2948830</v>
      </c>
    </row>
    <row r="177" spans="1:18" x14ac:dyDescent="0.25">
      <c r="A177" s="170">
        <v>42256</v>
      </c>
      <c r="B177" s="116">
        <v>217.554771945195</v>
      </c>
      <c r="C177" s="116">
        <v>216.20511513574601</v>
      </c>
      <c r="D177" s="116">
        <v>210.83125224307599</v>
      </c>
      <c r="E177" s="116">
        <v>212.72572464532999</v>
      </c>
      <c r="F177" s="116">
        <v>873.05</v>
      </c>
      <c r="G177">
        <v>410854</v>
      </c>
      <c r="H177" s="116"/>
      <c r="I177" s="116"/>
      <c r="L177" s="170">
        <v>42256</v>
      </c>
      <c r="M177" s="116">
        <v>216.46059856663001</v>
      </c>
      <c r="N177" s="116">
        <v>217.61218232423499</v>
      </c>
      <c r="O177" s="116">
        <v>210.62838405230701</v>
      </c>
      <c r="P177" s="116">
        <v>213.22873447270601</v>
      </c>
      <c r="Q177" s="116">
        <v>874.05</v>
      </c>
      <c r="R177">
        <v>3963791</v>
      </c>
    </row>
    <row r="178" spans="1:18" x14ac:dyDescent="0.25">
      <c r="A178" s="170">
        <v>42257</v>
      </c>
      <c r="B178" s="116">
        <v>215.44980260935699</v>
      </c>
      <c r="C178" s="116">
        <v>214.69449008296701</v>
      </c>
      <c r="D178" s="116">
        <v>211.982794291505</v>
      </c>
      <c r="E178" s="116">
        <v>212.99813244173299</v>
      </c>
      <c r="F178" s="116">
        <v>866.95</v>
      </c>
      <c r="G178">
        <v>368560</v>
      </c>
      <c r="H178" s="116"/>
      <c r="I178" s="116"/>
      <c r="L178" s="170">
        <v>42257</v>
      </c>
      <c r="M178" s="116">
        <v>214.71464899864799</v>
      </c>
      <c r="N178" s="116">
        <v>215.58143247211399</v>
      </c>
      <c r="O178" s="116">
        <v>211.866646157259</v>
      </c>
      <c r="P178" s="116">
        <v>213.22873447270601</v>
      </c>
      <c r="Q178" s="116">
        <v>867</v>
      </c>
      <c r="R178">
        <v>2531423</v>
      </c>
    </row>
    <row r="179" spans="1:18" x14ac:dyDescent="0.25">
      <c r="A179" s="170">
        <v>42258</v>
      </c>
      <c r="B179" s="116">
        <v>217.00995635238999</v>
      </c>
      <c r="C179" s="116">
        <v>213.23339372044401</v>
      </c>
      <c r="D179" s="116">
        <v>212.304730778162</v>
      </c>
      <c r="E179" s="116">
        <v>216.27940817112801</v>
      </c>
      <c r="F179" s="116">
        <v>861.05</v>
      </c>
      <c r="G179">
        <v>363751</v>
      </c>
      <c r="H179" s="116"/>
      <c r="I179" s="116"/>
      <c r="L179" s="170">
        <v>42258</v>
      </c>
      <c r="M179" s="116">
        <v>213.21635185165599</v>
      </c>
      <c r="N179" s="116">
        <v>216.96828602965999</v>
      </c>
      <c r="O179" s="116">
        <v>212.04000285195201</v>
      </c>
      <c r="P179" s="116">
        <v>215.9529111036</v>
      </c>
      <c r="Q179" s="116">
        <v>860.95</v>
      </c>
      <c r="R179">
        <v>2430944</v>
      </c>
    </row>
    <row r="180" spans="1:18" x14ac:dyDescent="0.25">
      <c r="A180" s="170">
        <v>42261</v>
      </c>
      <c r="B180" s="116">
        <v>214.062999282216</v>
      </c>
      <c r="C180" s="116">
        <v>213.72868062299401</v>
      </c>
      <c r="D180" s="116">
        <v>211.016984831532</v>
      </c>
      <c r="E180" s="116">
        <v>213.41912630890101</v>
      </c>
      <c r="F180" s="116">
        <v>863.05</v>
      </c>
      <c r="G180">
        <v>244111</v>
      </c>
      <c r="H180" s="116"/>
      <c r="I180" s="116"/>
      <c r="L180" s="170">
        <v>42261</v>
      </c>
      <c r="M180" s="116">
        <v>213.934543872528</v>
      </c>
      <c r="N180" s="116">
        <v>214.39270085136101</v>
      </c>
      <c r="O180" s="116">
        <v>210.97509744169301</v>
      </c>
      <c r="P180" s="116">
        <v>213.41447378844899</v>
      </c>
      <c r="Q180" s="116">
        <v>863.85</v>
      </c>
      <c r="R180">
        <v>1820453</v>
      </c>
    </row>
    <row r="181" spans="1:18" x14ac:dyDescent="0.25">
      <c r="A181" s="170">
        <v>42262</v>
      </c>
      <c r="B181" s="116">
        <v>215.36312740141</v>
      </c>
      <c r="C181" s="116">
        <v>214.843076153732</v>
      </c>
      <c r="D181" s="116">
        <v>212.03232298175999</v>
      </c>
      <c r="E181" s="116">
        <v>213.468654999156</v>
      </c>
      <c r="F181" s="116">
        <v>867.55</v>
      </c>
      <c r="G181">
        <v>332748</v>
      </c>
      <c r="H181" s="116"/>
      <c r="I181" s="116"/>
      <c r="L181" s="170">
        <v>42262</v>
      </c>
      <c r="M181" s="116">
        <v>214.999449282787</v>
      </c>
      <c r="N181" s="116">
        <v>215.45760626161899</v>
      </c>
      <c r="O181" s="116">
        <v>211.89141139935799</v>
      </c>
      <c r="P181" s="116">
        <v>213.476386893696</v>
      </c>
      <c r="Q181" s="116">
        <v>868.15</v>
      </c>
      <c r="R181">
        <v>2630944</v>
      </c>
    </row>
    <row r="182" spans="1:18" x14ac:dyDescent="0.25">
      <c r="A182" s="170">
        <v>42263</v>
      </c>
      <c r="B182" s="116">
        <v>217.282364148792</v>
      </c>
      <c r="C182" s="116">
        <v>215.969853857034</v>
      </c>
      <c r="D182" s="116">
        <v>214.21158535298099</v>
      </c>
      <c r="E182" s="116">
        <v>215.44980260935699</v>
      </c>
      <c r="F182" s="116">
        <v>872.1</v>
      </c>
      <c r="G182">
        <v>283855</v>
      </c>
      <c r="H182" s="116"/>
      <c r="I182" s="116"/>
      <c r="L182" s="170">
        <v>42263</v>
      </c>
      <c r="M182" s="116">
        <v>216.089119935144</v>
      </c>
      <c r="N182" s="116">
        <v>217.277851555898</v>
      </c>
      <c r="O182" s="116">
        <v>214.26887464086499</v>
      </c>
      <c r="P182" s="116">
        <v>215.977676345699</v>
      </c>
      <c r="Q182" s="116">
        <v>872.55</v>
      </c>
      <c r="R182">
        <v>3068686</v>
      </c>
    </row>
    <row r="183" spans="1:18" x14ac:dyDescent="0.25">
      <c r="A183" s="170">
        <v>42265</v>
      </c>
      <c r="B183" s="116">
        <v>222.63146269633501</v>
      </c>
      <c r="C183" s="116">
        <v>221.665653236362</v>
      </c>
      <c r="D183" s="116">
        <v>217.20807111341</v>
      </c>
      <c r="E183" s="116">
        <v>217.30712849392</v>
      </c>
      <c r="F183" s="116">
        <v>895.1</v>
      </c>
      <c r="G183">
        <v>558538</v>
      </c>
      <c r="H183" s="116"/>
      <c r="I183" s="116"/>
      <c r="L183" s="170">
        <v>42265</v>
      </c>
      <c r="M183" s="116">
        <v>221.74797775477401</v>
      </c>
      <c r="N183" s="116">
        <v>222.763352680835</v>
      </c>
      <c r="O183" s="116">
        <v>217.22832107170001</v>
      </c>
      <c r="P183" s="116">
        <v>217.55026921898801</v>
      </c>
      <c r="Q183" s="116">
        <v>895.4</v>
      </c>
      <c r="R183">
        <v>7831592</v>
      </c>
    </row>
    <row r="184" spans="1:18" x14ac:dyDescent="0.25">
      <c r="A184" s="170">
        <v>42268</v>
      </c>
      <c r="B184" s="116">
        <v>219.84547386949001</v>
      </c>
      <c r="C184" s="116">
        <v>217.35665718417499</v>
      </c>
      <c r="D184" s="116">
        <v>216.861370281625</v>
      </c>
      <c r="E184" s="116">
        <v>217.92623712210801</v>
      </c>
      <c r="F184" s="116">
        <v>877.7</v>
      </c>
      <c r="G184">
        <v>177131</v>
      </c>
      <c r="H184" s="116"/>
      <c r="I184" s="116"/>
      <c r="L184" s="170">
        <v>42268</v>
      </c>
      <c r="M184" s="116">
        <v>217.463590871641</v>
      </c>
      <c r="N184" s="116">
        <v>219.964880323644</v>
      </c>
      <c r="O184" s="116">
        <v>216.95590340861099</v>
      </c>
      <c r="P184" s="116">
        <v>217.93413047152299</v>
      </c>
      <c r="Q184" s="116">
        <v>878.1</v>
      </c>
      <c r="R184">
        <v>2910364</v>
      </c>
    </row>
    <row r="185" spans="1:18" x14ac:dyDescent="0.25">
      <c r="A185" s="170">
        <v>42269</v>
      </c>
      <c r="B185" s="116">
        <v>219.028250480282</v>
      </c>
      <c r="C185" s="116">
        <v>209.86544278310299</v>
      </c>
      <c r="D185" s="116">
        <v>209.258716327478</v>
      </c>
      <c r="E185" s="116">
        <v>217.95100146723499</v>
      </c>
      <c r="F185" s="116">
        <v>847.45</v>
      </c>
      <c r="G185">
        <v>723862</v>
      </c>
      <c r="H185" s="116"/>
      <c r="I185" s="116"/>
      <c r="L185" s="170">
        <v>42269</v>
      </c>
      <c r="M185" s="116">
        <v>209.98448775773201</v>
      </c>
      <c r="N185" s="116">
        <v>219.14762733437601</v>
      </c>
      <c r="O185" s="116">
        <v>209.14246952636501</v>
      </c>
      <c r="P185" s="116">
        <v>217.93413047152299</v>
      </c>
      <c r="Q185" s="116">
        <v>847.9</v>
      </c>
      <c r="R185">
        <v>3599162</v>
      </c>
    </row>
    <row r="186" spans="1:18" x14ac:dyDescent="0.25">
      <c r="A186" s="170">
        <v>42270</v>
      </c>
      <c r="B186" s="116">
        <v>212.16852687996101</v>
      </c>
      <c r="C186" s="116">
        <v>210.843634415639</v>
      </c>
      <c r="D186" s="116">
        <v>208.02049907110299</v>
      </c>
      <c r="E186" s="116">
        <v>208.02049907110299</v>
      </c>
      <c r="F186" s="116">
        <v>851.4</v>
      </c>
      <c r="G186">
        <v>416233</v>
      </c>
      <c r="H186" s="116"/>
      <c r="I186" s="116"/>
      <c r="L186" s="170">
        <v>42270</v>
      </c>
      <c r="M186" s="116">
        <v>210.591236189158</v>
      </c>
      <c r="N186" s="116">
        <v>212.188594304546</v>
      </c>
      <c r="O186" s="116">
        <v>208.02803363190799</v>
      </c>
      <c r="P186" s="116">
        <v>208.77099089487899</v>
      </c>
      <c r="Q186" s="116">
        <v>850.35</v>
      </c>
      <c r="R186">
        <v>3479324</v>
      </c>
    </row>
    <row r="187" spans="1:18" x14ac:dyDescent="0.25">
      <c r="A187" s="170">
        <v>42271</v>
      </c>
      <c r="B187" s="116">
        <v>210.00164668130401</v>
      </c>
      <c r="C187" s="116">
        <v>207.50044782342499</v>
      </c>
      <c r="D187" s="116">
        <v>206.79466398729099</v>
      </c>
      <c r="E187" s="116">
        <v>210.00164668130401</v>
      </c>
      <c r="F187" s="116">
        <v>837.9</v>
      </c>
      <c r="G187">
        <v>730116</v>
      </c>
      <c r="H187" s="116"/>
      <c r="I187" s="116"/>
      <c r="L187" s="170">
        <v>42271</v>
      </c>
      <c r="M187" s="116">
        <v>207.37175471628399</v>
      </c>
      <c r="N187" s="116">
        <v>210.00925299983101</v>
      </c>
      <c r="O187" s="116">
        <v>206.72785842170899</v>
      </c>
      <c r="P187" s="116">
        <v>210.00925299983101</v>
      </c>
      <c r="Q187" s="116">
        <v>837.35</v>
      </c>
      <c r="R187">
        <v>6646509</v>
      </c>
    </row>
    <row r="188" spans="1:18" x14ac:dyDescent="0.25">
      <c r="A188" s="170">
        <v>42275</v>
      </c>
      <c r="B188" s="116">
        <v>208.24337817725001</v>
      </c>
      <c r="C188" s="116">
        <v>206.62131357139799</v>
      </c>
      <c r="D188" s="116">
        <v>205.54406455835201</v>
      </c>
      <c r="E188" s="116">
        <v>207.50044782342499</v>
      </c>
      <c r="F188" s="116">
        <v>834.35</v>
      </c>
      <c r="G188">
        <v>778144</v>
      </c>
      <c r="H188" s="116"/>
      <c r="I188" s="116"/>
      <c r="L188" s="170">
        <v>42275</v>
      </c>
      <c r="M188" s="116">
        <v>206.604032211213</v>
      </c>
      <c r="N188" s="116">
        <v>208.25092081079899</v>
      </c>
      <c r="O188" s="116">
        <v>205.22956127471701</v>
      </c>
      <c r="P188" s="116">
        <v>207.97850314771</v>
      </c>
      <c r="Q188" s="116">
        <v>834.25</v>
      </c>
      <c r="R188">
        <v>2657197</v>
      </c>
    </row>
    <row r="189" spans="1:18" x14ac:dyDescent="0.25">
      <c r="A189" s="170">
        <v>42276</v>
      </c>
      <c r="B189" s="116">
        <v>210.323583167962</v>
      </c>
      <c r="C189" s="116">
        <v>207.81000213751901</v>
      </c>
      <c r="D189" s="116">
        <v>204.68969465145199</v>
      </c>
      <c r="E189" s="116">
        <v>205.29642110707701</v>
      </c>
      <c r="F189" s="116">
        <v>839.15</v>
      </c>
      <c r="G189">
        <v>436844</v>
      </c>
      <c r="H189" s="116"/>
      <c r="I189" s="116"/>
      <c r="L189" s="170">
        <v>42276</v>
      </c>
      <c r="M189" s="116">
        <v>208.21377294765099</v>
      </c>
      <c r="N189" s="116">
        <v>210.566470947059</v>
      </c>
      <c r="O189" s="116">
        <v>204.58566498014201</v>
      </c>
      <c r="P189" s="116">
        <v>205.55150942200399</v>
      </c>
      <c r="Q189" s="116">
        <v>840.75</v>
      </c>
      <c r="R189">
        <v>3623837</v>
      </c>
    </row>
    <row r="190" spans="1:18" x14ac:dyDescent="0.25">
      <c r="A190" s="170">
        <v>42277</v>
      </c>
      <c r="B190" s="116">
        <v>213.716298450431</v>
      </c>
      <c r="C190" s="116">
        <v>213.097189822243</v>
      </c>
      <c r="D190" s="116">
        <v>207.67379823931799</v>
      </c>
      <c r="E190" s="116">
        <v>210.01402885386801</v>
      </c>
      <c r="F190" s="116">
        <v>860.5</v>
      </c>
      <c r="G190">
        <v>345752</v>
      </c>
      <c r="H190" s="116"/>
      <c r="I190" s="116"/>
      <c r="L190" s="170">
        <v>42277</v>
      </c>
      <c r="M190" s="116">
        <v>213.55068261999301</v>
      </c>
      <c r="N190" s="116">
        <v>214.16981367246899</v>
      </c>
      <c r="O190" s="116">
        <v>207.656555000423</v>
      </c>
      <c r="P190" s="116">
        <v>210.75221026280201</v>
      </c>
      <c r="Q190" s="116">
        <v>862.3</v>
      </c>
      <c r="R190">
        <v>3952665</v>
      </c>
    </row>
    <row r="191" spans="1:18" x14ac:dyDescent="0.25">
      <c r="A191" s="170">
        <v>42278</v>
      </c>
      <c r="B191" s="116">
        <v>216.068911237544</v>
      </c>
      <c r="C191" s="116">
        <v>213.542948034538</v>
      </c>
      <c r="D191" s="116">
        <v>212.676195955075</v>
      </c>
      <c r="E191" s="116">
        <v>215.94508951190701</v>
      </c>
      <c r="F191" s="116">
        <v>862.3</v>
      </c>
      <c r="G191">
        <v>173286</v>
      </c>
      <c r="H191" s="116"/>
      <c r="I191" s="116"/>
      <c r="L191" s="170">
        <v>42278</v>
      </c>
      <c r="M191" s="116">
        <v>214.14504843037</v>
      </c>
      <c r="N191" s="116">
        <v>216.43583332453099</v>
      </c>
      <c r="O191" s="116">
        <v>212.634368662329</v>
      </c>
      <c r="P191" s="116">
        <v>216.43583332453099</v>
      </c>
      <c r="Q191" s="116">
        <v>864.7</v>
      </c>
      <c r="R191">
        <v>1980306</v>
      </c>
    </row>
    <row r="192" spans="1:18" x14ac:dyDescent="0.25">
      <c r="A192" s="170">
        <v>42282</v>
      </c>
      <c r="B192" s="116">
        <v>220.37790728973201</v>
      </c>
      <c r="C192" s="116">
        <v>219.474008692577</v>
      </c>
      <c r="D192" s="116">
        <v>213.59247672479299</v>
      </c>
      <c r="E192" s="116">
        <v>214.21158535298099</v>
      </c>
      <c r="F192" s="116">
        <v>886.25</v>
      </c>
      <c r="G192">
        <v>369010</v>
      </c>
      <c r="H192" s="116"/>
      <c r="I192" s="116"/>
      <c r="L192" s="170">
        <v>42282</v>
      </c>
      <c r="M192" s="116">
        <v>219.91534983944601</v>
      </c>
      <c r="N192" s="116">
        <v>220.410654681426</v>
      </c>
      <c r="O192" s="116">
        <v>213.43923903054801</v>
      </c>
      <c r="P192" s="116">
        <v>213.67450883048801</v>
      </c>
      <c r="Q192" s="116">
        <v>888</v>
      </c>
      <c r="R192">
        <v>3660854</v>
      </c>
    </row>
    <row r="193" spans="1:18" x14ac:dyDescent="0.25">
      <c r="A193" s="170">
        <v>42283</v>
      </c>
      <c r="B193" s="116">
        <v>222.63146269633501</v>
      </c>
      <c r="C193" s="116">
        <v>221.86376799738201</v>
      </c>
      <c r="D193" s="116">
        <v>219.300658276685</v>
      </c>
      <c r="E193" s="116">
        <v>221.17036633381201</v>
      </c>
      <c r="F193" s="116">
        <v>895.9</v>
      </c>
      <c r="G193">
        <v>233928</v>
      </c>
      <c r="H193" s="116"/>
      <c r="I193" s="116"/>
      <c r="L193" s="170">
        <v>42283</v>
      </c>
      <c r="M193" s="116">
        <v>222.40425667039901</v>
      </c>
      <c r="N193" s="116">
        <v>223.01100510182499</v>
      </c>
      <c r="O193" s="116">
        <v>219.35813189221699</v>
      </c>
      <c r="P193" s="116">
        <v>221.80989086002199</v>
      </c>
      <c r="Q193" s="116">
        <v>898.05</v>
      </c>
      <c r="R193">
        <v>2818498</v>
      </c>
    </row>
    <row r="194" spans="1:18" x14ac:dyDescent="0.25">
      <c r="A194" s="170">
        <v>42284</v>
      </c>
      <c r="B194" s="116">
        <v>227.08904481928701</v>
      </c>
      <c r="C194" s="116">
        <v>226.30896794777101</v>
      </c>
      <c r="D194" s="116">
        <v>220.41505380742299</v>
      </c>
      <c r="E194" s="116">
        <v>221.839003652255</v>
      </c>
      <c r="F194" s="116">
        <v>913.85</v>
      </c>
      <c r="G194">
        <v>320860</v>
      </c>
      <c r="H194" s="116"/>
      <c r="I194" s="116"/>
      <c r="L194" s="170">
        <v>42284</v>
      </c>
      <c r="M194" s="116">
        <v>226.304782300997</v>
      </c>
      <c r="N194" s="116">
        <v>227.35730509020601</v>
      </c>
      <c r="O194" s="116">
        <v>220.65830710241701</v>
      </c>
      <c r="P194" s="116">
        <v>221.574621060081</v>
      </c>
      <c r="Q194" s="116">
        <v>913.8</v>
      </c>
      <c r="R194">
        <v>2632179</v>
      </c>
    </row>
    <row r="195" spans="1:18" x14ac:dyDescent="0.25">
      <c r="A195" s="170">
        <v>42285</v>
      </c>
      <c r="B195" s="116">
        <v>226.59375791673699</v>
      </c>
      <c r="C195" s="116">
        <v>220.19217470127501</v>
      </c>
      <c r="D195" s="116">
        <v>219.560683900524</v>
      </c>
      <c r="E195" s="116">
        <v>226.38326098315301</v>
      </c>
      <c r="F195" s="116">
        <v>889.15</v>
      </c>
      <c r="G195">
        <v>293575</v>
      </c>
      <c r="H195" s="116"/>
      <c r="I195" s="116"/>
      <c r="L195" s="170">
        <v>42285</v>
      </c>
      <c r="M195" s="116">
        <v>220.187767502535</v>
      </c>
      <c r="N195" s="116">
        <v>226.57719996408699</v>
      </c>
      <c r="O195" s="116">
        <v>219.48195810271301</v>
      </c>
      <c r="P195" s="116">
        <v>226.57719996408699</v>
      </c>
      <c r="Q195" s="116">
        <v>889.1</v>
      </c>
      <c r="R195">
        <v>2457989</v>
      </c>
    </row>
    <row r="196" spans="1:18" x14ac:dyDescent="0.25">
      <c r="A196" s="170">
        <v>42286</v>
      </c>
      <c r="B196" s="116">
        <v>224.092559058858</v>
      </c>
      <c r="C196" s="116">
        <v>219.49877303770501</v>
      </c>
      <c r="D196" s="116">
        <v>218.446288369786</v>
      </c>
      <c r="E196" s="116">
        <v>222.099029276094</v>
      </c>
      <c r="F196" s="116">
        <v>886.35</v>
      </c>
      <c r="G196">
        <v>252976</v>
      </c>
      <c r="H196" s="116"/>
      <c r="I196" s="116"/>
      <c r="L196" s="170">
        <v>42286</v>
      </c>
      <c r="M196" s="116">
        <v>219.754375765802</v>
      </c>
      <c r="N196" s="116">
        <v>224.23688458572801</v>
      </c>
      <c r="O196" s="116">
        <v>218.30560910300801</v>
      </c>
      <c r="P196" s="116">
        <v>221.41364698643699</v>
      </c>
      <c r="Q196" s="116">
        <v>887.35</v>
      </c>
      <c r="R196">
        <v>2132195</v>
      </c>
    </row>
    <row r="197" spans="1:18" x14ac:dyDescent="0.25">
      <c r="A197" s="170">
        <v>42289</v>
      </c>
      <c r="B197" s="116">
        <v>223.040074390939</v>
      </c>
      <c r="C197" s="116">
        <v>220.91034070997301</v>
      </c>
      <c r="D197" s="116">
        <v>220.03120645794601</v>
      </c>
      <c r="E197" s="116">
        <v>220.40267163485899</v>
      </c>
      <c r="F197" s="116">
        <v>892.05</v>
      </c>
      <c r="G197">
        <v>144413</v>
      </c>
      <c r="H197" s="116"/>
      <c r="I197" s="116"/>
      <c r="L197" s="170">
        <v>42289</v>
      </c>
      <c r="M197" s="116">
        <v>220.84404641815999</v>
      </c>
      <c r="N197" s="116">
        <v>223.283422764915</v>
      </c>
      <c r="O197" s="116">
        <v>219.91534983944601</v>
      </c>
      <c r="P197" s="116">
        <v>219.91534983944601</v>
      </c>
      <c r="Q197" s="116">
        <v>891.75</v>
      </c>
      <c r="R197">
        <v>1420049</v>
      </c>
    </row>
    <row r="198" spans="1:18" x14ac:dyDescent="0.25">
      <c r="A198" s="170">
        <v>42290</v>
      </c>
      <c r="B198" s="116">
        <v>221.64088889123499</v>
      </c>
      <c r="C198" s="116">
        <v>221.03416243561099</v>
      </c>
      <c r="D198" s="116">
        <v>218.66916747593299</v>
      </c>
      <c r="E198" s="116">
        <v>219.85785604205401</v>
      </c>
      <c r="F198" s="116">
        <v>892.55</v>
      </c>
      <c r="G198">
        <v>127540</v>
      </c>
      <c r="H198" s="116"/>
      <c r="I198" s="116"/>
      <c r="L198" s="170">
        <v>42290</v>
      </c>
      <c r="M198" s="116">
        <v>221.30220339699201</v>
      </c>
      <c r="N198" s="116">
        <v>221.97086493366601</v>
      </c>
      <c r="O198" s="116">
        <v>218.652322492395</v>
      </c>
      <c r="P198" s="116">
        <v>219.184775197524</v>
      </c>
      <c r="Q198" s="116">
        <v>893.6</v>
      </c>
      <c r="R198">
        <v>1408658</v>
      </c>
    </row>
    <row r="199" spans="1:18" x14ac:dyDescent="0.25">
      <c r="A199" s="170">
        <v>42291</v>
      </c>
      <c r="B199" s="116">
        <v>223.86967995271101</v>
      </c>
      <c r="C199" s="116">
        <v>223.37439305015999</v>
      </c>
      <c r="D199" s="116">
        <v>220.972251572792</v>
      </c>
      <c r="E199" s="116">
        <v>221.18274850637599</v>
      </c>
      <c r="F199" s="116">
        <v>902</v>
      </c>
      <c r="G199">
        <v>167406</v>
      </c>
      <c r="H199" s="116"/>
      <c r="I199" s="116"/>
      <c r="L199" s="170">
        <v>42291</v>
      </c>
      <c r="M199" s="116">
        <v>223.617753533252</v>
      </c>
      <c r="N199" s="116">
        <v>224.12544099628201</v>
      </c>
      <c r="O199" s="116">
        <v>221.38888174433799</v>
      </c>
      <c r="P199" s="116">
        <v>221.84703872317101</v>
      </c>
      <c r="Q199" s="116">
        <v>902.95</v>
      </c>
      <c r="R199">
        <v>1829257</v>
      </c>
    </row>
    <row r="200" spans="1:18" x14ac:dyDescent="0.25">
      <c r="A200" s="170">
        <v>42292</v>
      </c>
      <c r="B200" s="116">
        <v>225.504126731127</v>
      </c>
      <c r="C200" s="116">
        <v>223.86967995271101</v>
      </c>
      <c r="D200" s="116">
        <v>222.90387049273801</v>
      </c>
      <c r="E200" s="116">
        <v>224.67452116935499</v>
      </c>
      <c r="F200" s="116">
        <v>904</v>
      </c>
      <c r="G200">
        <v>189822</v>
      </c>
      <c r="H200" s="116"/>
      <c r="I200" s="116"/>
      <c r="L200" s="170">
        <v>42292</v>
      </c>
      <c r="M200" s="116">
        <v>223.80349284899401</v>
      </c>
      <c r="N200" s="116">
        <v>225.61135552222399</v>
      </c>
      <c r="O200" s="116">
        <v>222.91194413342899</v>
      </c>
      <c r="P200" s="116">
        <v>224.794102532956</v>
      </c>
      <c r="Q200" s="116">
        <v>903.7</v>
      </c>
      <c r="R200">
        <v>2068330</v>
      </c>
    </row>
    <row r="201" spans="1:18" x14ac:dyDescent="0.25">
      <c r="A201" s="170">
        <v>42293</v>
      </c>
      <c r="B201" s="116">
        <v>226.51946488135499</v>
      </c>
      <c r="C201" s="116">
        <v>225.90035625316699</v>
      </c>
      <c r="D201" s="116">
        <v>223.86967995271101</v>
      </c>
      <c r="E201" s="116">
        <v>224.11732340398601</v>
      </c>
      <c r="F201" s="116">
        <v>912.2</v>
      </c>
      <c r="G201">
        <v>232521</v>
      </c>
      <c r="H201" s="116"/>
      <c r="I201" s="116"/>
      <c r="L201" s="170">
        <v>42293</v>
      </c>
      <c r="M201" s="116">
        <v>225.896155806363</v>
      </c>
      <c r="N201" s="116">
        <v>226.552434721987</v>
      </c>
      <c r="O201" s="116">
        <v>223.80349284899401</v>
      </c>
      <c r="P201" s="116">
        <v>224.00161478578701</v>
      </c>
      <c r="Q201" s="116">
        <v>912.15</v>
      </c>
      <c r="R201">
        <v>3485193</v>
      </c>
    </row>
    <row r="202" spans="1:18" x14ac:dyDescent="0.25">
      <c r="A202" s="170">
        <v>42296</v>
      </c>
      <c r="B202" s="116">
        <v>239.02545917074801</v>
      </c>
      <c r="C202" s="116">
        <v>238.579700958453</v>
      </c>
      <c r="D202" s="116">
        <v>233.18107372065501</v>
      </c>
      <c r="E202" s="116">
        <v>233.18107372065501</v>
      </c>
      <c r="F202" s="116">
        <v>963.4</v>
      </c>
      <c r="G202">
        <v>802090</v>
      </c>
      <c r="H202" s="116"/>
      <c r="I202" s="116"/>
      <c r="L202" s="170">
        <v>42296</v>
      </c>
      <c r="M202" s="116">
        <v>238.613107624218</v>
      </c>
      <c r="N202" s="116">
        <v>239.10841246619901</v>
      </c>
      <c r="O202" s="116">
        <v>233.04092815193499</v>
      </c>
      <c r="P202" s="116">
        <v>233.04092815193499</v>
      </c>
      <c r="Q202" s="116">
        <v>963.5</v>
      </c>
      <c r="R202">
        <v>7658875</v>
      </c>
    </row>
    <row r="203" spans="1:18" x14ac:dyDescent="0.25">
      <c r="A203" s="170">
        <v>42297</v>
      </c>
      <c r="B203" s="116">
        <v>239.421688692788</v>
      </c>
      <c r="C203" s="116">
        <v>236.61093552081601</v>
      </c>
      <c r="D203" s="116">
        <v>235.533686507769</v>
      </c>
      <c r="E203" s="116">
        <v>238.480643577943</v>
      </c>
      <c r="F203" s="116">
        <v>955.45</v>
      </c>
      <c r="G203">
        <v>206974</v>
      </c>
      <c r="H203" s="116"/>
      <c r="I203" s="116"/>
      <c r="L203" s="170">
        <v>42297</v>
      </c>
      <c r="M203" s="116">
        <v>236.92907116148399</v>
      </c>
      <c r="N203" s="116">
        <v>239.40559537138799</v>
      </c>
      <c r="O203" s="116">
        <v>236.01275720382</v>
      </c>
      <c r="P203" s="116">
        <v>238.98458625570399</v>
      </c>
      <c r="Q203" s="116">
        <v>956.7</v>
      </c>
      <c r="R203">
        <v>4135503</v>
      </c>
    </row>
    <row r="204" spans="1:18" x14ac:dyDescent="0.25">
      <c r="A204" s="170">
        <v>42298</v>
      </c>
      <c r="B204" s="116">
        <v>241.20472154196901</v>
      </c>
      <c r="C204" s="116">
        <v>236.43758510492299</v>
      </c>
      <c r="D204" s="116">
        <v>235.954680374937</v>
      </c>
      <c r="E204" s="116">
        <v>236.747139419017</v>
      </c>
      <c r="F204" s="116">
        <v>954.75</v>
      </c>
      <c r="G204">
        <v>290037</v>
      </c>
      <c r="H204" s="116"/>
      <c r="I204" s="116"/>
      <c r="L204" s="170">
        <v>42298</v>
      </c>
      <c r="M204" s="116">
        <v>236.50806204579999</v>
      </c>
      <c r="N204" s="116">
        <v>241.41157998140901</v>
      </c>
      <c r="O204" s="116">
        <v>236.01275720382</v>
      </c>
      <c r="P204" s="116">
        <v>236.63188825629501</v>
      </c>
      <c r="Q204" s="116">
        <v>955</v>
      </c>
      <c r="R204">
        <v>3292615</v>
      </c>
    </row>
    <row r="205" spans="1:18" x14ac:dyDescent="0.25">
      <c r="A205" s="170">
        <v>42300</v>
      </c>
      <c r="B205" s="116">
        <v>241.04375329864001</v>
      </c>
      <c r="C205" s="116">
        <v>236.70999290132599</v>
      </c>
      <c r="D205" s="116">
        <v>235.45939347238601</v>
      </c>
      <c r="E205" s="116">
        <v>238.25776447179501</v>
      </c>
      <c r="F205" s="116">
        <v>955.85</v>
      </c>
      <c r="G205">
        <v>239795</v>
      </c>
      <c r="H205" s="116"/>
      <c r="I205" s="116"/>
      <c r="L205" s="170">
        <v>42300</v>
      </c>
      <c r="M205" s="116">
        <v>236.669036119444</v>
      </c>
      <c r="N205" s="116">
        <v>240.97818824467601</v>
      </c>
      <c r="O205" s="116">
        <v>233.07807601508401</v>
      </c>
      <c r="P205" s="116">
        <v>238.724551213664</v>
      </c>
      <c r="Q205" s="116">
        <v>955.65</v>
      </c>
      <c r="R205">
        <v>2778068</v>
      </c>
    </row>
    <row r="206" spans="1:18" x14ac:dyDescent="0.25">
      <c r="A206" s="170">
        <v>42303</v>
      </c>
      <c r="B206" s="116">
        <v>238.480643577943</v>
      </c>
      <c r="C206" s="116">
        <v>233.52777455244001</v>
      </c>
      <c r="D206" s="116">
        <v>232.78484419861499</v>
      </c>
      <c r="E206" s="116">
        <v>237.254808494131</v>
      </c>
      <c r="F206" s="116">
        <v>943</v>
      </c>
      <c r="G206">
        <v>151129</v>
      </c>
      <c r="H206" s="116"/>
      <c r="I206" s="116"/>
      <c r="L206" s="170">
        <v>42303</v>
      </c>
      <c r="M206" s="116">
        <v>233.49908513076701</v>
      </c>
      <c r="N206" s="116">
        <v>238.48928141372301</v>
      </c>
      <c r="O206" s="116">
        <v>233.115223878232</v>
      </c>
      <c r="P206" s="116">
        <v>238.21686375063399</v>
      </c>
      <c r="Q206" s="116">
        <v>942.85</v>
      </c>
      <c r="R206">
        <v>2500420</v>
      </c>
    </row>
    <row r="207" spans="1:18" x14ac:dyDescent="0.25">
      <c r="A207" s="170">
        <v>42304</v>
      </c>
      <c r="B207" s="116">
        <v>234.70408094599699</v>
      </c>
      <c r="C207" s="116">
        <v>232.58672943759501</v>
      </c>
      <c r="D207" s="116">
        <v>232.16573557042699</v>
      </c>
      <c r="E207" s="116">
        <v>233.23060241091</v>
      </c>
      <c r="F207" s="116">
        <v>939.2</v>
      </c>
      <c r="G207">
        <v>142859</v>
      </c>
      <c r="H207" s="116"/>
      <c r="I207" s="116"/>
      <c r="L207" s="170">
        <v>42304</v>
      </c>
      <c r="M207" s="116">
        <v>232.681832141499</v>
      </c>
      <c r="N207" s="116">
        <v>234.836408204115</v>
      </c>
      <c r="O207" s="116">
        <v>232.14937943637</v>
      </c>
      <c r="P207" s="116">
        <v>232.49609282575599</v>
      </c>
      <c r="Q207" s="116">
        <v>939.55</v>
      </c>
      <c r="R207">
        <v>2651976</v>
      </c>
    </row>
    <row r="208" spans="1:18" x14ac:dyDescent="0.25">
      <c r="A208" s="170">
        <v>42305</v>
      </c>
      <c r="B208" s="116">
        <v>233.89923972935301</v>
      </c>
      <c r="C208" s="116">
        <v>232.10382470760899</v>
      </c>
      <c r="D208" s="116">
        <v>230.39508489381001</v>
      </c>
      <c r="E208" s="116">
        <v>232.289557296065</v>
      </c>
      <c r="F208" s="116">
        <v>937.25</v>
      </c>
      <c r="G208">
        <v>140606</v>
      </c>
      <c r="H208" s="116"/>
      <c r="I208" s="116"/>
      <c r="L208" s="170">
        <v>42305</v>
      </c>
      <c r="M208" s="116">
        <v>232.037935846924</v>
      </c>
      <c r="N208" s="116">
        <v>234.00677259379799</v>
      </c>
      <c r="O208" s="116">
        <v>230.29198627894201</v>
      </c>
      <c r="P208" s="116">
        <v>232.025553225875</v>
      </c>
      <c r="Q208" s="116">
        <v>936.95</v>
      </c>
      <c r="R208">
        <v>2733564</v>
      </c>
    </row>
    <row r="209" spans="1:18" x14ac:dyDescent="0.25">
      <c r="A209" s="170">
        <v>42306</v>
      </c>
      <c r="B209" s="116">
        <v>234.01067928242699</v>
      </c>
      <c r="C209" s="116">
        <v>233.168691548092</v>
      </c>
      <c r="D209" s="116">
        <v>231.670448667877</v>
      </c>
      <c r="E209" s="116">
        <v>232.48767205708501</v>
      </c>
      <c r="F209" s="116">
        <v>941.55</v>
      </c>
      <c r="G209">
        <v>122316</v>
      </c>
      <c r="H209" s="116"/>
      <c r="I209" s="116"/>
      <c r="L209" s="170">
        <v>42306</v>
      </c>
      <c r="M209" s="116">
        <v>233.04092815193499</v>
      </c>
      <c r="N209" s="116">
        <v>234.03153783589701</v>
      </c>
      <c r="O209" s="116">
        <v>231.54263100494299</v>
      </c>
      <c r="P209" s="116">
        <v>231.80266604698301</v>
      </c>
      <c r="Q209" s="116">
        <v>941</v>
      </c>
      <c r="R209">
        <v>3035672</v>
      </c>
    </row>
    <row r="210" spans="1:18" x14ac:dyDescent="0.25">
      <c r="A210" s="170">
        <v>42307</v>
      </c>
      <c r="B210" s="116">
        <v>236.68522855619801</v>
      </c>
      <c r="C210" s="116">
        <v>234.728845291125</v>
      </c>
      <c r="D210" s="116">
        <v>232.982958959635</v>
      </c>
      <c r="E210" s="116">
        <v>233.168691548092</v>
      </c>
      <c r="F210" s="116">
        <v>947.85</v>
      </c>
      <c r="G210">
        <v>172739</v>
      </c>
      <c r="H210" s="116"/>
      <c r="I210" s="116"/>
      <c r="L210" s="170">
        <v>42307</v>
      </c>
      <c r="M210" s="116">
        <v>234.70019937257101</v>
      </c>
      <c r="N210" s="116">
        <v>236.73094922469201</v>
      </c>
      <c r="O210" s="116">
        <v>232.81804097304399</v>
      </c>
      <c r="P210" s="116">
        <v>233.313345815025</v>
      </c>
      <c r="Q210" s="116">
        <v>947.7</v>
      </c>
      <c r="R210">
        <v>3055325</v>
      </c>
    </row>
    <row r="211" spans="1:18" x14ac:dyDescent="0.25">
      <c r="A211" s="170">
        <v>42310</v>
      </c>
      <c r="B211" s="116">
        <v>237.861534949755</v>
      </c>
      <c r="C211" s="116">
        <v>237.527216290534</v>
      </c>
      <c r="D211" s="116">
        <v>234.08497231781001</v>
      </c>
      <c r="E211" s="116">
        <v>234.295469251393</v>
      </c>
      <c r="F211" s="116">
        <v>959.15</v>
      </c>
      <c r="G211">
        <v>156238</v>
      </c>
      <c r="H211" s="116"/>
      <c r="I211" s="116"/>
      <c r="L211" s="170">
        <v>42310</v>
      </c>
      <c r="M211" s="116">
        <v>237.69679366655399</v>
      </c>
      <c r="N211" s="116">
        <v>238.11780278223799</v>
      </c>
      <c r="O211" s="116">
        <v>234.081068320095</v>
      </c>
      <c r="P211" s="116">
        <v>235.02214751985801</v>
      </c>
      <c r="Q211" s="116">
        <v>959.8</v>
      </c>
      <c r="R211">
        <v>1650838</v>
      </c>
    </row>
    <row r="212" spans="1:18" x14ac:dyDescent="0.25">
      <c r="A212" s="170">
        <v>42311</v>
      </c>
      <c r="B212" s="116">
        <v>240.21414773686899</v>
      </c>
      <c r="C212" s="116">
        <v>239.32263131227799</v>
      </c>
      <c r="D212" s="116">
        <v>238.233000126668</v>
      </c>
      <c r="E212" s="116">
        <v>238.233000126668</v>
      </c>
      <c r="F212" s="116">
        <v>966.4</v>
      </c>
      <c r="G212">
        <v>181908</v>
      </c>
      <c r="H212" s="116"/>
      <c r="I212" s="116"/>
      <c r="L212" s="170">
        <v>42311</v>
      </c>
      <c r="M212" s="116">
        <v>239.52942158188301</v>
      </c>
      <c r="N212" s="116">
        <v>240.334291950101</v>
      </c>
      <c r="O212" s="116">
        <v>238.05588967699001</v>
      </c>
      <c r="P212" s="116">
        <v>238.55119451897099</v>
      </c>
      <c r="Q212" s="116">
        <v>967.2</v>
      </c>
      <c r="R212">
        <v>2599796</v>
      </c>
    </row>
    <row r="213" spans="1:18" x14ac:dyDescent="0.25">
      <c r="A213" s="170">
        <v>42312</v>
      </c>
      <c r="B213" s="116">
        <v>241.452364993244</v>
      </c>
      <c r="C213" s="116">
        <v>235.781329959044</v>
      </c>
      <c r="D213" s="116">
        <v>234.44405532215799</v>
      </c>
      <c r="E213" s="116">
        <v>240.70943463941899</v>
      </c>
      <c r="F213" s="116">
        <v>952.1</v>
      </c>
      <c r="G213">
        <v>172804</v>
      </c>
      <c r="H213" s="116"/>
      <c r="I213" s="116"/>
      <c r="L213" s="170">
        <v>42312</v>
      </c>
      <c r="M213" s="116">
        <v>235.591748088136</v>
      </c>
      <c r="N213" s="116">
        <v>241.46111046560799</v>
      </c>
      <c r="O213" s="116">
        <v>234.32872074108499</v>
      </c>
      <c r="P213" s="116">
        <v>239.72754351867499</v>
      </c>
      <c r="Q213" s="116">
        <v>951.3</v>
      </c>
      <c r="R213">
        <v>2293418</v>
      </c>
    </row>
    <row r="214" spans="1:18" x14ac:dyDescent="0.25">
      <c r="A214" s="170">
        <v>42313</v>
      </c>
      <c r="B214" s="116">
        <v>235.63274388827901</v>
      </c>
      <c r="C214" s="116">
        <v>232.00476732709899</v>
      </c>
      <c r="D214" s="116">
        <v>231.063722212253</v>
      </c>
      <c r="E214" s="116">
        <v>235.508922162641</v>
      </c>
      <c r="F214" s="116">
        <v>936.85</v>
      </c>
      <c r="G214">
        <v>243728</v>
      </c>
      <c r="H214" s="116"/>
      <c r="I214" s="116"/>
      <c r="L214" s="170">
        <v>42313</v>
      </c>
      <c r="M214" s="116">
        <v>231.95125749957799</v>
      </c>
      <c r="N214" s="116">
        <v>235.51745236183899</v>
      </c>
      <c r="O214" s="116">
        <v>231.059708784012</v>
      </c>
      <c r="P214" s="116">
        <v>235.02214751985801</v>
      </c>
      <c r="Q214" s="116">
        <v>936.6</v>
      </c>
      <c r="R214">
        <v>2461259</v>
      </c>
    </row>
    <row r="215" spans="1:18" x14ac:dyDescent="0.25">
      <c r="A215" s="170">
        <v>42314</v>
      </c>
      <c r="B215" s="116">
        <v>236.25185251646701</v>
      </c>
      <c r="C215" s="116">
        <v>235.86800516699</v>
      </c>
      <c r="D215" s="116">
        <v>232.289557296065</v>
      </c>
      <c r="E215" s="116">
        <v>232.289557296065</v>
      </c>
      <c r="F215" s="116">
        <v>952.45</v>
      </c>
      <c r="G215">
        <v>175476</v>
      </c>
      <c r="H215" s="116"/>
      <c r="I215" s="116"/>
      <c r="L215" s="170">
        <v>42314</v>
      </c>
      <c r="M215" s="116">
        <v>235.86416575122499</v>
      </c>
      <c r="N215" s="116">
        <v>236.446148940553</v>
      </c>
      <c r="O215" s="116">
        <v>232.27320564686499</v>
      </c>
      <c r="P215" s="116">
        <v>232.65706689940001</v>
      </c>
      <c r="Q215" s="116">
        <v>952.4</v>
      </c>
      <c r="R215">
        <v>1912599</v>
      </c>
    </row>
    <row r="216" spans="1:18" x14ac:dyDescent="0.25">
      <c r="A216" s="170">
        <v>42317</v>
      </c>
      <c r="B216" s="116">
        <v>238.29491098948699</v>
      </c>
      <c r="C216" s="116">
        <v>237.73771322411801</v>
      </c>
      <c r="D216" s="116">
        <v>229.070192429488</v>
      </c>
      <c r="E216" s="116">
        <v>231.54662694224001</v>
      </c>
      <c r="F216" s="116">
        <v>960</v>
      </c>
      <c r="G216">
        <v>267514</v>
      </c>
      <c r="H216" s="116"/>
      <c r="I216" s="116"/>
      <c r="L216" s="170">
        <v>42317</v>
      </c>
      <c r="M216" s="116">
        <v>238.05588967699001</v>
      </c>
      <c r="N216" s="116">
        <v>238.98458625570399</v>
      </c>
      <c r="O216" s="116">
        <v>228.694628163554</v>
      </c>
      <c r="P216" s="116">
        <v>231.183534994507</v>
      </c>
      <c r="Q216" s="116">
        <v>961.25</v>
      </c>
      <c r="R216">
        <v>3893160</v>
      </c>
    </row>
    <row r="217" spans="1:18" x14ac:dyDescent="0.25">
      <c r="A217" s="170">
        <v>42318</v>
      </c>
      <c r="B217" s="116">
        <v>237.47768760027901</v>
      </c>
      <c r="C217" s="116">
        <v>228.31487990309901</v>
      </c>
      <c r="D217" s="116">
        <v>227.08904481928701</v>
      </c>
      <c r="E217" s="116">
        <v>237.01954721542</v>
      </c>
      <c r="F217" s="116">
        <v>921.95</v>
      </c>
      <c r="G217">
        <v>278248</v>
      </c>
      <c r="H217" s="116"/>
      <c r="I217" s="116"/>
      <c r="L217" s="170">
        <v>42318</v>
      </c>
      <c r="M217" s="116">
        <v>228.52127146886099</v>
      </c>
      <c r="N217" s="116">
        <v>237.62249794025701</v>
      </c>
      <c r="O217" s="116">
        <v>226.92391335347301</v>
      </c>
      <c r="P217" s="116">
        <v>237.003366887781</v>
      </c>
      <c r="Q217" s="116">
        <v>922.75</v>
      </c>
      <c r="R217">
        <v>2625561</v>
      </c>
    </row>
    <row r="218" spans="1:18" x14ac:dyDescent="0.25">
      <c r="A218" s="170">
        <v>42319</v>
      </c>
      <c r="B218" s="116">
        <v>231.05134003968899</v>
      </c>
      <c r="C218" s="116">
        <v>230.04838406202501</v>
      </c>
      <c r="D218" s="116">
        <v>229.56547933203899</v>
      </c>
      <c r="E218" s="116">
        <v>229.81312278331399</v>
      </c>
      <c r="F218" s="116">
        <v>928.95</v>
      </c>
      <c r="G218">
        <v>85638</v>
      </c>
      <c r="H218" s="116"/>
      <c r="I218" s="116"/>
      <c r="L218" s="170">
        <v>42319</v>
      </c>
      <c r="M218" s="116">
        <v>229.93289026850599</v>
      </c>
      <c r="N218" s="116">
        <v>231.02256092086401</v>
      </c>
      <c r="O218" s="116">
        <v>229.59855950016899</v>
      </c>
      <c r="P218" s="116">
        <v>229.59855950016899</v>
      </c>
      <c r="Q218" s="116">
        <v>928.45</v>
      </c>
      <c r="R218">
        <v>299511</v>
      </c>
    </row>
    <row r="219" spans="1:18" x14ac:dyDescent="0.25">
      <c r="A219" s="170">
        <v>42321</v>
      </c>
      <c r="B219" s="116">
        <v>232.07906036248099</v>
      </c>
      <c r="C219" s="116">
        <v>230.35793837611899</v>
      </c>
      <c r="D219" s="116">
        <v>226.59375791673699</v>
      </c>
      <c r="E219" s="116">
        <v>227.33668827056201</v>
      </c>
      <c r="F219" s="116">
        <v>930.2</v>
      </c>
      <c r="G219">
        <v>275272</v>
      </c>
      <c r="H219" s="116"/>
      <c r="I219" s="116"/>
      <c r="L219" s="170">
        <v>42321</v>
      </c>
      <c r="M219" s="116">
        <v>231.072091405062</v>
      </c>
      <c r="N219" s="116">
        <v>232.43417972050901</v>
      </c>
      <c r="O219" s="116">
        <v>226.47813899568999</v>
      </c>
      <c r="P219" s="116">
        <v>226.61434782723501</v>
      </c>
      <c r="Q219" s="116">
        <v>933.05</v>
      </c>
      <c r="R219">
        <v>3127549</v>
      </c>
    </row>
    <row r="220" spans="1:18" x14ac:dyDescent="0.25">
      <c r="A220" s="170">
        <v>42324</v>
      </c>
      <c r="B220" s="116">
        <v>233.23060241091</v>
      </c>
      <c r="C220" s="116">
        <v>231.063722212253</v>
      </c>
      <c r="D220" s="116">
        <v>228.995899394106</v>
      </c>
      <c r="E220" s="116">
        <v>230.06076623458901</v>
      </c>
      <c r="F220" s="116">
        <v>933.05</v>
      </c>
      <c r="G220">
        <v>397081</v>
      </c>
      <c r="H220" s="116"/>
      <c r="I220" s="116"/>
      <c r="L220" s="170">
        <v>42324</v>
      </c>
      <c r="M220" s="116">
        <v>231.3816569313</v>
      </c>
      <c r="N220" s="116">
        <v>233.28858057292501</v>
      </c>
      <c r="O220" s="116">
        <v>229.016576310842</v>
      </c>
      <c r="P220" s="116">
        <v>229.32614183708</v>
      </c>
      <c r="Q220" s="116">
        <v>934.3</v>
      </c>
      <c r="R220">
        <v>3507963</v>
      </c>
    </row>
    <row r="221" spans="1:18" x14ac:dyDescent="0.25">
      <c r="A221" s="170">
        <v>42325</v>
      </c>
      <c r="B221" s="116">
        <v>232.462907711957</v>
      </c>
      <c r="C221" s="116">
        <v>229.689301057676</v>
      </c>
      <c r="D221" s="116">
        <v>229.30545370819999</v>
      </c>
      <c r="E221" s="116">
        <v>231.96762080940701</v>
      </c>
      <c r="F221" s="116">
        <v>927.5</v>
      </c>
      <c r="G221">
        <v>171497</v>
      </c>
      <c r="H221" s="116"/>
      <c r="I221" s="116"/>
      <c r="L221" s="170">
        <v>42325</v>
      </c>
      <c r="M221" s="116">
        <v>229.759533573813</v>
      </c>
      <c r="N221" s="116">
        <v>232.52085806785499</v>
      </c>
      <c r="O221" s="116">
        <v>229.37567232127799</v>
      </c>
      <c r="P221" s="116">
        <v>232.31035351001401</v>
      </c>
      <c r="Q221" s="116">
        <v>927.75</v>
      </c>
      <c r="R221">
        <v>1963105</v>
      </c>
    </row>
    <row r="222" spans="1:18" x14ac:dyDescent="0.25">
      <c r="A222" s="170">
        <v>42326</v>
      </c>
      <c r="B222" s="116">
        <v>230.717021380468</v>
      </c>
      <c r="C222" s="116">
        <v>225.937502770858</v>
      </c>
      <c r="D222" s="116">
        <v>225.35554066036099</v>
      </c>
      <c r="E222" s="116">
        <v>229.56547933203899</v>
      </c>
      <c r="F222" s="116">
        <v>912.35</v>
      </c>
      <c r="G222">
        <v>229960</v>
      </c>
      <c r="H222" s="116"/>
      <c r="I222" s="116"/>
      <c r="L222" s="170">
        <v>42326</v>
      </c>
      <c r="M222" s="116">
        <v>225.85900794321401</v>
      </c>
      <c r="N222" s="116">
        <v>230.638699668329</v>
      </c>
      <c r="O222" s="116">
        <v>225.351320480184</v>
      </c>
      <c r="P222" s="116">
        <v>229.72238571066401</v>
      </c>
      <c r="Q222" s="116">
        <v>912</v>
      </c>
      <c r="R222">
        <v>2571383</v>
      </c>
    </row>
    <row r="223" spans="1:18" x14ac:dyDescent="0.25">
      <c r="A223" s="170">
        <v>42327</v>
      </c>
      <c r="B223" s="116">
        <v>232.16573557042699</v>
      </c>
      <c r="C223" s="116">
        <v>231.34851218121901</v>
      </c>
      <c r="D223" s="116">
        <v>227.33668827056201</v>
      </c>
      <c r="E223" s="116">
        <v>227.70815344747501</v>
      </c>
      <c r="F223" s="116">
        <v>934.2</v>
      </c>
      <c r="G223">
        <v>225990</v>
      </c>
      <c r="H223" s="116"/>
      <c r="I223" s="116"/>
      <c r="L223" s="170">
        <v>42327</v>
      </c>
      <c r="M223" s="116">
        <v>231.493100520745</v>
      </c>
      <c r="N223" s="116">
        <v>232.471327583657</v>
      </c>
      <c r="O223" s="116">
        <v>227.15918315341401</v>
      </c>
      <c r="P223" s="116">
        <v>227.56780964804801</v>
      </c>
      <c r="Q223" s="116">
        <v>934.75</v>
      </c>
      <c r="R223">
        <v>2784876</v>
      </c>
    </row>
    <row r="224" spans="1:18" x14ac:dyDescent="0.25">
      <c r="A224" s="170">
        <v>42328</v>
      </c>
      <c r="B224" s="116">
        <v>235.781329959044</v>
      </c>
      <c r="C224" s="116">
        <v>234.25832273370199</v>
      </c>
      <c r="D224" s="116">
        <v>229.16924980999801</v>
      </c>
      <c r="E224" s="116">
        <v>231.64568432274999</v>
      </c>
      <c r="F224" s="116">
        <v>945.95</v>
      </c>
      <c r="G224">
        <v>303967</v>
      </c>
      <c r="H224" s="116"/>
      <c r="I224" s="116"/>
      <c r="L224" s="170">
        <v>42328</v>
      </c>
      <c r="M224" s="116">
        <v>234.48969481472901</v>
      </c>
      <c r="N224" s="116">
        <v>235.96322671962099</v>
      </c>
      <c r="O224" s="116">
        <v>229.214698247634</v>
      </c>
      <c r="P224" s="116">
        <v>231.30736120500299</v>
      </c>
      <c r="Q224" s="116">
        <v>946.85</v>
      </c>
      <c r="R224">
        <v>2583965</v>
      </c>
    </row>
    <row r="225" spans="1:18" x14ac:dyDescent="0.25">
      <c r="A225" s="170">
        <v>42331</v>
      </c>
      <c r="B225" s="116">
        <v>236.660464211071</v>
      </c>
      <c r="C225" s="116">
        <v>235.781329959044</v>
      </c>
      <c r="D225" s="116">
        <v>234.18402969831999</v>
      </c>
      <c r="E225" s="116">
        <v>234.654552255742</v>
      </c>
      <c r="F225" s="116">
        <v>952.1</v>
      </c>
      <c r="G225">
        <v>166800</v>
      </c>
      <c r="H225" s="116"/>
      <c r="I225" s="116"/>
      <c r="L225" s="170">
        <v>42331</v>
      </c>
      <c r="M225" s="116">
        <v>236.19849651956201</v>
      </c>
      <c r="N225" s="116">
        <v>237.226254066672</v>
      </c>
      <c r="O225" s="116">
        <v>234.32872074108499</v>
      </c>
      <c r="P225" s="116">
        <v>235.269799940848</v>
      </c>
      <c r="Q225" s="116">
        <v>953.75</v>
      </c>
      <c r="R225">
        <v>2400013</v>
      </c>
    </row>
    <row r="226" spans="1:18" x14ac:dyDescent="0.25">
      <c r="A226" s="170">
        <v>42332</v>
      </c>
      <c r="B226" s="116">
        <v>240.46179118814399</v>
      </c>
      <c r="C226" s="116">
        <v>239.718860834319</v>
      </c>
      <c r="D226" s="116">
        <v>235.447011299823</v>
      </c>
      <c r="E226" s="116">
        <v>235.76894778648</v>
      </c>
      <c r="F226" s="116">
        <v>968</v>
      </c>
      <c r="G226">
        <v>228414</v>
      </c>
      <c r="H226" s="116"/>
      <c r="I226" s="116"/>
      <c r="L226" s="170">
        <v>42332</v>
      </c>
      <c r="M226" s="116">
        <v>239.65324779237801</v>
      </c>
      <c r="N226" s="116">
        <v>240.61909223423999</v>
      </c>
      <c r="O226" s="116">
        <v>235.52983498288799</v>
      </c>
      <c r="P226" s="116">
        <v>236.01275720382</v>
      </c>
      <c r="Q226" s="116">
        <v>967.7</v>
      </c>
      <c r="R226">
        <v>3384443</v>
      </c>
    </row>
    <row r="227" spans="1:18" x14ac:dyDescent="0.25">
      <c r="A227" s="170">
        <v>42334</v>
      </c>
      <c r="B227" s="116">
        <v>245.31560283313601</v>
      </c>
      <c r="C227" s="116">
        <v>244.59743682443801</v>
      </c>
      <c r="D227" s="116">
        <v>239.83030038739199</v>
      </c>
      <c r="E227" s="116">
        <v>240.18938339174099</v>
      </c>
      <c r="F227" s="116">
        <v>987.7</v>
      </c>
      <c r="G227">
        <v>300255</v>
      </c>
      <c r="H227" s="116"/>
      <c r="I227" s="116"/>
      <c r="L227" s="170">
        <v>42334</v>
      </c>
      <c r="M227" s="116">
        <v>244.84156601212601</v>
      </c>
      <c r="N227" s="116">
        <v>245.65881900139399</v>
      </c>
      <c r="O227" s="116">
        <v>239.789456623923</v>
      </c>
      <c r="P227" s="116">
        <v>240.470500781646</v>
      </c>
      <c r="Q227" s="116">
        <v>988.65</v>
      </c>
      <c r="R227">
        <v>5441612</v>
      </c>
    </row>
    <row r="228" spans="1:18" x14ac:dyDescent="0.25">
      <c r="A228" s="170">
        <v>42335</v>
      </c>
      <c r="B228" s="116">
        <v>245.66230366492201</v>
      </c>
      <c r="C228" s="116">
        <v>242.45532097090901</v>
      </c>
      <c r="D228" s="116">
        <v>241.291396749916</v>
      </c>
      <c r="E228" s="116">
        <v>245.16701676237099</v>
      </c>
      <c r="F228" s="116">
        <v>979.05</v>
      </c>
      <c r="G228">
        <v>169451</v>
      </c>
      <c r="H228" s="116"/>
      <c r="I228" s="116"/>
      <c r="L228" s="170">
        <v>42335</v>
      </c>
      <c r="M228" s="116">
        <v>242.46410277061901</v>
      </c>
      <c r="N228" s="116">
        <v>245.79502783293901</v>
      </c>
      <c r="O228" s="116">
        <v>241.23822328671599</v>
      </c>
      <c r="P228" s="116">
        <v>244.92824435947301</v>
      </c>
      <c r="Q228" s="116">
        <v>979.05</v>
      </c>
      <c r="R228">
        <v>2489697</v>
      </c>
    </row>
    <row r="229" spans="1:18" x14ac:dyDescent="0.25">
      <c r="A229" s="170">
        <v>42338</v>
      </c>
      <c r="B229" s="116">
        <v>243.631627364465</v>
      </c>
      <c r="C229" s="116">
        <v>239.718860834319</v>
      </c>
      <c r="D229" s="116">
        <v>238.728287029218</v>
      </c>
      <c r="E229" s="116">
        <v>241.984798413486</v>
      </c>
      <c r="F229" s="116">
        <v>968</v>
      </c>
      <c r="G229">
        <v>171638</v>
      </c>
      <c r="H229" s="116"/>
      <c r="I229" s="116"/>
      <c r="L229" s="170">
        <v>42338</v>
      </c>
      <c r="M229" s="116">
        <v>239.19509081354599</v>
      </c>
      <c r="N229" s="116">
        <v>243.789043222917</v>
      </c>
      <c r="O229" s="116">
        <v>238.31592471902999</v>
      </c>
      <c r="P229" s="116">
        <v>242.32789393907399</v>
      </c>
      <c r="Q229" s="116">
        <v>965.85</v>
      </c>
      <c r="R229">
        <v>6839027</v>
      </c>
    </row>
    <row r="230" spans="1:18" x14ac:dyDescent="0.25">
      <c r="A230" s="170">
        <v>42339</v>
      </c>
      <c r="B230" s="116">
        <v>242.319117072707</v>
      </c>
      <c r="C230" s="116">
        <v>239.11213437869401</v>
      </c>
      <c r="D230" s="116">
        <v>238.233000126668</v>
      </c>
      <c r="E230" s="116">
        <v>239.32263131227799</v>
      </c>
      <c r="F230" s="116">
        <v>965.55</v>
      </c>
      <c r="G230">
        <v>169237</v>
      </c>
      <c r="H230" s="116"/>
      <c r="I230" s="116"/>
      <c r="L230" s="170">
        <v>42339</v>
      </c>
      <c r="M230" s="116">
        <v>239.20747343459499</v>
      </c>
      <c r="N230" s="116">
        <v>242.402189665371</v>
      </c>
      <c r="O230" s="116">
        <v>238.05588967699001</v>
      </c>
      <c r="P230" s="116">
        <v>238.73693383471399</v>
      </c>
      <c r="Q230" s="116">
        <v>965.9</v>
      </c>
      <c r="R230">
        <v>2967325</v>
      </c>
    </row>
    <row r="231" spans="1:18" x14ac:dyDescent="0.25">
      <c r="A231" s="170">
        <v>42340</v>
      </c>
      <c r="B231" s="116">
        <v>242.34388141783501</v>
      </c>
      <c r="C231" s="116">
        <v>241.84859451528499</v>
      </c>
      <c r="D231" s="116">
        <v>239.174045241513</v>
      </c>
      <c r="E231" s="116">
        <v>239.32263131227799</v>
      </c>
      <c r="F231" s="116">
        <v>976.6</v>
      </c>
      <c r="G231">
        <v>169060</v>
      </c>
      <c r="H231" s="116"/>
      <c r="I231" s="116"/>
      <c r="L231" s="170">
        <v>42340</v>
      </c>
      <c r="M231" s="116">
        <v>242.191685107529</v>
      </c>
      <c r="N231" s="116">
        <v>242.625076844262</v>
      </c>
      <c r="O231" s="116">
        <v>238.86076004520899</v>
      </c>
      <c r="P231" s="116">
        <v>239.29415178194199</v>
      </c>
      <c r="Q231" s="116">
        <v>977.95</v>
      </c>
      <c r="R231">
        <v>1731204</v>
      </c>
    </row>
    <row r="232" spans="1:18" x14ac:dyDescent="0.25">
      <c r="A232" s="170">
        <v>42341</v>
      </c>
      <c r="B232" s="116">
        <v>244.73364072263999</v>
      </c>
      <c r="C232" s="116">
        <v>241.89812320554</v>
      </c>
      <c r="D232" s="116">
        <v>241.04375329864001</v>
      </c>
      <c r="E232" s="116">
        <v>242.07147362143201</v>
      </c>
      <c r="F232" s="116">
        <v>976.8</v>
      </c>
      <c r="G232">
        <v>316800</v>
      </c>
      <c r="H232" s="116"/>
      <c r="I232" s="116"/>
      <c r="L232" s="170">
        <v>42341</v>
      </c>
      <c r="M232" s="116">
        <v>242.00594579178599</v>
      </c>
      <c r="N232" s="116">
        <v>244.91586173842299</v>
      </c>
      <c r="O232" s="116">
        <v>241.23822328671599</v>
      </c>
      <c r="P232" s="116">
        <v>241.43634522350899</v>
      </c>
      <c r="Q232" s="116">
        <v>977.2</v>
      </c>
      <c r="R232">
        <v>2597024</v>
      </c>
    </row>
    <row r="233" spans="1:18" x14ac:dyDescent="0.25">
      <c r="A233" s="170">
        <v>42342</v>
      </c>
      <c r="B233" s="116">
        <v>241.70000844451999</v>
      </c>
      <c r="C233" s="116">
        <v>239.16166306894999</v>
      </c>
      <c r="D233" s="116">
        <v>238.20823578154</v>
      </c>
      <c r="E233" s="116">
        <v>241.08089981633199</v>
      </c>
      <c r="F233" s="116">
        <v>965.75</v>
      </c>
      <c r="G233">
        <v>183717</v>
      </c>
      <c r="H233" s="116"/>
      <c r="I233" s="116"/>
      <c r="L233" s="170">
        <v>42342</v>
      </c>
      <c r="M233" s="116">
        <v>239.09602984515001</v>
      </c>
      <c r="N233" s="116">
        <v>241.758293370796</v>
      </c>
      <c r="O233" s="116">
        <v>238.09303754013899</v>
      </c>
      <c r="P233" s="116">
        <v>240.79244892893399</v>
      </c>
      <c r="Q233" s="116">
        <v>965.45</v>
      </c>
      <c r="R233">
        <v>3073001</v>
      </c>
    </row>
    <row r="234" spans="1:18" x14ac:dyDescent="0.25">
      <c r="A234" s="170">
        <v>42345</v>
      </c>
      <c r="B234" s="116">
        <v>240.932313745567</v>
      </c>
      <c r="C234" s="116">
        <v>236.17755948108399</v>
      </c>
      <c r="D234" s="116">
        <v>235.508922162641</v>
      </c>
      <c r="E234" s="116">
        <v>239.47121738304301</v>
      </c>
      <c r="F234" s="116">
        <v>953.7</v>
      </c>
      <c r="G234">
        <v>192243</v>
      </c>
      <c r="H234" s="116"/>
      <c r="I234" s="116"/>
      <c r="L234" s="170">
        <v>42345</v>
      </c>
      <c r="M234" s="116">
        <v>235.77748740387901</v>
      </c>
      <c r="N234" s="116">
        <v>240.96580562362701</v>
      </c>
      <c r="O234" s="116">
        <v>235.20788683560099</v>
      </c>
      <c r="P234" s="116">
        <v>239.09602984515001</v>
      </c>
      <c r="Q234" s="116">
        <v>952.05</v>
      </c>
      <c r="R234">
        <v>3310778</v>
      </c>
    </row>
    <row r="235" spans="1:18" x14ac:dyDescent="0.25">
      <c r="A235" s="170">
        <v>42346</v>
      </c>
      <c r="B235" s="116">
        <v>236.25185251646701</v>
      </c>
      <c r="C235" s="116">
        <v>233.39157065423899</v>
      </c>
      <c r="D235" s="116">
        <v>232.21526426068201</v>
      </c>
      <c r="E235" s="116">
        <v>235.28604305649401</v>
      </c>
      <c r="F235" s="116">
        <v>942.45</v>
      </c>
      <c r="G235">
        <v>223479</v>
      </c>
      <c r="H235" s="116"/>
      <c r="I235" s="116"/>
      <c r="L235" s="170">
        <v>42346</v>
      </c>
      <c r="M235" s="116">
        <v>233.016162909836</v>
      </c>
      <c r="N235" s="116">
        <v>236.16134865641399</v>
      </c>
      <c r="O235" s="116">
        <v>231.827431289082</v>
      </c>
      <c r="P235" s="116">
        <v>234.99738227775899</v>
      </c>
      <c r="Q235" s="116">
        <v>940.9</v>
      </c>
      <c r="R235">
        <v>1721726</v>
      </c>
    </row>
    <row r="236" spans="1:18" x14ac:dyDescent="0.25">
      <c r="A236" s="170">
        <v>42347</v>
      </c>
      <c r="B236" s="116">
        <v>233.862093211662</v>
      </c>
      <c r="C236" s="116">
        <v>226.82901919544801</v>
      </c>
      <c r="D236" s="116">
        <v>226.098471014187</v>
      </c>
      <c r="E236" s="116">
        <v>232.78484419861499</v>
      </c>
      <c r="F236" s="116">
        <v>915.95</v>
      </c>
      <c r="G236">
        <v>351669</v>
      </c>
      <c r="H236" s="116"/>
      <c r="I236" s="116"/>
      <c r="L236" s="170">
        <v>42347</v>
      </c>
      <c r="M236" s="116">
        <v>226.82485238507701</v>
      </c>
      <c r="N236" s="116">
        <v>233.647676583362</v>
      </c>
      <c r="O236" s="116">
        <v>226.06951250105601</v>
      </c>
      <c r="P236" s="116">
        <v>231.85219653118099</v>
      </c>
      <c r="Q236" s="116">
        <v>915.9</v>
      </c>
      <c r="R236">
        <v>2097118</v>
      </c>
    </row>
    <row r="237" spans="1:18" x14ac:dyDescent="0.25">
      <c r="A237" s="170">
        <v>42348</v>
      </c>
      <c r="B237" s="116">
        <v>236.10326644570199</v>
      </c>
      <c r="C237" s="116">
        <v>235.23651436623899</v>
      </c>
      <c r="D237" s="116">
        <v>227.89388603593099</v>
      </c>
      <c r="E237" s="116">
        <v>228.116765142079</v>
      </c>
      <c r="F237" s="116">
        <v>949.9</v>
      </c>
      <c r="G237">
        <v>388912</v>
      </c>
      <c r="H237" s="116"/>
      <c r="I237" s="116"/>
      <c r="L237" s="170">
        <v>42348</v>
      </c>
      <c r="M237" s="116">
        <v>235.35647828819501</v>
      </c>
      <c r="N237" s="116">
        <v>236.21087914061201</v>
      </c>
      <c r="O237" s="116">
        <v>227.840227311137</v>
      </c>
      <c r="P237" s="116">
        <v>228.45935836361301</v>
      </c>
      <c r="Q237" s="116">
        <v>950.35</v>
      </c>
      <c r="R237">
        <v>4249865</v>
      </c>
    </row>
    <row r="238" spans="1:18" x14ac:dyDescent="0.25">
      <c r="A238" s="170">
        <v>42349</v>
      </c>
      <c r="B238" s="116">
        <v>237.45292325515101</v>
      </c>
      <c r="C238" s="116">
        <v>235.81847647673499</v>
      </c>
      <c r="D238" s="116">
        <v>233.503010207313</v>
      </c>
      <c r="E238" s="116">
        <v>235.28604305649401</v>
      </c>
      <c r="F238" s="116">
        <v>952.25</v>
      </c>
      <c r="G238">
        <v>370539</v>
      </c>
      <c r="H238" s="116"/>
      <c r="I238" s="116"/>
      <c r="L238" s="170">
        <v>42349</v>
      </c>
      <c r="M238" s="116">
        <v>236.00037458277001</v>
      </c>
      <c r="N238" s="116">
        <v>237.49867172976201</v>
      </c>
      <c r="O238" s="116">
        <v>233.51146775181701</v>
      </c>
      <c r="P238" s="116">
        <v>235.703191677582</v>
      </c>
      <c r="Q238" s="116">
        <v>952.95</v>
      </c>
      <c r="R238">
        <v>4150045</v>
      </c>
    </row>
    <row r="239" spans="1:18" x14ac:dyDescent="0.25">
      <c r="A239" s="170">
        <v>42352</v>
      </c>
      <c r="B239" s="116">
        <v>238.40635054256001</v>
      </c>
      <c r="C239" s="116">
        <v>236.61093552081601</v>
      </c>
      <c r="D239" s="116">
        <v>234.39452663190301</v>
      </c>
      <c r="E239" s="116">
        <v>234.39452663190301</v>
      </c>
      <c r="F239" s="116">
        <v>955.45</v>
      </c>
      <c r="G239">
        <v>252147</v>
      </c>
      <c r="H239" s="116"/>
      <c r="I239" s="116"/>
      <c r="L239" s="170">
        <v>42352</v>
      </c>
      <c r="M239" s="116">
        <v>236.53282728789901</v>
      </c>
      <c r="N239" s="116">
        <v>238.613107624218</v>
      </c>
      <c r="O239" s="116">
        <v>234.27919025688701</v>
      </c>
      <c r="P239" s="116">
        <v>234.67543413047201</v>
      </c>
      <c r="Q239" s="116">
        <v>955.1</v>
      </c>
      <c r="R239">
        <v>2414730</v>
      </c>
    </row>
    <row r="240" spans="1:18" x14ac:dyDescent="0.25">
      <c r="A240" s="170">
        <v>42353</v>
      </c>
      <c r="B240" s="116">
        <v>242.17053100194201</v>
      </c>
      <c r="C240" s="116">
        <v>241.67524409939199</v>
      </c>
      <c r="D240" s="116">
        <v>236.00420906519199</v>
      </c>
      <c r="E240" s="116">
        <v>236.747139419017</v>
      </c>
      <c r="F240" s="116">
        <v>975.9</v>
      </c>
      <c r="G240">
        <v>244609</v>
      </c>
      <c r="H240" s="116"/>
      <c r="I240" s="116"/>
      <c r="L240" s="170">
        <v>42353</v>
      </c>
      <c r="M240" s="116">
        <v>241.68399764449899</v>
      </c>
      <c r="N240" s="116">
        <v>242.191685107529</v>
      </c>
      <c r="O240" s="116">
        <v>236.17373127746299</v>
      </c>
      <c r="P240" s="116">
        <v>237.003366887781</v>
      </c>
      <c r="Q240" s="116">
        <v>975.9</v>
      </c>
      <c r="R240">
        <v>3593061</v>
      </c>
    </row>
    <row r="241" spans="1:18" x14ac:dyDescent="0.25">
      <c r="A241" s="170">
        <v>42354</v>
      </c>
      <c r="B241" s="116">
        <v>244.399322063418</v>
      </c>
      <c r="C241" s="116">
        <v>242.19529534706999</v>
      </c>
      <c r="D241" s="116">
        <v>241.05613547120399</v>
      </c>
      <c r="E241" s="116">
        <v>241.05613547120399</v>
      </c>
      <c r="F241" s="116">
        <v>978</v>
      </c>
      <c r="G241">
        <v>187540</v>
      </c>
      <c r="H241" s="116"/>
      <c r="I241" s="116"/>
      <c r="L241" s="170">
        <v>42354</v>
      </c>
      <c r="M241" s="116">
        <v>242.36504180222201</v>
      </c>
      <c r="N241" s="116">
        <v>244.56914834903699</v>
      </c>
      <c r="O241" s="116">
        <v>241.089631834122</v>
      </c>
      <c r="P241" s="116">
        <v>241.68399764449899</v>
      </c>
      <c r="Q241" s="116">
        <v>978.65</v>
      </c>
      <c r="R241">
        <v>2765248</v>
      </c>
    </row>
    <row r="242" spans="1:18" x14ac:dyDescent="0.25">
      <c r="A242" s="170">
        <v>42355</v>
      </c>
      <c r="B242" s="116">
        <v>250.92472700451799</v>
      </c>
      <c r="C242" s="116">
        <v>249.71127409326999</v>
      </c>
      <c r="D242" s="116">
        <v>242.19529534706999</v>
      </c>
      <c r="E242" s="116">
        <v>242.752493112439</v>
      </c>
      <c r="F242" s="116">
        <v>1008.35</v>
      </c>
      <c r="G242">
        <v>574220</v>
      </c>
      <c r="H242" s="116"/>
      <c r="I242" s="116"/>
      <c r="L242" s="170">
        <v>42355</v>
      </c>
      <c r="M242" s="116">
        <v>250.054649473973</v>
      </c>
      <c r="N242" s="116">
        <v>251.367207305222</v>
      </c>
      <c r="O242" s="116">
        <v>242.20406772857899</v>
      </c>
      <c r="P242" s="116">
        <v>242.711755191609</v>
      </c>
      <c r="Q242" s="116">
        <v>1009.7</v>
      </c>
      <c r="R242">
        <v>4427435</v>
      </c>
    </row>
    <row r="243" spans="1:18" x14ac:dyDescent="0.25">
      <c r="A243" s="170">
        <v>42356</v>
      </c>
      <c r="B243" s="116">
        <v>249.87224233659899</v>
      </c>
      <c r="C243" s="116">
        <v>245.67468583748499</v>
      </c>
      <c r="D243" s="116">
        <v>245.204163280063</v>
      </c>
      <c r="E243" s="116">
        <v>248.38638162894799</v>
      </c>
      <c r="F243" s="116">
        <v>992.05</v>
      </c>
      <c r="G243">
        <v>252773</v>
      </c>
      <c r="H243" s="116"/>
      <c r="I243" s="116"/>
      <c r="L243" s="170">
        <v>42356</v>
      </c>
      <c r="M243" s="116">
        <v>245.64643638034499</v>
      </c>
      <c r="N243" s="116">
        <v>249.88129277927999</v>
      </c>
      <c r="O243" s="116">
        <v>245.17589678046301</v>
      </c>
      <c r="P243" s="116">
        <v>248.59350019012999</v>
      </c>
      <c r="Q243" s="116">
        <v>991.9</v>
      </c>
      <c r="R243">
        <v>3661020</v>
      </c>
    </row>
    <row r="244" spans="1:18" x14ac:dyDescent="0.25">
      <c r="A244" s="170">
        <v>42359</v>
      </c>
      <c r="B244" s="116">
        <v>247.197693062827</v>
      </c>
      <c r="C244" s="116">
        <v>245.72421452774</v>
      </c>
      <c r="D244" s="116">
        <v>243.92879950599601</v>
      </c>
      <c r="E244" s="116">
        <v>244.80793375802199</v>
      </c>
      <c r="F244" s="116">
        <v>992.25</v>
      </c>
      <c r="G244">
        <v>267805</v>
      </c>
      <c r="H244" s="116"/>
      <c r="I244" s="116"/>
      <c r="L244" s="170">
        <v>42359</v>
      </c>
      <c r="M244" s="116">
        <v>245.69596686454301</v>
      </c>
      <c r="N244" s="116">
        <v>247.40476856937599</v>
      </c>
      <c r="O244" s="116">
        <v>243.776660601868</v>
      </c>
      <c r="P244" s="116">
        <v>244.655826696383</v>
      </c>
      <c r="Q244" s="116">
        <v>992.1</v>
      </c>
      <c r="R244">
        <v>2818835</v>
      </c>
    </row>
    <row r="245" spans="1:18" x14ac:dyDescent="0.25">
      <c r="A245" s="170">
        <v>42360</v>
      </c>
      <c r="B245" s="116">
        <v>248.26255990331001</v>
      </c>
      <c r="C245" s="116">
        <v>244.54790813418299</v>
      </c>
      <c r="D245" s="116">
        <v>243.68115605472099</v>
      </c>
      <c r="E245" s="116">
        <v>245.43942455877399</v>
      </c>
      <c r="F245" s="116">
        <v>987.5</v>
      </c>
      <c r="G245">
        <v>263406</v>
      </c>
      <c r="H245" s="116"/>
      <c r="I245" s="116"/>
      <c r="L245" s="170">
        <v>42360</v>
      </c>
      <c r="M245" s="116">
        <v>244.50723524378901</v>
      </c>
      <c r="N245" s="116">
        <v>248.29631728494201</v>
      </c>
      <c r="O245" s="116">
        <v>243.689982254521</v>
      </c>
      <c r="P245" s="116">
        <v>245.86932355923599</v>
      </c>
      <c r="Q245" s="116">
        <v>987.3</v>
      </c>
      <c r="R245">
        <v>2646828</v>
      </c>
    </row>
    <row r="246" spans="1:18" x14ac:dyDescent="0.25">
      <c r="A246" s="170">
        <v>42361</v>
      </c>
      <c r="B246" s="116">
        <v>249.129311982773</v>
      </c>
      <c r="C246" s="116">
        <v>248.522585527149</v>
      </c>
      <c r="D246" s="116">
        <v>245.38989586851901</v>
      </c>
      <c r="E246" s="116">
        <v>246.00900449670701</v>
      </c>
      <c r="F246" s="116">
        <v>1003.55</v>
      </c>
      <c r="G246">
        <v>227045</v>
      </c>
      <c r="H246" s="116"/>
      <c r="I246" s="116"/>
      <c r="L246" s="170">
        <v>42361</v>
      </c>
      <c r="M246" s="116">
        <v>248.59350019012999</v>
      </c>
      <c r="N246" s="116">
        <v>249.36122269520001</v>
      </c>
      <c r="O246" s="116">
        <v>245.17589678046301</v>
      </c>
      <c r="P246" s="116">
        <v>245.621671138246</v>
      </c>
      <c r="Q246" s="116">
        <v>1003.8</v>
      </c>
      <c r="R246">
        <v>2953173</v>
      </c>
    </row>
    <row r="247" spans="1:18" x14ac:dyDescent="0.25">
      <c r="A247" s="170">
        <v>42362</v>
      </c>
      <c r="B247" s="116">
        <v>249.624598885323</v>
      </c>
      <c r="C247" s="116">
        <v>247.86633038126999</v>
      </c>
      <c r="D247" s="116">
        <v>246.67764181515</v>
      </c>
      <c r="E247" s="116">
        <v>249.00549025713599</v>
      </c>
      <c r="F247" s="116">
        <v>1000.9</v>
      </c>
      <c r="G247">
        <v>146409</v>
      </c>
      <c r="H247" s="116"/>
      <c r="I247" s="116"/>
      <c r="L247" s="170">
        <v>42362</v>
      </c>
      <c r="M247" s="116">
        <v>247.788629821911</v>
      </c>
      <c r="N247" s="116">
        <v>249.43551842149699</v>
      </c>
      <c r="O247" s="116">
        <v>246.73610703270199</v>
      </c>
      <c r="P247" s="116">
        <v>248.61826543222901</v>
      </c>
      <c r="Q247" s="116">
        <v>1000.55</v>
      </c>
      <c r="R247">
        <v>2720569</v>
      </c>
    </row>
    <row r="248" spans="1:18" x14ac:dyDescent="0.25">
      <c r="A248" s="170">
        <v>42366</v>
      </c>
      <c r="B248" s="116">
        <v>250.99902003989999</v>
      </c>
      <c r="C248" s="116">
        <v>249.76080278352501</v>
      </c>
      <c r="D248" s="116">
        <v>247.89109472639799</v>
      </c>
      <c r="E248" s="116">
        <v>248.63402508022301</v>
      </c>
      <c r="F248" s="116">
        <v>1008.55</v>
      </c>
      <c r="G248">
        <v>291670</v>
      </c>
      <c r="H248" s="116"/>
      <c r="I248" s="116"/>
      <c r="L248" s="170">
        <v>42366</v>
      </c>
      <c r="M248" s="116">
        <v>250.22800616866701</v>
      </c>
      <c r="N248" s="116">
        <v>251.05764177898399</v>
      </c>
      <c r="O248" s="116">
        <v>247.65242099036701</v>
      </c>
      <c r="P248" s="116">
        <v>247.801012442961</v>
      </c>
      <c r="Q248" s="116">
        <v>1010.4</v>
      </c>
      <c r="R248">
        <v>2945508</v>
      </c>
    </row>
    <row r="249" spans="1:18" x14ac:dyDescent="0.25">
      <c r="A249" s="170">
        <v>42367</v>
      </c>
      <c r="B249" s="116">
        <v>252.22485512371199</v>
      </c>
      <c r="C249" s="116">
        <v>251.395249561941</v>
      </c>
      <c r="D249" s="116">
        <v>249.50077715968601</v>
      </c>
      <c r="E249" s="116">
        <v>250.862816141699</v>
      </c>
      <c r="F249" s="116">
        <v>1015.15</v>
      </c>
      <c r="G249">
        <v>248983</v>
      </c>
      <c r="H249" s="116"/>
      <c r="I249" s="116"/>
      <c r="L249" s="170">
        <v>42367</v>
      </c>
      <c r="M249" s="116">
        <v>251.466268273618</v>
      </c>
      <c r="N249" s="116">
        <v>252.28352126288701</v>
      </c>
      <c r="O249" s="116">
        <v>249.42313580044799</v>
      </c>
      <c r="P249" s="116">
        <v>250.22800616866701</v>
      </c>
      <c r="Q249" s="116">
        <v>1015.4</v>
      </c>
      <c r="R249">
        <v>3409060</v>
      </c>
    </row>
    <row r="250" spans="1:18" x14ac:dyDescent="0.25">
      <c r="A250" s="170">
        <v>42368</v>
      </c>
      <c r="B250" s="116">
        <v>251.85338994680001</v>
      </c>
      <c r="C250" s="116">
        <v>248.84452201380699</v>
      </c>
      <c r="D250" s="116">
        <v>248.1635025228</v>
      </c>
      <c r="E250" s="116">
        <v>251.53145346014199</v>
      </c>
      <c r="F250" s="116">
        <v>1004.85</v>
      </c>
      <c r="G250">
        <v>103873</v>
      </c>
      <c r="H250" s="116"/>
      <c r="I250" s="116"/>
      <c r="L250" s="170">
        <v>42368</v>
      </c>
      <c r="M250" s="116">
        <v>248.766856884823</v>
      </c>
      <c r="N250" s="116">
        <v>251.61485972621301</v>
      </c>
      <c r="O250" s="116">
        <v>248.14772583234699</v>
      </c>
      <c r="P250" s="116">
        <v>251.367207305222</v>
      </c>
      <c r="Q250" s="116">
        <v>1004.5</v>
      </c>
      <c r="R250">
        <v>1863321</v>
      </c>
    </row>
    <row r="251" spans="1:18" x14ac:dyDescent="0.25">
      <c r="A251" s="170">
        <v>42369</v>
      </c>
      <c r="B251" s="116">
        <v>251.85338994680001</v>
      </c>
      <c r="C251" s="116">
        <v>250.763758761189</v>
      </c>
      <c r="D251" s="116">
        <v>247.643451275122</v>
      </c>
      <c r="E251" s="116">
        <v>248.63402508022301</v>
      </c>
      <c r="F251" s="116">
        <v>1012.6</v>
      </c>
      <c r="G251">
        <v>241436</v>
      </c>
      <c r="H251" s="116"/>
      <c r="I251" s="116"/>
      <c r="L251" s="170">
        <v>42369</v>
      </c>
      <c r="M251" s="116">
        <v>251.26814633682599</v>
      </c>
      <c r="N251" s="116">
        <v>252.531173683877</v>
      </c>
      <c r="O251" s="116">
        <v>247.42953381147501</v>
      </c>
      <c r="P251" s="116">
        <v>248.49443922173401</v>
      </c>
      <c r="Q251" s="116">
        <v>1014.6</v>
      </c>
      <c r="R251">
        <v>4225066</v>
      </c>
    </row>
    <row r="252" spans="1:18" x14ac:dyDescent="0.25">
      <c r="A252" s="170">
        <v>42370</v>
      </c>
      <c r="B252" s="116">
        <v>252.596320300625</v>
      </c>
      <c r="C252" s="116">
        <v>251.44477825219599</v>
      </c>
      <c r="D252" s="116">
        <v>249.81033147378</v>
      </c>
      <c r="E252" s="116">
        <v>250.11988578787401</v>
      </c>
      <c r="F252" s="116">
        <v>1015.35</v>
      </c>
      <c r="G252">
        <v>328595</v>
      </c>
      <c r="H252" s="116"/>
      <c r="I252" s="116"/>
      <c r="L252" s="170">
        <v>42370</v>
      </c>
      <c r="M252" s="116">
        <v>251.453885652569</v>
      </c>
      <c r="N252" s="116">
        <v>252.33305174708499</v>
      </c>
      <c r="O252" s="116">
        <v>249.68317084248801</v>
      </c>
      <c r="P252" s="116">
        <v>250.07941471607199</v>
      </c>
      <c r="Q252" s="116">
        <v>1015.35</v>
      </c>
      <c r="R252">
        <v>1238135</v>
      </c>
    </row>
    <row r="253" spans="1:18" x14ac:dyDescent="0.25">
      <c r="A253" s="170">
        <v>42373</v>
      </c>
      <c r="B253" s="116">
        <v>251.15998828322901</v>
      </c>
      <c r="C253" s="116">
        <v>246.504291399257</v>
      </c>
      <c r="D253" s="116">
        <v>244.498379443928</v>
      </c>
      <c r="E253" s="116">
        <v>249.129311982773</v>
      </c>
      <c r="F253" s="116">
        <v>995.4</v>
      </c>
      <c r="G253">
        <v>273627</v>
      </c>
      <c r="H253" s="116"/>
      <c r="I253" s="116"/>
      <c r="L253" s="170">
        <v>42373</v>
      </c>
      <c r="M253" s="116">
        <v>246.488454611712</v>
      </c>
      <c r="N253" s="116">
        <v>251.07002440003399</v>
      </c>
      <c r="O253" s="116">
        <v>244.35864379119499</v>
      </c>
      <c r="P253" s="116">
        <v>248.89068309531899</v>
      </c>
      <c r="Q253" s="116">
        <v>995.3</v>
      </c>
      <c r="R253">
        <v>6896571</v>
      </c>
    </row>
    <row r="254" spans="1:18" x14ac:dyDescent="0.25">
      <c r="A254" s="170">
        <v>42374</v>
      </c>
      <c r="B254" s="116">
        <v>250.11988578787401</v>
      </c>
      <c r="C254" s="116">
        <v>248.90643287662601</v>
      </c>
      <c r="D254" s="116">
        <v>246.863374403606</v>
      </c>
      <c r="E254" s="116">
        <v>248.13873817767299</v>
      </c>
      <c r="F254" s="116">
        <v>1005.1</v>
      </c>
      <c r="G254">
        <v>294671</v>
      </c>
      <c r="H254" s="116"/>
      <c r="I254" s="116"/>
      <c r="L254" s="170">
        <v>42374</v>
      </c>
      <c r="M254" s="116">
        <v>248.92783095846701</v>
      </c>
      <c r="N254" s="116">
        <v>250.12894520027001</v>
      </c>
      <c r="O254" s="116">
        <v>246.909463727396</v>
      </c>
      <c r="P254" s="116">
        <v>247.72671671666399</v>
      </c>
      <c r="Q254" s="116">
        <v>1005.15</v>
      </c>
      <c r="R254">
        <v>3416459</v>
      </c>
    </row>
    <row r="255" spans="1:18" x14ac:dyDescent="0.25">
      <c r="A255" s="170">
        <v>42375</v>
      </c>
      <c r="B255" s="116">
        <v>257.05390242357697</v>
      </c>
      <c r="C255" s="116">
        <v>255.55565954336299</v>
      </c>
      <c r="D255" s="116">
        <v>247.77965517332399</v>
      </c>
      <c r="E255" s="116">
        <v>248.88166853149801</v>
      </c>
      <c r="F255" s="116">
        <v>1031.95</v>
      </c>
      <c r="G255">
        <v>949981</v>
      </c>
      <c r="H255" s="116"/>
      <c r="I255" s="116"/>
      <c r="L255" s="170">
        <v>42375</v>
      </c>
      <c r="M255" s="116">
        <v>255.62682894625701</v>
      </c>
      <c r="N255" s="116">
        <v>257.16227395639697</v>
      </c>
      <c r="O255" s="116">
        <v>247.75148195876301</v>
      </c>
      <c r="P255" s="116">
        <v>249.53457938989399</v>
      </c>
      <c r="Q255" s="116">
        <v>1032.2</v>
      </c>
      <c r="R255">
        <v>6116855</v>
      </c>
    </row>
    <row r="256" spans="1:18" x14ac:dyDescent="0.25">
      <c r="A256" s="170">
        <v>42376</v>
      </c>
      <c r="B256" s="116">
        <v>254.47841053031601</v>
      </c>
      <c r="C256" s="116">
        <v>250.50373313735</v>
      </c>
      <c r="D256" s="116">
        <v>249.68650974814199</v>
      </c>
      <c r="E256" s="116">
        <v>253.53736541546999</v>
      </c>
      <c r="F256" s="116">
        <v>1011.55</v>
      </c>
      <c r="G256">
        <v>374543</v>
      </c>
      <c r="H256" s="116"/>
      <c r="I256" s="116"/>
      <c r="L256" s="170">
        <v>42376</v>
      </c>
      <c r="M256" s="116">
        <v>250.933815568489</v>
      </c>
      <c r="N256" s="116">
        <v>254.586688778097</v>
      </c>
      <c r="O256" s="116">
        <v>249.64602297933899</v>
      </c>
      <c r="P256" s="116">
        <v>252.865504452214</v>
      </c>
      <c r="Q256" s="116">
        <v>1013.25</v>
      </c>
      <c r="R256">
        <v>4512219</v>
      </c>
    </row>
    <row r="257" spans="1:18" x14ac:dyDescent="0.25">
      <c r="A257" s="170">
        <v>42377</v>
      </c>
      <c r="B257" s="116">
        <v>255.60518823361801</v>
      </c>
      <c r="C257" s="116">
        <v>253.59927627828901</v>
      </c>
      <c r="D257" s="116">
        <v>247.65583344768601</v>
      </c>
      <c r="E257" s="116">
        <v>252.34867684935</v>
      </c>
      <c r="F257" s="116">
        <v>1024.05</v>
      </c>
      <c r="G257">
        <v>7008317</v>
      </c>
      <c r="H257" s="116"/>
      <c r="I257" s="116"/>
      <c r="L257" s="170">
        <v>42377</v>
      </c>
      <c r="M257" s="116">
        <v>254.029470830869</v>
      </c>
      <c r="N257" s="116">
        <v>255.80018564094999</v>
      </c>
      <c r="O257" s="116">
        <v>251.788216420906</v>
      </c>
      <c r="P257" s="116">
        <v>252.60546941017401</v>
      </c>
      <c r="Q257" s="116">
        <v>1025.75</v>
      </c>
      <c r="R257">
        <v>4871839</v>
      </c>
    </row>
    <row r="258" spans="1:18" x14ac:dyDescent="0.25">
      <c r="A258" s="170">
        <v>42380</v>
      </c>
      <c r="B258" s="116">
        <v>262.48967617906601</v>
      </c>
      <c r="C258" s="116">
        <v>260.40947118835498</v>
      </c>
      <c r="D258" s="116">
        <v>250.36752923914901</v>
      </c>
      <c r="E258" s="116">
        <v>250.36752923914901</v>
      </c>
      <c r="F258" s="116">
        <v>1051.55</v>
      </c>
      <c r="G258">
        <v>861434</v>
      </c>
      <c r="H258" s="116"/>
      <c r="I258" s="116"/>
      <c r="L258" s="170">
        <v>42380</v>
      </c>
      <c r="M258" s="116">
        <v>260.43128591346999</v>
      </c>
      <c r="N258" s="116">
        <v>262.70968818658099</v>
      </c>
      <c r="O258" s="116">
        <v>250.376597621261</v>
      </c>
      <c r="P258" s="116">
        <v>251.60247710516299</v>
      </c>
      <c r="Q258" s="116">
        <v>1051.5999999999999</v>
      </c>
      <c r="R258">
        <v>6632671</v>
      </c>
    </row>
    <row r="259" spans="1:18" x14ac:dyDescent="0.25">
      <c r="A259" s="170">
        <v>42381</v>
      </c>
      <c r="B259" s="116">
        <v>263.74027560800499</v>
      </c>
      <c r="C259" s="116">
        <v>258.81217092763001</v>
      </c>
      <c r="D259" s="116">
        <v>257.80921494996602</v>
      </c>
      <c r="E259" s="116">
        <v>261.01619764397901</v>
      </c>
      <c r="F259" s="116">
        <v>1045.0999999999999</v>
      </c>
      <c r="G259">
        <v>451258</v>
      </c>
      <c r="H259" s="116"/>
      <c r="I259" s="116"/>
      <c r="L259" s="170">
        <v>42381</v>
      </c>
      <c r="M259" s="116">
        <v>258.90822352437903</v>
      </c>
      <c r="N259" s="116">
        <v>263.84888932313697</v>
      </c>
      <c r="O259" s="116">
        <v>257.83093549307102</v>
      </c>
      <c r="P259" s="116">
        <v>261.27330414483703</v>
      </c>
      <c r="Q259" s="116">
        <v>1045.45</v>
      </c>
      <c r="R259">
        <v>5342761</v>
      </c>
    </row>
    <row r="260" spans="1:18" x14ac:dyDescent="0.25">
      <c r="A260" s="170">
        <v>42382</v>
      </c>
      <c r="B260" s="116">
        <v>269.28748891656801</v>
      </c>
      <c r="C260" s="116">
        <v>266.79867223125302</v>
      </c>
      <c r="D260" s="116">
        <v>252.435352057296</v>
      </c>
      <c r="E260" s="116">
        <v>261.21431240499902</v>
      </c>
      <c r="F260" s="116">
        <v>1077.3499999999999</v>
      </c>
      <c r="G260">
        <v>1418406</v>
      </c>
      <c r="H260" s="116"/>
      <c r="I260" s="116"/>
      <c r="L260" s="170">
        <v>42382</v>
      </c>
      <c r="M260" s="116">
        <v>266.684509543476</v>
      </c>
      <c r="N260" s="116">
        <v>269.87922577425201</v>
      </c>
      <c r="O260" s="116">
        <v>259.341615261112</v>
      </c>
      <c r="P260" s="116">
        <v>260.80276454495498</v>
      </c>
      <c r="Q260" s="116">
        <v>1076.8499999999999</v>
      </c>
      <c r="R260">
        <v>16412811</v>
      </c>
    </row>
    <row r="261" spans="1:18" x14ac:dyDescent="0.25">
      <c r="A261" s="170">
        <v>42383</v>
      </c>
      <c r="B261" s="116">
        <v>267.70257082840698</v>
      </c>
      <c r="C261" s="116">
        <v>262.79923049316</v>
      </c>
      <c r="D261" s="116">
        <v>260.619968121939</v>
      </c>
      <c r="E261" s="116">
        <v>263.02210959930801</v>
      </c>
      <c r="F261" s="116">
        <v>1061.2</v>
      </c>
      <c r="G261">
        <v>590916</v>
      </c>
      <c r="H261" s="116"/>
      <c r="I261" s="116"/>
      <c r="L261" s="170">
        <v>42383</v>
      </c>
      <c r="M261" s="116">
        <v>262.92019274442299</v>
      </c>
      <c r="N261" s="116">
        <v>267.71226709058601</v>
      </c>
      <c r="O261" s="116">
        <v>260.79038192390601</v>
      </c>
      <c r="P261" s="116">
        <v>263.46502807060199</v>
      </c>
      <c r="Q261" s="116">
        <v>1061.6500000000001</v>
      </c>
      <c r="R261">
        <v>6359913</v>
      </c>
    </row>
    <row r="262" spans="1:18" x14ac:dyDescent="0.25">
      <c r="A262" s="170">
        <v>42384</v>
      </c>
      <c r="B262" s="116">
        <v>269.80754016424601</v>
      </c>
      <c r="C262" s="116">
        <v>265.75856973589799</v>
      </c>
      <c r="D262" s="116">
        <v>263.98791905928101</v>
      </c>
      <c r="E262" s="116">
        <v>264.978492864381</v>
      </c>
      <c r="F262" s="116">
        <v>1073.1500000000001</v>
      </c>
      <c r="G262">
        <v>806191</v>
      </c>
      <c r="H262" s="116"/>
      <c r="I262" s="116"/>
      <c r="L262" s="170">
        <v>42384</v>
      </c>
      <c r="M262" s="116">
        <v>265.80534344896103</v>
      </c>
      <c r="N262" s="116">
        <v>269.81731266900499</v>
      </c>
      <c r="O262" s="116">
        <v>263.89841980733502</v>
      </c>
      <c r="P262" s="116">
        <v>264.92617735444497</v>
      </c>
      <c r="Q262" s="116">
        <v>1073.3</v>
      </c>
      <c r="R262">
        <v>6575725</v>
      </c>
    </row>
    <row r="263" spans="1:18" x14ac:dyDescent="0.25">
      <c r="A263" s="170">
        <v>42387</v>
      </c>
      <c r="B263" s="116">
        <v>268.06165383275601</v>
      </c>
      <c r="C263" s="116">
        <v>252.101033398075</v>
      </c>
      <c r="D263" s="116">
        <v>250.14465013300099</v>
      </c>
      <c r="E263" s="116">
        <v>265.73380539076999</v>
      </c>
      <c r="F263" s="116">
        <v>1018</v>
      </c>
      <c r="G263">
        <v>577065</v>
      </c>
      <c r="H263" s="116"/>
      <c r="I263" s="116"/>
      <c r="L263" s="170">
        <v>42387</v>
      </c>
      <c r="M263" s="116">
        <v>251.82536428405399</v>
      </c>
      <c r="N263" s="116">
        <v>268.44284173250799</v>
      </c>
      <c r="O263" s="116">
        <v>249.65840560038899</v>
      </c>
      <c r="P263" s="116">
        <v>266.226352564644</v>
      </c>
      <c r="Q263" s="116">
        <v>1016.85</v>
      </c>
      <c r="R263">
        <v>6229959</v>
      </c>
    </row>
    <row r="264" spans="1:18" x14ac:dyDescent="0.25">
      <c r="A264" s="170">
        <v>42388</v>
      </c>
      <c r="B264" s="116">
        <v>259.77798038760301</v>
      </c>
      <c r="C264" s="116">
        <v>258.440705750718</v>
      </c>
      <c r="D264" s="116">
        <v>251.40763173450401</v>
      </c>
      <c r="E264" s="116">
        <v>253.834537557001</v>
      </c>
      <c r="F264" s="116">
        <v>1043.5999999999999</v>
      </c>
      <c r="G264">
        <v>539474</v>
      </c>
      <c r="H264" s="116"/>
      <c r="I264" s="116"/>
      <c r="L264" s="170">
        <v>42388</v>
      </c>
      <c r="M264" s="116">
        <v>258.45006654554697</v>
      </c>
      <c r="N264" s="116">
        <v>259.98551155568703</v>
      </c>
      <c r="O264" s="116">
        <v>251.144320126331</v>
      </c>
      <c r="P264" s="116">
        <v>254.83434119908699</v>
      </c>
      <c r="Q264" s="116">
        <v>1043.5999999999999</v>
      </c>
      <c r="R264">
        <v>4912096</v>
      </c>
    </row>
    <row r="265" spans="1:18" x14ac:dyDescent="0.25">
      <c r="A265" s="170">
        <v>42389</v>
      </c>
      <c r="B265" s="116">
        <v>257.673011051765</v>
      </c>
      <c r="C265" s="116">
        <v>248.72070028816901</v>
      </c>
      <c r="D265" s="116">
        <v>245.290838488009</v>
      </c>
      <c r="E265" s="116">
        <v>257.673011051765</v>
      </c>
      <c r="F265" s="116">
        <v>1004.35</v>
      </c>
      <c r="G265">
        <v>1181912</v>
      </c>
      <c r="H265" s="116"/>
      <c r="I265" s="116"/>
      <c r="L265" s="170">
        <v>42389</v>
      </c>
      <c r="M265" s="116">
        <v>248.77923950587299</v>
      </c>
      <c r="N265" s="116">
        <v>256.29549048293097</v>
      </c>
      <c r="O265" s="116">
        <v>245.17589678046301</v>
      </c>
      <c r="P265" s="116">
        <v>256.29549048293097</v>
      </c>
      <c r="Q265" s="116">
        <v>1004.55</v>
      </c>
      <c r="R265">
        <v>10312353</v>
      </c>
    </row>
    <row r="266" spans="1:18" x14ac:dyDescent="0.25">
      <c r="A266" s="170">
        <v>42390</v>
      </c>
      <c r="B266" s="116">
        <v>254.007887972893</v>
      </c>
      <c r="C266" s="116">
        <v>243.90403516086801</v>
      </c>
      <c r="D266" s="116">
        <v>242.232441864761</v>
      </c>
      <c r="E266" s="116">
        <v>251.68003953090701</v>
      </c>
      <c r="F266" s="116">
        <v>984.9</v>
      </c>
      <c r="G266">
        <v>921299</v>
      </c>
      <c r="H266" s="116"/>
      <c r="I266" s="116"/>
      <c r="L266" s="170">
        <v>42390</v>
      </c>
      <c r="M266" s="116">
        <v>243.73951273871899</v>
      </c>
      <c r="N266" s="116">
        <v>254.029470830869</v>
      </c>
      <c r="O266" s="116">
        <v>241.88211958129099</v>
      </c>
      <c r="P266" s="116">
        <v>251.998720978748</v>
      </c>
      <c r="Q266" s="116">
        <v>984.2</v>
      </c>
      <c r="R266">
        <v>7261772</v>
      </c>
    </row>
    <row r="267" spans="1:18" x14ac:dyDescent="0.25">
      <c r="A267" s="170">
        <v>42391</v>
      </c>
      <c r="B267" s="116">
        <v>250.157032305565</v>
      </c>
      <c r="C267" s="116">
        <v>248.62164290765901</v>
      </c>
      <c r="D267" s="116">
        <v>246.343323155928</v>
      </c>
      <c r="E267" s="116">
        <v>246.405234018747</v>
      </c>
      <c r="F267" s="116">
        <v>1003.95</v>
      </c>
      <c r="G267">
        <v>344318</v>
      </c>
      <c r="H267" s="116"/>
      <c r="I267" s="116"/>
      <c r="L267" s="170">
        <v>42391</v>
      </c>
      <c r="M267" s="116">
        <v>248.68017853747699</v>
      </c>
      <c r="N267" s="116">
        <v>250.376597621261</v>
      </c>
      <c r="O267" s="116">
        <v>246.178889085474</v>
      </c>
      <c r="P267" s="116">
        <v>246.178889085474</v>
      </c>
      <c r="Q267" s="116">
        <v>1004.15</v>
      </c>
      <c r="R267">
        <v>5413455</v>
      </c>
    </row>
    <row r="268" spans="1:18" x14ac:dyDescent="0.25">
      <c r="A268" s="170">
        <v>42394</v>
      </c>
      <c r="B268" s="116">
        <v>252.20009077858501</v>
      </c>
      <c r="C268" s="116">
        <v>248.83213984124299</v>
      </c>
      <c r="D268" s="116">
        <v>247.68059779281401</v>
      </c>
      <c r="E268" s="116">
        <v>249.67412757557901</v>
      </c>
      <c r="F268" s="116">
        <v>1004.8</v>
      </c>
      <c r="G268">
        <v>276184</v>
      </c>
      <c r="H268" s="116"/>
      <c r="I268" s="116"/>
      <c r="L268" s="170">
        <v>42394</v>
      </c>
      <c r="M268" s="116">
        <v>248.630648053279</v>
      </c>
      <c r="N268" s="116">
        <v>252.29590388393601</v>
      </c>
      <c r="O268" s="116">
        <v>247.65242099036701</v>
      </c>
      <c r="P268" s="116">
        <v>250.12894520027001</v>
      </c>
      <c r="Q268" s="116">
        <v>1003.95</v>
      </c>
      <c r="R268">
        <v>2994340</v>
      </c>
    </row>
    <row r="269" spans="1:18" x14ac:dyDescent="0.25">
      <c r="A269" s="170">
        <v>42396</v>
      </c>
      <c r="B269" s="116">
        <v>250.04559275249099</v>
      </c>
      <c r="C269" s="116">
        <v>247.482483031794</v>
      </c>
      <c r="D269" s="116">
        <v>246.690023987713</v>
      </c>
      <c r="E269" s="116">
        <v>249.61221671275999</v>
      </c>
      <c r="F269" s="116">
        <v>999.35</v>
      </c>
      <c r="G269">
        <v>213280</v>
      </c>
      <c r="H269" s="116"/>
      <c r="I269" s="116"/>
      <c r="L269" s="170">
        <v>42396</v>
      </c>
      <c r="M269" s="116">
        <v>247.49144691672299</v>
      </c>
      <c r="N269" s="116">
        <v>250.12894520027001</v>
      </c>
      <c r="O269" s="116">
        <v>246.89708110634601</v>
      </c>
      <c r="P269" s="116">
        <v>249.65840560038899</v>
      </c>
      <c r="Q269" s="116">
        <v>999.35</v>
      </c>
      <c r="R269">
        <v>3943295</v>
      </c>
    </row>
    <row r="270" spans="1:18" x14ac:dyDescent="0.25">
      <c r="A270" s="170">
        <v>42397</v>
      </c>
      <c r="B270" s="116">
        <v>253.029696340356</v>
      </c>
      <c r="C270" s="116">
        <v>251.828625601672</v>
      </c>
      <c r="D270" s="116">
        <v>247.08625350975299</v>
      </c>
      <c r="E270" s="116">
        <v>247.643451275122</v>
      </c>
      <c r="F270" s="116">
        <v>1016.9</v>
      </c>
      <c r="G270">
        <v>279598</v>
      </c>
      <c r="H270" s="116"/>
      <c r="I270" s="116"/>
      <c r="L270" s="170">
        <v>42397</v>
      </c>
      <c r="M270" s="116">
        <v>251.83774690510401</v>
      </c>
      <c r="N270" s="116">
        <v>253.051243767957</v>
      </c>
      <c r="O270" s="116">
        <v>246.934228969495</v>
      </c>
      <c r="P270" s="116">
        <v>247.900073411357</v>
      </c>
      <c r="Q270" s="116">
        <v>1016.9</v>
      </c>
      <c r="R270">
        <v>5274473</v>
      </c>
    </row>
    <row r="271" spans="1:18" x14ac:dyDescent="0.25">
      <c r="A271" s="170">
        <v>42398</v>
      </c>
      <c r="B271" s="116">
        <v>257.400603255362</v>
      </c>
      <c r="C271" s="116">
        <v>256.32335424231599</v>
      </c>
      <c r="D271" s="116">
        <v>252.31153033165899</v>
      </c>
      <c r="E271" s="116">
        <v>252.596320300625</v>
      </c>
      <c r="F271" s="116">
        <v>1035.05</v>
      </c>
      <c r="G271">
        <v>280811</v>
      </c>
      <c r="H271" s="116"/>
      <c r="I271" s="116"/>
      <c r="L271" s="170">
        <v>42398</v>
      </c>
      <c r="M271" s="116">
        <v>256.41931669342603</v>
      </c>
      <c r="N271" s="116">
        <v>257.55851782998099</v>
      </c>
      <c r="O271" s="116">
        <v>252.110164568193</v>
      </c>
      <c r="P271" s="116">
        <v>252.34543436813399</v>
      </c>
      <c r="Q271" s="116">
        <v>1035.4000000000001</v>
      </c>
      <c r="R271">
        <v>4383577</v>
      </c>
    </row>
    <row r="272" spans="1:18" x14ac:dyDescent="0.25">
      <c r="A272" s="170">
        <v>42401</v>
      </c>
      <c r="B272" s="116">
        <v>257.79683277740202</v>
      </c>
      <c r="C272" s="116">
        <v>254.602232255953</v>
      </c>
      <c r="D272" s="116">
        <v>253.87168407469201</v>
      </c>
      <c r="E272" s="116">
        <v>257.54918932612702</v>
      </c>
      <c r="F272" s="116">
        <v>1028.0999999999999</v>
      </c>
      <c r="G272">
        <v>216574</v>
      </c>
      <c r="H272" s="116"/>
      <c r="I272" s="116"/>
      <c r="L272" s="170">
        <v>42401</v>
      </c>
      <c r="M272" s="116">
        <v>255.15628934637499</v>
      </c>
      <c r="N272" s="116">
        <v>258.00429218776401</v>
      </c>
      <c r="O272" s="116">
        <v>253.97994034667099</v>
      </c>
      <c r="P272" s="116">
        <v>257.54613520893201</v>
      </c>
      <c r="Q272" s="116">
        <v>1030.3</v>
      </c>
      <c r="R272">
        <v>2267273</v>
      </c>
    </row>
    <row r="273" spans="1:18" x14ac:dyDescent="0.25">
      <c r="A273" s="170">
        <v>42402</v>
      </c>
      <c r="B273" s="116">
        <v>255.568041715926</v>
      </c>
      <c r="C273" s="116">
        <v>248.13873817767299</v>
      </c>
      <c r="D273" s="116">
        <v>245.24130979775401</v>
      </c>
      <c r="E273" s="116">
        <v>255.320398264651</v>
      </c>
      <c r="F273" s="116">
        <v>1002</v>
      </c>
      <c r="G273">
        <v>367070</v>
      </c>
      <c r="H273" s="116"/>
      <c r="I273" s="116"/>
      <c r="L273" s="170">
        <v>42402</v>
      </c>
      <c r="M273" s="116">
        <v>247.93722127450599</v>
      </c>
      <c r="N273" s="116">
        <v>255.775420398851</v>
      </c>
      <c r="O273" s="116">
        <v>245.299722990958</v>
      </c>
      <c r="P273" s="116">
        <v>255.15628934637499</v>
      </c>
      <c r="Q273" s="116">
        <v>1001.15</v>
      </c>
      <c r="R273">
        <v>3376466</v>
      </c>
    </row>
    <row r="274" spans="1:18" x14ac:dyDescent="0.25">
      <c r="A274" s="170">
        <v>42403</v>
      </c>
      <c r="B274" s="116">
        <v>245.95947580645199</v>
      </c>
      <c r="C274" s="116">
        <v>242.863932665513</v>
      </c>
      <c r="D274" s="116">
        <v>241.452364993244</v>
      </c>
      <c r="E274" s="116">
        <v>244.696494204949</v>
      </c>
      <c r="F274" s="116">
        <v>980.7</v>
      </c>
      <c r="G274">
        <v>344712</v>
      </c>
      <c r="H274" s="116"/>
      <c r="I274" s="116"/>
      <c r="L274" s="170">
        <v>42403</v>
      </c>
      <c r="M274" s="116">
        <v>243.046085959946</v>
      </c>
      <c r="N274" s="116">
        <v>246.166506464425</v>
      </c>
      <c r="O274" s="116">
        <v>241.46111046560799</v>
      </c>
      <c r="P274" s="116">
        <v>244.680591938482</v>
      </c>
      <c r="Q274" s="116">
        <v>981.4</v>
      </c>
      <c r="R274">
        <v>3586808</v>
      </c>
    </row>
    <row r="275" spans="1:18" x14ac:dyDescent="0.25">
      <c r="A275" s="170">
        <v>42404</v>
      </c>
      <c r="B275" s="116">
        <v>247.643451275122</v>
      </c>
      <c r="C275" s="116">
        <v>241.192339369406</v>
      </c>
      <c r="D275" s="116">
        <v>239.718860834319</v>
      </c>
      <c r="E275" s="116">
        <v>245.16701676237099</v>
      </c>
      <c r="F275" s="116">
        <v>973.95</v>
      </c>
      <c r="G275">
        <v>305249</v>
      </c>
      <c r="H275" s="116"/>
      <c r="I275" s="116"/>
      <c r="L275" s="170">
        <v>42404</v>
      </c>
      <c r="M275" s="116">
        <v>240.97818824467601</v>
      </c>
      <c r="N275" s="116">
        <v>247.900073411357</v>
      </c>
      <c r="O275" s="116">
        <v>239.157942950397</v>
      </c>
      <c r="P275" s="116">
        <v>244.680591938482</v>
      </c>
      <c r="Q275" s="116">
        <v>973.05</v>
      </c>
      <c r="R275">
        <v>4161079</v>
      </c>
    </row>
    <row r="276" spans="1:18" x14ac:dyDescent="0.25">
      <c r="A276" s="170">
        <v>42405</v>
      </c>
      <c r="B276" s="116">
        <v>243.18586915217</v>
      </c>
      <c r="C276" s="116">
        <v>240.78372767480201</v>
      </c>
      <c r="D276" s="116">
        <v>238.480643577943</v>
      </c>
      <c r="E276" s="116">
        <v>241.77430147990199</v>
      </c>
      <c r="F276" s="116">
        <v>972.3</v>
      </c>
      <c r="G276">
        <v>329859</v>
      </c>
      <c r="H276" s="116"/>
      <c r="I276" s="116"/>
      <c r="L276" s="170">
        <v>42405</v>
      </c>
      <c r="M276" s="116">
        <v>240.445735539547</v>
      </c>
      <c r="N276" s="116">
        <v>243.19467741253999</v>
      </c>
      <c r="O276" s="116">
        <v>238.09303754013899</v>
      </c>
      <c r="P276" s="116">
        <v>242.47648539166801</v>
      </c>
      <c r="Q276" s="116">
        <v>970.9</v>
      </c>
      <c r="R276">
        <v>4799882</v>
      </c>
    </row>
    <row r="277" spans="1:18" x14ac:dyDescent="0.25">
      <c r="A277" s="170">
        <v>42408</v>
      </c>
      <c r="B277" s="116">
        <v>243.74306691753901</v>
      </c>
      <c r="C277" s="116">
        <v>238.133942746158</v>
      </c>
      <c r="D277" s="116">
        <v>237.168133286185</v>
      </c>
      <c r="E277" s="116">
        <v>240.684670294292</v>
      </c>
      <c r="F277" s="116">
        <v>961.6</v>
      </c>
      <c r="G277">
        <v>311940</v>
      </c>
      <c r="H277" s="116"/>
      <c r="I277" s="116"/>
      <c r="L277" s="170">
        <v>42408</v>
      </c>
      <c r="M277" s="116">
        <v>238.00635919279199</v>
      </c>
      <c r="N277" s="116">
        <v>243.888104191313</v>
      </c>
      <c r="O277" s="116">
        <v>237.23863668772199</v>
      </c>
      <c r="P277" s="116">
        <v>240.49526602374499</v>
      </c>
      <c r="Q277" s="116">
        <v>961.05</v>
      </c>
      <c r="R277">
        <v>2760853</v>
      </c>
    </row>
    <row r="278" spans="1:18" x14ac:dyDescent="0.25">
      <c r="A278" s="170">
        <v>42409</v>
      </c>
      <c r="B278" s="116">
        <v>239.84268255995599</v>
      </c>
      <c r="C278" s="116">
        <v>236.895725489782</v>
      </c>
      <c r="D278" s="116">
        <v>235.347953919313</v>
      </c>
      <c r="E278" s="116">
        <v>235.533686507769</v>
      </c>
      <c r="F278" s="116">
        <v>956.6</v>
      </c>
      <c r="G278">
        <v>359167</v>
      </c>
      <c r="H278" s="116"/>
      <c r="I278" s="116"/>
      <c r="L278" s="170">
        <v>42409</v>
      </c>
      <c r="M278" s="116">
        <v>237.127193098276</v>
      </c>
      <c r="N278" s="116">
        <v>239.925665455467</v>
      </c>
      <c r="O278" s="116">
        <v>235.269799940848</v>
      </c>
      <c r="P278" s="116">
        <v>235.98799196172001</v>
      </c>
      <c r="Q278" s="116">
        <v>957.5</v>
      </c>
      <c r="R278">
        <v>4481029</v>
      </c>
    </row>
    <row r="279" spans="1:18" x14ac:dyDescent="0.25">
      <c r="A279" s="170">
        <v>42410</v>
      </c>
      <c r="B279" s="116">
        <v>240.932313745567</v>
      </c>
      <c r="C279" s="116">
        <v>238.33205750717801</v>
      </c>
      <c r="D279" s="116">
        <v>235.001253087527</v>
      </c>
      <c r="E279" s="116">
        <v>235.57083302545999</v>
      </c>
      <c r="F279" s="116">
        <v>962.4</v>
      </c>
      <c r="G279">
        <v>495104</v>
      </c>
      <c r="H279" s="116"/>
      <c r="I279" s="116"/>
      <c r="L279" s="170">
        <v>42410</v>
      </c>
      <c r="M279" s="116">
        <v>238.402603066377</v>
      </c>
      <c r="N279" s="116">
        <v>240.96580562362701</v>
      </c>
      <c r="O279" s="116">
        <v>234.93546917251101</v>
      </c>
      <c r="P279" s="116">
        <v>235.690809056532</v>
      </c>
      <c r="Q279" s="116">
        <v>962.65</v>
      </c>
      <c r="R279">
        <v>3859250</v>
      </c>
    </row>
    <row r="280" spans="1:18" x14ac:dyDescent="0.25">
      <c r="A280" s="170">
        <v>42411</v>
      </c>
      <c r="B280" s="116">
        <v>239.22357393176799</v>
      </c>
      <c r="C280" s="116">
        <v>228.43870162873699</v>
      </c>
      <c r="D280" s="116">
        <v>226.90331223083101</v>
      </c>
      <c r="E280" s="116">
        <v>238.480643577943</v>
      </c>
      <c r="F280" s="116">
        <v>922.45</v>
      </c>
      <c r="G280">
        <v>563005</v>
      </c>
      <c r="H280" s="116"/>
      <c r="I280" s="116"/>
      <c r="L280" s="170">
        <v>42411</v>
      </c>
      <c r="M280" s="116">
        <v>228.96704582664401</v>
      </c>
      <c r="N280" s="116">
        <v>239.21985605564501</v>
      </c>
      <c r="O280" s="116">
        <v>226.72579141668101</v>
      </c>
      <c r="P280" s="116">
        <v>238.45213355057501</v>
      </c>
      <c r="Q280" s="116">
        <v>924.55</v>
      </c>
      <c r="R280">
        <v>3912163</v>
      </c>
    </row>
    <row r="281" spans="1:18" x14ac:dyDescent="0.25">
      <c r="A281" s="170">
        <v>42412</v>
      </c>
      <c r="B281" s="116">
        <v>231.05134003968899</v>
      </c>
      <c r="C281" s="116">
        <v>224.439259890643</v>
      </c>
      <c r="D281" s="116">
        <v>220.03120645794601</v>
      </c>
      <c r="E281" s="116">
        <v>230.56843530970301</v>
      </c>
      <c r="F281" s="116">
        <v>906.3</v>
      </c>
      <c r="G281">
        <v>681300</v>
      </c>
      <c r="H281" s="116"/>
      <c r="I281" s="116"/>
      <c r="L281" s="170">
        <v>42412</v>
      </c>
      <c r="M281" s="116">
        <v>224.50930224881699</v>
      </c>
      <c r="N281" s="116">
        <v>231.282595962903</v>
      </c>
      <c r="O281" s="116">
        <v>219.940115081545</v>
      </c>
      <c r="P281" s="116">
        <v>231.282595962903</v>
      </c>
      <c r="Q281" s="116">
        <v>906.55</v>
      </c>
      <c r="R281">
        <v>6701935</v>
      </c>
    </row>
    <row r="282" spans="1:18" x14ac:dyDescent="0.25">
      <c r="A282" s="170">
        <v>42415</v>
      </c>
      <c r="B282" s="116">
        <v>235.248896538803</v>
      </c>
      <c r="C282" s="116">
        <v>233.936386247044</v>
      </c>
      <c r="D282" s="116">
        <v>227.83197517311299</v>
      </c>
      <c r="E282" s="116">
        <v>228.07961862438799</v>
      </c>
      <c r="F282" s="116">
        <v>944.65</v>
      </c>
      <c r="G282">
        <v>288882</v>
      </c>
      <c r="H282" s="116"/>
      <c r="I282" s="116"/>
      <c r="L282" s="170">
        <v>42415</v>
      </c>
      <c r="M282" s="116">
        <v>234.46492957263001</v>
      </c>
      <c r="N282" s="116">
        <v>235.604130709185</v>
      </c>
      <c r="O282" s="116">
        <v>227.34492246915701</v>
      </c>
      <c r="P282" s="116">
        <v>227.34492246915701</v>
      </c>
      <c r="Q282" s="116">
        <v>946.75</v>
      </c>
      <c r="R282">
        <v>4407889</v>
      </c>
    </row>
    <row r="283" spans="1:18" x14ac:dyDescent="0.25">
      <c r="A283" s="170">
        <v>42416</v>
      </c>
      <c r="B283" s="116">
        <v>237.242426321567</v>
      </c>
      <c r="C283" s="116">
        <v>230.22173447791801</v>
      </c>
      <c r="D283" s="116">
        <v>229.56547933203899</v>
      </c>
      <c r="E283" s="116">
        <v>235.954680374937</v>
      </c>
      <c r="F283" s="116">
        <v>929.65</v>
      </c>
      <c r="G283">
        <v>307379</v>
      </c>
      <c r="H283" s="116"/>
      <c r="I283" s="116"/>
      <c r="L283" s="170">
        <v>42416</v>
      </c>
      <c r="M283" s="116">
        <v>230.45296035258599</v>
      </c>
      <c r="N283" s="116">
        <v>237.25101930877099</v>
      </c>
      <c r="O283" s="116">
        <v>229.57379425807</v>
      </c>
      <c r="P283" s="116">
        <v>235.54221760393801</v>
      </c>
      <c r="Q283" s="116">
        <v>930.55</v>
      </c>
      <c r="R283">
        <v>2977263</v>
      </c>
    </row>
    <row r="284" spans="1:18" x14ac:dyDescent="0.25">
      <c r="A284" s="170">
        <v>42417</v>
      </c>
      <c r="B284" s="116">
        <v>236.747139419017</v>
      </c>
      <c r="C284" s="116">
        <v>235.86800516699</v>
      </c>
      <c r="D284" s="116">
        <v>227.11380916441499</v>
      </c>
      <c r="E284" s="116">
        <v>231.150397420199</v>
      </c>
      <c r="F284" s="116">
        <v>952.45</v>
      </c>
      <c r="G284">
        <v>365447</v>
      </c>
      <c r="H284" s="116"/>
      <c r="I284" s="116"/>
      <c r="L284" s="170">
        <v>42417</v>
      </c>
      <c r="M284" s="116">
        <v>235.913696235423</v>
      </c>
      <c r="N284" s="116">
        <v>237.114810477227</v>
      </c>
      <c r="O284" s="116">
        <v>226.94867859557201</v>
      </c>
      <c r="P284" s="116">
        <v>231.57977886809201</v>
      </c>
      <c r="Q284" s="116">
        <v>952.6</v>
      </c>
      <c r="R284">
        <v>3529832</v>
      </c>
    </row>
    <row r="285" spans="1:18" x14ac:dyDescent="0.25">
      <c r="A285" s="170">
        <v>42418</v>
      </c>
      <c r="B285" s="116">
        <v>239.65694997150001</v>
      </c>
      <c r="C285" s="116">
        <v>233.069634167582</v>
      </c>
      <c r="D285" s="116">
        <v>231.868563428897</v>
      </c>
      <c r="E285" s="116">
        <v>238.233000126668</v>
      </c>
      <c r="F285" s="116">
        <v>941.15</v>
      </c>
      <c r="G285">
        <v>243498</v>
      </c>
      <c r="H285" s="116"/>
      <c r="I285" s="116"/>
      <c r="L285" s="170">
        <v>42418</v>
      </c>
      <c r="M285" s="116">
        <v>232.81804097304399</v>
      </c>
      <c r="N285" s="116">
        <v>239.900900213368</v>
      </c>
      <c r="O285" s="116">
        <v>231.80266604698301</v>
      </c>
      <c r="P285" s="116">
        <v>238.47689879267401</v>
      </c>
      <c r="Q285" s="116">
        <v>940.1</v>
      </c>
      <c r="R285">
        <v>3299161</v>
      </c>
    </row>
    <row r="286" spans="1:18" x14ac:dyDescent="0.25">
      <c r="A286" s="170">
        <v>42419</v>
      </c>
      <c r="B286" s="116">
        <v>235.86800516699</v>
      </c>
      <c r="C286" s="116">
        <v>233.91162190191699</v>
      </c>
      <c r="D286" s="116">
        <v>232.24002860581001</v>
      </c>
      <c r="E286" s="116">
        <v>233.069634167582</v>
      </c>
      <c r="F286" s="116">
        <v>944.55</v>
      </c>
      <c r="G286">
        <v>186168</v>
      </c>
      <c r="H286" s="116"/>
      <c r="I286" s="116"/>
      <c r="L286" s="170">
        <v>42419</v>
      </c>
      <c r="M286" s="116">
        <v>233.870563762253</v>
      </c>
      <c r="N286" s="116">
        <v>235.95084409857199</v>
      </c>
      <c r="O286" s="116">
        <v>232.13699681532</v>
      </c>
      <c r="P286" s="116">
        <v>232.793275730945</v>
      </c>
      <c r="Q286" s="116">
        <v>944.35</v>
      </c>
      <c r="R286">
        <v>2339664</v>
      </c>
    </row>
    <row r="287" spans="1:18" x14ac:dyDescent="0.25">
      <c r="A287" s="170">
        <v>42422</v>
      </c>
      <c r="B287" s="116">
        <v>239.694096489191</v>
      </c>
      <c r="C287" s="116">
        <v>238.34443967974201</v>
      </c>
      <c r="D287" s="116">
        <v>234.035443627554</v>
      </c>
      <c r="E287" s="116">
        <v>234.24594056113801</v>
      </c>
      <c r="F287" s="116">
        <v>962.45</v>
      </c>
      <c r="G287">
        <v>218870</v>
      </c>
      <c r="H287" s="116"/>
      <c r="I287" s="116"/>
      <c r="L287" s="170">
        <v>42422</v>
      </c>
      <c r="M287" s="116">
        <v>238.31592471902999</v>
      </c>
      <c r="N287" s="116">
        <v>239.801839244972</v>
      </c>
      <c r="O287" s="116">
        <v>233.80865065700499</v>
      </c>
      <c r="P287" s="116">
        <v>233.80865065700499</v>
      </c>
      <c r="Q287" s="116">
        <v>962.3</v>
      </c>
      <c r="R287">
        <v>2919198</v>
      </c>
    </row>
    <row r="288" spans="1:18" x14ac:dyDescent="0.25">
      <c r="A288" s="170">
        <v>42423</v>
      </c>
      <c r="B288" s="116">
        <v>239.446453037916</v>
      </c>
      <c r="C288" s="116">
        <v>235.434629127259</v>
      </c>
      <c r="D288" s="116">
        <v>233.54015672500401</v>
      </c>
      <c r="E288" s="116">
        <v>238.728287029218</v>
      </c>
      <c r="F288" s="116">
        <v>950.7</v>
      </c>
      <c r="G288">
        <v>1794728</v>
      </c>
      <c r="H288" s="116"/>
      <c r="I288" s="116"/>
      <c r="L288" s="170">
        <v>42423</v>
      </c>
      <c r="M288" s="116">
        <v>235.18312159350199</v>
      </c>
      <c r="N288" s="116">
        <v>239.52942158188301</v>
      </c>
      <c r="O288" s="116">
        <v>233.47431988866799</v>
      </c>
      <c r="P288" s="116">
        <v>238.514046655822</v>
      </c>
      <c r="Q288" s="116">
        <v>949.65</v>
      </c>
      <c r="R288">
        <v>4340746</v>
      </c>
    </row>
    <row r="289" spans="1:18" x14ac:dyDescent="0.25">
      <c r="A289" s="170">
        <v>42424</v>
      </c>
      <c r="B289" s="116">
        <v>237.49006977284199</v>
      </c>
      <c r="C289" s="116">
        <v>235.89276951211801</v>
      </c>
      <c r="D289" s="116">
        <v>233.416334999367</v>
      </c>
      <c r="E289" s="116">
        <v>234.34499794164799</v>
      </c>
      <c r="F289" s="116">
        <v>952.55</v>
      </c>
      <c r="G289">
        <v>1457649</v>
      </c>
      <c r="H289" s="116"/>
      <c r="I289" s="116"/>
      <c r="L289" s="170">
        <v>42424</v>
      </c>
      <c r="M289" s="116">
        <v>235.926078856473</v>
      </c>
      <c r="N289" s="116">
        <v>237.38722814031601</v>
      </c>
      <c r="O289" s="116">
        <v>233.28858057292501</v>
      </c>
      <c r="P289" s="116">
        <v>234.00677259379799</v>
      </c>
      <c r="Q289" s="116">
        <v>952.65</v>
      </c>
      <c r="R289">
        <v>3471311</v>
      </c>
    </row>
    <row r="290" spans="1:18" x14ac:dyDescent="0.25">
      <c r="A290" s="170">
        <v>42425</v>
      </c>
      <c r="B290" s="116">
        <v>236.994782870292</v>
      </c>
      <c r="C290" s="116">
        <v>233.874475384226</v>
      </c>
      <c r="D290" s="116">
        <v>233.20583806578301</v>
      </c>
      <c r="E290" s="116">
        <v>236.994782870292</v>
      </c>
      <c r="F290" s="116">
        <v>944.4</v>
      </c>
      <c r="G290">
        <v>332961</v>
      </c>
      <c r="H290" s="116"/>
      <c r="I290" s="116"/>
      <c r="L290" s="170">
        <v>42425</v>
      </c>
      <c r="M290" s="116">
        <v>233.80865065700499</v>
      </c>
      <c r="N290" s="116">
        <v>236.891923298335</v>
      </c>
      <c r="O290" s="116">
        <v>233.003780288787</v>
      </c>
      <c r="P290" s="116">
        <v>236.30994010900801</v>
      </c>
      <c r="Q290" s="116">
        <v>944.1</v>
      </c>
      <c r="R290">
        <v>5675025</v>
      </c>
    </row>
    <row r="291" spans="1:18" x14ac:dyDescent="0.25">
      <c r="A291" s="170">
        <v>42426</v>
      </c>
      <c r="B291" s="116">
        <v>237.366248047205</v>
      </c>
      <c r="C291" s="116">
        <v>235.38510043700401</v>
      </c>
      <c r="D291" s="116">
        <v>234.01067928242699</v>
      </c>
      <c r="E291" s="116">
        <v>235.261278711366</v>
      </c>
      <c r="F291" s="116">
        <v>950.5</v>
      </c>
      <c r="G291">
        <v>225109</v>
      </c>
      <c r="H291" s="116"/>
      <c r="I291" s="116"/>
      <c r="L291" s="170">
        <v>42426</v>
      </c>
      <c r="M291" s="116">
        <v>235.35647828819501</v>
      </c>
      <c r="N291" s="116">
        <v>237.436758624514</v>
      </c>
      <c r="O291" s="116">
        <v>233.858181141203</v>
      </c>
      <c r="P291" s="116">
        <v>236.01275720382</v>
      </c>
      <c r="Q291" s="116">
        <v>950.35</v>
      </c>
      <c r="R291">
        <v>1908533</v>
      </c>
    </row>
    <row r="292" spans="1:18" x14ac:dyDescent="0.25">
      <c r="A292" s="170">
        <v>42429</v>
      </c>
      <c r="B292" s="116">
        <v>245.909947116197</v>
      </c>
      <c r="C292" s="116">
        <v>239.35977782997</v>
      </c>
      <c r="D292" s="116">
        <v>231.868563428897</v>
      </c>
      <c r="E292" s="116">
        <v>235.533686507769</v>
      </c>
      <c r="F292" s="116">
        <v>966.55</v>
      </c>
      <c r="G292">
        <v>999988</v>
      </c>
      <c r="H292" s="116"/>
      <c r="I292" s="116"/>
      <c r="L292" s="170">
        <v>42429</v>
      </c>
      <c r="M292" s="116">
        <v>239.39321275033799</v>
      </c>
      <c r="N292" s="116">
        <v>246.31509791701899</v>
      </c>
      <c r="O292" s="116">
        <v>231.55501362599301</v>
      </c>
      <c r="P292" s="116">
        <v>235.591748088136</v>
      </c>
      <c r="Q292" s="116">
        <v>966.65</v>
      </c>
      <c r="R292">
        <v>7093474</v>
      </c>
    </row>
    <row r="293" spans="1:18" x14ac:dyDescent="0.25">
      <c r="A293" s="170">
        <v>42430</v>
      </c>
      <c r="B293" s="116">
        <v>243.92879950599601</v>
      </c>
      <c r="C293" s="116">
        <v>243.24778001498899</v>
      </c>
      <c r="D293" s="116">
        <v>238.97593048049299</v>
      </c>
      <c r="E293" s="116">
        <v>239.59503910868099</v>
      </c>
      <c r="F293" s="116">
        <v>982.25</v>
      </c>
      <c r="G293">
        <v>311829</v>
      </c>
      <c r="H293" s="116"/>
      <c r="I293" s="116"/>
      <c r="L293" s="170">
        <v>42430</v>
      </c>
      <c r="M293" s="116">
        <v>243.021320717847</v>
      </c>
      <c r="N293" s="116">
        <v>243.95001729656099</v>
      </c>
      <c r="O293" s="116">
        <v>238.89790790835701</v>
      </c>
      <c r="P293" s="116">
        <v>238.91029052940701</v>
      </c>
      <c r="Q293" s="116">
        <v>981.3</v>
      </c>
      <c r="R293">
        <v>3760923</v>
      </c>
    </row>
    <row r="294" spans="1:18" x14ac:dyDescent="0.25">
      <c r="A294" s="170">
        <v>42431</v>
      </c>
      <c r="B294" s="116">
        <v>248.943579394317</v>
      </c>
      <c r="C294" s="116">
        <v>247.94062341665301</v>
      </c>
      <c r="D294" s="116">
        <v>244.54790813418299</v>
      </c>
      <c r="E294" s="116">
        <v>245.78612539055899</v>
      </c>
      <c r="F294" s="116">
        <v>1001.2</v>
      </c>
      <c r="G294">
        <v>529739</v>
      </c>
      <c r="H294" s="116"/>
      <c r="I294" s="116"/>
      <c r="L294" s="170">
        <v>42431</v>
      </c>
      <c r="M294" s="116">
        <v>248.023899621852</v>
      </c>
      <c r="N294" s="116">
        <v>249.076422411061</v>
      </c>
      <c r="O294" s="116">
        <v>244.49485262274001</v>
      </c>
      <c r="P294" s="116">
        <v>245.89408880133499</v>
      </c>
      <c r="Q294" s="116">
        <v>1001.5</v>
      </c>
      <c r="R294">
        <v>4595886</v>
      </c>
    </row>
    <row r="295" spans="1:18" x14ac:dyDescent="0.25">
      <c r="A295" s="170">
        <v>42432</v>
      </c>
      <c r="B295" s="116">
        <v>251.915300809618</v>
      </c>
      <c r="C295" s="116">
        <v>250.75137658862499</v>
      </c>
      <c r="D295" s="116">
        <v>247.036724819498</v>
      </c>
      <c r="E295" s="116">
        <v>249.43886629686699</v>
      </c>
      <c r="F295" s="116">
        <v>1012.55</v>
      </c>
      <c r="G295">
        <v>340650</v>
      </c>
      <c r="H295" s="116"/>
      <c r="I295" s="116"/>
      <c r="L295" s="170">
        <v>42432</v>
      </c>
      <c r="M295" s="116">
        <v>250.83475460009299</v>
      </c>
      <c r="N295" s="116">
        <v>252.110164568193</v>
      </c>
      <c r="O295" s="116">
        <v>247.033289937891</v>
      </c>
      <c r="P295" s="116">
        <v>250.12894520027001</v>
      </c>
      <c r="Q295" s="116">
        <v>1012.85</v>
      </c>
      <c r="R295">
        <v>3630006</v>
      </c>
    </row>
    <row r="296" spans="1:18" x14ac:dyDescent="0.25">
      <c r="A296" s="170">
        <v>42433</v>
      </c>
      <c r="B296" s="116">
        <v>252.101033398075</v>
      </c>
      <c r="C296" s="116">
        <v>249.25313370841101</v>
      </c>
      <c r="D296" s="116">
        <v>248.57211421740399</v>
      </c>
      <c r="E296" s="116">
        <v>251.85338994680001</v>
      </c>
      <c r="F296" s="116">
        <v>1006.5</v>
      </c>
      <c r="G296">
        <v>2911912</v>
      </c>
      <c r="H296" s="116"/>
      <c r="I296" s="116"/>
      <c r="L296" s="170">
        <v>42433</v>
      </c>
      <c r="M296" s="116">
        <v>249.23739648470499</v>
      </c>
      <c r="N296" s="116">
        <v>251.367207305222</v>
      </c>
      <c r="O296" s="116">
        <v>248.51920446383301</v>
      </c>
      <c r="P296" s="116">
        <v>251.119554884232</v>
      </c>
      <c r="Q296" s="116">
        <v>1006.4</v>
      </c>
      <c r="R296">
        <v>2054428</v>
      </c>
    </row>
    <row r="297" spans="1:18" x14ac:dyDescent="0.25">
      <c r="A297" s="170">
        <v>42437</v>
      </c>
      <c r="B297" s="116">
        <v>255.320398264651</v>
      </c>
      <c r="C297" s="116">
        <v>254.366970977242</v>
      </c>
      <c r="D297" s="116">
        <v>249.129311982773</v>
      </c>
      <c r="E297" s="116">
        <v>249.129311982773</v>
      </c>
      <c r="F297" s="116">
        <v>1027.1500000000001</v>
      </c>
      <c r="G297">
        <v>424354</v>
      </c>
      <c r="H297" s="116"/>
      <c r="I297" s="116"/>
      <c r="L297" s="170">
        <v>42437</v>
      </c>
      <c r="M297" s="116">
        <v>254.33903635710701</v>
      </c>
      <c r="N297" s="116">
        <v>255.30488079896901</v>
      </c>
      <c r="O297" s="116">
        <v>249.509814147794</v>
      </c>
      <c r="P297" s="116">
        <v>249.509814147794</v>
      </c>
      <c r="Q297" s="116">
        <v>1027</v>
      </c>
      <c r="R297">
        <v>3022554</v>
      </c>
    </row>
    <row r="298" spans="1:18" x14ac:dyDescent="0.25">
      <c r="A298" s="170">
        <v>42438</v>
      </c>
      <c r="B298" s="116">
        <v>258.53976313122803</v>
      </c>
      <c r="C298" s="116">
        <v>258.03209405611398</v>
      </c>
      <c r="D298" s="116">
        <v>251.94006515474601</v>
      </c>
      <c r="E298" s="116">
        <v>252.34867684935</v>
      </c>
      <c r="F298" s="116">
        <v>1041.95</v>
      </c>
      <c r="G298">
        <v>367791</v>
      </c>
      <c r="H298" s="116"/>
      <c r="I298" s="116"/>
      <c r="L298" s="170">
        <v>42438</v>
      </c>
      <c r="M298" s="116">
        <v>257.97952694566499</v>
      </c>
      <c r="N298" s="116">
        <v>258.52436227184398</v>
      </c>
      <c r="O298" s="116">
        <v>252.25875602078801</v>
      </c>
      <c r="P298" s="116">
        <v>252.60546941017401</v>
      </c>
      <c r="Q298" s="116">
        <v>1041.7</v>
      </c>
      <c r="R298">
        <v>2709831</v>
      </c>
    </row>
    <row r="299" spans="1:18" x14ac:dyDescent="0.25">
      <c r="A299" s="170">
        <v>42439</v>
      </c>
      <c r="B299" s="116">
        <v>258.78740658250302</v>
      </c>
      <c r="C299" s="116">
        <v>250.615172690424</v>
      </c>
      <c r="D299" s="116">
        <v>249.87224233659899</v>
      </c>
      <c r="E299" s="116">
        <v>258.46547009584498</v>
      </c>
      <c r="F299" s="116">
        <v>1012</v>
      </c>
      <c r="G299">
        <v>354839</v>
      </c>
      <c r="H299" s="116"/>
      <c r="I299" s="116"/>
      <c r="L299" s="170">
        <v>42439</v>
      </c>
      <c r="M299" s="116">
        <v>250.56233693700401</v>
      </c>
      <c r="N299" s="116">
        <v>259.01966711382499</v>
      </c>
      <c r="O299" s="116">
        <v>249.88129277927999</v>
      </c>
      <c r="P299" s="116">
        <v>258.06620529301199</v>
      </c>
      <c r="Q299" s="116">
        <v>1011.75</v>
      </c>
      <c r="R299">
        <v>4733124</v>
      </c>
    </row>
    <row r="300" spans="1:18" x14ac:dyDescent="0.25">
      <c r="A300" s="170">
        <v>42440</v>
      </c>
      <c r="B300" s="116">
        <v>254.94893308773899</v>
      </c>
      <c r="C300" s="116">
        <v>251.51907128757799</v>
      </c>
      <c r="D300" s="116">
        <v>250.44182227453101</v>
      </c>
      <c r="E300" s="116">
        <v>251.729568221162</v>
      </c>
      <c r="F300" s="116">
        <v>1015.65</v>
      </c>
      <c r="G300">
        <v>248065</v>
      </c>
      <c r="H300" s="116"/>
      <c r="I300" s="116"/>
      <c r="L300" s="170">
        <v>42440</v>
      </c>
      <c r="M300" s="116">
        <v>251.243381094727</v>
      </c>
      <c r="N300" s="116">
        <v>254.97055003063201</v>
      </c>
      <c r="O300" s="116">
        <v>250.277536652865</v>
      </c>
      <c r="P300" s="116">
        <v>251.342442063123</v>
      </c>
      <c r="Q300" s="116">
        <v>1014.5</v>
      </c>
      <c r="R300">
        <v>3501676</v>
      </c>
    </row>
    <row r="301" spans="1:18" x14ac:dyDescent="0.25">
      <c r="A301" s="170">
        <v>42443</v>
      </c>
      <c r="B301" s="116">
        <v>254.082181008276</v>
      </c>
      <c r="C301" s="116">
        <v>252.23723729627599</v>
      </c>
      <c r="D301" s="116">
        <v>250.862816141699</v>
      </c>
      <c r="E301" s="116">
        <v>252.13817991576599</v>
      </c>
      <c r="F301" s="116">
        <v>1018.55</v>
      </c>
      <c r="G301">
        <v>206014</v>
      </c>
      <c r="H301" s="116"/>
      <c r="I301" s="116"/>
      <c r="L301" s="170">
        <v>42443</v>
      </c>
      <c r="M301" s="116">
        <v>252.543556304926</v>
      </c>
      <c r="N301" s="116">
        <v>254.19044490451199</v>
      </c>
      <c r="O301" s="116">
        <v>250.85951984219199</v>
      </c>
      <c r="P301" s="116">
        <v>252.38258223128301</v>
      </c>
      <c r="Q301" s="116">
        <v>1019.75</v>
      </c>
      <c r="R301">
        <v>2715590</v>
      </c>
    </row>
    <row r="302" spans="1:18" x14ac:dyDescent="0.25">
      <c r="A302" s="170">
        <v>42444</v>
      </c>
      <c r="B302" s="116">
        <v>254.31744228698699</v>
      </c>
      <c r="C302" s="116">
        <v>252.695377681135</v>
      </c>
      <c r="D302" s="116">
        <v>251.60574649552399</v>
      </c>
      <c r="E302" s="116">
        <v>252.84396375189999</v>
      </c>
      <c r="F302" s="116">
        <v>1020.4</v>
      </c>
      <c r="G302">
        <v>191800</v>
      </c>
      <c r="H302" s="116"/>
      <c r="I302" s="116"/>
      <c r="L302" s="170">
        <v>42444</v>
      </c>
      <c r="M302" s="116">
        <v>252.72929562066901</v>
      </c>
      <c r="N302" s="116">
        <v>254.54954091494801</v>
      </c>
      <c r="O302" s="116">
        <v>251.39197254732099</v>
      </c>
      <c r="P302" s="116">
        <v>253.596079094136</v>
      </c>
      <c r="Q302" s="116">
        <v>1020.5</v>
      </c>
      <c r="R302">
        <v>2397332</v>
      </c>
    </row>
    <row r="303" spans="1:18" x14ac:dyDescent="0.25">
      <c r="A303" s="170">
        <v>42445</v>
      </c>
      <c r="B303" s="116">
        <v>254.007887972893</v>
      </c>
      <c r="C303" s="116">
        <v>253.029696340356</v>
      </c>
      <c r="D303" s="116">
        <v>248.98072591200801</v>
      </c>
      <c r="E303" s="116">
        <v>252.84396375189999</v>
      </c>
      <c r="F303" s="116">
        <v>1021.75</v>
      </c>
      <c r="G303">
        <v>164645</v>
      </c>
      <c r="H303" s="116"/>
      <c r="I303" s="116"/>
      <c r="L303" s="170">
        <v>42445</v>
      </c>
      <c r="M303" s="116">
        <v>253.03886114690701</v>
      </c>
      <c r="N303" s="116">
        <v>254.041853451918</v>
      </c>
      <c r="O303" s="116">
        <v>249.00212668476399</v>
      </c>
      <c r="P303" s="116">
        <v>252.853121831164</v>
      </c>
      <c r="Q303" s="116">
        <v>1021.75</v>
      </c>
      <c r="R303">
        <v>2529074</v>
      </c>
    </row>
    <row r="304" spans="1:18" x14ac:dyDescent="0.25">
      <c r="A304" s="170">
        <v>42446</v>
      </c>
      <c r="B304" s="116">
        <v>256.65767290153701</v>
      </c>
      <c r="C304" s="116">
        <v>251.494306942451</v>
      </c>
      <c r="D304" s="116">
        <v>250.71423007093401</v>
      </c>
      <c r="E304" s="116">
        <v>254.57746791082599</v>
      </c>
      <c r="F304" s="116">
        <v>1015.55</v>
      </c>
      <c r="G304">
        <v>201404</v>
      </c>
      <c r="H304" s="116"/>
      <c r="I304" s="116"/>
      <c r="L304" s="170">
        <v>42446</v>
      </c>
      <c r="M304" s="116">
        <v>251.61485972621301</v>
      </c>
      <c r="N304" s="116">
        <v>256.79079532491102</v>
      </c>
      <c r="O304" s="116">
        <v>250.62425004225099</v>
      </c>
      <c r="P304" s="116">
        <v>254.33903635710701</v>
      </c>
      <c r="Q304" s="116">
        <v>1016</v>
      </c>
      <c r="R304">
        <v>3847740</v>
      </c>
    </row>
    <row r="305" spans="1:18" x14ac:dyDescent="0.25">
      <c r="A305" s="170">
        <v>42447</v>
      </c>
      <c r="B305" s="116">
        <v>254.67652529133599</v>
      </c>
      <c r="C305" s="116">
        <v>253.88406624725599</v>
      </c>
      <c r="D305" s="116">
        <v>251.66765735834301</v>
      </c>
      <c r="E305" s="116">
        <v>252.34867684935</v>
      </c>
      <c r="F305" s="116">
        <v>1025.2</v>
      </c>
      <c r="G305">
        <v>827348</v>
      </c>
      <c r="H305" s="116"/>
      <c r="I305" s="116"/>
      <c r="L305" s="170">
        <v>42447</v>
      </c>
      <c r="M305" s="116">
        <v>254.38856684130499</v>
      </c>
      <c r="N305" s="116">
        <v>255.119141483226</v>
      </c>
      <c r="O305" s="116">
        <v>251.540563999916</v>
      </c>
      <c r="P305" s="116">
        <v>252.17207767344101</v>
      </c>
      <c r="Q305" s="116">
        <v>1027.2</v>
      </c>
      <c r="R305">
        <v>3207246</v>
      </c>
    </row>
    <row r="306" spans="1:18" x14ac:dyDescent="0.25">
      <c r="A306" s="170">
        <v>42450</v>
      </c>
      <c r="B306" s="116">
        <v>257.30154587485202</v>
      </c>
      <c r="C306" s="116">
        <v>256.60814421128202</v>
      </c>
      <c r="D306" s="116">
        <v>253.46307238008799</v>
      </c>
      <c r="E306" s="116">
        <v>254.37935314980601</v>
      </c>
      <c r="F306" s="116">
        <v>1036.2</v>
      </c>
      <c r="G306">
        <v>202295</v>
      </c>
      <c r="H306" s="116"/>
      <c r="I306" s="116"/>
      <c r="L306" s="170">
        <v>42450</v>
      </c>
      <c r="M306" s="116">
        <v>256.88985629330699</v>
      </c>
      <c r="N306" s="116">
        <v>257.929996461467</v>
      </c>
      <c r="O306" s="116">
        <v>253.286513567898</v>
      </c>
      <c r="P306" s="116">
        <v>254.574306157048</v>
      </c>
      <c r="Q306" s="116">
        <v>1037.3</v>
      </c>
      <c r="R306">
        <v>2904852</v>
      </c>
    </row>
    <row r="307" spans="1:18" x14ac:dyDescent="0.25">
      <c r="A307" s="170">
        <v>42451</v>
      </c>
      <c r="B307" s="116">
        <v>260.64473246706598</v>
      </c>
      <c r="C307" s="116">
        <v>259.65415866196599</v>
      </c>
      <c r="D307" s="116">
        <v>256.74434810948298</v>
      </c>
      <c r="E307" s="116">
        <v>257.07866676870498</v>
      </c>
      <c r="F307" s="116">
        <v>1048.5</v>
      </c>
      <c r="G307">
        <v>302113</v>
      </c>
      <c r="H307" s="116"/>
      <c r="I307" s="116"/>
      <c r="L307" s="170">
        <v>42451</v>
      </c>
      <c r="M307" s="116">
        <v>259.50258933475601</v>
      </c>
      <c r="N307" s="116">
        <v>260.59225998711298</v>
      </c>
      <c r="O307" s="116">
        <v>256.48122979867298</v>
      </c>
      <c r="P307" s="116">
        <v>256.81556056700998</v>
      </c>
      <c r="Q307" s="116">
        <v>1047.8499999999999</v>
      </c>
      <c r="R307">
        <v>3504967</v>
      </c>
    </row>
    <row r="308" spans="1:18" x14ac:dyDescent="0.25">
      <c r="A308" s="170">
        <v>42452</v>
      </c>
      <c r="B308" s="116">
        <v>259.28269348505302</v>
      </c>
      <c r="C308" s="116">
        <v>254.91178657004701</v>
      </c>
      <c r="D308" s="116">
        <v>253.33925065445001</v>
      </c>
      <c r="E308" s="116">
        <v>259.28269348505302</v>
      </c>
      <c r="F308" s="116">
        <v>1029.3499999999999</v>
      </c>
      <c r="G308">
        <v>350489</v>
      </c>
      <c r="H308" s="116"/>
      <c r="I308" s="116"/>
      <c r="L308" s="170">
        <v>42452</v>
      </c>
      <c r="M308" s="116">
        <v>254.88387168328501</v>
      </c>
      <c r="N308" s="116">
        <v>259.26731953481499</v>
      </c>
      <c r="O308" s="116">
        <v>253.19983522055099</v>
      </c>
      <c r="P308" s="116">
        <v>259.26731953481499</v>
      </c>
      <c r="Q308" s="116">
        <v>1029.2</v>
      </c>
      <c r="R308">
        <v>3841654</v>
      </c>
    </row>
    <row r="309" spans="1:18" x14ac:dyDescent="0.25">
      <c r="A309" s="170">
        <v>42457</v>
      </c>
      <c r="B309" s="116">
        <v>255.55565954336299</v>
      </c>
      <c r="C309" s="116">
        <v>252.72014202626201</v>
      </c>
      <c r="D309" s="116">
        <v>251.481924769887</v>
      </c>
      <c r="E309" s="116">
        <v>254.82511136210101</v>
      </c>
      <c r="F309" s="116">
        <v>1020.5</v>
      </c>
      <c r="G309">
        <v>304410</v>
      </c>
      <c r="H309" s="116"/>
      <c r="I309" s="116"/>
      <c r="L309" s="170">
        <v>42457</v>
      </c>
      <c r="M309" s="116">
        <v>252.70453037857001</v>
      </c>
      <c r="N309" s="116">
        <v>255.50300273576099</v>
      </c>
      <c r="O309" s="116">
        <v>251.52818137886601</v>
      </c>
      <c r="P309" s="116">
        <v>255.08199362007801</v>
      </c>
      <c r="Q309" s="116">
        <v>1020.4</v>
      </c>
      <c r="R309">
        <v>4130553</v>
      </c>
    </row>
    <row r="310" spans="1:18" x14ac:dyDescent="0.25">
      <c r="A310" s="170">
        <v>42458</v>
      </c>
      <c r="B310" s="116">
        <v>257.77206843227498</v>
      </c>
      <c r="C310" s="116">
        <v>256.41002945026202</v>
      </c>
      <c r="D310" s="116">
        <v>253.19066458368499</v>
      </c>
      <c r="E310" s="116">
        <v>253.35163282701399</v>
      </c>
      <c r="F310" s="116">
        <v>1035.4000000000001</v>
      </c>
      <c r="G310">
        <v>246687</v>
      </c>
      <c r="H310" s="116"/>
      <c r="I310" s="116"/>
      <c r="L310" s="170">
        <v>42458</v>
      </c>
      <c r="M310" s="116">
        <v>256.62982125126803</v>
      </c>
      <c r="N310" s="116">
        <v>258.053822671962</v>
      </c>
      <c r="O310" s="116">
        <v>252.654999894372</v>
      </c>
      <c r="P310" s="116">
        <v>253.54654860993699</v>
      </c>
      <c r="Q310" s="116">
        <v>1036.25</v>
      </c>
      <c r="R310">
        <v>3627901</v>
      </c>
    </row>
    <row r="311" spans="1:18" x14ac:dyDescent="0.25">
      <c r="A311" s="170">
        <v>42459</v>
      </c>
      <c r="B311" s="116">
        <v>260.24850294502602</v>
      </c>
      <c r="C311" s="116">
        <v>258.76264223737502</v>
      </c>
      <c r="D311" s="116">
        <v>257.61110018894601</v>
      </c>
      <c r="E311" s="116">
        <v>257.63586453407402</v>
      </c>
      <c r="F311" s="116">
        <v>1044.9000000000001</v>
      </c>
      <c r="G311">
        <v>225448</v>
      </c>
      <c r="H311" s="116"/>
      <c r="I311" s="116"/>
      <c r="L311" s="170">
        <v>42459</v>
      </c>
      <c r="M311" s="116">
        <v>259.30446739796298</v>
      </c>
      <c r="N311" s="116">
        <v>260.46843377661799</v>
      </c>
      <c r="O311" s="116">
        <v>258.22717936665498</v>
      </c>
      <c r="P311" s="116">
        <v>258.22717936665498</v>
      </c>
      <c r="Q311" s="116">
        <v>1047.05</v>
      </c>
      <c r="R311">
        <v>3303780</v>
      </c>
    </row>
    <row r="312" spans="1:18" x14ac:dyDescent="0.25">
      <c r="A312" s="170">
        <v>42460</v>
      </c>
      <c r="B312" s="116">
        <v>261.49910237396602</v>
      </c>
      <c r="C312" s="116">
        <v>258.84931744532201</v>
      </c>
      <c r="D312" s="116">
        <v>256.08809296360403</v>
      </c>
      <c r="E312" s="116">
        <v>258.29211967995298</v>
      </c>
      <c r="F312" s="116">
        <v>1045.25</v>
      </c>
      <c r="G312">
        <v>292735</v>
      </c>
      <c r="H312" s="116"/>
      <c r="I312" s="116"/>
      <c r="L312" s="170">
        <v>42460</v>
      </c>
      <c r="M312" s="116">
        <v>258.84631041913099</v>
      </c>
      <c r="N312" s="116">
        <v>261.52095656582702</v>
      </c>
      <c r="O312" s="116">
        <v>255.750655156752</v>
      </c>
      <c r="P312" s="116">
        <v>257.806170250972</v>
      </c>
      <c r="Q312" s="116">
        <v>1045.2</v>
      </c>
      <c r="R312">
        <v>7047985</v>
      </c>
    </row>
    <row r="313" spans="1:18" x14ac:dyDescent="0.25">
      <c r="A313" s="170">
        <v>42461</v>
      </c>
      <c r="B313" s="116">
        <v>259.01028568865098</v>
      </c>
      <c r="C313" s="116">
        <v>255.97665341052999</v>
      </c>
      <c r="D313" s="116">
        <v>254.181238388786</v>
      </c>
      <c r="E313" s="116">
        <v>257.30154587485202</v>
      </c>
      <c r="F313" s="116">
        <v>1033.6500000000001</v>
      </c>
      <c r="G313">
        <v>205416</v>
      </c>
      <c r="H313" s="116"/>
      <c r="I313" s="116"/>
      <c r="L313" s="170">
        <v>42461</v>
      </c>
      <c r="M313" s="116">
        <v>256.184046893485</v>
      </c>
      <c r="N313" s="116">
        <v>259.11872808222103</v>
      </c>
      <c r="O313" s="116">
        <v>253.843731515126</v>
      </c>
      <c r="P313" s="116">
        <v>257.33563065109001</v>
      </c>
      <c r="Q313" s="116">
        <v>1034.45</v>
      </c>
      <c r="R313">
        <v>2830115</v>
      </c>
    </row>
    <row r="314" spans="1:18" x14ac:dyDescent="0.25">
      <c r="A314" s="170">
        <v>42464</v>
      </c>
      <c r="B314" s="116">
        <v>258.15591578175099</v>
      </c>
      <c r="C314" s="116">
        <v>256.34811858744303</v>
      </c>
      <c r="D314" s="116">
        <v>253.69833365879899</v>
      </c>
      <c r="E314" s="116">
        <v>256.59576203871802</v>
      </c>
      <c r="F314" s="116">
        <v>1035.1500000000001</v>
      </c>
      <c r="G314">
        <v>116143</v>
      </c>
      <c r="H314" s="116"/>
      <c r="I314" s="116"/>
      <c r="L314" s="170">
        <v>42464</v>
      </c>
      <c r="M314" s="116">
        <v>256.33263834607902</v>
      </c>
      <c r="N314" s="116">
        <v>258.10335315615998</v>
      </c>
      <c r="O314" s="116">
        <v>253.918027241423</v>
      </c>
      <c r="P314" s="116">
        <v>257.55851782998099</v>
      </c>
      <c r="Q314" s="116">
        <v>1035.05</v>
      </c>
      <c r="R314">
        <v>1973260</v>
      </c>
    </row>
    <row r="315" spans="1:18" x14ac:dyDescent="0.25">
      <c r="A315" s="170">
        <v>42465</v>
      </c>
      <c r="B315" s="116">
        <v>258.04447622867798</v>
      </c>
      <c r="C315" s="116">
        <v>254.602232255953</v>
      </c>
      <c r="D315" s="116">
        <v>253.25257544650401</v>
      </c>
      <c r="E315" s="116">
        <v>255.07275481337601</v>
      </c>
      <c r="F315" s="116">
        <v>1028.0999999999999</v>
      </c>
      <c r="G315">
        <v>207501</v>
      </c>
      <c r="H315" s="116"/>
      <c r="I315" s="116"/>
      <c r="L315" s="170">
        <v>42465</v>
      </c>
      <c r="M315" s="116">
        <v>254.32665373605701</v>
      </c>
      <c r="N315" s="116">
        <v>258.15288364035803</v>
      </c>
      <c r="O315" s="116">
        <v>253.15030473635301</v>
      </c>
      <c r="P315" s="116">
        <v>255.41632438841501</v>
      </c>
      <c r="Q315" s="116">
        <v>1026.95</v>
      </c>
      <c r="R315">
        <v>2345148</v>
      </c>
    </row>
    <row r="316" spans="1:18" x14ac:dyDescent="0.25">
      <c r="A316" s="170">
        <v>42466</v>
      </c>
      <c r="B316" s="116">
        <v>256.53385117589897</v>
      </c>
      <c r="C316" s="116">
        <v>255.43183781772501</v>
      </c>
      <c r="D316" s="116">
        <v>253.14113589343</v>
      </c>
      <c r="E316" s="116">
        <v>255.27086957439599</v>
      </c>
      <c r="F316" s="116">
        <v>1031.45</v>
      </c>
      <c r="G316">
        <v>87590</v>
      </c>
      <c r="H316" s="116"/>
      <c r="I316" s="116"/>
      <c r="L316" s="170">
        <v>42466</v>
      </c>
      <c r="M316" s="116">
        <v>256.01069019879202</v>
      </c>
      <c r="N316" s="116">
        <v>256.74126484071297</v>
      </c>
      <c r="O316" s="116">
        <v>253.24936570474901</v>
      </c>
      <c r="P316" s="116">
        <v>255.60206370415801</v>
      </c>
      <c r="Q316" s="116">
        <v>1033.75</v>
      </c>
      <c r="R316">
        <v>1597975</v>
      </c>
    </row>
    <row r="317" spans="1:18" x14ac:dyDescent="0.25">
      <c r="A317" s="170">
        <v>42467</v>
      </c>
      <c r="B317" s="116">
        <v>259.53033693632801</v>
      </c>
      <c r="C317" s="116">
        <v>257.04152025101303</v>
      </c>
      <c r="D317" s="116">
        <v>253.401161517269</v>
      </c>
      <c r="E317" s="116">
        <v>255.568041715926</v>
      </c>
      <c r="F317" s="116">
        <v>1037.95</v>
      </c>
      <c r="G317">
        <v>170492</v>
      </c>
      <c r="H317" s="116"/>
      <c r="I317" s="116"/>
      <c r="L317" s="170">
        <v>42467</v>
      </c>
      <c r="M317" s="116">
        <v>256.87747367225802</v>
      </c>
      <c r="N317" s="116">
        <v>259.539737197904</v>
      </c>
      <c r="O317" s="116">
        <v>253.12553949425401</v>
      </c>
      <c r="P317" s="116">
        <v>256.29549048293097</v>
      </c>
      <c r="Q317" s="116">
        <v>1037.25</v>
      </c>
      <c r="R317">
        <v>2009055</v>
      </c>
    </row>
    <row r="318" spans="1:18" x14ac:dyDescent="0.25">
      <c r="A318" s="170">
        <v>42468</v>
      </c>
      <c r="B318" s="116">
        <v>261.01619764397901</v>
      </c>
      <c r="C318" s="116">
        <v>257.01675590588599</v>
      </c>
      <c r="D318" s="116">
        <v>255.58042388849</v>
      </c>
      <c r="E318" s="116">
        <v>255.93950689283901</v>
      </c>
      <c r="F318" s="116">
        <v>1037.8499999999999</v>
      </c>
      <c r="G318">
        <v>259195</v>
      </c>
      <c r="H318" s="116"/>
      <c r="I318" s="116"/>
      <c r="L318" s="170">
        <v>42468</v>
      </c>
      <c r="M318" s="116">
        <v>256.65458649336699</v>
      </c>
      <c r="N318" s="116">
        <v>261.13709531329198</v>
      </c>
      <c r="O318" s="116">
        <v>255.37917652526599</v>
      </c>
      <c r="P318" s="116">
        <v>256.54314290392102</v>
      </c>
      <c r="Q318" s="116">
        <v>1036.3499999999999</v>
      </c>
      <c r="R318">
        <v>3065701</v>
      </c>
    </row>
    <row r="319" spans="1:18" x14ac:dyDescent="0.25">
      <c r="A319" s="170">
        <v>42471</v>
      </c>
      <c r="B319" s="116">
        <v>258.78740658250302</v>
      </c>
      <c r="C319" s="116">
        <v>257.51204280843598</v>
      </c>
      <c r="D319" s="116">
        <v>255.88997820258399</v>
      </c>
      <c r="E319" s="116">
        <v>256.36050076000703</v>
      </c>
      <c r="F319" s="116">
        <v>1039.8499999999999</v>
      </c>
      <c r="G319">
        <v>167315</v>
      </c>
      <c r="H319" s="116"/>
      <c r="I319" s="116"/>
      <c r="L319" s="170">
        <v>42471</v>
      </c>
      <c r="M319" s="116">
        <v>257.63281355627902</v>
      </c>
      <c r="N319" s="116">
        <v>258.920606145428</v>
      </c>
      <c r="O319" s="116">
        <v>255.82495088304901</v>
      </c>
      <c r="P319" s="116">
        <v>256.81556056700998</v>
      </c>
      <c r="Q319" s="116">
        <v>1040.3</v>
      </c>
      <c r="R319">
        <v>2356318</v>
      </c>
    </row>
    <row r="320" spans="1:18" x14ac:dyDescent="0.25">
      <c r="A320" s="170">
        <v>42472</v>
      </c>
      <c r="B320" s="116">
        <v>261.759127997804</v>
      </c>
      <c r="C320" s="116">
        <v>259.31984000274502</v>
      </c>
      <c r="D320" s="116">
        <v>257.20248849434199</v>
      </c>
      <c r="E320" s="116">
        <v>257.62348236151001</v>
      </c>
      <c r="F320" s="116">
        <v>1047.1500000000001</v>
      </c>
      <c r="G320">
        <v>193213</v>
      </c>
      <c r="H320" s="116"/>
      <c r="I320" s="116"/>
      <c r="L320" s="170">
        <v>42472</v>
      </c>
      <c r="M320" s="116">
        <v>259.39114574530998</v>
      </c>
      <c r="N320" s="116">
        <v>261.88005257626298</v>
      </c>
      <c r="O320" s="116">
        <v>257.07559560905003</v>
      </c>
      <c r="P320" s="116">
        <v>257.63281355627902</v>
      </c>
      <c r="Q320" s="116">
        <v>1047.4000000000001</v>
      </c>
      <c r="R320">
        <v>2552099</v>
      </c>
    </row>
    <row r="321" spans="1:18" x14ac:dyDescent="0.25">
      <c r="A321" s="170">
        <v>42473</v>
      </c>
      <c r="B321" s="116">
        <v>264.55749899721297</v>
      </c>
      <c r="C321" s="116">
        <v>263.85171516107903</v>
      </c>
      <c r="D321" s="116">
        <v>260.52091074142902</v>
      </c>
      <c r="E321" s="116">
        <v>260.52091074142902</v>
      </c>
      <c r="F321" s="116">
        <v>1065.45</v>
      </c>
      <c r="G321">
        <v>421477</v>
      </c>
      <c r="H321" s="116"/>
      <c r="I321" s="116"/>
      <c r="L321" s="170">
        <v>42473</v>
      </c>
      <c r="M321" s="116">
        <v>264.00986339678002</v>
      </c>
      <c r="N321" s="116">
        <v>264.96332521759302</v>
      </c>
      <c r="O321" s="116">
        <v>260.66655571341101</v>
      </c>
      <c r="P321" s="116">
        <v>260.66655571341101</v>
      </c>
      <c r="Q321" s="116">
        <v>1066.05</v>
      </c>
      <c r="R321">
        <v>3666141</v>
      </c>
    </row>
    <row r="322" spans="1:18" x14ac:dyDescent="0.25">
      <c r="A322" s="170">
        <v>42478</v>
      </c>
      <c r="B322" s="116">
        <v>263.91362602389802</v>
      </c>
      <c r="C322" s="116">
        <v>262.93543439136101</v>
      </c>
      <c r="D322" s="116">
        <v>261.26384109525401</v>
      </c>
      <c r="E322" s="116">
        <v>263.85171516107903</v>
      </c>
      <c r="F322" s="116">
        <v>1061.75</v>
      </c>
      <c r="G322">
        <v>375048</v>
      </c>
      <c r="H322" s="116"/>
      <c r="I322" s="116"/>
      <c r="L322" s="170">
        <v>42478</v>
      </c>
      <c r="M322" s="116">
        <v>263.68791524949302</v>
      </c>
      <c r="N322" s="116">
        <v>264.195602712523</v>
      </c>
      <c r="O322" s="116">
        <v>261.372365113233</v>
      </c>
      <c r="P322" s="116">
        <v>263.947950291533</v>
      </c>
      <c r="Q322" s="116">
        <v>1064.75</v>
      </c>
      <c r="R322">
        <v>4358102</v>
      </c>
    </row>
    <row r="323" spans="1:18" x14ac:dyDescent="0.25">
      <c r="A323" s="170">
        <v>42480</v>
      </c>
      <c r="B323" s="116">
        <v>264.978492864381</v>
      </c>
      <c r="C323" s="116">
        <v>257.12819545896002</v>
      </c>
      <c r="D323" s="116">
        <v>256.39764727769801</v>
      </c>
      <c r="E323" s="116">
        <v>264.53273465208599</v>
      </c>
      <c r="F323" s="116">
        <v>1038.3</v>
      </c>
      <c r="G323">
        <v>261813</v>
      </c>
      <c r="H323" s="116"/>
      <c r="I323" s="116"/>
      <c r="L323" s="170">
        <v>42480</v>
      </c>
      <c r="M323" s="116">
        <v>256.88985629330699</v>
      </c>
      <c r="N323" s="116">
        <v>264.78996852289998</v>
      </c>
      <c r="O323" s="116">
        <v>256.518377661822</v>
      </c>
      <c r="P323" s="116">
        <v>264.78996852289998</v>
      </c>
      <c r="Q323" s="116">
        <v>1037.3</v>
      </c>
      <c r="R323">
        <v>4957497</v>
      </c>
    </row>
    <row r="324" spans="1:18" x14ac:dyDescent="0.25">
      <c r="A324" s="170">
        <v>42481</v>
      </c>
      <c r="B324" s="116">
        <v>260.39708901579098</v>
      </c>
      <c r="C324" s="116">
        <v>257.77206843227498</v>
      </c>
      <c r="D324" s="116">
        <v>256.31097206975198</v>
      </c>
      <c r="E324" s="116">
        <v>258.76264223737502</v>
      </c>
      <c r="F324" s="116">
        <v>1040.9000000000001</v>
      </c>
      <c r="G324">
        <v>232079</v>
      </c>
      <c r="H324" s="116"/>
      <c r="I324" s="116"/>
      <c r="L324" s="170">
        <v>42481</v>
      </c>
      <c r="M324" s="116">
        <v>257.84331811412</v>
      </c>
      <c r="N324" s="116">
        <v>260.53034688186602</v>
      </c>
      <c r="O324" s="116">
        <v>256.32025572502999</v>
      </c>
      <c r="P324" s="116">
        <v>257.90523121936798</v>
      </c>
      <c r="Q324" s="116">
        <v>1041.1500000000001</v>
      </c>
      <c r="R324">
        <v>2601436</v>
      </c>
    </row>
    <row r="325" spans="1:18" x14ac:dyDescent="0.25">
      <c r="A325" s="170">
        <v>42482</v>
      </c>
      <c r="B325" s="116">
        <v>259.46842607350999</v>
      </c>
      <c r="C325" s="116">
        <v>257.23963501203298</v>
      </c>
      <c r="D325" s="116">
        <v>255.19657653901399</v>
      </c>
      <c r="E325" s="116">
        <v>257.79683277740202</v>
      </c>
      <c r="F325" s="116">
        <v>1038.75</v>
      </c>
      <c r="G325">
        <v>242213</v>
      </c>
      <c r="H325" s="116"/>
      <c r="I325" s="116"/>
      <c r="L325" s="170">
        <v>42482</v>
      </c>
      <c r="M325" s="116">
        <v>257.29848278794202</v>
      </c>
      <c r="N325" s="116">
        <v>259.41591098740901</v>
      </c>
      <c r="O325" s="116">
        <v>254.908636925384</v>
      </c>
      <c r="P325" s="116">
        <v>257.31086540899099</v>
      </c>
      <c r="Q325" s="116">
        <v>1038.95</v>
      </c>
      <c r="R325">
        <v>2675586</v>
      </c>
    </row>
    <row r="326" spans="1:18" x14ac:dyDescent="0.25">
      <c r="A326" s="170">
        <v>42485</v>
      </c>
      <c r="B326" s="116">
        <v>258.76264223737502</v>
      </c>
      <c r="C326" s="116">
        <v>251.642893013216</v>
      </c>
      <c r="D326" s="116">
        <v>250.80090527888001</v>
      </c>
      <c r="E326" s="116">
        <v>258.21782664456998</v>
      </c>
      <c r="F326" s="116">
        <v>1016.15</v>
      </c>
      <c r="G326">
        <v>628843</v>
      </c>
      <c r="H326" s="116"/>
      <c r="I326" s="116"/>
      <c r="L326" s="170">
        <v>42485</v>
      </c>
      <c r="M326" s="116">
        <v>251.83774690510401</v>
      </c>
      <c r="N326" s="116">
        <v>258.66057110338897</v>
      </c>
      <c r="O326" s="116">
        <v>250.698545768548</v>
      </c>
      <c r="P326" s="116">
        <v>258.66057110338897</v>
      </c>
      <c r="Q326" s="116">
        <v>1016.9</v>
      </c>
      <c r="R326">
        <v>13979586</v>
      </c>
    </row>
    <row r="327" spans="1:18" x14ac:dyDescent="0.25">
      <c r="A327" s="170">
        <v>42486</v>
      </c>
      <c r="B327" s="116">
        <v>253.54974758803399</v>
      </c>
      <c r="C327" s="116">
        <v>251.80386125654499</v>
      </c>
      <c r="D327" s="116">
        <v>249.624598885323</v>
      </c>
      <c r="E327" s="116">
        <v>251.85338994680001</v>
      </c>
      <c r="F327" s="116">
        <v>1016.8</v>
      </c>
      <c r="G327">
        <v>411535</v>
      </c>
      <c r="H327" s="116"/>
      <c r="I327" s="116"/>
      <c r="L327" s="170">
        <v>42486</v>
      </c>
      <c r="M327" s="116">
        <v>251.85012952615301</v>
      </c>
      <c r="N327" s="116">
        <v>253.57131385203701</v>
      </c>
      <c r="O327" s="116">
        <v>249.509814147794</v>
      </c>
      <c r="P327" s="116">
        <v>251.466268273618</v>
      </c>
      <c r="Q327" s="116">
        <v>1016.95</v>
      </c>
      <c r="R327">
        <v>6041279</v>
      </c>
    </row>
    <row r="328" spans="1:18" x14ac:dyDescent="0.25">
      <c r="A328" s="170">
        <v>42487</v>
      </c>
      <c r="B328" s="116">
        <v>254.04503449058399</v>
      </c>
      <c r="C328" s="116">
        <v>252.522027265242</v>
      </c>
      <c r="D328" s="116">
        <v>251.382867389377</v>
      </c>
      <c r="E328" s="116">
        <v>252.57155595549699</v>
      </c>
      <c r="F328" s="116">
        <v>1019.7</v>
      </c>
      <c r="G328">
        <v>219250</v>
      </c>
      <c r="H328" s="116"/>
      <c r="I328" s="116"/>
      <c r="L328" s="170">
        <v>42487</v>
      </c>
      <c r="M328" s="116">
        <v>252.45687795757999</v>
      </c>
      <c r="N328" s="116">
        <v>254.07900131506699</v>
      </c>
      <c r="O328" s="116">
        <v>251.61485972621301</v>
      </c>
      <c r="P328" s="116">
        <v>252.08539932609401</v>
      </c>
      <c r="Q328" s="116">
        <v>1019.4</v>
      </c>
      <c r="R328">
        <v>3315060</v>
      </c>
    </row>
    <row r="329" spans="1:18" x14ac:dyDescent="0.25">
      <c r="A329" s="170">
        <v>42488</v>
      </c>
      <c r="B329" s="116">
        <v>252.522027265242</v>
      </c>
      <c r="C329" s="116">
        <v>246.98719612924299</v>
      </c>
      <c r="D329" s="116">
        <v>245.66230366492201</v>
      </c>
      <c r="E329" s="116">
        <v>252.522027265242</v>
      </c>
      <c r="F329" s="116">
        <v>997.35</v>
      </c>
      <c r="G329">
        <v>676909</v>
      </c>
      <c r="H329" s="116"/>
      <c r="I329" s="116"/>
      <c r="L329" s="170">
        <v>42488</v>
      </c>
      <c r="M329" s="116">
        <v>246.83516800109899</v>
      </c>
      <c r="N329" s="116">
        <v>252.407347473382</v>
      </c>
      <c r="O329" s="116">
        <v>245.411166580404</v>
      </c>
      <c r="P329" s="116">
        <v>251.119554884232</v>
      </c>
      <c r="Q329" s="116">
        <v>996.7</v>
      </c>
      <c r="R329">
        <v>14160507</v>
      </c>
    </row>
    <row r="330" spans="1:18" x14ac:dyDescent="0.25">
      <c r="A330" s="170">
        <v>42489</v>
      </c>
      <c r="B330" s="116">
        <v>247.33389696102901</v>
      </c>
      <c r="C330" s="116">
        <v>243.32207305037201</v>
      </c>
      <c r="D330" s="116">
        <v>242.158148829379</v>
      </c>
      <c r="E330" s="116">
        <v>246.578584434639</v>
      </c>
      <c r="F330" s="116">
        <v>982.55</v>
      </c>
      <c r="G330">
        <v>477000</v>
      </c>
      <c r="H330" s="116"/>
      <c r="I330" s="116"/>
      <c r="L330" s="170">
        <v>42489</v>
      </c>
      <c r="M330" s="116">
        <v>243.368034107233</v>
      </c>
      <c r="N330" s="116">
        <v>247.29332497993099</v>
      </c>
      <c r="O330" s="116">
        <v>242.41457228642099</v>
      </c>
      <c r="P330" s="116">
        <v>246.03029763288001</v>
      </c>
      <c r="Q330" s="116">
        <v>982.7</v>
      </c>
      <c r="R330">
        <v>5367060</v>
      </c>
    </row>
    <row r="331" spans="1:18" x14ac:dyDescent="0.25">
      <c r="A331" s="170">
        <v>42492</v>
      </c>
      <c r="B331" s="116">
        <v>245.78612539055899</v>
      </c>
      <c r="C331" s="116">
        <v>244.25073599265301</v>
      </c>
      <c r="D331" s="116">
        <v>241.960034068358</v>
      </c>
      <c r="E331" s="116">
        <v>243.03728308140501</v>
      </c>
      <c r="F331" s="116">
        <v>986.3</v>
      </c>
      <c r="G331">
        <v>225517</v>
      </c>
      <c r="H331" s="116"/>
      <c r="I331" s="116"/>
      <c r="L331" s="170">
        <v>42492</v>
      </c>
      <c r="M331" s="116">
        <v>244.42055689644201</v>
      </c>
      <c r="N331" s="116">
        <v>245.77026259083999</v>
      </c>
      <c r="O331" s="116">
        <v>242.20406772857899</v>
      </c>
      <c r="P331" s="116">
        <v>242.45172014956901</v>
      </c>
      <c r="Q331" s="116">
        <v>986.95</v>
      </c>
      <c r="R331">
        <v>2427753</v>
      </c>
    </row>
    <row r="332" spans="1:18" x14ac:dyDescent="0.25">
      <c r="A332" s="170">
        <v>42493</v>
      </c>
      <c r="B332" s="116">
        <v>246.330940983364</v>
      </c>
      <c r="C332" s="116">
        <v>241.712390617083</v>
      </c>
      <c r="D332" s="116">
        <v>240.85802071018401</v>
      </c>
      <c r="E332" s="116">
        <v>245.117488072116</v>
      </c>
      <c r="F332" s="116">
        <v>976.05</v>
      </c>
      <c r="G332">
        <v>282136</v>
      </c>
      <c r="H332" s="116"/>
      <c r="I332" s="116"/>
      <c r="L332" s="170">
        <v>42493</v>
      </c>
      <c r="M332" s="116">
        <v>241.65923240239999</v>
      </c>
      <c r="N332" s="116">
        <v>246.401776264365</v>
      </c>
      <c r="O332" s="116">
        <v>240.903892518379</v>
      </c>
      <c r="P332" s="116">
        <v>244.680591938482</v>
      </c>
      <c r="Q332" s="116">
        <v>975.8</v>
      </c>
      <c r="R332">
        <v>4016624</v>
      </c>
    </row>
    <row r="333" spans="1:18" x14ac:dyDescent="0.25">
      <c r="A333" s="170">
        <v>42494</v>
      </c>
      <c r="B333" s="116">
        <v>243.59448084677399</v>
      </c>
      <c r="C333" s="116">
        <v>242.07147362143201</v>
      </c>
      <c r="D333" s="116">
        <v>241.266632404788</v>
      </c>
      <c r="E333" s="116">
        <v>241.70000844451999</v>
      </c>
      <c r="F333" s="116">
        <v>977.5</v>
      </c>
      <c r="G333">
        <v>227280</v>
      </c>
      <c r="H333" s="116"/>
      <c r="I333" s="116"/>
      <c r="L333" s="170">
        <v>42494</v>
      </c>
      <c r="M333" s="116">
        <v>242.22883297067801</v>
      </c>
      <c r="N333" s="116">
        <v>243.61568652822399</v>
      </c>
      <c r="O333" s="116">
        <v>240.96580562362701</v>
      </c>
      <c r="P333" s="116">
        <v>241.22584066566699</v>
      </c>
      <c r="Q333" s="116">
        <v>978.1</v>
      </c>
      <c r="R333">
        <v>3096453</v>
      </c>
    </row>
    <row r="334" spans="1:18" x14ac:dyDescent="0.25">
      <c r="A334" s="170">
        <v>42495</v>
      </c>
      <c r="B334" s="116">
        <v>243.55733432908301</v>
      </c>
      <c r="C334" s="116">
        <v>241.46474716580801</v>
      </c>
      <c r="D334" s="116">
        <v>240.486555533271</v>
      </c>
      <c r="E334" s="116">
        <v>243.24778001498899</v>
      </c>
      <c r="F334" s="116">
        <v>975.05</v>
      </c>
      <c r="G334">
        <v>253122</v>
      </c>
      <c r="H334" s="116"/>
      <c r="I334" s="116"/>
      <c r="L334" s="170">
        <v>42495</v>
      </c>
      <c r="M334" s="116">
        <v>241.523023570855</v>
      </c>
      <c r="N334" s="116">
        <v>243.55377342297601</v>
      </c>
      <c r="O334" s="116">
        <v>240.445735539547</v>
      </c>
      <c r="P334" s="116">
        <v>242.69937257055901</v>
      </c>
      <c r="Q334" s="116">
        <v>975.25</v>
      </c>
      <c r="R334">
        <v>4952411</v>
      </c>
    </row>
    <row r="335" spans="1:18" x14ac:dyDescent="0.25">
      <c r="A335" s="170">
        <v>42496</v>
      </c>
      <c r="B335" s="116">
        <v>241.93526972323099</v>
      </c>
      <c r="C335" s="116">
        <v>240.00365080328501</v>
      </c>
      <c r="D335" s="116">
        <v>239.59503910868099</v>
      </c>
      <c r="E335" s="116">
        <v>241.452364993244</v>
      </c>
      <c r="F335" s="116">
        <v>969.15</v>
      </c>
      <c r="G335">
        <v>225888</v>
      </c>
      <c r="H335" s="116"/>
      <c r="I335" s="116"/>
      <c r="L335" s="170">
        <v>42496</v>
      </c>
      <c r="M335" s="116">
        <v>239.96281331861601</v>
      </c>
      <c r="N335" s="116">
        <v>241.90688482338999</v>
      </c>
      <c r="O335" s="116">
        <v>239.479891097685</v>
      </c>
      <c r="P335" s="116">
        <v>240.96580562362701</v>
      </c>
      <c r="Q335" s="116">
        <v>968.95</v>
      </c>
      <c r="R335">
        <v>3371220</v>
      </c>
    </row>
    <row r="336" spans="1:18" x14ac:dyDescent="0.25">
      <c r="A336" s="170">
        <v>42499</v>
      </c>
      <c r="B336" s="116">
        <v>244.17644295727101</v>
      </c>
      <c r="C336" s="116">
        <v>243.42113043088199</v>
      </c>
      <c r="D336" s="116">
        <v>240.833256365057</v>
      </c>
      <c r="E336" s="116">
        <v>241.452364993244</v>
      </c>
      <c r="F336" s="116">
        <v>982.95</v>
      </c>
      <c r="G336">
        <v>186660</v>
      </c>
      <c r="H336" s="116"/>
      <c r="I336" s="116"/>
      <c r="L336" s="170">
        <v>42499</v>
      </c>
      <c r="M336" s="116">
        <v>243.46709507563</v>
      </c>
      <c r="N336" s="116">
        <v>244.18528709650201</v>
      </c>
      <c r="O336" s="116">
        <v>240.91627513942899</v>
      </c>
      <c r="P336" s="116">
        <v>241.46111046560799</v>
      </c>
      <c r="Q336" s="116">
        <v>983.1</v>
      </c>
      <c r="R336">
        <v>3508088</v>
      </c>
    </row>
    <row r="337" spans="1:18" x14ac:dyDescent="0.25">
      <c r="A337" s="170">
        <v>42500</v>
      </c>
      <c r="B337" s="116">
        <v>243.891652988304</v>
      </c>
      <c r="C337" s="116">
        <v>243.024900908841</v>
      </c>
      <c r="D337" s="116">
        <v>242.20767751963399</v>
      </c>
      <c r="E337" s="116">
        <v>243.18586915217</v>
      </c>
      <c r="F337" s="116">
        <v>981.35</v>
      </c>
      <c r="G337">
        <v>110977</v>
      </c>
      <c r="H337" s="116"/>
      <c r="I337" s="116"/>
      <c r="L337" s="170">
        <v>42500</v>
      </c>
      <c r="M337" s="116">
        <v>243.33088624408501</v>
      </c>
      <c r="N337" s="116">
        <v>243.86333894921401</v>
      </c>
      <c r="O337" s="116">
        <v>242.20406772857899</v>
      </c>
      <c r="P337" s="116">
        <v>243.46709507563</v>
      </c>
      <c r="Q337" s="116">
        <v>982.55</v>
      </c>
      <c r="R337">
        <v>1656840</v>
      </c>
    </row>
    <row r="338" spans="1:18" x14ac:dyDescent="0.25">
      <c r="A338" s="170">
        <v>42501</v>
      </c>
      <c r="B338" s="116">
        <v>242.80202180269399</v>
      </c>
      <c r="C338" s="116">
        <v>241.41521847555299</v>
      </c>
      <c r="D338" s="116">
        <v>240.46179118814399</v>
      </c>
      <c r="E338" s="116">
        <v>240.95707809069401</v>
      </c>
      <c r="F338" s="116">
        <v>974.85</v>
      </c>
      <c r="G338">
        <v>155682</v>
      </c>
      <c r="H338" s="116"/>
      <c r="I338" s="116"/>
      <c r="L338" s="170">
        <v>42501</v>
      </c>
      <c r="M338" s="116">
        <v>241.56017143400399</v>
      </c>
      <c r="N338" s="116">
        <v>242.88511188630201</v>
      </c>
      <c r="O338" s="116">
        <v>240.222848360656</v>
      </c>
      <c r="P338" s="116">
        <v>240.668622718438</v>
      </c>
      <c r="Q338" s="116">
        <v>975.4</v>
      </c>
      <c r="R338">
        <v>2820699</v>
      </c>
    </row>
    <row r="339" spans="1:18" x14ac:dyDescent="0.25">
      <c r="A339" s="170">
        <v>42502</v>
      </c>
      <c r="B339" s="116">
        <v>245.77374321799499</v>
      </c>
      <c r="C339" s="116">
        <v>245.42704238620999</v>
      </c>
      <c r="D339" s="116">
        <v>241.625715409137</v>
      </c>
      <c r="E339" s="116">
        <v>241.94765189579499</v>
      </c>
      <c r="F339" s="116">
        <v>991.05</v>
      </c>
      <c r="G339">
        <v>218644</v>
      </c>
      <c r="H339" s="116"/>
      <c r="I339" s="116"/>
      <c r="L339" s="170">
        <v>42502</v>
      </c>
      <c r="M339" s="116">
        <v>245.86932355923599</v>
      </c>
      <c r="N339" s="116">
        <v>246.21603694862301</v>
      </c>
      <c r="O339" s="116">
        <v>241.47349308665699</v>
      </c>
      <c r="P339" s="116">
        <v>241.70876288659801</v>
      </c>
      <c r="Q339" s="116">
        <v>992.8</v>
      </c>
      <c r="R339">
        <v>2922714</v>
      </c>
    </row>
    <row r="340" spans="1:18" x14ac:dyDescent="0.25">
      <c r="A340" s="170">
        <v>42503</v>
      </c>
      <c r="B340" s="116">
        <v>245.38989586851901</v>
      </c>
      <c r="C340" s="116">
        <v>242.19529534706999</v>
      </c>
      <c r="D340" s="116">
        <v>241.57618671888201</v>
      </c>
      <c r="E340" s="116">
        <v>244.671729859821</v>
      </c>
      <c r="F340" s="116">
        <v>978</v>
      </c>
      <c r="G340">
        <v>186873</v>
      </c>
      <c r="H340" s="116"/>
      <c r="I340" s="116"/>
      <c r="L340" s="170">
        <v>42503</v>
      </c>
      <c r="M340" s="116">
        <v>242.24121559172701</v>
      </c>
      <c r="N340" s="116">
        <v>245.312105612008</v>
      </c>
      <c r="O340" s="116">
        <v>241.46111046560799</v>
      </c>
      <c r="P340" s="116">
        <v>244.91586173842299</v>
      </c>
      <c r="Q340" s="116">
        <v>978.15</v>
      </c>
      <c r="R340">
        <v>3348353</v>
      </c>
    </row>
    <row r="341" spans="1:18" x14ac:dyDescent="0.25">
      <c r="A341" s="170">
        <v>42506</v>
      </c>
      <c r="B341" s="116">
        <v>243.198251324734</v>
      </c>
      <c r="C341" s="116">
        <v>241.73715496221101</v>
      </c>
      <c r="D341" s="116">
        <v>240.70943463941899</v>
      </c>
      <c r="E341" s="116">
        <v>242.25720620988901</v>
      </c>
      <c r="F341" s="116">
        <v>976.15</v>
      </c>
      <c r="G341">
        <v>182427</v>
      </c>
      <c r="H341" s="116"/>
      <c r="I341" s="116"/>
      <c r="L341" s="170">
        <v>42506</v>
      </c>
      <c r="M341" s="116">
        <v>241.69638026554799</v>
      </c>
      <c r="N341" s="116">
        <v>243.31850362303501</v>
      </c>
      <c r="O341" s="116">
        <v>240.49526602374499</v>
      </c>
      <c r="P341" s="116">
        <v>241.956415307588</v>
      </c>
      <c r="Q341" s="116">
        <v>975.95</v>
      </c>
      <c r="R341">
        <v>2132072</v>
      </c>
    </row>
    <row r="342" spans="1:18" x14ac:dyDescent="0.25">
      <c r="A342" s="170">
        <v>42507</v>
      </c>
      <c r="B342" s="116">
        <v>243.50780563882799</v>
      </c>
      <c r="C342" s="116">
        <v>240.26367642712401</v>
      </c>
      <c r="D342" s="116">
        <v>239.38454217509701</v>
      </c>
      <c r="E342" s="116">
        <v>242.69058224962001</v>
      </c>
      <c r="F342" s="116">
        <v>970.2</v>
      </c>
      <c r="G342">
        <v>176081</v>
      </c>
      <c r="H342" s="116"/>
      <c r="I342" s="116"/>
      <c r="L342" s="170">
        <v>42507</v>
      </c>
      <c r="M342" s="116">
        <v>240.012343802814</v>
      </c>
      <c r="N342" s="116">
        <v>243.46709507563</v>
      </c>
      <c r="O342" s="116">
        <v>239.31891702404101</v>
      </c>
      <c r="P342" s="116">
        <v>242.76128567580699</v>
      </c>
      <c r="Q342" s="116">
        <v>969.15</v>
      </c>
      <c r="R342">
        <v>2779023</v>
      </c>
    </row>
    <row r="343" spans="1:18" x14ac:dyDescent="0.25">
      <c r="A343" s="170">
        <v>42508</v>
      </c>
      <c r="B343" s="116">
        <v>240.89516722787499</v>
      </c>
      <c r="C343" s="116">
        <v>240.25129425456001</v>
      </c>
      <c r="D343" s="116">
        <v>239.02545917074801</v>
      </c>
      <c r="E343" s="116">
        <v>239.47121738304301</v>
      </c>
      <c r="F343" s="116">
        <v>970.15</v>
      </c>
      <c r="G343">
        <v>146038</v>
      </c>
      <c r="H343" s="116"/>
      <c r="I343" s="116"/>
      <c r="L343" s="170">
        <v>42508</v>
      </c>
      <c r="M343" s="116">
        <v>240.3590571922</v>
      </c>
      <c r="N343" s="116">
        <v>240.84197941313201</v>
      </c>
      <c r="O343" s="116">
        <v>238.76169907681299</v>
      </c>
      <c r="P343" s="116">
        <v>239.20747343459499</v>
      </c>
      <c r="Q343" s="116">
        <v>970.55</v>
      </c>
      <c r="R343">
        <v>1880974</v>
      </c>
    </row>
    <row r="344" spans="1:18" x14ac:dyDescent="0.25">
      <c r="A344" s="170">
        <v>42509</v>
      </c>
      <c r="B344" s="116">
        <v>240.63514160403699</v>
      </c>
      <c r="C344" s="116">
        <v>235.39748260956799</v>
      </c>
      <c r="D344" s="116">
        <v>234.307851423957</v>
      </c>
      <c r="E344" s="116">
        <v>240.498937705835</v>
      </c>
      <c r="F344" s="116">
        <v>950.55</v>
      </c>
      <c r="G344">
        <v>207759</v>
      </c>
      <c r="H344" s="116"/>
      <c r="I344" s="116"/>
      <c r="L344" s="170">
        <v>42509</v>
      </c>
      <c r="M344" s="116">
        <v>235.56698284603701</v>
      </c>
      <c r="N344" s="116">
        <v>240.693387960537</v>
      </c>
      <c r="O344" s="116">
        <v>234.180129288491</v>
      </c>
      <c r="P344" s="116">
        <v>240.64385747633901</v>
      </c>
      <c r="Q344" s="116">
        <v>951.2</v>
      </c>
      <c r="R344">
        <v>2088058</v>
      </c>
    </row>
    <row r="345" spans="1:18" x14ac:dyDescent="0.25">
      <c r="A345" s="170">
        <v>42510</v>
      </c>
      <c r="B345" s="116">
        <v>236.400438587232</v>
      </c>
      <c r="C345" s="116">
        <v>231.323747836092</v>
      </c>
      <c r="D345" s="116">
        <v>230.89037179636</v>
      </c>
      <c r="E345" s="116">
        <v>235.54606868033301</v>
      </c>
      <c r="F345" s="116">
        <v>934.1</v>
      </c>
      <c r="G345">
        <v>380536</v>
      </c>
      <c r="H345" s="116"/>
      <c r="I345" s="116"/>
      <c r="L345" s="170">
        <v>42510</v>
      </c>
      <c r="M345" s="116">
        <v>231.35689168920101</v>
      </c>
      <c r="N345" s="116">
        <v>236.38423583530499</v>
      </c>
      <c r="O345" s="116">
        <v>230.651082289378</v>
      </c>
      <c r="P345" s="116">
        <v>235.76510478282901</v>
      </c>
      <c r="Q345" s="116">
        <v>934.2</v>
      </c>
      <c r="R345">
        <v>4238988</v>
      </c>
    </row>
    <row r="346" spans="1:18" x14ac:dyDescent="0.25">
      <c r="A346" s="170">
        <v>42513</v>
      </c>
      <c r="B346" s="116">
        <v>232.78484419861499</v>
      </c>
      <c r="C346" s="116">
        <v>230.30840968586401</v>
      </c>
      <c r="D346" s="116">
        <v>229.243542845381</v>
      </c>
      <c r="E346" s="116">
        <v>232.388614676575</v>
      </c>
      <c r="F346" s="116">
        <v>930</v>
      </c>
      <c r="G346">
        <v>479357</v>
      </c>
      <c r="H346" s="116"/>
      <c r="I346" s="116"/>
      <c r="L346" s="170">
        <v>42513</v>
      </c>
      <c r="M346" s="116">
        <v>230.316751521041</v>
      </c>
      <c r="N346" s="116">
        <v>232.96663242563801</v>
      </c>
      <c r="O346" s="116">
        <v>229.239463489733</v>
      </c>
      <c r="P346" s="116">
        <v>232.13699681532</v>
      </c>
      <c r="Q346" s="116">
        <v>930</v>
      </c>
      <c r="R346">
        <v>4198098</v>
      </c>
    </row>
    <row r="347" spans="1:18" x14ac:dyDescent="0.25">
      <c r="A347" s="170">
        <v>42514</v>
      </c>
      <c r="B347" s="116">
        <v>233.614449760387</v>
      </c>
      <c r="C347" s="116">
        <v>232.79722637117899</v>
      </c>
      <c r="D347" s="116">
        <v>230.06076623458901</v>
      </c>
      <c r="E347" s="116">
        <v>230.53128879201199</v>
      </c>
      <c r="F347" s="116">
        <v>940.05</v>
      </c>
      <c r="G347">
        <v>191480</v>
      </c>
      <c r="H347" s="116"/>
      <c r="I347" s="116"/>
      <c r="L347" s="170">
        <v>42514</v>
      </c>
      <c r="M347" s="116">
        <v>232.90471932039</v>
      </c>
      <c r="N347" s="116">
        <v>233.783885414906</v>
      </c>
      <c r="O347" s="116">
        <v>229.83382930011001</v>
      </c>
      <c r="P347" s="116">
        <v>229.83382930011001</v>
      </c>
      <c r="Q347" s="116">
        <v>940.45</v>
      </c>
      <c r="R347">
        <v>2807737</v>
      </c>
    </row>
    <row r="348" spans="1:18" x14ac:dyDescent="0.25">
      <c r="A348" s="170">
        <v>42515</v>
      </c>
      <c r="B348" s="116">
        <v>235.73180126878901</v>
      </c>
      <c r="C348" s="116">
        <v>235.07554612291</v>
      </c>
      <c r="D348" s="116">
        <v>233.18107372065501</v>
      </c>
      <c r="E348" s="116">
        <v>235.063163950346</v>
      </c>
      <c r="F348" s="116">
        <v>949.25</v>
      </c>
      <c r="G348">
        <v>181679</v>
      </c>
      <c r="H348" s="116"/>
      <c r="I348" s="116"/>
      <c r="L348" s="170">
        <v>42515</v>
      </c>
      <c r="M348" s="116">
        <v>235.56698284603701</v>
      </c>
      <c r="N348" s="116">
        <v>235.96322671962099</v>
      </c>
      <c r="O348" s="116">
        <v>233.07807601508401</v>
      </c>
      <c r="P348" s="116">
        <v>235.23265207770001</v>
      </c>
      <c r="Q348" s="116">
        <v>951.2</v>
      </c>
      <c r="R348">
        <v>2112135</v>
      </c>
    </row>
    <row r="349" spans="1:18" x14ac:dyDescent="0.25">
      <c r="A349" s="170">
        <v>42516</v>
      </c>
      <c r="B349" s="116">
        <v>236.00420906519199</v>
      </c>
      <c r="C349" s="116">
        <v>234.43167314959501</v>
      </c>
      <c r="D349" s="116">
        <v>233.83732886653399</v>
      </c>
      <c r="E349" s="116">
        <v>235.39748260956799</v>
      </c>
      <c r="F349" s="116">
        <v>946.65</v>
      </c>
      <c r="G349">
        <v>196930</v>
      </c>
      <c r="H349" s="116"/>
      <c r="I349" s="116"/>
      <c r="L349" s="170">
        <v>42516</v>
      </c>
      <c r="M349" s="116">
        <v>234.48969481472901</v>
      </c>
      <c r="N349" s="116">
        <v>235.86416575122499</v>
      </c>
      <c r="O349" s="116">
        <v>233.80865065700499</v>
      </c>
      <c r="P349" s="116">
        <v>235.269799940848</v>
      </c>
      <c r="Q349" s="116">
        <v>946.85</v>
      </c>
      <c r="R349">
        <v>3243601</v>
      </c>
    </row>
    <row r="350" spans="1:18" x14ac:dyDescent="0.25">
      <c r="A350" s="170">
        <v>42517</v>
      </c>
      <c r="B350" s="116">
        <v>241.625715409137</v>
      </c>
      <c r="C350" s="116">
        <v>240.87040288274801</v>
      </c>
      <c r="D350" s="116">
        <v>235.13745698572899</v>
      </c>
      <c r="E350" s="116">
        <v>235.63274388827901</v>
      </c>
      <c r="F350" s="116">
        <v>972.65</v>
      </c>
      <c r="G350">
        <v>306408</v>
      </c>
      <c r="H350" s="116"/>
      <c r="I350" s="116"/>
      <c r="L350" s="170">
        <v>42517</v>
      </c>
      <c r="M350" s="116">
        <v>241.38681473931001</v>
      </c>
      <c r="N350" s="116">
        <v>241.93165006548901</v>
      </c>
      <c r="O350" s="116">
        <v>234.96023441461</v>
      </c>
      <c r="P350" s="116">
        <v>235.034530140908</v>
      </c>
      <c r="Q350" s="116">
        <v>974.7</v>
      </c>
      <c r="R350">
        <v>3063379</v>
      </c>
    </row>
    <row r="351" spans="1:18" x14ac:dyDescent="0.25">
      <c r="A351" s="170">
        <v>42520</v>
      </c>
      <c r="B351" s="116">
        <v>243.04966525396901</v>
      </c>
      <c r="C351" s="116">
        <v>240.07794383866701</v>
      </c>
      <c r="D351" s="116">
        <v>239.22357393176799</v>
      </c>
      <c r="E351" s="116">
        <v>241.452364993244</v>
      </c>
      <c r="F351" s="116">
        <v>969.45</v>
      </c>
      <c r="G351">
        <v>215289</v>
      </c>
      <c r="H351" s="116"/>
      <c r="I351" s="116"/>
      <c r="L351" s="170">
        <v>42520</v>
      </c>
      <c r="M351" s="116">
        <v>239.900900213368</v>
      </c>
      <c r="N351" s="116">
        <v>243.07085120204499</v>
      </c>
      <c r="O351" s="116">
        <v>238.98458625570399</v>
      </c>
      <c r="P351" s="116">
        <v>241.80782385499401</v>
      </c>
      <c r="Q351" s="116">
        <v>968.7</v>
      </c>
      <c r="R351">
        <v>2202091</v>
      </c>
    </row>
    <row r="352" spans="1:18" x14ac:dyDescent="0.25">
      <c r="A352" s="170">
        <v>42521</v>
      </c>
      <c r="B352" s="116">
        <v>240.833256365057</v>
      </c>
      <c r="C352" s="116">
        <v>237.47768760027901</v>
      </c>
      <c r="D352" s="116">
        <v>236.79666810927199</v>
      </c>
      <c r="E352" s="116">
        <v>239.94173994046599</v>
      </c>
      <c r="F352" s="116">
        <v>958.95</v>
      </c>
      <c r="G352">
        <v>196964</v>
      </c>
      <c r="H352" s="116"/>
      <c r="I352" s="116"/>
      <c r="L352" s="170">
        <v>42521</v>
      </c>
      <c r="M352" s="116">
        <v>237.213871445623</v>
      </c>
      <c r="N352" s="116">
        <v>240.96580562362701</v>
      </c>
      <c r="O352" s="116">
        <v>236.879540677286</v>
      </c>
      <c r="P352" s="116">
        <v>239.97519593966501</v>
      </c>
      <c r="Q352" s="116">
        <v>957.85</v>
      </c>
      <c r="R352">
        <v>5333469</v>
      </c>
    </row>
    <row r="353" spans="1:18" x14ac:dyDescent="0.25">
      <c r="A353" s="170">
        <v>42522</v>
      </c>
      <c r="B353" s="116">
        <v>239.347395657406</v>
      </c>
      <c r="C353" s="116">
        <v>236.07850210057401</v>
      </c>
      <c r="D353" s="116">
        <v>235.57083302545999</v>
      </c>
      <c r="E353" s="116">
        <v>237.440541082587</v>
      </c>
      <c r="F353" s="116">
        <v>953.3</v>
      </c>
      <c r="G353">
        <v>187746</v>
      </c>
      <c r="H353" s="116"/>
      <c r="I353" s="116"/>
      <c r="L353" s="170">
        <v>42522</v>
      </c>
      <c r="M353" s="116">
        <v>236.16134865641399</v>
      </c>
      <c r="N353" s="116">
        <v>239.257003918793</v>
      </c>
      <c r="O353" s="116">
        <v>235.715574298631</v>
      </c>
      <c r="P353" s="116">
        <v>237.23863668772199</v>
      </c>
      <c r="Q353" s="116">
        <v>953.6</v>
      </c>
      <c r="R353">
        <v>2067034</v>
      </c>
    </row>
    <row r="354" spans="1:18" x14ac:dyDescent="0.25">
      <c r="A354" s="170">
        <v>42523</v>
      </c>
      <c r="B354" s="116">
        <v>237.05669373311099</v>
      </c>
      <c r="C354" s="116">
        <v>236.747139419017</v>
      </c>
      <c r="D354" s="116">
        <v>234.08497231781001</v>
      </c>
      <c r="E354" s="116">
        <v>236.77190376414501</v>
      </c>
      <c r="F354" s="116">
        <v>956</v>
      </c>
      <c r="G354">
        <v>172276</v>
      </c>
      <c r="H354" s="116"/>
      <c r="I354" s="116"/>
      <c r="L354" s="170">
        <v>42523</v>
      </c>
      <c r="M354" s="116">
        <v>236.81762757203799</v>
      </c>
      <c r="N354" s="116">
        <v>237.04051475092999</v>
      </c>
      <c r="O354" s="116">
        <v>234.05630307799601</v>
      </c>
      <c r="P354" s="116">
        <v>236.38423583530499</v>
      </c>
      <c r="Q354" s="116">
        <v>956.25</v>
      </c>
      <c r="R354">
        <v>2343852</v>
      </c>
    </row>
    <row r="355" spans="1:18" x14ac:dyDescent="0.25">
      <c r="A355" s="170">
        <v>42524</v>
      </c>
      <c r="B355" s="116">
        <v>238.62922964870799</v>
      </c>
      <c r="C355" s="116">
        <v>237.23004414900399</v>
      </c>
      <c r="D355" s="116">
        <v>236.59855334825201</v>
      </c>
      <c r="E355" s="116">
        <v>237.11860459593001</v>
      </c>
      <c r="F355" s="116">
        <v>957.95</v>
      </c>
      <c r="G355">
        <v>144389</v>
      </c>
      <c r="H355" s="116"/>
      <c r="I355" s="116"/>
      <c r="L355" s="170">
        <v>42524</v>
      </c>
      <c r="M355" s="116">
        <v>237.659645803405</v>
      </c>
      <c r="N355" s="116">
        <v>238.46451617162401</v>
      </c>
      <c r="O355" s="116">
        <v>236.71856660364199</v>
      </c>
      <c r="P355" s="116">
        <v>237.746324150752</v>
      </c>
      <c r="Q355" s="116">
        <v>959.65</v>
      </c>
      <c r="R355">
        <v>1975712</v>
      </c>
    </row>
    <row r="356" spans="1:18" x14ac:dyDescent="0.25">
      <c r="A356" s="170">
        <v>42527</v>
      </c>
      <c r="B356" s="116">
        <v>238.41873271512401</v>
      </c>
      <c r="C356" s="116">
        <v>236.72237507388999</v>
      </c>
      <c r="D356" s="116">
        <v>236.00420906519199</v>
      </c>
      <c r="E356" s="116">
        <v>237.49006977284199</v>
      </c>
      <c r="F356" s="116">
        <v>955.9</v>
      </c>
      <c r="G356">
        <v>157434</v>
      </c>
      <c r="H356" s="116"/>
      <c r="I356" s="116"/>
      <c r="L356" s="170">
        <v>42527</v>
      </c>
      <c r="M356" s="116">
        <v>236.458531561602</v>
      </c>
      <c r="N356" s="116">
        <v>238.48928141372301</v>
      </c>
      <c r="O356" s="116">
        <v>235.901313614374</v>
      </c>
      <c r="P356" s="116">
        <v>237.993976571742</v>
      </c>
      <c r="Q356" s="116">
        <v>954.8</v>
      </c>
      <c r="R356">
        <v>1982466</v>
      </c>
    </row>
    <row r="357" spans="1:18" x14ac:dyDescent="0.25">
      <c r="A357" s="170">
        <v>42528</v>
      </c>
      <c r="B357" s="116">
        <v>238.01012102051999</v>
      </c>
      <c r="C357" s="116">
        <v>236.41282075979601</v>
      </c>
      <c r="D357" s="116">
        <v>235.707036923662</v>
      </c>
      <c r="E357" s="116">
        <v>236.747139419017</v>
      </c>
      <c r="F357" s="116">
        <v>954.65</v>
      </c>
      <c r="G357">
        <v>175267</v>
      </c>
      <c r="H357" s="116"/>
      <c r="I357" s="116"/>
      <c r="L357" s="170">
        <v>42528</v>
      </c>
      <c r="M357" s="116">
        <v>236.52044466685001</v>
      </c>
      <c r="N357" s="116">
        <v>237.981593950693</v>
      </c>
      <c r="O357" s="116">
        <v>235.66604381443301</v>
      </c>
      <c r="P357" s="116">
        <v>237.06527999302901</v>
      </c>
      <c r="Q357" s="116">
        <v>955.05</v>
      </c>
      <c r="R357">
        <v>4332627</v>
      </c>
    </row>
    <row r="358" spans="1:18" x14ac:dyDescent="0.25">
      <c r="A358" s="170">
        <v>42529</v>
      </c>
      <c r="B358" s="116">
        <v>237.242426321567</v>
      </c>
      <c r="C358" s="116">
        <v>236.288999034158</v>
      </c>
      <c r="D358" s="116">
        <v>235.31080740162099</v>
      </c>
      <c r="E358" s="116">
        <v>236.994782870292</v>
      </c>
      <c r="F358" s="116">
        <v>954.15</v>
      </c>
      <c r="G358">
        <v>183907</v>
      </c>
      <c r="H358" s="116"/>
      <c r="I358" s="116"/>
      <c r="L358" s="170">
        <v>42529</v>
      </c>
      <c r="M358" s="116">
        <v>236.28517486690899</v>
      </c>
      <c r="N358" s="116">
        <v>237.25101930877099</v>
      </c>
      <c r="O358" s="116">
        <v>235.059295383007</v>
      </c>
      <c r="P358" s="116">
        <v>237.25101930877099</v>
      </c>
      <c r="Q358" s="116">
        <v>954.1</v>
      </c>
      <c r="R358">
        <v>2773975</v>
      </c>
    </row>
    <row r="359" spans="1:18" x14ac:dyDescent="0.25">
      <c r="A359" s="170">
        <v>42530</v>
      </c>
      <c r="B359" s="116">
        <v>241.94765189579499</v>
      </c>
      <c r="C359" s="116">
        <v>240.573230741218</v>
      </c>
      <c r="D359" s="116">
        <v>237.242426321567</v>
      </c>
      <c r="E359" s="116">
        <v>237.254808494131</v>
      </c>
      <c r="F359" s="116">
        <v>971.45</v>
      </c>
      <c r="G359">
        <v>318681</v>
      </c>
      <c r="H359" s="116"/>
      <c r="I359" s="116"/>
      <c r="L359" s="170">
        <v>42530</v>
      </c>
      <c r="M359" s="116">
        <v>240.50764864479501</v>
      </c>
      <c r="N359" s="116">
        <v>241.82020647604401</v>
      </c>
      <c r="O359" s="116">
        <v>236.80524495098899</v>
      </c>
      <c r="P359" s="116">
        <v>237.746324150752</v>
      </c>
      <c r="Q359" s="116">
        <v>971.15</v>
      </c>
      <c r="R359">
        <v>3575840</v>
      </c>
    </row>
    <row r="360" spans="1:18" x14ac:dyDescent="0.25">
      <c r="A360" s="170">
        <v>42531</v>
      </c>
      <c r="B360" s="116">
        <v>243.730684744976</v>
      </c>
      <c r="C360" s="116">
        <v>241.613333236573</v>
      </c>
      <c r="D360" s="116">
        <v>239.89221125021101</v>
      </c>
      <c r="E360" s="116">
        <v>240.95707809069401</v>
      </c>
      <c r="F360" s="116">
        <v>975.65</v>
      </c>
      <c r="G360">
        <v>226144</v>
      </c>
      <c r="H360" s="116"/>
      <c r="I360" s="116"/>
      <c r="L360" s="170">
        <v>42531</v>
      </c>
      <c r="M360" s="116">
        <v>241.88211958129099</v>
      </c>
      <c r="N360" s="116">
        <v>243.789043222917</v>
      </c>
      <c r="O360" s="116">
        <v>239.801839244972</v>
      </c>
      <c r="P360" s="116">
        <v>241.213458044617</v>
      </c>
      <c r="Q360" s="116">
        <v>976.7</v>
      </c>
      <c r="R360">
        <v>3729737</v>
      </c>
    </row>
    <row r="361" spans="1:18" x14ac:dyDescent="0.25">
      <c r="A361" s="170">
        <v>42534</v>
      </c>
      <c r="B361" s="116">
        <v>243.50780563882799</v>
      </c>
      <c r="C361" s="116">
        <v>242.51723183372701</v>
      </c>
      <c r="D361" s="116">
        <v>238.728287029218</v>
      </c>
      <c r="E361" s="116">
        <v>240.21414773686899</v>
      </c>
      <c r="F361" s="116">
        <v>979.3</v>
      </c>
      <c r="G361">
        <v>189663</v>
      </c>
      <c r="H361" s="116"/>
      <c r="I361" s="116"/>
      <c r="L361" s="170">
        <v>42534</v>
      </c>
      <c r="M361" s="116">
        <v>242.97179023364899</v>
      </c>
      <c r="N361" s="116">
        <v>243.55377342297601</v>
      </c>
      <c r="O361" s="116">
        <v>238.501664034773</v>
      </c>
      <c r="P361" s="116">
        <v>240.19808311855701</v>
      </c>
      <c r="Q361" s="116">
        <v>981.1</v>
      </c>
      <c r="R361">
        <v>2334856</v>
      </c>
    </row>
    <row r="362" spans="1:18" x14ac:dyDescent="0.25">
      <c r="A362" s="170">
        <v>42535</v>
      </c>
      <c r="B362" s="116">
        <v>243.804977780358</v>
      </c>
      <c r="C362" s="116">
        <v>241.42760064811699</v>
      </c>
      <c r="D362" s="116">
        <v>240.040797320976</v>
      </c>
      <c r="E362" s="116">
        <v>243.18586915217</v>
      </c>
      <c r="F362" s="116">
        <v>974.9</v>
      </c>
      <c r="G362">
        <v>134051</v>
      </c>
      <c r="H362" s="116"/>
      <c r="I362" s="116"/>
      <c r="L362" s="170">
        <v>42535</v>
      </c>
      <c r="M362" s="116">
        <v>241.77067599184599</v>
      </c>
      <c r="N362" s="116">
        <v>244.036695643907</v>
      </c>
      <c r="O362" s="116">
        <v>240.04949166596199</v>
      </c>
      <c r="P362" s="116">
        <v>242.9346423705</v>
      </c>
      <c r="Q362" s="116">
        <v>976.25</v>
      </c>
      <c r="R362">
        <v>2497008</v>
      </c>
    </row>
    <row r="363" spans="1:18" x14ac:dyDescent="0.25">
      <c r="A363" s="170">
        <v>42536</v>
      </c>
      <c r="B363" s="116">
        <v>243.90403516086801</v>
      </c>
      <c r="C363" s="116">
        <v>243.28492653268</v>
      </c>
      <c r="D363" s="116">
        <v>241.08089981633199</v>
      </c>
      <c r="E363" s="116">
        <v>242.07147362143201</v>
      </c>
      <c r="F363" s="116">
        <v>982.4</v>
      </c>
      <c r="G363">
        <v>168059</v>
      </c>
      <c r="H363" s="116"/>
      <c r="I363" s="116"/>
      <c r="L363" s="170">
        <v>42536</v>
      </c>
      <c r="M363" s="116">
        <v>243.83857370711499</v>
      </c>
      <c r="N363" s="116">
        <v>244.30911330699701</v>
      </c>
      <c r="O363" s="116">
        <v>241.15154493937001</v>
      </c>
      <c r="P363" s="116">
        <v>242.69937257055901</v>
      </c>
      <c r="Q363" s="116">
        <v>984.6</v>
      </c>
      <c r="R363">
        <v>2543921</v>
      </c>
    </row>
    <row r="364" spans="1:18" x14ac:dyDescent="0.25">
      <c r="A364" s="170">
        <v>42537</v>
      </c>
      <c r="B364" s="116">
        <v>243.55733432908301</v>
      </c>
      <c r="C364" s="116">
        <v>241.34092544017099</v>
      </c>
      <c r="D364" s="116">
        <v>239.59503910868099</v>
      </c>
      <c r="E364" s="116">
        <v>243.16110480704299</v>
      </c>
      <c r="F364" s="116">
        <v>974.55</v>
      </c>
      <c r="G364">
        <v>189485</v>
      </c>
      <c r="H364" s="116"/>
      <c r="I364" s="116"/>
      <c r="L364" s="170">
        <v>42537</v>
      </c>
      <c r="M364" s="116">
        <v>241.78305861289499</v>
      </c>
      <c r="N364" s="116">
        <v>243.60330390717399</v>
      </c>
      <c r="O364" s="116">
        <v>239.492273718734</v>
      </c>
      <c r="P364" s="116">
        <v>242.94702499154999</v>
      </c>
      <c r="Q364" s="116">
        <v>976.3</v>
      </c>
      <c r="R364">
        <v>2142329</v>
      </c>
    </row>
    <row r="365" spans="1:18" x14ac:dyDescent="0.25">
      <c r="A365" s="170">
        <v>42538</v>
      </c>
      <c r="B365" s="116">
        <v>242.41817445321701</v>
      </c>
      <c r="C365" s="116">
        <v>241.018988953513</v>
      </c>
      <c r="D365" s="116">
        <v>240.21414773686899</v>
      </c>
      <c r="E365" s="116">
        <v>241.94765189579499</v>
      </c>
      <c r="F365" s="116">
        <v>973.25</v>
      </c>
      <c r="G365">
        <v>159014</v>
      </c>
      <c r="H365" s="116"/>
      <c r="I365" s="116"/>
      <c r="L365" s="170">
        <v>42538</v>
      </c>
      <c r="M365" s="116">
        <v>241.43634522350899</v>
      </c>
      <c r="N365" s="116">
        <v>242.36504180222201</v>
      </c>
      <c r="O365" s="116">
        <v>240.247613602755</v>
      </c>
      <c r="P365" s="116">
        <v>241.956415307588</v>
      </c>
      <c r="Q365" s="116">
        <v>974.9</v>
      </c>
      <c r="R365">
        <v>2408096</v>
      </c>
    </row>
    <row r="366" spans="1:18" x14ac:dyDescent="0.25">
      <c r="A366" s="170">
        <v>42541</v>
      </c>
      <c r="B366" s="116">
        <v>245.909947116197</v>
      </c>
      <c r="C366" s="116">
        <v>245.303220660573</v>
      </c>
      <c r="D366" s="116">
        <v>238.97593048049299</v>
      </c>
      <c r="E366" s="116">
        <v>238.97593048049299</v>
      </c>
      <c r="F366" s="116">
        <v>990.55</v>
      </c>
      <c r="G366">
        <v>355228</v>
      </c>
      <c r="H366" s="116"/>
      <c r="I366" s="116"/>
      <c r="L366" s="170">
        <v>42541</v>
      </c>
      <c r="M366" s="116">
        <v>245.22542726466099</v>
      </c>
      <c r="N366" s="116">
        <v>245.81979307503801</v>
      </c>
      <c r="O366" s="116">
        <v>239.72754351867499</v>
      </c>
      <c r="P366" s="116">
        <v>240.75530106578501</v>
      </c>
      <c r="Q366" s="116">
        <v>990.2</v>
      </c>
      <c r="R366">
        <v>2459237</v>
      </c>
    </row>
    <row r="367" spans="1:18" x14ac:dyDescent="0.25">
      <c r="A367" s="170">
        <v>42542</v>
      </c>
      <c r="B367" s="116">
        <v>246.405234018747</v>
      </c>
      <c r="C367" s="116">
        <v>244.48599727136499</v>
      </c>
      <c r="D367" s="116">
        <v>242.740110939875</v>
      </c>
      <c r="E367" s="116">
        <v>246.405234018747</v>
      </c>
      <c r="F367" s="116">
        <v>987.25</v>
      </c>
      <c r="G367">
        <v>347776</v>
      </c>
      <c r="H367" s="116"/>
      <c r="I367" s="116"/>
      <c r="L367" s="170">
        <v>42542</v>
      </c>
      <c r="M367" s="116">
        <v>244.457704759591</v>
      </c>
      <c r="N367" s="116">
        <v>246.20365432757299</v>
      </c>
      <c r="O367" s="116">
        <v>242.625076844262</v>
      </c>
      <c r="P367" s="116">
        <v>246.19127170652399</v>
      </c>
      <c r="Q367" s="116">
        <v>987.1</v>
      </c>
      <c r="R367">
        <v>3184865</v>
      </c>
    </row>
    <row r="368" spans="1:18" x14ac:dyDescent="0.25">
      <c r="A368" s="170">
        <v>42543</v>
      </c>
      <c r="B368" s="116">
        <v>244.411704235982</v>
      </c>
      <c r="C368" s="116">
        <v>242.81440397525799</v>
      </c>
      <c r="D368" s="116">
        <v>241.94765189579499</v>
      </c>
      <c r="E368" s="116">
        <v>244.411704235982</v>
      </c>
      <c r="F368" s="116">
        <v>980.5</v>
      </c>
      <c r="G368">
        <v>385463</v>
      </c>
      <c r="H368" s="116"/>
      <c r="I368" s="116"/>
      <c r="L368" s="170">
        <v>42543</v>
      </c>
      <c r="M368" s="116">
        <v>242.823198781055</v>
      </c>
      <c r="N368" s="116">
        <v>244.16052185440299</v>
      </c>
      <c r="O368" s="116">
        <v>241.981180549687</v>
      </c>
      <c r="P368" s="116">
        <v>243.93763467551099</v>
      </c>
      <c r="Q368" s="116">
        <v>980.5</v>
      </c>
      <c r="R368">
        <v>2923284</v>
      </c>
    </row>
    <row r="369" spans="1:18" x14ac:dyDescent="0.25">
      <c r="A369" s="170">
        <v>42544</v>
      </c>
      <c r="B369" s="116">
        <v>243.544952156519</v>
      </c>
      <c r="C369" s="116">
        <v>243.16110480704299</v>
      </c>
      <c r="D369" s="116">
        <v>240.21414773686899</v>
      </c>
      <c r="E369" s="116">
        <v>242.69058224962001</v>
      </c>
      <c r="F369" s="116">
        <v>981.9</v>
      </c>
      <c r="G369">
        <v>219671</v>
      </c>
      <c r="H369" s="116"/>
      <c r="I369" s="116"/>
      <c r="L369" s="170">
        <v>42544</v>
      </c>
      <c r="M369" s="116">
        <v>242.810816160005</v>
      </c>
      <c r="N369" s="116">
        <v>243.19467741253999</v>
      </c>
      <c r="O369" s="116">
        <v>240.222848360656</v>
      </c>
      <c r="P369" s="116">
        <v>242.68698994951001</v>
      </c>
      <c r="Q369" s="116">
        <v>980.45</v>
      </c>
      <c r="R369">
        <v>2248693</v>
      </c>
    </row>
    <row r="370" spans="1:18" x14ac:dyDescent="0.25">
      <c r="A370" s="170">
        <v>42545</v>
      </c>
      <c r="B370" s="116">
        <v>239.22357393176799</v>
      </c>
      <c r="C370" s="116">
        <v>235.63274388827901</v>
      </c>
      <c r="D370" s="116">
        <v>231.398040871474</v>
      </c>
      <c r="E370" s="116">
        <v>239.22357393176799</v>
      </c>
      <c r="F370" s="116">
        <v>951.5</v>
      </c>
      <c r="G370">
        <v>713656</v>
      </c>
      <c r="H370" s="116"/>
      <c r="I370" s="116"/>
      <c r="L370" s="170">
        <v>42545</v>
      </c>
      <c r="M370" s="116">
        <v>235.62889595128399</v>
      </c>
      <c r="N370" s="116">
        <v>238.95982101360499</v>
      </c>
      <c r="O370" s="116">
        <v>231.15876975240801</v>
      </c>
      <c r="P370" s="116">
        <v>238.95982101360499</v>
      </c>
      <c r="Q370" s="116">
        <v>951.45</v>
      </c>
      <c r="R370">
        <v>5711173</v>
      </c>
    </row>
    <row r="371" spans="1:18" x14ac:dyDescent="0.25">
      <c r="A371" s="170">
        <v>42548</v>
      </c>
      <c r="B371" s="116">
        <v>237.440541082587</v>
      </c>
      <c r="C371" s="116">
        <v>236.77190376414501</v>
      </c>
      <c r="D371" s="116">
        <v>233.775418003716</v>
      </c>
      <c r="E371" s="116">
        <v>235.22413219367499</v>
      </c>
      <c r="F371" s="116">
        <v>956.1</v>
      </c>
      <c r="G371">
        <v>266573</v>
      </c>
      <c r="H371" s="116"/>
      <c r="I371" s="116"/>
      <c r="L371" s="170">
        <v>42548</v>
      </c>
      <c r="M371" s="116">
        <v>236.669036119444</v>
      </c>
      <c r="N371" s="116">
        <v>237.350080277167</v>
      </c>
      <c r="O371" s="116">
        <v>232.91710194144</v>
      </c>
      <c r="P371" s="116">
        <v>232.91710194144</v>
      </c>
      <c r="Q371" s="116">
        <v>955.65</v>
      </c>
      <c r="R371">
        <v>2094599</v>
      </c>
    </row>
    <row r="372" spans="1:18" x14ac:dyDescent="0.25">
      <c r="A372" s="170">
        <v>42549</v>
      </c>
      <c r="B372" s="116">
        <v>238.121560573594</v>
      </c>
      <c r="C372" s="116">
        <v>237.29195501182201</v>
      </c>
      <c r="D372" s="116">
        <v>236.747139419017</v>
      </c>
      <c r="E372" s="116">
        <v>237.11860459593001</v>
      </c>
      <c r="F372" s="116">
        <v>958.2</v>
      </c>
      <c r="G372">
        <v>152345</v>
      </c>
      <c r="H372" s="116"/>
      <c r="I372" s="116"/>
      <c r="L372" s="170">
        <v>42549</v>
      </c>
      <c r="M372" s="116">
        <v>237.201488824573</v>
      </c>
      <c r="N372" s="116">
        <v>238.13018540328699</v>
      </c>
      <c r="O372" s="116">
        <v>236.50806204579999</v>
      </c>
      <c r="P372" s="116">
        <v>236.85477543518701</v>
      </c>
      <c r="Q372" s="116">
        <v>957.8</v>
      </c>
      <c r="R372">
        <v>1738370</v>
      </c>
    </row>
    <row r="373" spans="1:18" x14ac:dyDescent="0.25">
      <c r="A373" s="170">
        <v>42550</v>
      </c>
      <c r="B373" s="116">
        <v>239.91697559533901</v>
      </c>
      <c r="C373" s="116">
        <v>239.434070865352</v>
      </c>
      <c r="D373" s="116">
        <v>237.81200625950001</v>
      </c>
      <c r="E373" s="116">
        <v>237.98535667539301</v>
      </c>
      <c r="F373" s="116">
        <v>966.85</v>
      </c>
      <c r="G373">
        <v>169890</v>
      </c>
      <c r="H373" s="116"/>
      <c r="I373" s="116"/>
      <c r="L373" s="170">
        <v>42550</v>
      </c>
      <c r="M373" s="116">
        <v>239.455125855586</v>
      </c>
      <c r="N373" s="116">
        <v>239.96281331861601</v>
      </c>
      <c r="O373" s="116">
        <v>237.746324150752</v>
      </c>
      <c r="P373" s="116">
        <v>238.24162899273301</v>
      </c>
      <c r="Q373" s="116">
        <v>966.9</v>
      </c>
      <c r="R373">
        <v>1719857</v>
      </c>
    </row>
    <row r="374" spans="1:18" x14ac:dyDescent="0.25">
      <c r="A374" s="170">
        <v>42551</v>
      </c>
      <c r="B374" s="116">
        <v>242.133384484251</v>
      </c>
      <c r="C374" s="116">
        <v>240.07794383866701</v>
      </c>
      <c r="D374" s="116">
        <v>239.55789259099001</v>
      </c>
      <c r="E374" s="116">
        <v>240.46179118814399</v>
      </c>
      <c r="F374" s="116">
        <v>969.45</v>
      </c>
      <c r="G374">
        <v>249804</v>
      </c>
      <c r="H374" s="116"/>
      <c r="I374" s="116"/>
      <c r="L374" s="170">
        <v>42551</v>
      </c>
      <c r="M374" s="116">
        <v>240.012343802814</v>
      </c>
      <c r="N374" s="116">
        <v>242.080241518083</v>
      </c>
      <c r="O374" s="116">
        <v>239.492273718734</v>
      </c>
      <c r="P374" s="116">
        <v>240.71815320263599</v>
      </c>
      <c r="Q374" s="116">
        <v>969.15</v>
      </c>
      <c r="R374">
        <v>2916329</v>
      </c>
    </row>
    <row r="375" spans="1:18" x14ac:dyDescent="0.25">
      <c r="A375" s="170">
        <v>42552</v>
      </c>
      <c r="B375" s="116">
        <v>241.81144799759301</v>
      </c>
      <c r="C375" s="116">
        <v>241.11804633402301</v>
      </c>
      <c r="D375" s="116">
        <v>240.26367642712401</v>
      </c>
      <c r="E375" s="116">
        <v>241.08089981633199</v>
      </c>
      <c r="F375" s="116">
        <v>973.65</v>
      </c>
      <c r="G375">
        <v>149225</v>
      </c>
      <c r="H375" s="116"/>
      <c r="I375" s="116"/>
      <c r="L375" s="170">
        <v>42552</v>
      </c>
      <c r="M375" s="116">
        <v>241.077249213073</v>
      </c>
      <c r="N375" s="116">
        <v>241.90688482338999</v>
      </c>
      <c r="O375" s="116">
        <v>240.222848360656</v>
      </c>
      <c r="P375" s="116">
        <v>240.903892518379</v>
      </c>
      <c r="Q375" s="116">
        <v>973.45</v>
      </c>
      <c r="R375">
        <v>1510979</v>
      </c>
    </row>
    <row r="376" spans="1:18" x14ac:dyDescent="0.25">
      <c r="A376" s="170">
        <v>42555</v>
      </c>
      <c r="B376" s="116">
        <v>245.74897887286801</v>
      </c>
      <c r="C376" s="116">
        <v>244.3374112006</v>
      </c>
      <c r="D376" s="116">
        <v>241.74953713477501</v>
      </c>
      <c r="E376" s="116">
        <v>242.19529534706999</v>
      </c>
      <c r="F376" s="116">
        <v>986.65</v>
      </c>
      <c r="G376">
        <v>211611</v>
      </c>
      <c r="H376" s="116"/>
      <c r="I376" s="116"/>
      <c r="L376" s="170">
        <v>42555</v>
      </c>
      <c r="M376" s="116">
        <v>244.35864379119499</v>
      </c>
      <c r="N376" s="116">
        <v>246.067445496028</v>
      </c>
      <c r="O376" s="116">
        <v>241.58493667610301</v>
      </c>
      <c r="P376" s="116">
        <v>241.58493667610301</v>
      </c>
      <c r="Q376" s="116">
        <v>986.7</v>
      </c>
      <c r="R376">
        <v>1783750</v>
      </c>
    </row>
    <row r="377" spans="1:18" x14ac:dyDescent="0.25">
      <c r="A377" s="170">
        <v>42556</v>
      </c>
      <c r="B377" s="116">
        <v>248.336852938693</v>
      </c>
      <c r="C377" s="116">
        <v>245.897564943633</v>
      </c>
      <c r="D377" s="116">
        <v>242.81440397525799</v>
      </c>
      <c r="E377" s="116">
        <v>245.15463458980801</v>
      </c>
      <c r="F377" s="116">
        <v>992.95</v>
      </c>
      <c r="G377">
        <v>258358</v>
      </c>
      <c r="H377" s="116"/>
      <c r="I377" s="116"/>
      <c r="L377" s="170">
        <v>42556</v>
      </c>
      <c r="M377" s="116">
        <v>245.943619285533</v>
      </c>
      <c r="N377" s="116">
        <v>248.37061301123899</v>
      </c>
      <c r="O377" s="116">
        <v>242.77366829685701</v>
      </c>
      <c r="P377" s="116">
        <v>244.210052338601</v>
      </c>
      <c r="Q377" s="116">
        <v>993.1</v>
      </c>
      <c r="R377">
        <v>2596678</v>
      </c>
    </row>
    <row r="378" spans="1:18" x14ac:dyDescent="0.25">
      <c r="A378" s="170">
        <v>42558</v>
      </c>
      <c r="B378" s="116">
        <v>247.643451275122</v>
      </c>
      <c r="C378" s="116">
        <v>244.64696551469299</v>
      </c>
      <c r="D378" s="116">
        <v>244.36217554572701</v>
      </c>
      <c r="E378" s="116">
        <v>246.02138666926999</v>
      </c>
      <c r="F378" s="116">
        <v>987.9</v>
      </c>
      <c r="G378">
        <v>205672</v>
      </c>
      <c r="H378" s="116"/>
      <c r="I378" s="116"/>
      <c r="L378" s="170">
        <v>42558</v>
      </c>
      <c r="M378" s="116">
        <v>244.655826696383</v>
      </c>
      <c r="N378" s="116">
        <v>247.776247200862</v>
      </c>
      <c r="O378" s="116">
        <v>244.22243495965</v>
      </c>
      <c r="P378" s="116">
        <v>245.79502783293901</v>
      </c>
      <c r="Q378" s="116">
        <v>987.9</v>
      </c>
      <c r="R378">
        <v>2749648</v>
      </c>
    </row>
    <row r="379" spans="1:18" x14ac:dyDescent="0.25">
      <c r="A379" s="170">
        <v>42559</v>
      </c>
      <c r="B379" s="116">
        <v>244.919373311096</v>
      </c>
      <c r="C379" s="116">
        <v>242.71534659474801</v>
      </c>
      <c r="D379" s="116">
        <v>242.331499245271</v>
      </c>
      <c r="E379" s="116">
        <v>244.671729859821</v>
      </c>
      <c r="F379" s="116">
        <v>980.1</v>
      </c>
      <c r="G379">
        <v>276679</v>
      </c>
      <c r="H379" s="116"/>
      <c r="I379" s="116"/>
      <c r="L379" s="170">
        <v>42559</v>
      </c>
      <c r="M379" s="116">
        <v>242.30312869697499</v>
      </c>
      <c r="N379" s="116">
        <v>244.92824435947301</v>
      </c>
      <c r="O379" s="116">
        <v>241.79544123394501</v>
      </c>
      <c r="P379" s="116">
        <v>244.432939517492</v>
      </c>
      <c r="Q379" s="116">
        <v>978.4</v>
      </c>
      <c r="R379">
        <v>1632225</v>
      </c>
    </row>
    <row r="380" spans="1:18" x14ac:dyDescent="0.25">
      <c r="A380" s="170">
        <v>42562</v>
      </c>
      <c r="B380" s="116">
        <v>246.38046967361899</v>
      </c>
      <c r="C380" s="116">
        <v>245.35274935082799</v>
      </c>
      <c r="D380" s="116">
        <v>244.052621231633</v>
      </c>
      <c r="E380" s="116">
        <v>244.684112032385</v>
      </c>
      <c r="F380" s="116">
        <v>990.75</v>
      </c>
      <c r="G380">
        <v>165538</v>
      </c>
      <c r="H380" s="116"/>
      <c r="I380" s="116"/>
      <c r="L380" s="170">
        <v>42562</v>
      </c>
      <c r="M380" s="116">
        <v>245.79502783293901</v>
      </c>
      <c r="N380" s="116">
        <v>246.401776264365</v>
      </c>
      <c r="O380" s="116">
        <v>244.06146088600599</v>
      </c>
      <c r="P380" s="116">
        <v>245.423549201453</v>
      </c>
      <c r="Q380" s="116">
        <v>992.5</v>
      </c>
      <c r="R380">
        <v>1889606</v>
      </c>
    </row>
    <row r="381" spans="1:18" x14ac:dyDescent="0.25">
      <c r="A381" s="170">
        <v>42563</v>
      </c>
      <c r="B381" s="116">
        <v>248.64640725278699</v>
      </c>
      <c r="C381" s="116">
        <v>248.1635025228</v>
      </c>
      <c r="D381" s="116">
        <v>245.41466021364599</v>
      </c>
      <c r="E381" s="116">
        <v>245.78612539055899</v>
      </c>
      <c r="F381" s="116">
        <v>1002.1</v>
      </c>
      <c r="G381">
        <v>261152</v>
      </c>
      <c r="H381" s="116"/>
      <c r="I381" s="116"/>
      <c r="L381" s="170">
        <v>42563</v>
      </c>
      <c r="M381" s="116">
        <v>248.49443922173401</v>
      </c>
      <c r="N381" s="116">
        <v>248.89068309531899</v>
      </c>
      <c r="O381" s="116">
        <v>245.423549201453</v>
      </c>
      <c r="P381" s="116">
        <v>246.476071990663</v>
      </c>
      <c r="Q381" s="116">
        <v>1003.4</v>
      </c>
      <c r="R381">
        <v>2232685</v>
      </c>
    </row>
    <row r="382" spans="1:18" x14ac:dyDescent="0.25">
      <c r="A382" s="170">
        <v>42564</v>
      </c>
      <c r="B382" s="116">
        <v>251.556217805269</v>
      </c>
      <c r="C382" s="116">
        <v>249.736038438397</v>
      </c>
      <c r="D382" s="116">
        <v>248.13873817767299</v>
      </c>
      <c r="E382" s="116">
        <v>248.38638162894799</v>
      </c>
      <c r="F382" s="116">
        <v>1008.45</v>
      </c>
      <c r="G382">
        <v>420670</v>
      </c>
      <c r="H382" s="116"/>
      <c r="I382" s="116"/>
      <c r="L382" s="170">
        <v>42564</v>
      </c>
      <c r="M382" s="116">
        <v>249.81937967403201</v>
      </c>
      <c r="N382" s="116">
        <v>251.788216420906</v>
      </c>
      <c r="O382" s="116">
        <v>248.68017853747699</v>
      </c>
      <c r="P382" s="116">
        <v>248.94021357951701</v>
      </c>
      <c r="Q382" s="116">
        <v>1008.75</v>
      </c>
      <c r="R382">
        <v>3409386</v>
      </c>
    </row>
    <row r="383" spans="1:18" x14ac:dyDescent="0.25">
      <c r="A383" s="170">
        <v>42565</v>
      </c>
      <c r="B383" s="116">
        <v>251.25904566373899</v>
      </c>
      <c r="C383" s="116">
        <v>249.24075153584701</v>
      </c>
      <c r="D383" s="116">
        <v>247.40818999641101</v>
      </c>
      <c r="E383" s="116">
        <v>249.624598885323</v>
      </c>
      <c r="F383" s="116">
        <v>1006.45</v>
      </c>
      <c r="G383">
        <v>144511</v>
      </c>
      <c r="H383" s="116"/>
      <c r="I383" s="116"/>
      <c r="L383" s="170">
        <v>42565</v>
      </c>
      <c r="M383" s="116">
        <v>248.86591785322</v>
      </c>
      <c r="N383" s="116">
        <v>251.144320126331</v>
      </c>
      <c r="O383" s="116">
        <v>247.21902925363401</v>
      </c>
      <c r="P383" s="116">
        <v>249.65840560038899</v>
      </c>
      <c r="Q383" s="116">
        <v>1004.9</v>
      </c>
      <c r="R383">
        <v>2459183</v>
      </c>
    </row>
    <row r="384" spans="1:18" x14ac:dyDescent="0.25">
      <c r="A384" s="170">
        <v>42566</v>
      </c>
      <c r="B384" s="116">
        <v>252.75728854395399</v>
      </c>
      <c r="C384" s="116">
        <v>250.75137658862499</v>
      </c>
      <c r="D384" s="116">
        <v>248.596878562532</v>
      </c>
      <c r="E384" s="116">
        <v>250.11988578787401</v>
      </c>
      <c r="F384" s="116">
        <v>1012.55</v>
      </c>
      <c r="G384">
        <v>357608</v>
      </c>
      <c r="H384" s="116"/>
      <c r="I384" s="116"/>
      <c r="L384" s="170">
        <v>42566</v>
      </c>
      <c r="M384" s="116">
        <v>250.67378052644901</v>
      </c>
      <c r="N384" s="116">
        <v>252.853121831164</v>
      </c>
      <c r="O384" s="116">
        <v>248.51920446383301</v>
      </c>
      <c r="P384" s="116">
        <v>249.88129277927999</v>
      </c>
      <c r="Q384" s="116">
        <v>1012.2</v>
      </c>
      <c r="R384">
        <v>3198562</v>
      </c>
    </row>
    <row r="385" spans="1:18" x14ac:dyDescent="0.25">
      <c r="A385" s="170">
        <v>42569</v>
      </c>
      <c r="B385" s="116">
        <v>257.30154587485202</v>
      </c>
      <c r="C385" s="116">
        <v>248.695935943042</v>
      </c>
      <c r="D385" s="116">
        <v>244.20120730239799</v>
      </c>
      <c r="E385" s="116">
        <v>254.32982445955099</v>
      </c>
      <c r="F385" s="116">
        <v>1004.25</v>
      </c>
      <c r="G385">
        <v>667578</v>
      </c>
      <c r="H385" s="116"/>
      <c r="I385" s="116"/>
      <c r="L385" s="170">
        <v>42569</v>
      </c>
      <c r="M385" s="116">
        <v>249.20024862155699</v>
      </c>
      <c r="N385" s="116">
        <v>257.24895230374301</v>
      </c>
      <c r="O385" s="116">
        <v>248.08581272710001</v>
      </c>
      <c r="P385" s="116">
        <v>254.586688778097</v>
      </c>
      <c r="Q385" s="116">
        <v>1006.25</v>
      </c>
      <c r="R385">
        <v>7339086</v>
      </c>
    </row>
    <row r="386" spans="1:18" x14ac:dyDescent="0.25">
      <c r="A386" s="170">
        <v>42570</v>
      </c>
      <c r="B386" s="116">
        <v>253.04207851292</v>
      </c>
      <c r="C386" s="116">
        <v>251.457160424759</v>
      </c>
      <c r="D386" s="116">
        <v>246.46714488156601</v>
      </c>
      <c r="E386" s="116">
        <v>249.624598885323</v>
      </c>
      <c r="F386" s="116">
        <v>1015.4</v>
      </c>
      <c r="G386">
        <v>394125</v>
      </c>
      <c r="H386" s="116"/>
      <c r="I386" s="116"/>
      <c r="L386" s="170">
        <v>42570</v>
      </c>
      <c r="M386" s="116">
        <v>252.06063408399501</v>
      </c>
      <c r="N386" s="116">
        <v>253.33604405209601</v>
      </c>
      <c r="O386" s="116">
        <v>246.488454611712</v>
      </c>
      <c r="P386" s="116">
        <v>249.13833551630901</v>
      </c>
      <c r="Q386" s="116">
        <v>1017.8</v>
      </c>
      <c r="R386">
        <v>3805750</v>
      </c>
    </row>
    <row r="387" spans="1:18" x14ac:dyDescent="0.25">
      <c r="A387" s="170">
        <v>42571</v>
      </c>
      <c r="B387" s="116">
        <v>254.602232255953</v>
      </c>
      <c r="C387" s="116">
        <v>253.22781110137601</v>
      </c>
      <c r="D387" s="116">
        <v>251.85338994680001</v>
      </c>
      <c r="E387" s="116">
        <v>252.596320300625</v>
      </c>
      <c r="F387" s="116">
        <v>1022.55</v>
      </c>
      <c r="G387">
        <v>243360</v>
      </c>
      <c r="H387" s="116"/>
      <c r="I387" s="116"/>
      <c r="L387" s="170">
        <v>42571</v>
      </c>
      <c r="M387" s="116">
        <v>253.34842667314501</v>
      </c>
      <c r="N387" s="116">
        <v>254.66098450439401</v>
      </c>
      <c r="O387" s="116">
        <v>251.75106855775701</v>
      </c>
      <c r="P387" s="116">
        <v>252.59308678912501</v>
      </c>
      <c r="Q387" s="116">
        <v>1023</v>
      </c>
      <c r="R387">
        <v>2803645</v>
      </c>
    </row>
    <row r="388" spans="1:18" x14ac:dyDescent="0.25">
      <c r="A388" s="170">
        <v>42572</v>
      </c>
      <c r="B388" s="116">
        <v>253.72309800392699</v>
      </c>
      <c r="C388" s="116">
        <v>249.302662398666</v>
      </c>
      <c r="D388" s="116">
        <v>249.00549025713599</v>
      </c>
      <c r="E388" s="116">
        <v>253.58689410572501</v>
      </c>
      <c r="F388" s="116">
        <v>1006.7</v>
      </c>
      <c r="G388">
        <v>135079</v>
      </c>
      <c r="H388" s="116"/>
      <c r="I388" s="116"/>
      <c r="L388" s="170">
        <v>42572</v>
      </c>
      <c r="M388" s="116">
        <v>249.22501386365599</v>
      </c>
      <c r="N388" s="116">
        <v>253.843731515126</v>
      </c>
      <c r="O388" s="116">
        <v>248.89068309531899</v>
      </c>
      <c r="P388" s="116">
        <v>253.596079094136</v>
      </c>
      <c r="Q388" s="116">
        <v>1006.35</v>
      </c>
      <c r="R388">
        <v>1534044</v>
      </c>
    </row>
    <row r="389" spans="1:18" x14ac:dyDescent="0.25">
      <c r="A389" s="170">
        <v>42573</v>
      </c>
      <c r="B389" s="116">
        <v>251.915300809618</v>
      </c>
      <c r="C389" s="116">
        <v>251.308574353994</v>
      </c>
      <c r="D389" s="116">
        <v>248.671171597914</v>
      </c>
      <c r="E389" s="116">
        <v>248.88166853149801</v>
      </c>
      <c r="F389" s="116">
        <v>1014.8</v>
      </c>
      <c r="G389">
        <v>135033</v>
      </c>
      <c r="H389" s="116"/>
      <c r="I389" s="116"/>
      <c r="L389" s="170">
        <v>42573</v>
      </c>
      <c r="M389" s="116">
        <v>251.330059442074</v>
      </c>
      <c r="N389" s="116">
        <v>252.06063408399501</v>
      </c>
      <c r="O389" s="116">
        <v>248.91544833741801</v>
      </c>
      <c r="P389" s="116">
        <v>249.13833551630901</v>
      </c>
      <c r="Q389" s="116">
        <v>1014.85</v>
      </c>
      <c r="R389">
        <v>1577114</v>
      </c>
    </row>
    <row r="390" spans="1:18" x14ac:dyDescent="0.25">
      <c r="A390" s="170">
        <v>42576</v>
      </c>
      <c r="B390" s="116">
        <v>253.04207851292</v>
      </c>
      <c r="C390" s="116">
        <v>252.75728854395399</v>
      </c>
      <c r="D390" s="116">
        <v>249.57507019506801</v>
      </c>
      <c r="E390" s="116">
        <v>251.60574649552399</v>
      </c>
      <c r="F390" s="116">
        <v>1020.65</v>
      </c>
      <c r="G390">
        <v>1434391</v>
      </c>
      <c r="H390" s="116"/>
      <c r="I390" s="116"/>
      <c r="L390" s="170">
        <v>42576</v>
      </c>
      <c r="M390" s="116">
        <v>253.286513567898</v>
      </c>
      <c r="N390" s="116">
        <v>253.53416598888799</v>
      </c>
      <c r="O390" s="116">
        <v>249.47266628464601</v>
      </c>
      <c r="P390" s="116">
        <v>251.119554884232</v>
      </c>
      <c r="Q390" s="116">
        <v>1022.75</v>
      </c>
      <c r="R390">
        <v>1883884</v>
      </c>
    </row>
    <row r="391" spans="1:18" x14ac:dyDescent="0.25">
      <c r="A391" s="170">
        <v>42577</v>
      </c>
      <c r="B391" s="116">
        <v>256.10047513616797</v>
      </c>
      <c r="C391" s="116">
        <v>253.41354368983301</v>
      </c>
      <c r="D391" s="116">
        <v>251.40763173450401</v>
      </c>
      <c r="E391" s="116">
        <v>252.94302113241</v>
      </c>
      <c r="F391" s="116">
        <v>1023.3</v>
      </c>
      <c r="G391">
        <v>269334</v>
      </c>
      <c r="H391" s="116"/>
      <c r="I391" s="116"/>
      <c r="L391" s="170">
        <v>42577</v>
      </c>
      <c r="M391" s="116">
        <v>253.608461715185</v>
      </c>
      <c r="N391" s="116">
        <v>256.27072524083201</v>
      </c>
      <c r="O391" s="116">
        <v>251.41673778942001</v>
      </c>
      <c r="P391" s="116">
        <v>253.34842667314501</v>
      </c>
      <c r="Q391" s="116">
        <v>1024.05</v>
      </c>
      <c r="R391">
        <v>2403872</v>
      </c>
    </row>
    <row r="392" spans="1:18" x14ac:dyDescent="0.25">
      <c r="A392" s="170">
        <v>42578</v>
      </c>
      <c r="B392" s="116">
        <v>254.30506011442299</v>
      </c>
      <c r="C392" s="116">
        <v>250.875198314263</v>
      </c>
      <c r="D392" s="116">
        <v>250.11988578787401</v>
      </c>
      <c r="E392" s="116">
        <v>253.834537557001</v>
      </c>
      <c r="F392" s="116">
        <v>1013.05</v>
      </c>
      <c r="G392">
        <v>168876</v>
      </c>
      <c r="H392" s="116"/>
      <c r="I392" s="116"/>
      <c r="L392" s="170">
        <v>42578</v>
      </c>
      <c r="M392" s="116">
        <v>250.896667705341</v>
      </c>
      <c r="N392" s="116">
        <v>254.09138393611599</v>
      </c>
      <c r="O392" s="116">
        <v>249.86891015823099</v>
      </c>
      <c r="P392" s="116">
        <v>253.36080929419501</v>
      </c>
      <c r="Q392" s="116">
        <v>1013.1</v>
      </c>
      <c r="R392">
        <v>2521448</v>
      </c>
    </row>
    <row r="393" spans="1:18" x14ac:dyDescent="0.25">
      <c r="A393" s="170">
        <v>42579</v>
      </c>
      <c r="B393" s="116">
        <v>255.02322612312099</v>
      </c>
      <c r="C393" s="116">
        <v>254.094563180839</v>
      </c>
      <c r="D393" s="116">
        <v>250.73899441606201</v>
      </c>
      <c r="E393" s="116">
        <v>252.20009077858501</v>
      </c>
      <c r="F393" s="116">
        <v>1026.05</v>
      </c>
      <c r="G393">
        <v>205105</v>
      </c>
      <c r="H393" s="116"/>
      <c r="I393" s="116"/>
      <c r="L393" s="170">
        <v>42579</v>
      </c>
      <c r="M393" s="116">
        <v>254.17806228346299</v>
      </c>
      <c r="N393" s="116">
        <v>255.20581983057301</v>
      </c>
      <c r="O393" s="116">
        <v>250.88428508429101</v>
      </c>
      <c r="P393" s="116">
        <v>251.354824684173</v>
      </c>
      <c r="Q393" s="116">
        <v>1026.3499999999999</v>
      </c>
      <c r="R393">
        <v>3568375</v>
      </c>
    </row>
    <row r="394" spans="1:18" x14ac:dyDescent="0.25">
      <c r="A394" s="170">
        <v>42580</v>
      </c>
      <c r="B394" s="116">
        <v>254.03265231802101</v>
      </c>
      <c r="C394" s="116">
        <v>251.481924769887</v>
      </c>
      <c r="D394" s="116">
        <v>250.66470138067899</v>
      </c>
      <c r="E394" s="116">
        <v>254.03265231802101</v>
      </c>
      <c r="F394" s="116">
        <v>1015.5</v>
      </c>
      <c r="G394">
        <v>108105</v>
      </c>
      <c r="H394" s="116"/>
      <c r="I394" s="116"/>
      <c r="L394" s="170">
        <v>42580</v>
      </c>
      <c r="M394" s="116">
        <v>251.342442063123</v>
      </c>
      <c r="N394" s="116">
        <v>253.818966273027</v>
      </c>
      <c r="O394" s="116">
        <v>250.62425004225099</v>
      </c>
      <c r="P394" s="116">
        <v>253.596079094136</v>
      </c>
      <c r="Q394" s="116">
        <v>1014.9</v>
      </c>
      <c r="R394">
        <v>2201164</v>
      </c>
    </row>
    <row r="395" spans="1:18" x14ac:dyDescent="0.25">
      <c r="A395" s="170">
        <v>42583</v>
      </c>
      <c r="B395" s="116">
        <v>252.80681723420901</v>
      </c>
      <c r="C395" s="116">
        <v>249.94653537198101</v>
      </c>
      <c r="D395" s="116">
        <v>248.955961566881</v>
      </c>
      <c r="E395" s="116">
        <v>251.741950393726</v>
      </c>
      <c r="F395" s="116">
        <v>1009.3</v>
      </c>
      <c r="G395">
        <v>137323</v>
      </c>
      <c r="H395" s="116"/>
      <c r="I395" s="116"/>
      <c r="L395" s="170">
        <v>42583</v>
      </c>
      <c r="M395" s="116">
        <v>250.00511898977501</v>
      </c>
      <c r="N395" s="116">
        <v>252.67976513647099</v>
      </c>
      <c r="O395" s="116">
        <v>248.90306571636799</v>
      </c>
      <c r="P395" s="116">
        <v>252.110164568193</v>
      </c>
      <c r="Q395" s="116">
        <v>1009.5</v>
      </c>
      <c r="R395">
        <v>1823694</v>
      </c>
    </row>
    <row r="396" spans="1:18" x14ac:dyDescent="0.25">
      <c r="A396" s="170">
        <v>42584</v>
      </c>
      <c r="B396" s="116">
        <v>252.22485512371199</v>
      </c>
      <c r="C396" s="116">
        <v>250.37991141171301</v>
      </c>
      <c r="D396" s="116">
        <v>249.376955434048</v>
      </c>
      <c r="E396" s="116">
        <v>249.84747799147101</v>
      </c>
      <c r="F396" s="116">
        <v>1011.05</v>
      </c>
      <c r="G396">
        <v>158464</v>
      </c>
      <c r="H396" s="116"/>
      <c r="I396" s="116"/>
      <c r="L396" s="170">
        <v>42584</v>
      </c>
      <c r="M396" s="116">
        <v>250.822371979043</v>
      </c>
      <c r="N396" s="116">
        <v>252.60546941017401</v>
      </c>
      <c r="O396" s="116">
        <v>249.21263124260599</v>
      </c>
      <c r="P396" s="116">
        <v>249.63364035828999</v>
      </c>
      <c r="Q396" s="116">
        <v>1012.8</v>
      </c>
      <c r="R396">
        <v>1762408</v>
      </c>
    </row>
    <row r="397" spans="1:18" x14ac:dyDescent="0.25">
      <c r="A397" s="170">
        <v>42585</v>
      </c>
      <c r="B397" s="116">
        <v>250.875198314263</v>
      </c>
      <c r="C397" s="116">
        <v>246.16997274003501</v>
      </c>
      <c r="D397" s="116">
        <v>245.66230366492201</v>
      </c>
      <c r="E397" s="116">
        <v>250.50373313735</v>
      </c>
      <c r="F397" s="116">
        <v>994.05</v>
      </c>
      <c r="G397">
        <v>175635</v>
      </c>
      <c r="H397" s="116"/>
      <c r="I397" s="116"/>
      <c r="L397" s="170">
        <v>42585</v>
      </c>
      <c r="M397" s="116">
        <v>246.154123843375</v>
      </c>
      <c r="N397" s="116">
        <v>251.21861585262801</v>
      </c>
      <c r="O397" s="116">
        <v>245.54737541194899</v>
      </c>
      <c r="P397" s="116">
        <v>251.21861585262801</v>
      </c>
      <c r="Q397" s="116">
        <v>993.95</v>
      </c>
      <c r="R397">
        <v>2713804</v>
      </c>
    </row>
    <row r="398" spans="1:18" x14ac:dyDescent="0.25">
      <c r="A398" s="170">
        <v>42586</v>
      </c>
      <c r="B398" s="116">
        <v>248.13873817767299</v>
      </c>
      <c r="C398" s="116">
        <v>245.94709363388799</v>
      </c>
      <c r="D398" s="116">
        <v>243.804977780358</v>
      </c>
      <c r="E398" s="116">
        <v>247.643451275122</v>
      </c>
      <c r="F398" s="116">
        <v>993.15</v>
      </c>
      <c r="G398">
        <v>178507</v>
      </c>
      <c r="H398" s="116"/>
      <c r="I398" s="116"/>
      <c r="L398" s="170">
        <v>42586</v>
      </c>
      <c r="M398" s="116">
        <v>245.91885404343401</v>
      </c>
      <c r="N398" s="116">
        <v>247.65242099036701</v>
      </c>
      <c r="O398" s="116">
        <v>243.54139080192701</v>
      </c>
      <c r="P398" s="116">
        <v>247.40476856937599</v>
      </c>
      <c r="Q398" s="116">
        <v>993</v>
      </c>
      <c r="R398">
        <v>2328716</v>
      </c>
    </row>
    <row r="399" spans="1:18" x14ac:dyDescent="0.25">
      <c r="A399" s="170">
        <v>42587</v>
      </c>
      <c r="B399" s="116">
        <v>251.97721167243699</v>
      </c>
      <c r="C399" s="116">
        <v>251.24666349117601</v>
      </c>
      <c r="D399" s="116">
        <v>246.45476270900201</v>
      </c>
      <c r="E399" s="116">
        <v>246.45476270900201</v>
      </c>
      <c r="F399" s="116">
        <v>1014.55</v>
      </c>
      <c r="G399">
        <v>174956</v>
      </c>
      <c r="H399" s="116"/>
      <c r="I399" s="116"/>
      <c r="L399" s="170">
        <v>42587</v>
      </c>
      <c r="M399" s="116">
        <v>251.67677283146</v>
      </c>
      <c r="N399" s="116">
        <v>252.35781698918399</v>
      </c>
      <c r="O399" s="116">
        <v>246.921846348445</v>
      </c>
      <c r="P399" s="116">
        <v>247.157116148386</v>
      </c>
      <c r="Q399" s="116">
        <v>1016.25</v>
      </c>
      <c r="R399">
        <v>2767914</v>
      </c>
    </row>
    <row r="400" spans="1:18" x14ac:dyDescent="0.25">
      <c r="A400" s="170">
        <v>42590</v>
      </c>
      <c r="B400" s="116">
        <v>255.93950689283901</v>
      </c>
      <c r="C400" s="116">
        <v>254.98607960543001</v>
      </c>
      <c r="D400" s="116">
        <v>251.89053646449099</v>
      </c>
      <c r="E400" s="116">
        <v>251.89053646449099</v>
      </c>
      <c r="F400" s="116">
        <v>1029.6500000000001</v>
      </c>
      <c r="G400">
        <v>266132</v>
      </c>
      <c r="H400" s="116"/>
      <c r="I400" s="116"/>
      <c r="L400" s="170">
        <v>42590</v>
      </c>
      <c r="M400" s="116">
        <v>254.896254304335</v>
      </c>
      <c r="N400" s="116">
        <v>256.07260330403898</v>
      </c>
      <c r="O400" s="116">
        <v>252.27113864183701</v>
      </c>
      <c r="P400" s="116">
        <v>252.58070416807499</v>
      </c>
      <c r="Q400" s="116">
        <v>1029.25</v>
      </c>
      <c r="R400">
        <v>3098753</v>
      </c>
    </row>
    <row r="401" spans="1:18" x14ac:dyDescent="0.25">
      <c r="A401" s="170">
        <v>42591</v>
      </c>
      <c r="B401" s="116">
        <v>255.914742547712</v>
      </c>
      <c r="C401" s="116">
        <v>255.03560829568499</v>
      </c>
      <c r="D401" s="116">
        <v>252.91825678728301</v>
      </c>
      <c r="E401" s="116">
        <v>254.67652529133599</v>
      </c>
      <c r="F401" s="116">
        <v>1029.8499999999999</v>
      </c>
      <c r="G401">
        <v>188865</v>
      </c>
      <c r="H401" s="116"/>
      <c r="I401" s="116"/>
      <c r="L401" s="170">
        <v>42591</v>
      </c>
      <c r="M401" s="116">
        <v>255.25535031477099</v>
      </c>
      <c r="N401" s="116">
        <v>256.19642951453397</v>
      </c>
      <c r="O401" s="116">
        <v>252.853121831164</v>
      </c>
      <c r="P401" s="116">
        <v>254.33903635710701</v>
      </c>
      <c r="Q401" s="116">
        <v>1030.7</v>
      </c>
      <c r="R401">
        <v>3038046</v>
      </c>
    </row>
    <row r="402" spans="1:18" x14ac:dyDescent="0.25">
      <c r="A402" s="170">
        <v>42592</v>
      </c>
      <c r="B402" s="116">
        <v>256.187150344114</v>
      </c>
      <c r="C402" s="116">
        <v>248.336852938693</v>
      </c>
      <c r="D402" s="116">
        <v>247.903476898961</v>
      </c>
      <c r="E402" s="116">
        <v>255.06037264081201</v>
      </c>
      <c r="F402" s="116">
        <v>1002.8</v>
      </c>
      <c r="G402">
        <v>205341</v>
      </c>
      <c r="H402" s="116"/>
      <c r="I402" s="116"/>
      <c r="L402" s="170">
        <v>42592</v>
      </c>
      <c r="M402" s="116">
        <v>248.55635232698199</v>
      </c>
      <c r="N402" s="116">
        <v>256.20881213558403</v>
      </c>
      <c r="O402" s="116">
        <v>248.14772583234699</v>
      </c>
      <c r="P402" s="116">
        <v>255.39155914631601</v>
      </c>
      <c r="Q402" s="116">
        <v>1003.65</v>
      </c>
      <c r="R402">
        <v>3079463</v>
      </c>
    </row>
    <row r="403" spans="1:18" x14ac:dyDescent="0.25">
      <c r="A403" s="170">
        <v>42593</v>
      </c>
      <c r="B403" s="116">
        <v>253.09160720317499</v>
      </c>
      <c r="C403" s="116">
        <v>250.72661224349801</v>
      </c>
      <c r="D403" s="116">
        <v>247.70536213794099</v>
      </c>
      <c r="E403" s="116">
        <v>248.63402508022301</v>
      </c>
      <c r="F403" s="116">
        <v>1012.45</v>
      </c>
      <c r="G403">
        <v>161720</v>
      </c>
      <c r="H403" s="116"/>
      <c r="I403" s="116"/>
      <c r="L403" s="170">
        <v>42593</v>
      </c>
      <c r="M403" s="116">
        <v>251.144320126331</v>
      </c>
      <c r="N403" s="116">
        <v>253.31127880999699</v>
      </c>
      <c r="O403" s="116">
        <v>247.553360021971</v>
      </c>
      <c r="P403" s="116">
        <v>248.13534321129799</v>
      </c>
      <c r="Q403" s="116">
        <v>1014.1</v>
      </c>
      <c r="R403">
        <v>3238899</v>
      </c>
    </row>
    <row r="404" spans="1:18" x14ac:dyDescent="0.25">
      <c r="A404" s="170">
        <v>42594</v>
      </c>
      <c r="B404" s="116">
        <v>257.98256536585899</v>
      </c>
      <c r="C404" s="116">
        <v>256.29858989718798</v>
      </c>
      <c r="D404" s="116">
        <v>251.33333869912201</v>
      </c>
      <c r="E404" s="116">
        <v>251.35810304424899</v>
      </c>
      <c r="F404" s="116">
        <v>1034.95</v>
      </c>
      <c r="G404">
        <v>361232</v>
      </c>
      <c r="H404" s="116"/>
      <c r="I404" s="116"/>
      <c r="L404" s="170">
        <v>42594</v>
      </c>
      <c r="M404" s="116">
        <v>256.518377661822</v>
      </c>
      <c r="N404" s="116">
        <v>258.27670985085302</v>
      </c>
      <c r="O404" s="116">
        <v>251.86251214720301</v>
      </c>
      <c r="P404" s="116">
        <v>251.86251214720301</v>
      </c>
      <c r="Q404" s="116">
        <v>1035.8</v>
      </c>
      <c r="R404">
        <v>3740861</v>
      </c>
    </row>
    <row r="405" spans="1:18" x14ac:dyDescent="0.25">
      <c r="A405" s="170">
        <v>42598</v>
      </c>
      <c r="B405" s="116">
        <v>258.53976313122803</v>
      </c>
      <c r="C405" s="116">
        <v>253.63642279598</v>
      </c>
      <c r="D405" s="116">
        <v>251.60574649552399</v>
      </c>
      <c r="E405" s="116">
        <v>256.31097206975198</v>
      </c>
      <c r="F405" s="116">
        <v>1024.2</v>
      </c>
      <c r="G405">
        <v>202889</v>
      </c>
      <c r="H405" s="116"/>
      <c r="I405" s="116"/>
      <c r="L405" s="170">
        <v>42598</v>
      </c>
      <c r="M405" s="116">
        <v>253.818966273027</v>
      </c>
      <c r="N405" s="116">
        <v>258.74724945073501</v>
      </c>
      <c r="O405" s="116">
        <v>251.49103351571699</v>
      </c>
      <c r="P405" s="116">
        <v>256.62982125126803</v>
      </c>
      <c r="Q405" s="116">
        <v>1024.9000000000001</v>
      </c>
      <c r="R405">
        <v>3055603</v>
      </c>
    </row>
    <row r="406" spans="1:18" x14ac:dyDescent="0.25">
      <c r="A406" s="170">
        <v>42599</v>
      </c>
      <c r="B406" s="116">
        <v>254.775582671846</v>
      </c>
      <c r="C406" s="116">
        <v>251.110459592974</v>
      </c>
      <c r="D406" s="116">
        <v>249.67412757557901</v>
      </c>
      <c r="E406" s="116">
        <v>253.33925065445001</v>
      </c>
      <c r="F406" s="116">
        <v>1014</v>
      </c>
      <c r="G406">
        <v>453723</v>
      </c>
      <c r="H406" s="116"/>
      <c r="I406" s="116"/>
      <c r="L406" s="170">
        <v>42599</v>
      </c>
      <c r="M406" s="116">
        <v>250.94619818953899</v>
      </c>
      <c r="N406" s="116">
        <v>254.78481071488901</v>
      </c>
      <c r="O406" s="116">
        <v>249.43551842149699</v>
      </c>
      <c r="P406" s="116">
        <v>253.620844336235</v>
      </c>
      <c r="Q406" s="116">
        <v>1013.3</v>
      </c>
      <c r="R406">
        <v>3539970</v>
      </c>
    </row>
    <row r="407" spans="1:18" x14ac:dyDescent="0.25">
      <c r="A407" s="170">
        <v>42600</v>
      </c>
      <c r="B407" s="116">
        <v>253.37639717214199</v>
      </c>
      <c r="C407" s="116">
        <v>251.75433256629</v>
      </c>
      <c r="D407" s="116">
        <v>251.395249561941</v>
      </c>
      <c r="E407" s="116">
        <v>251.44477825219599</v>
      </c>
      <c r="F407" s="116">
        <v>1016.6</v>
      </c>
      <c r="G407">
        <v>290170</v>
      </c>
      <c r="H407" s="116"/>
      <c r="I407" s="116"/>
      <c r="L407" s="170">
        <v>42600</v>
      </c>
      <c r="M407" s="116">
        <v>252.12254718924299</v>
      </c>
      <c r="N407" s="116">
        <v>253.509400746789</v>
      </c>
      <c r="O407" s="116">
        <v>251.61485972621301</v>
      </c>
      <c r="P407" s="116">
        <v>251.61485972621301</v>
      </c>
      <c r="Q407" s="116">
        <v>1018.05</v>
      </c>
      <c r="R407">
        <v>1771449</v>
      </c>
    </row>
    <row r="408" spans="1:18" x14ac:dyDescent="0.25">
      <c r="A408" s="170">
        <v>42601</v>
      </c>
      <c r="B408" s="116">
        <v>253.01731416779299</v>
      </c>
      <c r="C408" s="116">
        <v>251.32095652655801</v>
      </c>
      <c r="D408" s="116">
        <v>249.43886629686699</v>
      </c>
      <c r="E408" s="116">
        <v>250.36752923914901</v>
      </c>
      <c r="F408" s="116">
        <v>1014.85</v>
      </c>
      <c r="G408">
        <v>149095</v>
      </c>
      <c r="H408" s="116"/>
      <c r="I408" s="116"/>
      <c r="L408" s="170">
        <v>42601</v>
      </c>
      <c r="M408" s="116">
        <v>251.342442063123</v>
      </c>
      <c r="N408" s="116">
        <v>253.10077425215499</v>
      </c>
      <c r="O408" s="116">
        <v>249.410753179398</v>
      </c>
      <c r="P408" s="116">
        <v>252.110164568193</v>
      </c>
      <c r="Q408" s="116">
        <v>1014.9</v>
      </c>
      <c r="R408">
        <v>1869308</v>
      </c>
    </row>
    <row r="409" spans="1:18" x14ac:dyDescent="0.25">
      <c r="A409" s="170">
        <v>42604</v>
      </c>
      <c r="B409" s="116">
        <v>252.682995508571</v>
      </c>
      <c r="C409" s="116">
        <v>251.08569524784701</v>
      </c>
      <c r="D409" s="116">
        <v>249.45124846943099</v>
      </c>
      <c r="E409" s="116">
        <v>252.076269052947</v>
      </c>
      <c r="F409" s="116">
        <v>1013.9</v>
      </c>
      <c r="G409">
        <v>179189</v>
      </c>
      <c r="H409" s="116"/>
      <c r="I409" s="116"/>
      <c r="L409" s="170">
        <v>42604</v>
      </c>
      <c r="M409" s="116">
        <v>250.587102179103</v>
      </c>
      <c r="N409" s="116">
        <v>252.531173683877</v>
      </c>
      <c r="O409" s="116">
        <v>249.43551842149699</v>
      </c>
      <c r="P409" s="116">
        <v>250.62425004225099</v>
      </c>
      <c r="Q409" s="116">
        <v>1011.85</v>
      </c>
      <c r="R409">
        <v>1527904</v>
      </c>
    </row>
    <row r="410" spans="1:18" x14ac:dyDescent="0.25">
      <c r="A410" s="170">
        <v>42605</v>
      </c>
      <c r="B410" s="116">
        <v>251.308574353994</v>
      </c>
      <c r="C410" s="116">
        <v>250.09512144274601</v>
      </c>
      <c r="D410" s="116">
        <v>248.90643287662601</v>
      </c>
      <c r="E410" s="116">
        <v>250.862816141699</v>
      </c>
      <c r="F410" s="116">
        <v>1009.9</v>
      </c>
      <c r="G410">
        <v>208441</v>
      </c>
      <c r="H410" s="116"/>
      <c r="I410" s="116"/>
      <c r="L410" s="170">
        <v>42605</v>
      </c>
      <c r="M410" s="116">
        <v>250.24038878971601</v>
      </c>
      <c r="N410" s="116">
        <v>251.367207305222</v>
      </c>
      <c r="O410" s="116">
        <v>248.89068309531899</v>
      </c>
      <c r="P410" s="116">
        <v>250.62425004225099</v>
      </c>
      <c r="Q410" s="116">
        <v>1010.45</v>
      </c>
      <c r="R410">
        <v>1673328</v>
      </c>
    </row>
    <row r="411" spans="1:18" x14ac:dyDescent="0.25">
      <c r="A411" s="170">
        <v>42606</v>
      </c>
      <c r="B411" s="116">
        <v>253.11637154830299</v>
      </c>
      <c r="C411" s="116">
        <v>252.782052889081</v>
      </c>
      <c r="D411" s="116">
        <v>250.39229358427599</v>
      </c>
      <c r="E411" s="116">
        <v>251.23428131861201</v>
      </c>
      <c r="F411" s="116">
        <v>1020.75</v>
      </c>
      <c r="G411">
        <v>366612</v>
      </c>
      <c r="H411" s="116"/>
      <c r="I411" s="116"/>
      <c r="L411" s="170">
        <v>42606</v>
      </c>
      <c r="M411" s="116">
        <v>252.72929562066901</v>
      </c>
      <c r="N411" s="116">
        <v>253.088391631105</v>
      </c>
      <c r="O411" s="116">
        <v>250.376597621261</v>
      </c>
      <c r="P411" s="116">
        <v>250.54995431595401</v>
      </c>
      <c r="Q411" s="116">
        <v>1020.5</v>
      </c>
      <c r="R411">
        <v>1993153</v>
      </c>
    </row>
    <row r="412" spans="1:18" x14ac:dyDescent="0.25">
      <c r="A412" s="170">
        <v>42607</v>
      </c>
      <c r="B412" s="116">
        <v>254.701289636463</v>
      </c>
      <c r="C412" s="116">
        <v>250.88758048682701</v>
      </c>
      <c r="D412" s="116">
        <v>250.11988578787401</v>
      </c>
      <c r="E412" s="116">
        <v>252.72014202626201</v>
      </c>
      <c r="F412" s="116">
        <v>1013.1</v>
      </c>
      <c r="G412">
        <v>156757</v>
      </c>
      <c r="H412" s="116"/>
      <c r="I412" s="116"/>
      <c r="L412" s="170">
        <v>42607</v>
      </c>
      <c r="M412" s="116">
        <v>250.797606736944</v>
      </c>
      <c r="N412" s="116">
        <v>254.83434119908699</v>
      </c>
      <c r="O412" s="116">
        <v>249.88129277927999</v>
      </c>
      <c r="P412" s="116">
        <v>252.90265231536301</v>
      </c>
      <c r="Q412" s="116">
        <v>1012.7</v>
      </c>
      <c r="R412">
        <v>3419775</v>
      </c>
    </row>
    <row r="413" spans="1:18" x14ac:dyDescent="0.25">
      <c r="A413" s="170">
        <v>42608</v>
      </c>
      <c r="B413" s="116">
        <v>255.07275481337601</v>
      </c>
      <c r="C413" s="116">
        <v>254.50317487544299</v>
      </c>
      <c r="D413" s="116">
        <v>251.27142783630299</v>
      </c>
      <c r="E413" s="116">
        <v>251.308574353994</v>
      </c>
      <c r="F413" s="116">
        <v>1027.7</v>
      </c>
      <c r="G413">
        <v>232782</v>
      </c>
      <c r="H413" s="116"/>
      <c r="I413" s="116"/>
      <c r="L413" s="170">
        <v>42608</v>
      </c>
      <c r="M413" s="116">
        <v>254.56192353599801</v>
      </c>
      <c r="N413" s="116">
        <v>255.28011555686999</v>
      </c>
      <c r="O413" s="116">
        <v>251.26814633682599</v>
      </c>
      <c r="P413" s="116">
        <v>252.08539932609401</v>
      </c>
      <c r="Q413" s="116">
        <v>1027.9000000000001</v>
      </c>
      <c r="R413">
        <v>2203465</v>
      </c>
    </row>
    <row r="414" spans="1:18" x14ac:dyDescent="0.25">
      <c r="A414" s="170">
        <v>42611</v>
      </c>
      <c r="B414" s="116">
        <v>262.48967617906601</v>
      </c>
      <c r="C414" s="116">
        <v>261.759127997804</v>
      </c>
      <c r="D414" s="116">
        <v>254.32982445955099</v>
      </c>
      <c r="E414" s="116">
        <v>254.50317487544299</v>
      </c>
      <c r="F414" s="116">
        <v>1057</v>
      </c>
      <c r="G414">
        <v>639293</v>
      </c>
      <c r="H414" s="116"/>
      <c r="I414" s="116"/>
      <c r="L414" s="170">
        <v>42611</v>
      </c>
      <c r="M414" s="116">
        <v>261.88005257626298</v>
      </c>
      <c r="N414" s="116">
        <v>262.449653144541</v>
      </c>
      <c r="O414" s="116">
        <v>254.11614917821501</v>
      </c>
      <c r="P414" s="116">
        <v>254.40094946235399</v>
      </c>
      <c r="Q414" s="116">
        <v>1057.45</v>
      </c>
      <c r="R414">
        <v>3701495</v>
      </c>
    </row>
    <row r="415" spans="1:18" x14ac:dyDescent="0.25">
      <c r="A415" s="170">
        <v>42612</v>
      </c>
      <c r="B415" s="116">
        <v>264.978492864381</v>
      </c>
      <c r="C415" s="116">
        <v>263.93839036902602</v>
      </c>
      <c r="D415" s="116">
        <v>260.83046505552301</v>
      </c>
      <c r="E415" s="116">
        <v>262.30394359061</v>
      </c>
      <c r="F415" s="116">
        <v>1065.8</v>
      </c>
      <c r="G415">
        <v>1139289</v>
      </c>
      <c r="H415" s="116"/>
      <c r="I415" s="116"/>
      <c r="L415" s="170">
        <v>42612</v>
      </c>
      <c r="M415" s="116">
        <v>264.09654174412702</v>
      </c>
      <c r="N415" s="116">
        <v>264.616611828207</v>
      </c>
      <c r="O415" s="116">
        <v>260.77799930285602</v>
      </c>
      <c r="P415" s="116">
        <v>263.00687109176903</v>
      </c>
      <c r="Q415" s="116">
        <v>1066.4000000000001</v>
      </c>
      <c r="R415">
        <v>4153522</v>
      </c>
    </row>
    <row r="416" spans="1:18" x14ac:dyDescent="0.25">
      <c r="A416" s="170">
        <v>42613</v>
      </c>
      <c r="B416" s="116">
        <v>265.85762711640803</v>
      </c>
      <c r="C416" s="116">
        <v>262.00677144908002</v>
      </c>
      <c r="D416" s="116">
        <v>259.29507565761702</v>
      </c>
      <c r="E416" s="116">
        <v>263.96315471415301</v>
      </c>
      <c r="F416" s="116">
        <v>1058</v>
      </c>
      <c r="G416">
        <v>232493</v>
      </c>
      <c r="H416" s="116"/>
      <c r="I416" s="116"/>
      <c r="L416" s="170">
        <v>42613</v>
      </c>
      <c r="M416" s="116">
        <v>262.51156624978898</v>
      </c>
      <c r="N416" s="116">
        <v>265.97870014365401</v>
      </c>
      <c r="O416" s="116">
        <v>259.29208477691401</v>
      </c>
      <c r="P416" s="116">
        <v>263.72506311264198</v>
      </c>
      <c r="Q416" s="116">
        <v>1060</v>
      </c>
      <c r="R416">
        <v>5324960</v>
      </c>
    </row>
    <row r="417" spans="1:18" x14ac:dyDescent="0.25">
      <c r="A417" s="170">
        <v>42614</v>
      </c>
      <c r="B417" s="116">
        <v>265.60998366513297</v>
      </c>
      <c r="C417" s="116">
        <v>254.862257879792</v>
      </c>
      <c r="D417" s="116">
        <v>254.14409187109399</v>
      </c>
      <c r="E417" s="116">
        <v>260.99143329885197</v>
      </c>
      <c r="F417" s="116">
        <v>1029.1500000000001</v>
      </c>
      <c r="G417">
        <v>1095036</v>
      </c>
      <c r="H417" s="116"/>
      <c r="I417" s="116"/>
      <c r="L417" s="170">
        <v>42614</v>
      </c>
      <c r="M417" s="116">
        <v>254.88387168328501</v>
      </c>
      <c r="N417" s="116">
        <v>265.66913461741598</v>
      </c>
      <c r="O417" s="116">
        <v>254.01708820981901</v>
      </c>
      <c r="P417" s="116">
        <v>260.77799930285602</v>
      </c>
      <c r="Q417" s="116">
        <v>1029.2</v>
      </c>
      <c r="R417">
        <v>9742454</v>
      </c>
    </row>
    <row r="418" spans="1:18" x14ac:dyDescent="0.25">
      <c r="A418" s="170">
        <v>42615</v>
      </c>
      <c r="B418" s="116">
        <v>256.31097206975198</v>
      </c>
      <c r="C418" s="116">
        <v>250.82566962400799</v>
      </c>
      <c r="D418" s="116">
        <v>248.411145974075</v>
      </c>
      <c r="E418" s="116">
        <v>255.568041715926</v>
      </c>
      <c r="F418" s="116">
        <v>1012.85</v>
      </c>
      <c r="G418">
        <v>541854</v>
      </c>
      <c r="H418" s="116"/>
      <c r="I418" s="116"/>
      <c r="L418" s="170">
        <v>42615</v>
      </c>
      <c r="M418" s="116">
        <v>250.95858081058799</v>
      </c>
      <c r="N418" s="116">
        <v>255.71350729360299</v>
      </c>
      <c r="O418" s="116">
        <v>248.222021558645</v>
      </c>
      <c r="P418" s="116">
        <v>255.354411283167</v>
      </c>
      <c r="Q418" s="116">
        <v>1013.35</v>
      </c>
      <c r="R418">
        <v>6428814</v>
      </c>
    </row>
    <row r="419" spans="1:18" x14ac:dyDescent="0.25">
      <c r="A419" s="170">
        <v>42619</v>
      </c>
      <c r="B419" s="116">
        <v>253.822155384437</v>
      </c>
      <c r="C419" s="116">
        <v>252.707759853699</v>
      </c>
      <c r="D419" s="116">
        <v>251.110459592974</v>
      </c>
      <c r="E419" s="116">
        <v>252.596320300625</v>
      </c>
      <c r="F419" s="116">
        <v>1020.45</v>
      </c>
      <c r="G419">
        <v>240877</v>
      </c>
      <c r="H419" s="116"/>
      <c r="I419" s="116"/>
      <c r="L419" s="170">
        <v>42619</v>
      </c>
      <c r="M419" s="116">
        <v>252.58070416807499</v>
      </c>
      <c r="N419" s="116">
        <v>253.843731515126</v>
      </c>
      <c r="O419" s="116">
        <v>251.367207305222</v>
      </c>
      <c r="P419" s="116">
        <v>252.58070416807499</v>
      </c>
      <c r="Q419" s="116">
        <v>1019.9</v>
      </c>
      <c r="R419">
        <v>2631091</v>
      </c>
    </row>
    <row r="420" spans="1:18" x14ac:dyDescent="0.25">
      <c r="A420" s="170">
        <v>42620</v>
      </c>
      <c r="B420" s="116">
        <v>254.267913596732</v>
      </c>
      <c r="C420" s="116">
        <v>251.96482949987299</v>
      </c>
      <c r="D420" s="116">
        <v>251.110459592974</v>
      </c>
      <c r="E420" s="116">
        <v>252.62108464575201</v>
      </c>
      <c r="F420" s="116">
        <v>1017.45</v>
      </c>
      <c r="G420">
        <v>220304</v>
      </c>
      <c r="H420" s="116"/>
      <c r="I420" s="116"/>
      <c r="L420" s="170">
        <v>42620</v>
      </c>
      <c r="M420" s="116">
        <v>252.02348622084699</v>
      </c>
      <c r="N420" s="116">
        <v>254.351418978156</v>
      </c>
      <c r="O420" s="116">
        <v>250.88428508429101</v>
      </c>
      <c r="P420" s="116">
        <v>253.10077425215499</v>
      </c>
      <c r="Q420" s="116">
        <v>1017.65</v>
      </c>
      <c r="R420">
        <v>2954995</v>
      </c>
    </row>
    <row r="421" spans="1:18" x14ac:dyDescent="0.25">
      <c r="A421" s="170">
        <v>42621</v>
      </c>
      <c r="B421" s="116">
        <v>256.434793795389</v>
      </c>
      <c r="C421" s="116">
        <v>255.62995257874499</v>
      </c>
      <c r="D421" s="116">
        <v>252.596320300625</v>
      </c>
      <c r="E421" s="116">
        <v>252.72014202626201</v>
      </c>
      <c r="F421" s="116">
        <v>1032.25</v>
      </c>
      <c r="G421">
        <v>367758</v>
      </c>
      <c r="H421" s="116"/>
      <c r="I421" s="116"/>
      <c r="L421" s="170">
        <v>42621</v>
      </c>
      <c r="M421" s="116">
        <v>255.92401185144499</v>
      </c>
      <c r="N421" s="116">
        <v>256.55552552496999</v>
      </c>
      <c r="O421" s="116">
        <v>252.654999894372</v>
      </c>
      <c r="P421" s="116">
        <v>253.36080929419501</v>
      </c>
      <c r="Q421" s="116">
        <v>1033.4000000000001</v>
      </c>
      <c r="R421">
        <v>2790196</v>
      </c>
    </row>
    <row r="422" spans="1:18" x14ac:dyDescent="0.25">
      <c r="A422" s="170">
        <v>42622</v>
      </c>
      <c r="B422" s="116">
        <v>259.93894863093198</v>
      </c>
      <c r="C422" s="116">
        <v>258.46547009584498</v>
      </c>
      <c r="D422" s="116">
        <v>255.122283503631</v>
      </c>
      <c r="E422" s="116">
        <v>256.06332861847699</v>
      </c>
      <c r="F422" s="116">
        <v>1043.7</v>
      </c>
      <c r="G422">
        <v>305332</v>
      </c>
      <c r="H422" s="116"/>
      <c r="I422" s="116"/>
      <c r="L422" s="170">
        <v>42622</v>
      </c>
      <c r="M422" s="116">
        <v>258.685336345488</v>
      </c>
      <c r="N422" s="116">
        <v>260.01027679778599</v>
      </c>
      <c r="O422" s="116">
        <v>255.08199362007801</v>
      </c>
      <c r="P422" s="116">
        <v>256.32025572502999</v>
      </c>
      <c r="Q422" s="116">
        <v>1044.55</v>
      </c>
      <c r="R422">
        <v>3490441</v>
      </c>
    </row>
    <row r="423" spans="1:18" x14ac:dyDescent="0.25">
      <c r="A423" s="170">
        <v>42625</v>
      </c>
      <c r="B423" s="116">
        <v>261.42480933858297</v>
      </c>
      <c r="C423" s="116">
        <v>259.18363610454298</v>
      </c>
      <c r="D423" s="116">
        <v>253.85930190212801</v>
      </c>
      <c r="E423" s="116">
        <v>256.06332861847699</v>
      </c>
      <c r="F423" s="116">
        <v>1046.5999999999999</v>
      </c>
      <c r="G423">
        <v>492672</v>
      </c>
      <c r="H423" s="116"/>
      <c r="I423" s="116"/>
      <c r="L423" s="170">
        <v>42625</v>
      </c>
      <c r="M423" s="116">
        <v>259.16825856641901</v>
      </c>
      <c r="N423" s="116">
        <v>261.52095656582702</v>
      </c>
      <c r="O423" s="116">
        <v>254.87148906223601</v>
      </c>
      <c r="P423" s="116">
        <v>255.18105458847401</v>
      </c>
      <c r="Q423" s="116">
        <v>1046.5</v>
      </c>
      <c r="R423">
        <v>7699800</v>
      </c>
    </row>
    <row r="424" spans="1:18" x14ac:dyDescent="0.25">
      <c r="A424" s="170">
        <v>42627</v>
      </c>
      <c r="B424" s="116">
        <v>262.00677144908002</v>
      </c>
      <c r="C424" s="116">
        <v>258.898846135577</v>
      </c>
      <c r="D424" s="116">
        <v>257.71015756945599</v>
      </c>
      <c r="E424" s="116">
        <v>259.03505003377802</v>
      </c>
      <c r="F424" s="116">
        <v>1045.45</v>
      </c>
      <c r="G424">
        <v>314372</v>
      </c>
      <c r="H424" s="116"/>
      <c r="I424" s="116"/>
      <c r="L424" s="170">
        <v>42627</v>
      </c>
      <c r="M424" s="116">
        <v>258.73486682968598</v>
      </c>
      <c r="N424" s="116">
        <v>262.26391382879802</v>
      </c>
      <c r="O424" s="116">
        <v>257.78140500887298</v>
      </c>
      <c r="P424" s="116">
        <v>259.539737197904</v>
      </c>
      <c r="Q424" s="116">
        <v>1044.75</v>
      </c>
      <c r="R424">
        <v>4252754</v>
      </c>
    </row>
    <row r="425" spans="1:18" x14ac:dyDescent="0.25">
      <c r="A425" s="170">
        <v>42628</v>
      </c>
      <c r="B425" s="116">
        <v>264.483205961831</v>
      </c>
      <c r="C425" s="116">
        <v>263.10878480725398</v>
      </c>
      <c r="D425" s="116">
        <v>259.28269348505302</v>
      </c>
      <c r="E425" s="116">
        <v>259.28269348505302</v>
      </c>
      <c r="F425" s="116">
        <v>1062.45</v>
      </c>
      <c r="G425">
        <v>462771</v>
      </c>
      <c r="H425" s="116"/>
      <c r="I425" s="116"/>
      <c r="L425" s="170">
        <v>42628</v>
      </c>
      <c r="M425" s="116">
        <v>263.749828354741</v>
      </c>
      <c r="N425" s="116">
        <v>265.03762094388998</v>
      </c>
      <c r="O425" s="116">
        <v>259.29208477691401</v>
      </c>
      <c r="P425" s="116">
        <v>259.29208477691401</v>
      </c>
      <c r="Q425" s="116">
        <v>1065</v>
      </c>
      <c r="R425">
        <v>7170885</v>
      </c>
    </row>
    <row r="426" spans="1:18" x14ac:dyDescent="0.25">
      <c r="A426" s="170">
        <v>42629</v>
      </c>
      <c r="B426" s="116">
        <v>270.73620310652802</v>
      </c>
      <c r="C426" s="116">
        <v>266.37767836408602</v>
      </c>
      <c r="D426" s="116">
        <v>262.44014748881102</v>
      </c>
      <c r="E426" s="116">
        <v>263.74027560800499</v>
      </c>
      <c r="F426" s="116">
        <v>1075.6500000000001</v>
      </c>
      <c r="G426">
        <v>1299359</v>
      </c>
      <c r="H426" s="116"/>
      <c r="I426" s="116"/>
      <c r="L426" s="170">
        <v>42629</v>
      </c>
      <c r="M426" s="116">
        <v>266.36256139618899</v>
      </c>
      <c r="N426" s="116">
        <v>270.89460070031299</v>
      </c>
      <c r="O426" s="116">
        <v>262.28867907089699</v>
      </c>
      <c r="P426" s="116">
        <v>264.24513319672099</v>
      </c>
      <c r="Q426" s="116">
        <v>1075.55</v>
      </c>
      <c r="R426">
        <v>8988926</v>
      </c>
    </row>
    <row r="427" spans="1:18" x14ac:dyDescent="0.25">
      <c r="A427" s="170">
        <v>42632</v>
      </c>
      <c r="B427" s="116">
        <v>269.31225326169601</v>
      </c>
      <c r="C427" s="116">
        <v>268.03688948762903</v>
      </c>
      <c r="D427" s="116">
        <v>265.23851848822</v>
      </c>
      <c r="E427" s="116">
        <v>266.19194577562899</v>
      </c>
      <c r="F427" s="116">
        <v>1082.3499999999999</v>
      </c>
      <c r="G427">
        <v>1613535</v>
      </c>
      <c r="H427" s="116"/>
      <c r="I427" s="116"/>
      <c r="L427" s="170">
        <v>42632</v>
      </c>
      <c r="M427" s="116">
        <v>268.058980479973</v>
      </c>
      <c r="N427" s="116">
        <v>269.44583403751898</v>
      </c>
      <c r="O427" s="116">
        <v>265.23574288068301</v>
      </c>
      <c r="P427" s="116">
        <v>265.61960413321799</v>
      </c>
      <c r="Q427" s="116">
        <v>1082.4000000000001</v>
      </c>
      <c r="R427">
        <v>3812324</v>
      </c>
    </row>
    <row r="428" spans="1:18" x14ac:dyDescent="0.25">
      <c r="A428" s="170">
        <v>42633</v>
      </c>
      <c r="B428" s="116">
        <v>268.94078808478298</v>
      </c>
      <c r="C428" s="116">
        <v>265.99383101460899</v>
      </c>
      <c r="D428" s="116">
        <v>264.75561375823298</v>
      </c>
      <c r="E428" s="116">
        <v>268.70552680607199</v>
      </c>
      <c r="F428" s="116">
        <v>1074.0999999999999</v>
      </c>
      <c r="G428">
        <v>296596</v>
      </c>
      <c r="H428" s="116"/>
      <c r="I428" s="116"/>
      <c r="L428" s="170">
        <v>42633</v>
      </c>
      <c r="M428" s="116">
        <v>266.028230627852</v>
      </c>
      <c r="N428" s="116">
        <v>268.64096366929999</v>
      </c>
      <c r="O428" s="116">
        <v>264.75282065975199</v>
      </c>
      <c r="P428" s="116">
        <v>268.45522435355798</v>
      </c>
      <c r="Q428" s="116">
        <v>1074.2</v>
      </c>
      <c r="R428">
        <v>2635854</v>
      </c>
    </row>
    <row r="429" spans="1:18" x14ac:dyDescent="0.25">
      <c r="A429" s="170">
        <v>42634</v>
      </c>
      <c r="B429" s="116">
        <v>268.56932290787</v>
      </c>
      <c r="C429" s="116">
        <v>265.31281152360202</v>
      </c>
      <c r="D429" s="116">
        <v>264.23556251055601</v>
      </c>
      <c r="E429" s="116">
        <v>265.969066669482</v>
      </c>
      <c r="F429" s="116">
        <v>1071.3499999999999</v>
      </c>
      <c r="G429">
        <v>157167</v>
      </c>
      <c r="H429" s="116"/>
      <c r="I429" s="116"/>
      <c r="L429" s="170">
        <v>42634</v>
      </c>
      <c r="M429" s="116">
        <v>265.54530840692098</v>
      </c>
      <c r="N429" s="116">
        <v>268.67811153244901</v>
      </c>
      <c r="O429" s="116">
        <v>264.740438038702</v>
      </c>
      <c r="P429" s="116">
        <v>265.97870014365401</v>
      </c>
      <c r="Q429" s="116">
        <v>1072.25</v>
      </c>
      <c r="R429">
        <v>2501476</v>
      </c>
    </row>
    <row r="430" spans="1:18" x14ac:dyDescent="0.25">
      <c r="A430" s="170">
        <v>42635</v>
      </c>
      <c r="B430" s="116">
        <v>271.29340087189701</v>
      </c>
      <c r="C430" s="116">
        <v>269.349399779387</v>
      </c>
      <c r="D430" s="116">
        <v>267.23204827098499</v>
      </c>
      <c r="E430" s="116">
        <v>267.45492737713198</v>
      </c>
      <c r="F430" s="116">
        <v>1087.6500000000001</v>
      </c>
      <c r="G430">
        <v>541248</v>
      </c>
      <c r="H430" s="116"/>
      <c r="I430" s="116"/>
      <c r="L430" s="170">
        <v>42635</v>
      </c>
      <c r="M430" s="116">
        <v>269.68110383746</v>
      </c>
      <c r="N430" s="116">
        <v>271.37752292124401</v>
      </c>
      <c r="O430" s="116">
        <v>267.21696224860602</v>
      </c>
      <c r="P430" s="116">
        <v>268.20757193256702</v>
      </c>
      <c r="Q430" s="116">
        <v>1088.95</v>
      </c>
      <c r="R430">
        <v>4288544</v>
      </c>
    </row>
    <row r="431" spans="1:18" x14ac:dyDescent="0.25">
      <c r="A431" s="170">
        <v>42636</v>
      </c>
      <c r="B431" s="116">
        <v>274.686116154366</v>
      </c>
      <c r="C431" s="116">
        <v>273.13834458389601</v>
      </c>
      <c r="D431" s="116">
        <v>269.43607498733297</v>
      </c>
      <c r="E431" s="116">
        <v>269.43607498733297</v>
      </c>
      <c r="F431" s="116">
        <v>1102.95</v>
      </c>
      <c r="G431">
        <v>1161460</v>
      </c>
      <c r="H431" s="116"/>
      <c r="I431" s="116"/>
      <c r="L431" s="170">
        <v>42636</v>
      </c>
      <c r="M431" s="116">
        <v>273.11108986817601</v>
      </c>
      <c r="N431" s="116">
        <v>274.75797846776197</v>
      </c>
      <c r="O431" s="116">
        <v>269.69348645850903</v>
      </c>
      <c r="P431" s="116">
        <v>269.69348645850903</v>
      </c>
      <c r="Q431" s="116">
        <v>1102.8</v>
      </c>
      <c r="R431">
        <v>7105725</v>
      </c>
    </row>
    <row r="432" spans="1:18" x14ac:dyDescent="0.25">
      <c r="A432" s="170">
        <v>42639</v>
      </c>
      <c r="B432" s="116">
        <v>279.564692144486</v>
      </c>
      <c r="C432" s="116">
        <v>274.72326267205699</v>
      </c>
      <c r="D432" s="116">
        <v>272.90308330518502</v>
      </c>
      <c r="E432" s="116">
        <v>273.026905030823</v>
      </c>
      <c r="F432" s="116">
        <v>1109.3499999999999</v>
      </c>
      <c r="G432">
        <v>991973</v>
      </c>
      <c r="H432" s="116"/>
      <c r="I432" s="116"/>
      <c r="L432" s="170">
        <v>42639</v>
      </c>
      <c r="M432" s="116">
        <v>274.200760520534</v>
      </c>
      <c r="N432" s="116">
        <v>279.73579212966899</v>
      </c>
      <c r="O432" s="116">
        <v>272.47957619465097</v>
      </c>
      <c r="P432" s="116">
        <v>273.25968132077099</v>
      </c>
      <c r="Q432" s="116">
        <v>1107.2</v>
      </c>
      <c r="R432">
        <v>8734943</v>
      </c>
    </row>
    <row r="433" spans="1:18" x14ac:dyDescent="0.25">
      <c r="A433" s="170">
        <v>42640</v>
      </c>
      <c r="B433" s="116">
        <v>278.772233100405</v>
      </c>
      <c r="C433" s="116">
        <v>274.99567046845999</v>
      </c>
      <c r="D433" s="116">
        <v>274.21559359694299</v>
      </c>
      <c r="E433" s="116">
        <v>275.639543441775</v>
      </c>
      <c r="F433" s="116">
        <v>1110.45</v>
      </c>
      <c r="G433">
        <v>318951</v>
      </c>
      <c r="H433" s="116"/>
      <c r="I433" s="116"/>
      <c r="L433" s="170">
        <v>42640</v>
      </c>
      <c r="M433" s="116">
        <v>275.01801350980202</v>
      </c>
      <c r="N433" s="116">
        <v>278.844243414103</v>
      </c>
      <c r="O433" s="116">
        <v>274.05216906793999</v>
      </c>
      <c r="P433" s="116">
        <v>276.62775424623999</v>
      </c>
      <c r="Q433" s="116">
        <v>1110.5</v>
      </c>
      <c r="R433">
        <v>4428693</v>
      </c>
    </row>
    <row r="434" spans="1:18" x14ac:dyDescent="0.25">
      <c r="A434" s="170">
        <v>42641</v>
      </c>
      <c r="B434" s="116">
        <v>275.627161269211</v>
      </c>
      <c r="C434" s="116">
        <v>269.85706885450099</v>
      </c>
      <c r="D434" s="116">
        <v>269.26272457144103</v>
      </c>
      <c r="E434" s="116">
        <v>274.88423091538601</v>
      </c>
      <c r="F434" s="116">
        <v>1089.7</v>
      </c>
      <c r="G434">
        <v>320533</v>
      </c>
      <c r="H434" s="116"/>
      <c r="I434" s="116"/>
      <c r="L434" s="170">
        <v>42641</v>
      </c>
      <c r="M434" s="116">
        <v>270.10211295314298</v>
      </c>
      <c r="N434" s="116">
        <v>274.39888245732601</v>
      </c>
      <c r="O434" s="116">
        <v>269.02482492183498</v>
      </c>
      <c r="P434" s="116">
        <v>274.37411721522699</v>
      </c>
      <c r="Q434" s="116">
        <v>1090.6500000000001</v>
      </c>
      <c r="R434">
        <v>5673488</v>
      </c>
    </row>
    <row r="435" spans="1:18" x14ac:dyDescent="0.25">
      <c r="A435" s="170">
        <v>42642</v>
      </c>
      <c r="B435" s="116">
        <v>274.88423091538601</v>
      </c>
      <c r="C435" s="116">
        <v>265.60998366513297</v>
      </c>
      <c r="D435" s="116">
        <v>264.35938423619302</v>
      </c>
      <c r="E435" s="116">
        <v>271.16957914625903</v>
      </c>
      <c r="F435" s="116">
        <v>1072.55</v>
      </c>
      <c r="G435">
        <v>389803</v>
      </c>
      <c r="H435" s="116"/>
      <c r="I435" s="116"/>
      <c r="L435" s="170">
        <v>42642</v>
      </c>
      <c r="M435" s="116">
        <v>265.59483889111902</v>
      </c>
      <c r="N435" s="116">
        <v>275.07992661505</v>
      </c>
      <c r="O435" s="116">
        <v>264.34419416511702</v>
      </c>
      <c r="P435" s="116">
        <v>271.179400984452</v>
      </c>
      <c r="Q435" s="116">
        <v>1072.45</v>
      </c>
      <c r="R435">
        <v>4859746</v>
      </c>
    </row>
    <row r="436" spans="1:18" x14ac:dyDescent="0.25">
      <c r="A436" s="170">
        <v>42643</v>
      </c>
      <c r="B436" s="116">
        <v>270.78573179678301</v>
      </c>
      <c r="C436" s="116">
        <v>267.97497862480998</v>
      </c>
      <c r="D436" s="116">
        <v>264.23556251055601</v>
      </c>
      <c r="E436" s="116">
        <v>264.978492864381</v>
      </c>
      <c r="F436" s="116">
        <v>1082.0999999999999</v>
      </c>
      <c r="G436">
        <v>184651</v>
      </c>
      <c r="H436" s="116"/>
      <c r="I436" s="116"/>
      <c r="L436" s="170">
        <v>42643</v>
      </c>
      <c r="M436" s="116">
        <v>268.38092862726</v>
      </c>
      <c r="N436" s="116">
        <v>271.06795739500598</v>
      </c>
      <c r="O436" s="116">
        <v>264.071776502028</v>
      </c>
      <c r="P436" s="116">
        <v>264.492785617712</v>
      </c>
      <c r="Q436" s="116">
        <v>1083.7</v>
      </c>
      <c r="R436">
        <v>2560105</v>
      </c>
    </row>
    <row r="437" spans="1:18" x14ac:dyDescent="0.25">
      <c r="A437" s="170">
        <v>42646</v>
      </c>
      <c r="B437" s="116">
        <v>274.227975769507</v>
      </c>
      <c r="C437" s="116">
        <v>270.03041927039402</v>
      </c>
      <c r="D437" s="116">
        <v>266.69961485074299</v>
      </c>
      <c r="E437" s="116">
        <v>268.56932290787</v>
      </c>
      <c r="F437" s="116">
        <v>1090.4000000000001</v>
      </c>
      <c r="G437">
        <v>955952</v>
      </c>
      <c r="H437" s="116"/>
      <c r="I437" s="116"/>
      <c r="L437" s="170">
        <v>42646</v>
      </c>
      <c r="M437" s="116">
        <v>270.11449557419297</v>
      </c>
      <c r="N437" s="116">
        <v>274.38649983627698</v>
      </c>
      <c r="O437" s="116">
        <v>266.53591809088198</v>
      </c>
      <c r="P437" s="116">
        <v>269.19818161652898</v>
      </c>
      <c r="Q437" s="116">
        <v>1090.7</v>
      </c>
      <c r="R437">
        <v>4143109</v>
      </c>
    </row>
    <row r="438" spans="1:18" x14ac:dyDescent="0.25">
      <c r="A438" s="170">
        <v>42647</v>
      </c>
      <c r="B438" s="116">
        <v>274.38894401283602</v>
      </c>
      <c r="C438" s="116">
        <v>271.21910783651401</v>
      </c>
      <c r="D438" s="116">
        <v>270.42664879243398</v>
      </c>
      <c r="E438" s="116">
        <v>270.89717134985602</v>
      </c>
      <c r="F438" s="116">
        <v>1095.2</v>
      </c>
      <c r="G438">
        <v>413390</v>
      </c>
      <c r="H438" s="116"/>
      <c r="I438" s="116"/>
      <c r="L438" s="170">
        <v>42647</v>
      </c>
      <c r="M438" s="116">
        <v>271.513731752789</v>
      </c>
      <c r="N438" s="116">
        <v>274.47317818362302</v>
      </c>
      <c r="O438" s="116">
        <v>270.43644372147998</v>
      </c>
      <c r="P438" s="116">
        <v>270.69647876352002</v>
      </c>
      <c r="Q438" s="116">
        <v>1096.3499999999999</v>
      </c>
      <c r="R438">
        <v>2997544</v>
      </c>
    </row>
    <row r="439" spans="1:18" x14ac:dyDescent="0.25">
      <c r="A439" s="170">
        <v>42648</v>
      </c>
      <c r="B439" s="116">
        <v>273.84412842003002</v>
      </c>
      <c r="C439" s="116">
        <v>269.75801147399102</v>
      </c>
      <c r="D439" s="116">
        <v>268.87887722196399</v>
      </c>
      <c r="E439" s="116">
        <v>273.187873274151</v>
      </c>
      <c r="F439" s="116">
        <v>1089.3</v>
      </c>
      <c r="G439">
        <v>229693</v>
      </c>
      <c r="H439" s="116"/>
      <c r="I439" s="116"/>
      <c r="L439" s="170">
        <v>42648</v>
      </c>
      <c r="M439" s="116">
        <v>269.79254742690603</v>
      </c>
      <c r="N439" s="116">
        <v>274.02740382584102</v>
      </c>
      <c r="O439" s="116">
        <v>268.90099871133998</v>
      </c>
      <c r="P439" s="116">
        <v>273.40827277336501</v>
      </c>
      <c r="Q439" s="116">
        <v>1089.4000000000001</v>
      </c>
      <c r="R439">
        <v>2466397</v>
      </c>
    </row>
    <row r="440" spans="1:18" x14ac:dyDescent="0.25">
      <c r="A440" s="170">
        <v>42649</v>
      </c>
      <c r="B440" s="116">
        <v>278.54935399425801</v>
      </c>
      <c r="C440" s="116">
        <v>275.15663871178901</v>
      </c>
      <c r="D440" s="116">
        <v>270.42664879243398</v>
      </c>
      <c r="E440" s="116">
        <v>270.42664879243398</v>
      </c>
      <c r="F440" s="116">
        <v>1111.0999999999999</v>
      </c>
      <c r="G440">
        <v>1709509</v>
      </c>
      <c r="H440" s="116"/>
      <c r="I440" s="116"/>
      <c r="L440" s="170">
        <v>42649</v>
      </c>
      <c r="M440" s="116">
        <v>275.09230923609903</v>
      </c>
      <c r="N440" s="116">
        <v>278.91853914040098</v>
      </c>
      <c r="O440" s="116">
        <v>270.43644372147998</v>
      </c>
      <c r="P440" s="116">
        <v>270.43644372147998</v>
      </c>
      <c r="Q440" s="116">
        <v>1110.8</v>
      </c>
      <c r="R440">
        <v>4825630</v>
      </c>
    </row>
    <row r="441" spans="1:18" x14ac:dyDescent="0.25">
      <c r="A441" s="170">
        <v>42650</v>
      </c>
      <c r="B441" s="116">
        <v>278.01692057401601</v>
      </c>
      <c r="C441" s="116">
        <v>274.87184874282201</v>
      </c>
      <c r="D441" s="116">
        <v>274.27750445976199</v>
      </c>
      <c r="E441" s="116">
        <v>275.15663871178901</v>
      </c>
      <c r="F441" s="116">
        <v>1109.95</v>
      </c>
      <c r="G441">
        <v>455517</v>
      </c>
      <c r="H441" s="116"/>
      <c r="I441" s="116"/>
      <c r="L441" s="170">
        <v>42650</v>
      </c>
      <c r="M441" s="116">
        <v>274.64653487831703</v>
      </c>
      <c r="N441" s="116">
        <v>278.12605139323102</v>
      </c>
      <c r="O441" s="116">
        <v>274.02740382584102</v>
      </c>
      <c r="P441" s="116">
        <v>275.88479698326898</v>
      </c>
      <c r="Q441" s="116">
        <v>1109</v>
      </c>
      <c r="R441">
        <v>3492838</v>
      </c>
    </row>
    <row r="442" spans="1:18" x14ac:dyDescent="0.25">
      <c r="A442" s="170">
        <v>42653</v>
      </c>
      <c r="B442" s="116">
        <v>277.85595233068699</v>
      </c>
      <c r="C442" s="116">
        <v>271.40484042497002</v>
      </c>
      <c r="D442" s="116">
        <v>270.62476355345399</v>
      </c>
      <c r="E442" s="116">
        <v>276.12244817176202</v>
      </c>
      <c r="F442" s="116">
        <v>1095.95</v>
      </c>
      <c r="G442">
        <v>163780</v>
      </c>
      <c r="H442" s="116"/>
      <c r="I442" s="116"/>
      <c r="L442" s="170">
        <v>42653</v>
      </c>
      <c r="M442" s="116">
        <v>271.513731752789</v>
      </c>
      <c r="N442" s="116">
        <v>277.86601635119098</v>
      </c>
      <c r="O442" s="116">
        <v>270.93174856346099</v>
      </c>
      <c r="P442" s="116">
        <v>275.88479698326898</v>
      </c>
      <c r="Q442" s="116">
        <v>1096.3499999999999</v>
      </c>
      <c r="R442">
        <v>2640973</v>
      </c>
    </row>
    <row r="443" spans="1:18" x14ac:dyDescent="0.25">
      <c r="A443" s="170">
        <v>42656</v>
      </c>
      <c r="B443" s="116">
        <v>270.84764265960098</v>
      </c>
      <c r="C443" s="116">
        <v>261.93247841369703</v>
      </c>
      <c r="D443" s="116">
        <v>260.53329291399302</v>
      </c>
      <c r="E443" s="116">
        <v>270.84764265960098</v>
      </c>
      <c r="F443" s="116">
        <v>1057.7</v>
      </c>
      <c r="G443">
        <v>580933</v>
      </c>
      <c r="H443" s="116"/>
      <c r="I443" s="116"/>
      <c r="L443" s="170">
        <v>42656</v>
      </c>
      <c r="M443" s="116">
        <v>261.80575684996597</v>
      </c>
      <c r="N443" s="116">
        <v>269.70586907955902</v>
      </c>
      <c r="O443" s="116">
        <v>260.53034688186602</v>
      </c>
      <c r="P443" s="116">
        <v>269.69348645850903</v>
      </c>
      <c r="Q443" s="116">
        <v>1057.1500000000001</v>
      </c>
      <c r="R443">
        <v>5014667</v>
      </c>
    </row>
    <row r="444" spans="1:18" x14ac:dyDescent="0.25">
      <c r="A444" s="170">
        <v>42657</v>
      </c>
      <c r="B444" s="116">
        <v>267.93783210711899</v>
      </c>
      <c r="C444" s="116">
        <v>267.00916916483698</v>
      </c>
      <c r="D444" s="116">
        <v>262.00677144908002</v>
      </c>
      <c r="E444" s="116">
        <v>262.62588007726703</v>
      </c>
      <c r="F444" s="116">
        <v>1078.2</v>
      </c>
      <c r="G444">
        <v>285604</v>
      </c>
      <c r="H444" s="116"/>
      <c r="I444" s="116"/>
      <c r="L444" s="170">
        <v>42657</v>
      </c>
      <c r="M444" s="116">
        <v>266.88263148026903</v>
      </c>
      <c r="N444" s="116">
        <v>267.95991951157703</v>
      </c>
      <c r="O444" s="116">
        <v>262.92019274442299</v>
      </c>
      <c r="P444" s="116">
        <v>263.25452351275999</v>
      </c>
      <c r="Q444" s="116">
        <v>1077.6500000000001</v>
      </c>
      <c r="R444">
        <v>3489473</v>
      </c>
    </row>
    <row r="445" spans="1:18" x14ac:dyDescent="0.25">
      <c r="A445" s="170">
        <v>42660</v>
      </c>
      <c r="B445" s="116">
        <v>267.615895620461</v>
      </c>
      <c r="C445" s="116">
        <v>262.539204869321</v>
      </c>
      <c r="D445" s="116">
        <v>262.00677144908002</v>
      </c>
      <c r="E445" s="116">
        <v>267.20728392585698</v>
      </c>
      <c r="F445" s="116">
        <v>1060.1500000000001</v>
      </c>
      <c r="G445">
        <v>222193</v>
      </c>
      <c r="H445" s="116"/>
      <c r="I445" s="116"/>
      <c r="L445" s="170">
        <v>42660</v>
      </c>
      <c r="M445" s="116">
        <v>262.67254032343197</v>
      </c>
      <c r="N445" s="116">
        <v>267.66273660638802</v>
      </c>
      <c r="O445" s="116">
        <v>262.20200072355101</v>
      </c>
      <c r="P445" s="116">
        <v>267.46461466959602</v>
      </c>
      <c r="Q445" s="116">
        <v>1060.6500000000001</v>
      </c>
      <c r="R445">
        <v>2246237</v>
      </c>
    </row>
    <row r="446" spans="1:18" x14ac:dyDescent="0.25">
      <c r="A446" s="170">
        <v>42661</v>
      </c>
      <c r="B446" s="116">
        <v>267.950214279683</v>
      </c>
      <c r="C446" s="116">
        <v>267.28157696123998</v>
      </c>
      <c r="D446" s="116">
        <v>263.19546001520001</v>
      </c>
      <c r="E446" s="116">
        <v>263.49263215673</v>
      </c>
      <c r="F446" s="116">
        <v>1079.3</v>
      </c>
      <c r="G446">
        <v>189876</v>
      </c>
      <c r="H446" s="116"/>
      <c r="I446" s="116"/>
      <c r="L446" s="170">
        <v>42661</v>
      </c>
      <c r="M446" s="116">
        <v>267.73703233268498</v>
      </c>
      <c r="N446" s="116">
        <v>268.14565882732001</v>
      </c>
      <c r="O446" s="116">
        <v>263.01925371281902</v>
      </c>
      <c r="P446" s="116">
        <v>263.99748077573099</v>
      </c>
      <c r="Q446" s="116">
        <v>1081.0999999999999</v>
      </c>
      <c r="R446">
        <v>2531133</v>
      </c>
    </row>
    <row r="447" spans="1:18" x14ac:dyDescent="0.25">
      <c r="A447" s="170">
        <v>42662</v>
      </c>
      <c r="B447" s="116">
        <v>271.04575742062201</v>
      </c>
      <c r="C447" s="116">
        <v>269.16366719093099</v>
      </c>
      <c r="D447" s="116">
        <v>267.80162820891701</v>
      </c>
      <c r="E447" s="116">
        <v>268.23500424864898</v>
      </c>
      <c r="F447" s="116">
        <v>1086.9000000000001</v>
      </c>
      <c r="G447">
        <v>458730</v>
      </c>
      <c r="H447" s="116"/>
      <c r="I447" s="116"/>
      <c r="L447" s="170">
        <v>42662</v>
      </c>
      <c r="M447" s="116">
        <v>269.28485996387502</v>
      </c>
      <c r="N447" s="116">
        <v>271.10510525815403</v>
      </c>
      <c r="O447" s="116">
        <v>267.81132805898301</v>
      </c>
      <c r="P447" s="116">
        <v>268.56666794300298</v>
      </c>
      <c r="Q447" s="116">
        <v>1087.3499999999999</v>
      </c>
      <c r="R447">
        <v>3902656</v>
      </c>
    </row>
    <row r="448" spans="1:18" x14ac:dyDescent="0.25">
      <c r="A448" s="170">
        <v>42663</v>
      </c>
      <c r="B448" s="116">
        <v>271.86298080982903</v>
      </c>
      <c r="C448" s="116">
        <v>269.55989671297101</v>
      </c>
      <c r="D448" s="116">
        <v>268.71790897863502</v>
      </c>
      <c r="E448" s="116">
        <v>270.41426661986998</v>
      </c>
      <c r="F448" s="116">
        <v>1088.5</v>
      </c>
      <c r="G448">
        <v>201875</v>
      </c>
      <c r="H448" s="116"/>
      <c r="I448" s="116"/>
      <c r="L448" s="170">
        <v>42663</v>
      </c>
      <c r="M448" s="116">
        <v>269.33439044807301</v>
      </c>
      <c r="N448" s="116">
        <v>271.92235824742301</v>
      </c>
      <c r="O448" s="116">
        <v>268.46760697460701</v>
      </c>
      <c r="P448" s="116">
        <v>270.91936594241201</v>
      </c>
      <c r="Q448" s="116">
        <v>1087.55</v>
      </c>
      <c r="R448">
        <v>2314521</v>
      </c>
    </row>
    <row r="449" spans="1:18" x14ac:dyDescent="0.25">
      <c r="A449" s="170">
        <v>42664</v>
      </c>
      <c r="B449" s="116">
        <v>272.16015295135998</v>
      </c>
      <c r="C449" s="116">
        <v>263.59168953723997</v>
      </c>
      <c r="D449" s="116">
        <v>262.25441490035502</v>
      </c>
      <c r="E449" s="116">
        <v>272.16015295135998</v>
      </c>
      <c r="F449" s="116">
        <v>1064.4000000000001</v>
      </c>
      <c r="G449">
        <v>700819</v>
      </c>
      <c r="H449" s="116"/>
      <c r="I449" s="116"/>
      <c r="L449" s="170">
        <v>42664</v>
      </c>
      <c r="M449" s="116">
        <v>263.55170641794803</v>
      </c>
      <c r="N449" s="116">
        <v>271.67470582643199</v>
      </c>
      <c r="O449" s="116">
        <v>262.11532237620401</v>
      </c>
      <c r="P449" s="116">
        <v>271.67470582643199</v>
      </c>
      <c r="Q449" s="116">
        <v>1064.2</v>
      </c>
      <c r="R449">
        <v>9968242</v>
      </c>
    </row>
    <row r="450" spans="1:18" x14ac:dyDescent="0.25">
      <c r="A450" s="170">
        <v>42667</v>
      </c>
      <c r="B450" s="116">
        <v>265.969066669482</v>
      </c>
      <c r="C450" s="116">
        <v>263.38119260365602</v>
      </c>
      <c r="D450" s="116">
        <v>262.62588007726703</v>
      </c>
      <c r="E450" s="116">
        <v>264.483205961831</v>
      </c>
      <c r="F450" s="116">
        <v>1063.55</v>
      </c>
      <c r="G450">
        <v>142852</v>
      </c>
      <c r="H450" s="116"/>
      <c r="I450" s="116"/>
      <c r="L450" s="170">
        <v>42667</v>
      </c>
      <c r="M450" s="116">
        <v>263.328819239057</v>
      </c>
      <c r="N450" s="116">
        <v>265.97870014365401</v>
      </c>
      <c r="O450" s="116">
        <v>262.67254032343197</v>
      </c>
      <c r="P450" s="116">
        <v>264.98809045969199</v>
      </c>
      <c r="Q450" s="116">
        <v>1063.3</v>
      </c>
      <c r="R450">
        <v>2403099</v>
      </c>
    </row>
    <row r="451" spans="1:18" x14ac:dyDescent="0.25">
      <c r="A451" s="170">
        <v>42668</v>
      </c>
      <c r="B451" s="116">
        <v>263.83933298851503</v>
      </c>
      <c r="C451" s="116">
        <v>262.47729400650201</v>
      </c>
      <c r="D451" s="116">
        <v>261.14001936961699</v>
      </c>
      <c r="E451" s="116">
        <v>263.29451739570999</v>
      </c>
      <c r="F451" s="116">
        <v>1059.9000000000001</v>
      </c>
      <c r="G451">
        <v>185050</v>
      </c>
      <c r="H451" s="116"/>
      <c r="I451" s="116"/>
      <c r="L451" s="170">
        <v>42668</v>
      </c>
      <c r="M451" s="116">
        <v>262.72207080763098</v>
      </c>
      <c r="N451" s="116">
        <v>263.81174145998801</v>
      </c>
      <c r="O451" s="116">
        <v>261.07518220804502</v>
      </c>
      <c r="P451" s="116">
        <v>263.749828354741</v>
      </c>
      <c r="Q451" s="116">
        <v>1060.8499999999999</v>
      </c>
      <c r="R451">
        <v>1750711</v>
      </c>
    </row>
    <row r="452" spans="1:18" x14ac:dyDescent="0.25">
      <c r="A452" s="170">
        <v>42669</v>
      </c>
      <c r="B452" s="116">
        <v>262.30394359061</v>
      </c>
      <c r="C452" s="116">
        <v>261.05334416167</v>
      </c>
      <c r="D452" s="116">
        <v>260.52091074142902</v>
      </c>
      <c r="E452" s="116">
        <v>262.00677144908002</v>
      </c>
      <c r="F452" s="116">
        <v>1054.1500000000001</v>
      </c>
      <c r="G452">
        <v>114052</v>
      </c>
      <c r="H452" s="116"/>
      <c r="I452" s="116"/>
      <c r="L452" s="170">
        <v>42669</v>
      </c>
      <c r="M452" s="116">
        <v>261.038034344896</v>
      </c>
      <c r="N452" s="116">
        <v>262.37535741824399</v>
      </c>
      <c r="O452" s="116">
        <v>260.55511212396499</v>
      </c>
      <c r="P452" s="116">
        <v>261.53333918687701</v>
      </c>
      <c r="Q452" s="116">
        <v>1054.05</v>
      </c>
      <c r="R452">
        <v>2502055</v>
      </c>
    </row>
    <row r="453" spans="1:18" x14ac:dyDescent="0.25">
      <c r="A453" s="170">
        <v>42670</v>
      </c>
      <c r="B453" s="116">
        <v>261.01619764397901</v>
      </c>
      <c r="C453" s="116">
        <v>259.65415866196599</v>
      </c>
      <c r="D453" s="116">
        <v>258.34164837020802</v>
      </c>
      <c r="E453" s="116">
        <v>260.76855419270402</v>
      </c>
      <c r="F453" s="116">
        <v>1048.5</v>
      </c>
      <c r="G453">
        <v>128047</v>
      </c>
      <c r="H453" s="116"/>
      <c r="I453" s="116"/>
      <c r="L453" s="170">
        <v>42670</v>
      </c>
      <c r="M453" s="116">
        <v>259.71309389259801</v>
      </c>
      <c r="N453" s="116">
        <v>261.00088648174801</v>
      </c>
      <c r="O453" s="116">
        <v>258.40053606134899</v>
      </c>
      <c r="P453" s="116">
        <v>260.30745970297397</v>
      </c>
      <c r="Q453" s="116">
        <v>1048.7</v>
      </c>
      <c r="R453">
        <v>2935574</v>
      </c>
    </row>
    <row r="454" spans="1:18" x14ac:dyDescent="0.25">
      <c r="A454" s="170">
        <v>42671</v>
      </c>
      <c r="B454" s="116">
        <v>261.511484546529</v>
      </c>
      <c r="C454" s="116">
        <v>260.892375918342</v>
      </c>
      <c r="D454" s="116">
        <v>258.52738095866403</v>
      </c>
      <c r="E454" s="116">
        <v>260.02562383887903</v>
      </c>
      <c r="F454" s="116">
        <v>1053.5</v>
      </c>
      <c r="G454">
        <v>145866</v>
      </c>
      <c r="H454" s="116"/>
      <c r="I454" s="116"/>
      <c r="L454" s="170">
        <v>42671</v>
      </c>
      <c r="M454" s="116">
        <v>261.26092152378698</v>
      </c>
      <c r="N454" s="116">
        <v>262.01626140780797</v>
      </c>
      <c r="O454" s="116">
        <v>258.49959702974502</v>
      </c>
      <c r="P454" s="116">
        <v>260.03504203988501</v>
      </c>
      <c r="Q454" s="116">
        <v>1054.95</v>
      </c>
      <c r="R454">
        <v>1857917</v>
      </c>
    </row>
    <row r="455" spans="1:18" x14ac:dyDescent="0.25">
      <c r="A455" s="170">
        <v>42673</v>
      </c>
      <c r="B455" s="116">
        <v>263.74027560800499</v>
      </c>
      <c r="C455" s="116">
        <v>260.32279598040901</v>
      </c>
      <c r="D455" s="116">
        <v>259.49319041863703</v>
      </c>
      <c r="E455" s="116">
        <v>261.759127997804</v>
      </c>
      <c r="F455" s="116">
        <v>1051.2</v>
      </c>
      <c r="G455">
        <v>46545</v>
      </c>
      <c r="H455" s="116"/>
      <c r="I455" s="116"/>
      <c r="L455" s="170">
        <v>42673</v>
      </c>
      <c r="M455" s="116">
        <v>260.33222494507402</v>
      </c>
      <c r="N455" s="116">
        <v>262.20200072355101</v>
      </c>
      <c r="O455" s="116">
        <v>259.11872808222103</v>
      </c>
      <c r="P455" s="116">
        <v>262.20200072355101</v>
      </c>
      <c r="Q455" s="116">
        <v>1051.2</v>
      </c>
      <c r="R455">
        <v>362170</v>
      </c>
    </row>
    <row r="456" spans="1:18" x14ac:dyDescent="0.25">
      <c r="A456" s="170">
        <v>42675</v>
      </c>
      <c r="B456" s="116">
        <v>261.26384109525401</v>
      </c>
      <c r="C456" s="116">
        <v>259.60462997171101</v>
      </c>
      <c r="D456" s="116">
        <v>259.46842607350999</v>
      </c>
      <c r="E456" s="116">
        <v>260.27326729015402</v>
      </c>
      <c r="F456" s="116">
        <v>1048.3</v>
      </c>
      <c r="G456">
        <v>114140</v>
      </c>
      <c r="H456" s="116"/>
      <c r="I456" s="116"/>
      <c r="L456" s="170">
        <v>42675</v>
      </c>
      <c r="M456" s="116">
        <v>260.28269446087501</v>
      </c>
      <c r="N456" s="116">
        <v>261.50857394477799</v>
      </c>
      <c r="O456" s="116">
        <v>259.39114574530998</v>
      </c>
      <c r="P456" s="116">
        <v>260.35699018717298</v>
      </c>
      <c r="Q456" s="116">
        <v>1051</v>
      </c>
      <c r="R456">
        <v>2337011</v>
      </c>
    </row>
    <row r="457" spans="1:18" x14ac:dyDescent="0.25">
      <c r="A457" s="170">
        <v>42676</v>
      </c>
      <c r="B457" s="116">
        <v>258.05685840124102</v>
      </c>
      <c r="C457" s="116">
        <v>253.59927627828901</v>
      </c>
      <c r="D457" s="116">
        <v>252.868728097028</v>
      </c>
      <c r="E457" s="116">
        <v>258.04447622867798</v>
      </c>
      <c r="F457" s="116">
        <v>1024.05</v>
      </c>
      <c r="G457">
        <v>167266</v>
      </c>
      <c r="H457" s="116"/>
      <c r="I457" s="116"/>
      <c r="L457" s="170">
        <v>42676</v>
      </c>
      <c r="M457" s="116">
        <v>253.53416598888799</v>
      </c>
      <c r="N457" s="116">
        <v>258.264327229804</v>
      </c>
      <c r="O457" s="116">
        <v>252.853121831164</v>
      </c>
      <c r="P457" s="116">
        <v>257.806170250972</v>
      </c>
      <c r="Q457" s="116">
        <v>1023.75</v>
      </c>
      <c r="R457">
        <v>1609225</v>
      </c>
    </row>
    <row r="458" spans="1:18" x14ac:dyDescent="0.25">
      <c r="A458" s="170">
        <v>42677</v>
      </c>
      <c r="B458" s="116">
        <v>256.187150344114</v>
      </c>
      <c r="C458" s="116">
        <v>253.94597711007401</v>
      </c>
      <c r="D458" s="116">
        <v>253.11637154830299</v>
      </c>
      <c r="E458" s="116">
        <v>253.59927627828901</v>
      </c>
      <c r="F458" s="116">
        <v>1025.45</v>
      </c>
      <c r="G458">
        <v>134126</v>
      </c>
      <c r="H458" s="116"/>
      <c r="I458" s="116"/>
      <c r="L458" s="170">
        <v>42677</v>
      </c>
      <c r="M458" s="116">
        <v>253.58369647308601</v>
      </c>
      <c r="N458" s="116">
        <v>256.25834261978201</v>
      </c>
      <c r="O458" s="116">
        <v>252.754060862768</v>
      </c>
      <c r="P458" s="116">
        <v>253.55893123098701</v>
      </c>
      <c r="Q458" s="116">
        <v>1023.95</v>
      </c>
      <c r="R458">
        <v>1671371</v>
      </c>
    </row>
    <row r="459" spans="1:18" x14ac:dyDescent="0.25">
      <c r="A459" s="170">
        <v>42678</v>
      </c>
      <c r="B459" s="116">
        <v>254.366970977242</v>
      </c>
      <c r="C459" s="116">
        <v>249.07978329251799</v>
      </c>
      <c r="D459" s="116">
        <v>247.77965517332399</v>
      </c>
      <c r="E459" s="116">
        <v>252.91825678728301</v>
      </c>
      <c r="F459" s="116">
        <v>1005.8</v>
      </c>
      <c r="G459">
        <v>218484</v>
      </c>
      <c r="H459" s="116"/>
      <c r="I459" s="116"/>
      <c r="L459" s="170">
        <v>42678</v>
      </c>
      <c r="M459" s="116">
        <v>249.02689192686299</v>
      </c>
      <c r="N459" s="116">
        <v>254.31427111500801</v>
      </c>
      <c r="O459" s="116">
        <v>247.65242099036701</v>
      </c>
      <c r="P459" s="116">
        <v>252.66738251542199</v>
      </c>
      <c r="Q459" s="116">
        <v>1005.55</v>
      </c>
      <c r="R459">
        <v>2636911</v>
      </c>
    </row>
    <row r="460" spans="1:18" x14ac:dyDescent="0.25">
      <c r="A460" s="170">
        <v>42681</v>
      </c>
      <c r="B460" s="116">
        <v>251.729568221162</v>
      </c>
      <c r="C460" s="116">
        <v>248.12635600510899</v>
      </c>
      <c r="D460" s="116">
        <v>247.51962954948499</v>
      </c>
      <c r="E460" s="116">
        <v>250.45420444709501</v>
      </c>
      <c r="F460" s="116">
        <v>1001.95</v>
      </c>
      <c r="G460">
        <v>164685</v>
      </c>
      <c r="H460" s="116"/>
      <c r="I460" s="116"/>
      <c r="L460" s="170">
        <v>42681</v>
      </c>
      <c r="M460" s="116">
        <v>247.93722127450599</v>
      </c>
      <c r="N460" s="116">
        <v>251.75106855775701</v>
      </c>
      <c r="O460" s="116">
        <v>247.41715119042601</v>
      </c>
      <c r="P460" s="116">
        <v>251.119554884232</v>
      </c>
      <c r="Q460" s="116">
        <v>1001.15</v>
      </c>
      <c r="R460">
        <v>2172921</v>
      </c>
    </row>
    <row r="461" spans="1:18" x14ac:dyDescent="0.25">
      <c r="A461" s="170">
        <v>42682</v>
      </c>
      <c r="B461" s="116">
        <v>249.87224233659899</v>
      </c>
      <c r="C461" s="116">
        <v>248.349235111257</v>
      </c>
      <c r="D461" s="116">
        <v>247.23483958051901</v>
      </c>
      <c r="E461" s="116">
        <v>248.522585527149</v>
      </c>
      <c r="F461" s="116">
        <v>1002.85</v>
      </c>
      <c r="G461">
        <v>154570</v>
      </c>
      <c r="H461" s="116"/>
      <c r="I461" s="116"/>
      <c r="L461" s="170">
        <v>42682</v>
      </c>
      <c r="M461" s="116">
        <v>248.51920446383301</v>
      </c>
      <c r="N461" s="116">
        <v>249.064039790012</v>
      </c>
      <c r="O461" s="116">
        <v>247.231411874683</v>
      </c>
      <c r="P461" s="116">
        <v>249.064039790012</v>
      </c>
      <c r="Q461" s="116">
        <v>1003.5</v>
      </c>
      <c r="R461">
        <v>3070346</v>
      </c>
    </row>
    <row r="462" spans="1:18" x14ac:dyDescent="0.25">
      <c r="A462" s="170">
        <v>42683</v>
      </c>
      <c r="B462" s="116">
        <v>249.84747799147101</v>
      </c>
      <c r="C462" s="116">
        <v>249.017872429699</v>
      </c>
      <c r="D462" s="116">
        <v>230.803696588414</v>
      </c>
      <c r="E462" s="116">
        <v>232.78484419861499</v>
      </c>
      <c r="F462" s="116">
        <v>1005.55</v>
      </c>
      <c r="G462">
        <v>432284</v>
      </c>
      <c r="H462" s="116"/>
      <c r="I462" s="116"/>
      <c r="L462" s="170">
        <v>42683</v>
      </c>
      <c r="M462" s="116">
        <v>248.79162212692199</v>
      </c>
      <c r="N462" s="116">
        <v>249.88129277927999</v>
      </c>
      <c r="O462" s="116">
        <v>230.316751521041</v>
      </c>
      <c r="P462" s="116">
        <v>235.269799940848</v>
      </c>
      <c r="Q462" s="116">
        <v>1004.6</v>
      </c>
      <c r="R462">
        <v>4946573</v>
      </c>
    </row>
    <row r="463" spans="1:18" x14ac:dyDescent="0.25">
      <c r="A463" s="170">
        <v>42684</v>
      </c>
      <c r="B463" s="116">
        <v>254.67652529133599</v>
      </c>
      <c r="C463" s="116">
        <v>250.11988578787401</v>
      </c>
      <c r="D463" s="116">
        <v>249.68650974814199</v>
      </c>
      <c r="E463" s="116">
        <v>251.741950393726</v>
      </c>
      <c r="F463" s="116">
        <v>1010</v>
      </c>
      <c r="G463">
        <v>157104</v>
      </c>
      <c r="H463" s="116"/>
      <c r="I463" s="116"/>
      <c r="L463" s="170">
        <v>42684</v>
      </c>
      <c r="M463" s="116">
        <v>250.22800616866701</v>
      </c>
      <c r="N463" s="116">
        <v>254.82195857803799</v>
      </c>
      <c r="O463" s="116">
        <v>249.38598793729901</v>
      </c>
      <c r="P463" s="116">
        <v>252.25875602078801</v>
      </c>
      <c r="Q463" s="116">
        <v>1010.4</v>
      </c>
      <c r="R463">
        <v>2231907</v>
      </c>
    </row>
    <row r="464" spans="1:18" x14ac:dyDescent="0.25">
      <c r="A464" s="170">
        <v>42685</v>
      </c>
      <c r="B464" s="116">
        <v>251.92768298218201</v>
      </c>
      <c r="C464" s="116">
        <v>247.990152106908</v>
      </c>
      <c r="D464" s="116">
        <v>246.491909226693</v>
      </c>
      <c r="E464" s="116">
        <v>247.643451275122</v>
      </c>
      <c r="F464" s="116">
        <v>1001.4</v>
      </c>
      <c r="G464">
        <v>240131</v>
      </c>
      <c r="H464" s="116"/>
      <c r="I464" s="116"/>
      <c r="L464" s="170">
        <v>42685</v>
      </c>
      <c r="M464" s="116">
        <v>248.08581272710001</v>
      </c>
      <c r="N464" s="116">
        <v>251.986338357698</v>
      </c>
      <c r="O464" s="116">
        <v>246.43892412751401</v>
      </c>
      <c r="P464" s="116">
        <v>247.11996828523701</v>
      </c>
      <c r="Q464" s="116">
        <v>1001.75</v>
      </c>
      <c r="R464">
        <v>3377392</v>
      </c>
    </row>
    <row r="465" spans="1:18" x14ac:dyDescent="0.25">
      <c r="A465" s="170">
        <v>42689</v>
      </c>
      <c r="B465" s="116">
        <v>248.089209487418</v>
      </c>
      <c r="C465" s="116">
        <v>244.572672479311</v>
      </c>
      <c r="D465" s="116">
        <v>242.826786147821</v>
      </c>
      <c r="E465" s="116">
        <v>248.089209487418</v>
      </c>
      <c r="F465" s="116">
        <v>987.6</v>
      </c>
      <c r="G465">
        <v>566144</v>
      </c>
      <c r="H465" s="116"/>
      <c r="I465" s="116"/>
      <c r="L465" s="170">
        <v>42689</v>
      </c>
      <c r="M465" s="116">
        <v>244.036695643907</v>
      </c>
      <c r="N465" s="116">
        <v>247.65242099036701</v>
      </c>
      <c r="O465" s="116">
        <v>242.587928981114</v>
      </c>
      <c r="P465" s="116">
        <v>246.78563751690001</v>
      </c>
      <c r="Q465" s="116">
        <v>985.4</v>
      </c>
      <c r="R465">
        <v>3311592</v>
      </c>
    </row>
    <row r="466" spans="1:18" x14ac:dyDescent="0.25">
      <c r="A466" s="170">
        <v>42690</v>
      </c>
      <c r="B466" s="116">
        <v>246.82622788591499</v>
      </c>
      <c r="C466" s="116">
        <v>244.139296439579</v>
      </c>
      <c r="D466" s="116">
        <v>243.18586915217</v>
      </c>
      <c r="E466" s="116">
        <v>244.99366634647899</v>
      </c>
      <c r="F466" s="116">
        <v>985.85</v>
      </c>
      <c r="G466">
        <v>346508</v>
      </c>
      <c r="H466" s="116"/>
      <c r="I466" s="116"/>
      <c r="L466" s="170">
        <v>42690</v>
      </c>
      <c r="M466" s="116">
        <v>244.32149592804601</v>
      </c>
      <c r="N466" s="116">
        <v>246.85993324319799</v>
      </c>
      <c r="O466" s="116">
        <v>242.87272926525301</v>
      </c>
      <c r="P466" s="116">
        <v>246.41415888541499</v>
      </c>
      <c r="Q466" s="116">
        <v>986.55</v>
      </c>
      <c r="R466">
        <v>3783226</v>
      </c>
    </row>
    <row r="467" spans="1:18" x14ac:dyDescent="0.25">
      <c r="A467" s="170">
        <v>42691</v>
      </c>
      <c r="B467" s="116">
        <v>247.14816437257201</v>
      </c>
      <c r="C467" s="116">
        <v>243.012518736278</v>
      </c>
      <c r="D467" s="116">
        <v>241.66286192682799</v>
      </c>
      <c r="E467" s="116">
        <v>244.424086408546</v>
      </c>
      <c r="F467" s="116">
        <v>981.3</v>
      </c>
      <c r="G467">
        <v>418920</v>
      </c>
      <c r="H467" s="116"/>
      <c r="I467" s="116"/>
      <c r="L467" s="170">
        <v>42691</v>
      </c>
      <c r="M467" s="116">
        <v>242.14215462333101</v>
      </c>
      <c r="N467" s="116">
        <v>247.19426401153501</v>
      </c>
      <c r="O467" s="116">
        <v>241.312519013013</v>
      </c>
      <c r="P467" s="116">
        <v>244.18528709650201</v>
      </c>
      <c r="Q467" s="116">
        <v>977.75</v>
      </c>
      <c r="R467">
        <v>2886635</v>
      </c>
    </row>
    <row r="468" spans="1:18" x14ac:dyDescent="0.25">
      <c r="A468" s="170">
        <v>42692</v>
      </c>
      <c r="B468" s="116">
        <v>245.69945018261299</v>
      </c>
      <c r="C468" s="116">
        <v>244.54790813418299</v>
      </c>
      <c r="D468" s="116">
        <v>243.40874825831801</v>
      </c>
      <c r="E468" s="116">
        <v>243.470659121137</v>
      </c>
      <c r="F468" s="116">
        <v>987.5</v>
      </c>
      <c r="G468">
        <v>288856</v>
      </c>
      <c r="H468" s="116"/>
      <c r="I468" s="116"/>
      <c r="L468" s="170">
        <v>42692</v>
      </c>
      <c r="M468" s="116">
        <v>244.556765727987</v>
      </c>
      <c r="N468" s="116">
        <v>245.844558317137</v>
      </c>
      <c r="O468" s="116">
        <v>243.19467741253999</v>
      </c>
      <c r="P468" s="116">
        <v>243.93763467551099</v>
      </c>
      <c r="Q468" s="116">
        <v>987.5</v>
      </c>
      <c r="R468">
        <v>4151928</v>
      </c>
    </row>
    <row r="469" spans="1:18" x14ac:dyDescent="0.25">
      <c r="A469" s="170">
        <v>42695</v>
      </c>
      <c r="B469" s="116">
        <v>246.08329753208901</v>
      </c>
      <c r="C469" s="116">
        <v>245.38989586851901</v>
      </c>
      <c r="D469" s="116">
        <v>243.55733432908301</v>
      </c>
      <c r="E469" s="116">
        <v>244.671729859821</v>
      </c>
      <c r="F469" s="116">
        <v>990.9</v>
      </c>
      <c r="G469">
        <v>362810</v>
      </c>
      <c r="H469" s="116"/>
      <c r="I469" s="116"/>
      <c r="L469" s="170">
        <v>42695</v>
      </c>
      <c r="M469" s="116">
        <v>245.54737541194899</v>
      </c>
      <c r="N469" s="116">
        <v>246.055062874979</v>
      </c>
      <c r="O469" s="116">
        <v>243.49186031772899</v>
      </c>
      <c r="P469" s="116">
        <v>244.56914834903699</v>
      </c>
      <c r="Q469" s="116">
        <v>991.5</v>
      </c>
      <c r="R469">
        <v>3024712</v>
      </c>
    </row>
    <row r="470" spans="1:18" x14ac:dyDescent="0.25">
      <c r="A470" s="170">
        <v>42696</v>
      </c>
      <c r="B470" s="116">
        <v>249.50077715968601</v>
      </c>
      <c r="C470" s="116">
        <v>247.91585907152501</v>
      </c>
      <c r="D470" s="116">
        <v>246.16997274003501</v>
      </c>
      <c r="E470" s="116">
        <v>246.21950143029099</v>
      </c>
      <c r="F470" s="116">
        <v>1001.1</v>
      </c>
      <c r="G470">
        <v>133026</v>
      </c>
      <c r="H470" s="116"/>
      <c r="I470" s="116"/>
      <c r="L470" s="170">
        <v>42696</v>
      </c>
      <c r="M470" s="116">
        <v>248.011517000803</v>
      </c>
      <c r="N470" s="116">
        <v>249.58410987409201</v>
      </c>
      <c r="O470" s="116">
        <v>245.99314976973099</v>
      </c>
      <c r="P470" s="116">
        <v>247.08282042208899</v>
      </c>
      <c r="Q470" s="116">
        <v>1001.45</v>
      </c>
      <c r="R470">
        <v>4033660</v>
      </c>
    </row>
    <row r="471" spans="1:18" x14ac:dyDescent="0.25">
      <c r="A471" s="170">
        <v>42697</v>
      </c>
      <c r="B471" s="116">
        <v>249.74842061096101</v>
      </c>
      <c r="C471" s="116">
        <v>249.43886629686699</v>
      </c>
      <c r="D471" s="116">
        <v>247.51962954948499</v>
      </c>
      <c r="E471" s="116">
        <v>248.88166853149801</v>
      </c>
      <c r="F471" s="116">
        <v>1007.25</v>
      </c>
      <c r="G471">
        <v>125106</v>
      </c>
      <c r="H471" s="116"/>
      <c r="I471" s="116"/>
      <c r="L471" s="170">
        <v>42697</v>
      </c>
      <c r="M471" s="116">
        <v>249.88129277927999</v>
      </c>
      <c r="N471" s="116">
        <v>250.252771410766</v>
      </c>
      <c r="O471" s="116">
        <v>247.54097740092101</v>
      </c>
      <c r="P471" s="116">
        <v>248.89068309531899</v>
      </c>
      <c r="Q471" s="116">
        <v>1009</v>
      </c>
      <c r="R471">
        <v>2996248</v>
      </c>
    </row>
    <row r="472" spans="1:18" x14ac:dyDescent="0.25">
      <c r="A472" s="170">
        <v>42698</v>
      </c>
      <c r="B472" s="116">
        <v>249.35219108892099</v>
      </c>
      <c r="C472" s="116">
        <v>245.32798500569999</v>
      </c>
      <c r="D472" s="116">
        <v>244.17644295727101</v>
      </c>
      <c r="E472" s="116">
        <v>249.35219108892099</v>
      </c>
      <c r="F472" s="116">
        <v>990.65</v>
      </c>
      <c r="G472">
        <v>212535</v>
      </c>
      <c r="H472" s="116"/>
      <c r="I472" s="116"/>
      <c r="L472" s="170">
        <v>42698</v>
      </c>
      <c r="M472" s="116">
        <v>244.51961786483901</v>
      </c>
      <c r="N472" s="116">
        <v>249.02689192686299</v>
      </c>
      <c r="O472" s="116">
        <v>243.244207896738</v>
      </c>
      <c r="P472" s="116">
        <v>249.02689192686299</v>
      </c>
      <c r="Q472" s="116">
        <v>987.35</v>
      </c>
      <c r="R472">
        <v>4323375</v>
      </c>
    </row>
    <row r="473" spans="1:18" x14ac:dyDescent="0.25">
      <c r="A473" s="170">
        <v>42699</v>
      </c>
      <c r="B473" s="116">
        <v>246.65287747002199</v>
      </c>
      <c r="C473" s="116">
        <v>246.070915359525</v>
      </c>
      <c r="D473" s="116">
        <v>243.92879950599601</v>
      </c>
      <c r="E473" s="116">
        <v>245.41466021364599</v>
      </c>
      <c r="F473" s="116">
        <v>993.65</v>
      </c>
      <c r="G473">
        <v>285338</v>
      </c>
      <c r="H473" s="116"/>
      <c r="I473" s="116"/>
      <c r="L473" s="170">
        <v>42699</v>
      </c>
      <c r="M473" s="116">
        <v>246.09221073812699</v>
      </c>
      <c r="N473" s="116">
        <v>246.63704606430599</v>
      </c>
      <c r="O473" s="116">
        <v>243.776660601868</v>
      </c>
      <c r="P473" s="116">
        <v>245.17589678046301</v>
      </c>
      <c r="Q473" s="116">
        <v>993.7</v>
      </c>
      <c r="R473">
        <v>2389829</v>
      </c>
    </row>
    <row r="474" spans="1:18" x14ac:dyDescent="0.25">
      <c r="A474" s="170">
        <v>42702</v>
      </c>
      <c r="B474" s="116">
        <v>247.65583344768601</v>
      </c>
      <c r="C474" s="116">
        <v>244.28788251034501</v>
      </c>
      <c r="D474" s="116">
        <v>243.68115605472099</v>
      </c>
      <c r="E474" s="116">
        <v>246.35570532849201</v>
      </c>
      <c r="F474" s="116">
        <v>986.45</v>
      </c>
      <c r="G474">
        <v>91529</v>
      </c>
      <c r="H474" s="116"/>
      <c r="I474" s="116"/>
      <c r="L474" s="170">
        <v>42702</v>
      </c>
      <c r="M474" s="116">
        <v>244.346261170145</v>
      </c>
      <c r="N474" s="116">
        <v>247.801012442961</v>
      </c>
      <c r="O474" s="116">
        <v>243.71474749661999</v>
      </c>
      <c r="P474" s="116">
        <v>245.91885404343401</v>
      </c>
      <c r="Q474" s="116">
        <v>986.65</v>
      </c>
      <c r="R474">
        <v>1900161</v>
      </c>
    </row>
    <row r="475" spans="1:18" x14ac:dyDescent="0.25">
      <c r="A475" s="170">
        <v>42703</v>
      </c>
      <c r="B475" s="116">
        <v>248.31208859356499</v>
      </c>
      <c r="C475" s="116">
        <v>246.61573095233101</v>
      </c>
      <c r="D475" s="116">
        <v>244.44885075367301</v>
      </c>
      <c r="E475" s="116">
        <v>244.44885075367301</v>
      </c>
      <c r="F475" s="116">
        <v>995.85</v>
      </c>
      <c r="G475">
        <v>289686</v>
      </c>
      <c r="H475" s="116"/>
      <c r="I475" s="116"/>
      <c r="L475" s="170">
        <v>42703</v>
      </c>
      <c r="M475" s="116">
        <v>247.08282042208899</v>
      </c>
      <c r="N475" s="116">
        <v>248.71732640062501</v>
      </c>
      <c r="O475" s="116">
        <v>244.69297455953199</v>
      </c>
      <c r="P475" s="116">
        <v>244.92824435947301</v>
      </c>
      <c r="Q475" s="116">
        <v>997.7</v>
      </c>
      <c r="R475">
        <v>2259609</v>
      </c>
    </row>
    <row r="476" spans="1:18" x14ac:dyDescent="0.25">
      <c r="A476" s="170">
        <v>42704</v>
      </c>
      <c r="B476" s="116">
        <v>247.04910699206201</v>
      </c>
      <c r="C476" s="116">
        <v>245.84803625337801</v>
      </c>
      <c r="D476" s="116">
        <v>244.671729859821</v>
      </c>
      <c r="E476" s="116">
        <v>246.90052092129699</v>
      </c>
      <c r="F476" s="116">
        <v>992.75</v>
      </c>
      <c r="G476">
        <v>267661</v>
      </c>
      <c r="H476" s="116"/>
      <c r="I476" s="116"/>
      <c r="L476" s="170">
        <v>42704</v>
      </c>
      <c r="M476" s="116">
        <v>245.188279401513</v>
      </c>
      <c r="N476" s="116">
        <v>247.64003836931701</v>
      </c>
      <c r="O476" s="116">
        <v>244.346261170145</v>
      </c>
      <c r="P476" s="116">
        <v>247.64003836931701</v>
      </c>
      <c r="Q476" s="116">
        <v>990.05</v>
      </c>
      <c r="R476">
        <v>6308004</v>
      </c>
    </row>
    <row r="477" spans="1:18" x14ac:dyDescent="0.25">
      <c r="A477" s="170">
        <v>42705</v>
      </c>
      <c r="B477" s="116">
        <v>251.25904566373899</v>
      </c>
      <c r="C477" s="116">
        <v>246.950049611552</v>
      </c>
      <c r="D477" s="116">
        <v>246.28141229310901</v>
      </c>
      <c r="E477" s="116">
        <v>246.690023987713</v>
      </c>
      <c r="F477" s="116">
        <v>997.2</v>
      </c>
      <c r="G477">
        <v>234382</v>
      </c>
      <c r="H477" s="116"/>
      <c r="I477" s="116"/>
      <c r="L477" s="170">
        <v>42705</v>
      </c>
      <c r="M477" s="116">
        <v>247.09520304313801</v>
      </c>
      <c r="N477" s="116">
        <v>251.367207305222</v>
      </c>
      <c r="O477" s="116">
        <v>246.41415888541499</v>
      </c>
      <c r="P477" s="116">
        <v>247.65242099036701</v>
      </c>
      <c r="Q477" s="116">
        <v>997.75</v>
      </c>
      <c r="R477">
        <v>2886513</v>
      </c>
    </row>
    <row r="478" spans="1:18" x14ac:dyDescent="0.25">
      <c r="A478" s="170">
        <v>42706</v>
      </c>
      <c r="B478" s="116">
        <v>249.030254602263</v>
      </c>
      <c r="C478" s="116">
        <v>246.47952705412899</v>
      </c>
      <c r="D478" s="116">
        <v>245.92232928876001</v>
      </c>
      <c r="E478" s="116">
        <v>246.405234018747</v>
      </c>
      <c r="F478" s="116">
        <v>995.3</v>
      </c>
      <c r="G478">
        <v>190233</v>
      </c>
      <c r="H478" s="116"/>
      <c r="I478" s="116"/>
      <c r="L478" s="170">
        <v>42706</v>
      </c>
      <c r="M478" s="116">
        <v>246.35224578016701</v>
      </c>
      <c r="N478" s="116">
        <v>248.89068309531899</v>
      </c>
      <c r="O478" s="116">
        <v>245.621671138246</v>
      </c>
      <c r="P478" s="116">
        <v>246.63704606430599</v>
      </c>
      <c r="Q478" s="116">
        <v>994.75</v>
      </c>
      <c r="R478">
        <v>2853045</v>
      </c>
    </row>
    <row r="479" spans="1:18" x14ac:dyDescent="0.25">
      <c r="A479" s="170">
        <v>42709</v>
      </c>
      <c r="B479" s="116">
        <v>247.33389696102901</v>
      </c>
      <c r="C479" s="116">
        <v>246.18235491259901</v>
      </c>
      <c r="D479" s="116">
        <v>244.56029030674699</v>
      </c>
      <c r="E479" s="116">
        <v>246.157590567472</v>
      </c>
      <c r="F479" s="116">
        <v>994.1</v>
      </c>
      <c r="G479">
        <v>100455</v>
      </c>
      <c r="H479" s="116"/>
      <c r="I479" s="116"/>
      <c r="L479" s="170">
        <v>42709</v>
      </c>
      <c r="M479" s="116">
        <v>246.12935860127601</v>
      </c>
      <c r="N479" s="116">
        <v>247.57812526407</v>
      </c>
      <c r="O479" s="116">
        <v>244.30911330699701</v>
      </c>
      <c r="P479" s="116">
        <v>246.41415888541499</v>
      </c>
      <c r="Q479" s="116">
        <v>993.85</v>
      </c>
      <c r="R479">
        <v>911410</v>
      </c>
    </row>
    <row r="480" spans="1:18" x14ac:dyDescent="0.25">
      <c r="A480" s="170">
        <v>42710</v>
      </c>
      <c r="B480" s="116">
        <v>248.856904186371</v>
      </c>
      <c r="C480" s="116">
        <v>248.47305683689399</v>
      </c>
      <c r="D480" s="116">
        <v>246.405234018747</v>
      </c>
      <c r="E480" s="116">
        <v>246.405234018747</v>
      </c>
      <c r="F480" s="116">
        <v>1003.35</v>
      </c>
      <c r="G480">
        <v>101856</v>
      </c>
      <c r="H480" s="116"/>
      <c r="I480" s="116"/>
      <c r="L480" s="170">
        <v>42710</v>
      </c>
      <c r="M480" s="116">
        <v>248.94021357951701</v>
      </c>
      <c r="N480" s="116">
        <v>249.274544347854</v>
      </c>
      <c r="O480" s="116">
        <v>246.31509791701899</v>
      </c>
      <c r="P480" s="116">
        <v>246.66181130640501</v>
      </c>
      <c r="Q480" s="116">
        <v>1005.2</v>
      </c>
      <c r="R480">
        <v>1537535</v>
      </c>
    </row>
    <row r="481" spans="1:18" x14ac:dyDescent="0.25">
      <c r="A481" s="170">
        <v>42711</v>
      </c>
      <c r="B481" s="116">
        <v>249.376955434048</v>
      </c>
      <c r="C481" s="116">
        <v>247.56915823974001</v>
      </c>
      <c r="D481" s="116">
        <v>246.56620226207599</v>
      </c>
      <c r="E481" s="116">
        <v>249.376955434048</v>
      </c>
      <c r="F481" s="116">
        <v>999.7</v>
      </c>
      <c r="G481">
        <v>76196</v>
      </c>
      <c r="H481" s="116"/>
      <c r="I481" s="116"/>
      <c r="L481" s="170">
        <v>42711</v>
      </c>
      <c r="M481" s="116">
        <v>247.44191643252501</v>
      </c>
      <c r="N481" s="116">
        <v>249.53457938989399</v>
      </c>
      <c r="O481" s="116">
        <v>246.74848965375199</v>
      </c>
      <c r="P481" s="116">
        <v>248.643030674328</v>
      </c>
      <c r="Q481" s="116">
        <v>999.15</v>
      </c>
      <c r="R481">
        <v>1127113</v>
      </c>
    </row>
    <row r="482" spans="1:18" x14ac:dyDescent="0.25">
      <c r="A482" s="170">
        <v>42712</v>
      </c>
      <c r="B482" s="116">
        <v>252.84396375189999</v>
      </c>
      <c r="C482" s="116">
        <v>252.48488074755099</v>
      </c>
      <c r="D482" s="116">
        <v>248.411145974075</v>
      </c>
      <c r="E482" s="116">
        <v>248.411145974075</v>
      </c>
      <c r="F482" s="116">
        <v>1019.55</v>
      </c>
      <c r="G482">
        <v>123560</v>
      </c>
      <c r="H482" s="116"/>
      <c r="I482" s="116"/>
      <c r="L482" s="170">
        <v>42712</v>
      </c>
      <c r="M482" s="116">
        <v>252.617852031224</v>
      </c>
      <c r="N482" s="116">
        <v>253.051243767957</v>
      </c>
      <c r="O482" s="116">
        <v>248.72970902167501</v>
      </c>
      <c r="P482" s="116">
        <v>248.90306571636799</v>
      </c>
      <c r="Q482" s="116">
        <v>1020.05</v>
      </c>
      <c r="R482">
        <v>2000230</v>
      </c>
    </row>
    <row r="483" spans="1:18" x14ac:dyDescent="0.25">
      <c r="A483" s="170">
        <v>42713</v>
      </c>
      <c r="B483" s="116">
        <v>254.973697432866</v>
      </c>
      <c r="C483" s="116">
        <v>254.181238388786</v>
      </c>
      <c r="D483" s="116">
        <v>252.67061333600699</v>
      </c>
      <c r="E483" s="116">
        <v>252.72014202626201</v>
      </c>
      <c r="F483" s="116">
        <v>1026.4000000000001</v>
      </c>
      <c r="G483">
        <v>117758</v>
      </c>
      <c r="H483" s="116"/>
      <c r="I483" s="116"/>
      <c r="L483" s="170">
        <v>42713</v>
      </c>
      <c r="M483" s="116">
        <v>254.82195857803799</v>
      </c>
      <c r="N483" s="116">
        <v>255.54015059891</v>
      </c>
      <c r="O483" s="116">
        <v>252.67976513647099</v>
      </c>
      <c r="P483" s="116">
        <v>253.10077425215499</v>
      </c>
      <c r="Q483" s="116">
        <v>1028.95</v>
      </c>
      <c r="R483">
        <v>1883333</v>
      </c>
    </row>
    <row r="484" spans="1:18" x14ac:dyDescent="0.25">
      <c r="A484" s="170">
        <v>42716</v>
      </c>
      <c r="B484" s="116">
        <v>257.54918932612702</v>
      </c>
      <c r="C484" s="116">
        <v>254.602232255953</v>
      </c>
      <c r="D484" s="116">
        <v>253.128753720866</v>
      </c>
      <c r="E484" s="116">
        <v>254.29267794185901</v>
      </c>
      <c r="F484" s="116">
        <v>1028.0999999999999</v>
      </c>
      <c r="G484">
        <v>110937</v>
      </c>
      <c r="H484" s="116"/>
      <c r="I484" s="116"/>
      <c r="L484" s="170">
        <v>42716</v>
      </c>
      <c r="M484" s="116">
        <v>254.38856684130499</v>
      </c>
      <c r="N484" s="116">
        <v>257.97952694566499</v>
      </c>
      <c r="O484" s="116">
        <v>252.72929562066901</v>
      </c>
      <c r="P484" s="116">
        <v>252.72929562066901</v>
      </c>
      <c r="Q484" s="116">
        <v>1027.2</v>
      </c>
      <c r="R484">
        <v>2062700</v>
      </c>
    </row>
    <row r="485" spans="1:18" x14ac:dyDescent="0.25">
      <c r="A485" s="170">
        <v>42717</v>
      </c>
      <c r="B485" s="116">
        <v>258.04447622867798</v>
      </c>
      <c r="C485" s="116">
        <v>257.52442498099998</v>
      </c>
      <c r="D485" s="116">
        <v>254.701289636463</v>
      </c>
      <c r="E485" s="116">
        <v>255.568041715926</v>
      </c>
      <c r="F485" s="116">
        <v>1039.9000000000001</v>
      </c>
      <c r="G485">
        <v>97743</v>
      </c>
      <c r="H485" s="116"/>
      <c r="I485" s="116"/>
      <c r="L485" s="170">
        <v>42717</v>
      </c>
      <c r="M485" s="116">
        <v>257.508987345783</v>
      </c>
      <c r="N485" s="116">
        <v>257.806170250972</v>
      </c>
      <c r="O485" s="116">
        <v>254.475245188651</v>
      </c>
      <c r="P485" s="116">
        <v>254.586688778097</v>
      </c>
      <c r="Q485" s="116">
        <v>1039.8</v>
      </c>
      <c r="R485">
        <v>2369453</v>
      </c>
    </row>
    <row r="486" spans="1:18" x14ac:dyDescent="0.25">
      <c r="A486" s="170">
        <v>42718</v>
      </c>
      <c r="B486" s="116">
        <v>263.59168953723997</v>
      </c>
      <c r="C486" s="116">
        <v>262.50205835163001</v>
      </c>
      <c r="D486" s="116">
        <v>257.400603255362</v>
      </c>
      <c r="E486" s="116">
        <v>257.42536760049001</v>
      </c>
      <c r="F486" s="116">
        <v>1060</v>
      </c>
      <c r="G486">
        <v>519532</v>
      </c>
      <c r="H486" s="116"/>
      <c r="I486" s="116"/>
      <c r="L486" s="170">
        <v>42718</v>
      </c>
      <c r="M486" s="116">
        <v>262.38774003929399</v>
      </c>
      <c r="N486" s="116">
        <v>263.61361952319601</v>
      </c>
      <c r="O486" s="116">
        <v>257.11274347219899</v>
      </c>
      <c r="P486" s="116">
        <v>257.508987345783</v>
      </c>
      <c r="Q486" s="116">
        <v>1059.5</v>
      </c>
      <c r="R486">
        <v>5517829</v>
      </c>
    </row>
    <row r="487" spans="1:18" x14ac:dyDescent="0.25">
      <c r="A487" s="170">
        <v>42719</v>
      </c>
      <c r="B487" s="116">
        <v>264.18603382030102</v>
      </c>
      <c r="C487" s="116">
        <v>261.065726334234</v>
      </c>
      <c r="D487" s="116">
        <v>260.27326729015402</v>
      </c>
      <c r="E487" s="116">
        <v>261.69721713498598</v>
      </c>
      <c r="F487" s="116">
        <v>1054.2</v>
      </c>
      <c r="G487">
        <v>202780</v>
      </c>
      <c r="H487" s="116"/>
      <c r="I487" s="116"/>
      <c r="L487" s="170">
        <v>42719</v>
      </c>
      <c r="M487" s="116">
        <v>260.76561668180699</v>
      </c>
      <c r="N487" s="116">
        <v>264.39372464931603</v>
      </c>
      <c r="O487" s="116">
        <v>259.70071127154802</v>
      </c>
      <c r="P487" s="116">
        <v>260.629407850262</v>
      </c>
      <c r="Q487" s="116">
        <v>1052.95</v>
      </c>
      <c r="R487">
        <v>4418967</v>
      </c>
    </row>
    <row r="488" spans="1:18" x14ac:dyDescent="0.25">
      <c r="A488" s="170">
        <v>42720</v>
      </c>
      <c r="B488" s="116">
        <v>262.99734525418</v>
      </c>
      <c r="C488" s="116">
        <v>261.89533189600598</v>
      </c>
      <c r="D488" s="116">
        <v>260.02562383887903</v>
      </c>
      <c r="E488" s="116">
        <v>260.02562383887903</v>
      </c>
      <c r="F488" s="116">
        <v>1057.55</v>
      </c>
      <c r="G488">
        <v>297923</v>
      </c>
      <c r="H488" s="116"/>
      <c r="I488" s="116"/>
      <c r="L488" s="170">
        <v>42720</v>
      </c>
      <c r="M488" s="116">
        <v>261.80575684996597</v>
      </c>
      <c r="N488" s="116">
        <v>263.00687109176903</v>
      </c>
      <c r="O488" s="116">
        <v>260.53034688186602</v>
      </c>
      <c r="P488" s="116">
        <v>260.53034688186602</v>
      </c>
      <c r="Q488" s="116">
        <v>1057.1500000000001</v>
      </c>
      <c r="R488">
        <v>3415537</v>
      </c>
    </row>
    <row r="489" spans="1:18" x14ac:dyDescent="0.25">
      <c r="A489" s="170">
        <v>42723</v>
      </c>
      <c r="B489" s="116">
        <v>263.93839036902602</v>
      </c>
      <c r="C489" s="116">
        <v>263.03449177187099</v>
      </c>
      <c r="D489" s="116">
        <v>261.26384109525401</v>
      </c>
      <c r="E489" s="116">
        <v>262.00677144908002</v>
      </c>
      <c r="F489" s="116">
        <v>1062.1500000000001</v>
      </c>
      <c r="G489">
        <v>726659</v>
      </c>
      <c r="H489" s="116"/>
      <c r="I489" s="116"/>
      <c r="L489" s="170">
        <v>42723</v>
      </c>
      <c r="M489" s="116">
        <v>263.14307992331402</v>
      </c>
      <c r="N489" s="116">
        <v>264.23275057567201</v>
      </c>
      <c r="O489" s="116">
        <v>261.11233007119301</v>
      </c>
      <c r="P489" s="116">
        <v>261.27330414483703</v>
      </c>
      <c r="Q489" s="116">
        <v>1062.55</v>
      </c>
      <c r="R489">
        <v>3430950</v>
      </c>
    </row>
    <row r="490" spans="1:18" x14ac:dyDescent="0.25">
      <c r="A490" s="170">
        <v>42724</v>
      </c>
      <c r="B490" s="116">
        <v>262.99734525418</v>
      </c>
      <c r="C490" s="116">
        <v>262.279179245482</v>
      </c>
      <c r="D490" s="116">
        <v>261.01619764397901</v>
      </c>
      <c r="E490" s="116">
        <v>261.83342103318699</v>
      </c>
      <c r="F490" s="116">
        <v>1059.0999999999999</v>
      </c>
      <c r="G490">
        <v>779055</v>
      </c>
      <c r="H490" s="116"/>
      <c r="I490" s="116"/>
      <c r="L490" s="170">
        <v>42724</v>
      </c>
      <c r="M490" s="116">
        <v>261.99149616570901</v>
      </c>
      <c r="N490" s="116">
        <v>262.75921867077898</v>
      </c>
      <c r="O490" s="116">
        <v>260.81514716600498</v>
      </c>
      <c r="P490" s="116">
        <v>261.19900841854002</v>
      </c>
      <c r="Q490" s="116">
        <v>1057.9000000000001</v>
      </c>
      <c r="R490">
        <v>2671719</v>
      </c>
    </row>
    <row r="491" spans="1:18" x14ac:dyDescent="0.25">
      <c r="A491" s="170">
        <v>42725</v>
      </c>
      <c r="B491" s="116">
        <v>264.07459426722698</v>
      </c>
      <c r="C491" s="116">
        <v>262.86114135597899</v>
      </c>
      <c r="D491" s="116">
        <v>261.63530627216699</v>
      </c>
      <c r="E491" s="116">
        <v>262.25441490035502</v>
      </c>
      <c r="F491" s="116">
        <v>1061.45</v>
      </c>
      <c r="G491">
        <v>273117</v>
      </c>
      <c r="H491" s="116"/>
      <c r="I491" s="116"/>
      <c r="L491" s="170">
        <v>42725</v>
      </c>
      <c r="M491" s="116">
        <v>263.316436618007</v>
      </c>
      <c r="N491" s="116">
        <v>264.31942892301799</v>
      </c>
      <c r="O491" s="116">
        <v>261.81813947101602</v>
      </c>
      <c r="P491" s="116">
        <v>262.53633149188801</v>
      </c>
      <c r="Q491" s="116">
        <v>1063.25</v>
      </c>
      <c r="R491">
        <v>4655758</v>
      </c>
    </row>
    <row r="492" spans="1:18" x14ac:dyDescent="0.25">
      <c r="A492" s="170">
        <v>42726</v>
      </c>
      <c r="B492" s="116">
        <v>262.88590570110603</v>
      </c>
      <c r="C492" s="116">
        <v>261.00381547141501</v>
      </c>
      <c r="D492" s="116">
        <v>260.112299046825</v>
      </c>
      <c r="E492" s="116">
        <v>262.47729400650201</v>
      </c>
      <c r="F492" s="116">
        <v>1053.95</v>
      </c>
      <c r="G492">
        <v>622987</v>
      </c>
      <c r="H492" s="116"/>
      <c r="I492" s="116"/>
      <c r="L492" s="170">
        <v>42726</v>
      </c>
      <c r="M492" s="116">
        <v>260.86467765020302</v>
      </c>
      <c r="N492" s="116">
        <v>263.16784516541298</v>
      </c>
      <c r="O492" s="116">
        <v>260.27031183982598</v>
      </c>
      <c r="P492" s="116">
        <v>262.01626140780797</v>
      </c>
      <c r="Q492" s="116">
        <v>1053.3499999999999</v>
      </c>
      <c r="R492">
        <v>6604416</v>
      </c>
    </row>
    <row r="493" spans="1:18" x14ac:dyDescent="0.25">
      <c r="A493" s="170">
        <v>42727</v>
      </c>
      <c r="B493" s="116">
        <v>264.59464551490498</v>
      </c>
      <c r="C493" s="116">
        <v>262.04391796677101</v>
      </c>
      <c r="D493" s="116">
        <v>260.17420990964399</v>
      </c>
      <c r="E493" s="116">
        <v>260.17420990964399</v>
      </c>
      <c r="F493" s="116">
        <v>1058.1500000000001</v>
      </c>
      <c r="G493">
        <v>304475</v>
      </c>
      <c r="H493" s="116"/>
      <c r="I493" s="116"/>
      <c r="L493" s="170">
        <v>42727</v>
      </c>
      <c r="M493" s="116">
        <v>261.84290471311499</v>
      </c>
      <c r="N493" s="116">
        <v>264.72805541765302</v>
      </c>
      <c r="O493" s="116">
        <v>260.53034688186602</v>
      </c>
      <c r="P493" s="116">
        <v>260.53034688186602</v>
      </c>
      <c r="Q493" s="116">
        <v>1057.3</v>
      </c>
      <c r="R493">
        <v>2346414</v>
      </c>
    </row>
    <row r="494" spans="1:18" x14ac:dyDescent="0.25">
      <c r="A494" s="170">
        <v>42730</v>
      </c>
      <c r="B494" s="116">
        <v>263.98791905928101</v>
      </c>
      <c r="C494" s="116">
        <v>259.30745783018102</v>
      </c>
      <c r="D494" s="116">
        <v>258.78740658250302</v>
      </c>
      <c r="E494" s="116">
        <v>261.41242716601897</v>
      </c>
      <c r="F494" s="116">
        <v>1047.0999999999999</v>
      </c>
      <c r="G494">
        <v>369114</v>
      </c>
      <c r="H494" s="116"/>
      <c r="I494" s="116"/>
      <c r="L494" s="170">
        <v>42730</v>
      </c>
      <c r="M494" s="116">
        <v>259.40352836635998</v>
      </c>
      <c r="N494" s="116">
        <v>263.99748077573099</v>
      </c>
      <c r="O494" s="116">
        <v>258.71010158758702</v>
      </c>
      <c r="P494" s="116">
        <v>261.11233007119301</v>
      </c>
      <c r="Q494" s="116">
        <v>1047.45</v>
      </c>
      <c r="R494">
        <v>3502299</v>
      </c>
    </row>
    <row r="495" spans="1:18" x14ac:dyDescent="0.25">
      <c r="A495" s="170">
        <v>42731</v>
      </c>
      <c r="B495" s="116">
        <v>264.16126947517301</v>
      </c>
      <c r="C495" s="116">
        <v>263.59168953723997</v>
      </c>
      <c r="D495" s="116">
        <v>259.30745783018102</v>
      </c>
      <c r="E495" s="116">
        <v>259.30745783018102</v>
      </c>
      <c r="F495" s="116">
        <v>1064.4000000000001</v>
      </c>
      <c r="G495">
        <v>560443</v>
      </c>
      <c r="H495" s="116"/>
      <c r="I495" s="116"/>
      <c r="L495" s="170">
        <v>42731</v>
      </c>
      <c r="M495" s="116">
        <v>263.67553262844302</v>
      </c>
      <c r="N495" s="116">
        <v>264.26989843882001</v>
      </c>
      <c r="O495" s="116">
        <v>259.29208477691401</v>
      </c>
      <c r="P495" s="116">
        <v>259.50258933475601</v>
      </c>
      <c r="Q495" s="116">
        <v>1064.7</v>
      </c>
      <c r="R495">
        <v>3987142</v>
      </c>
    </row>
    <row r="496" spans="1:18" x14ac:dyDescent="0.25">
      <c r="A496" s="170">
        <v>42732</v>
      </c>
      <c r="B496" s="116">
        <v>264.95372851925401</v>
      </c>
      <c r="C496" s="116">
        <v>260.57043943168401</v>
      </c>
      <c r="D496" s="116">
        <v>259.62939431683799</v>
      </c>
      <c r="E496" s="116">
        <v>264.483205961831</v>
      </c>
      <c r="F496" s="116">
        <v>1052.2</v>
      </c>
      <c r="G496">
        <v>546777</v>
      </c>
      <c r="H496" s="116"/>
      <c r="I496" s="116"/>
      <c r="L496" s="170">
        <v>42732</v>
      </c>
      <c r="M496" s="116">
        <v>259.960746313588</v>
      </c>
      <c r="N496" s="116">
        <v>264.87664687024699</v>
      </c>
      <c r="O496" s="116">
        <v>259.31685001901297</v>
      </c>
      <c r="P496" s="116">
        <v>264.46802037561298</v>
      </c>
      <c r="Q496" s="116">
        <v>1049.7</v>
      </c>
      <c r="R496">
        <v>2202927</v>
      </c>
    </row>
    <row r="497" spans="1:18" x14ac:dyDescent="0.25">
      <c r="A497" s="170">
        <v>42733</v>
      </c>
      <c r="B497" s="116">
        <v>264.63179203259602</v>
      </c>
      <c r="C497" s="116">
        <v>263.72789343544201</v>
      </c>
      <c r="D497" s="116">
        <v>259.90180211324099</v>
      </c>
      <c r="E497" s="116">
        <v>260.43423553348299</v>
      </c>
      <c r="F497" s="116">
        <v>1064.95</v>
      </c>
      <c r="G497">
        <v>98962</v>
      </c>
      <c r="H497" s="116"/>
      <c r="I497" s="116"/>
      <c r="L497" s="170">
        <v>42733</v>
      </c>
      <c r="M497" s="116">
        <v>263.861271944186</v>
      </c>
      <c r="N497" s="116">
        <v>264.69090755450401</v>
      </c>
      <c r="O497" s="116">
        <v>259.91121582939002</v>
      </c>
      <c r="P497" s="116">
        <v>260.03504203988501</v>
      </c>
      <c r="Q497" s="116">
        <v>1065.45</v>
      </c>
      <c r="R497">
        <v>2005206</v>
      </c>
    </row>
    <row r="498" spans="1:18" x14ac:dyDescent="0.25">
      <c r="A498" s="170">
        <v>42734</v>
      </c>
      <c r="B498" s="116">
        <v>268.61885159812499</v>
      </c>
      <c r="C498" s="116">
        <v>267.47969172225999</v>
      </c>
      <c r="D498" s="116">
        <v>263.49263215673</v>
      </c>
      <c r="E498" s="116">
        <v>264.18603382030102</v>
      </c>
      <c r="F498" s="116">
        <v>1080.0999999999999</v>
      </c>
      <c r="G498">
        <v>653398</v>
      </c>
      <c r="H498" s="116"/>
      <c r="I498" s="116"/>
      <c r="L498" s="170">
        <v>42734</v>
      </c>
      <c r="M498" s="116">
        <v>268.058980479973</v>
      </c>
      <c r="N498" s="116">
        <v>268.70287677454797</v>
      </c>
      <c r="O498" s="116">
        <v>263.27928875485901</v>
      </c>
      <c r="P498" s="116">
        <v>263.70029787054301</v>
      </c>
      <c r="Q498" s="116">
        <v>1082.4000000000001</v>
      </c>
      <c r="R498">
        <v>3591493</v>
      </c>
    </row>
    <row r="499" spans="1:18" x14ac:dyDescent="0.25">
      <c r="A499" s="170">
        <v>42737</v>
      </c>
      <c r="B499" s="116">
        <v>269.795157991682</v>
      </c>
      <c r="C499" s="116">
        <v>268.22262207608497</v>
      </c>
      <c r="D499" s="116">
        <v>265.75856973589799</v>
      </c>
      <c r="E499" s="116">
        <v>267.78924603635397</v>
      </c>
      <c r="F499" s="116">
        <v>1083.0999999999999</v>
      </c>
      <c r="G499">
        <v>182947</v>
      </c>
      <c r="H499" s="116"/>
      <c r="I499" s="116"/>
      <c r="L499" s="170">
        <v>42737</v>
      </c>
      <c r="M499" s="116">
        <v>268.727642016647</v>
      </c>
      <c r="N499" s="116">
        <v>269.94113887949999</v>
      </c>
      <c r="O499" s="116">
        <v>265.57007364902</v>
      </c>
      <c r="P499" s="116">
        <v>268.45522435355798</v>
      </c>
      <c r="Q499" s="116">
        <v>1085.0999999999999</v>
      </c>
      <c r="R499">
        <v>1622458</v>
      </c>
    </row>
    <row r="500" spans="1:18" x14ac:dyDescent="0.25">
      <c r="A500" s="170">
        <v>42738</v>
      </c>
      <c r="B500" s="116">
        <v>271.66486604880902</v>
      </c>
      <c r="C500" s="116">
        <v>270.09233013321199</v>
      </c>
      <c r="D500" s="116">
        <v>267.76448169122602</v>
      </c>
      <c r="E500" s="116">
        <v>268.48264769992397</v>
      </c>
      <c r="F500" s="116">
        <v>1090.6500000000001</v>
      </c>
      <c r="G500">
        <v>199293</v>
      </c>
      <c r="H500" s="116"/>
      <c r="I500" s="116"/>
      <c r="L500" s="170">
        <v>42738</v>
      </c>
      <c r="M500" s="116">
        <v>269.79254742690603</v>
      </c>
      <c r="N500" s="116">
        <v>271.67470582643199</v>
      </c>
      <c r="O500" s="116">
        <v>267.73703233268498</v>
      </c>
      <c r="P500" s="116">
        <v>269.90399101635097</v>
      </c>
      <c r="Q500" s="116">
        <v>1089.4000000000001</v>
      </c>
      <c r="R500">
        <v>1470751</v>
      </c>
    </row>
    <row r="501" spans="1:18" x14ac:dyDescent="0.25">
      <c r="A501" s="170">
        <v>42739</v>
      </c>
      <c r="B501" s="116">
        <v>270.53808834550802</v>
      </c>
      <c r="C501" s="116">
        <v>264.718467240542</v>
      </c>
      <c r="D501" s="116">
        <v>263.82695081595199</v>
      </c>
      <c r="E501" s="116">
        <v>270.46379531012502</v>
      </c>
      <c r="F501" s="116">
        <v>1068.95</v>
      </c>
      <c r="G501">
        <v>142748</v>
      </c>
      <c r="H501" s="116"/>
      <c r="I501" s="116"/>
      <c r="L501" s="170">
        <v>42739</v>
      </c>
      <c r="M501" s="116">
        <v>264.28228105987</v>
      </c>
      <c r="N501" s="116">
        <v>270.68409614247099</v>
      </c>
      <c r="O501" s="116">
        <v>263.57647166004699</v>
      </c>
      <c r="P501" s="116">
        <v>270.65933090037203</v>
      </c>
      <c r="Q501" s="116">
        <v>1067.1500000000001</v>
      </c>
      <c r="R501">
        <v>2375547</v>
      </c>
    </row>
    <row r="502" spans="1:18" x14ac:dyDescent="0.25">
      <c r="A502" s="170">
        <v>42740</v>
      </c>
      <c r="B502" s="116">
        <v>267.33110565149502</v>
      </c>
      <c r="C502" s="116">
        <v>266.81105440381702</v>
      </c>
      <c r="D502" s="116">
        <v>264.730849413106</v>
      </c>
      <c r="E502" s="116">
        <v>265.72142321820598</v>
      </c>
      <c r="F502" s="116">
        <v>1077.4000000000001</v>
      </c>
      <c r="G502">
        <v>159733</v>
      </c>
      <c r="H502" s="116"/>
      <c r="I502" s="116"/>
      <c r="L502" s="170">
        <v>42740</v>
      </c>
      <c r="M502" s="116">
        <v>266.82071837502099</v>
      </c>
      <c r="N502" s="116">
        <v>267.43984942749699</v>
      </c>
      <c r="O502" s="116">
        <v>264.67852493345401</v>
      </c>
      <c r="P502" s="116">
        <v>265.23574288068301</v>
      </c>
      <c r="Q502" s="116">
        <v>1077.4000000000001</v>
      </c>
      <c r="R502">
        <v>1996483</v>
      </c>
    </row>
    <row r="503" spans="1:18" x14ac:dyDescent="0.25">
      <c r="A503" s="170">
        <v>42741</v>
      </c>
      <c r="B503" s="116">
        <v>268.69314463350798</v>
      </c>
      <c r="C503" s="116">
        <v>265.64713018282401</v>
      </c>
      <c r="D503" s="116">
        <v>265.60998366513297</v>
      </c>
      <c r="E503" s="116">
        <v>266.29100315613903</v>
      </c>
      <c r="F503" s="116">
        <v>1072.7</v>
      </c>
      <c r="G503">
        <v>436493</v>
      </c>
      <c r="H503" s="116"/>
      <c r="I503" s="116"/>
      <c r="L503" s="170">
        <v>42741</v>
      </c>
      <c r="M503" s="116">
        <v>266.21396994359498</v>
      </c>
      <c r="N503" s="116">
        <v>268.70287677454797</v>
      </c>
      <c r="O503" s="116">
        <v>265.75581296476298</v>
      </c>
      <c r="P503" s="116">
        <v>266.028230627852</v>
      </c>
      <c r="Q503" s="116">
        <v>1074.95</v>
      </c>
      <c r="R503">
        <v>1793427</v>
      </c>
    </row>
    <row r="504" spans="1:18" x14ac:dyDescent="0.25">
      <c r="A504" s="170">
        <v>42744</v>
      </c>
      <c r="B504" s="116">
        <v>268.86649504940101</v>
      </c>
      <c r="C504" s="116">
        <v>266.73676136843397</v>
      </c>
      <c r="D504" s="116">
        <v>265.250900660784</v>
      </c>
      <c r="E504" s="116">
        <v>267.20728392585698</v>
      </c>
      <c r="F504" s="116">
        <v>1077.0999999999999</v>
      </c>
      <c r="G504">
        <v>236337</v>
      </c>
      <c r="H504" s="116"/>
      <c r="I504" s="116"/>
      <c r="L504" s="170">
        <v>42744</v>
      </c>
      <c r="M504" s="116">
        <v>266.895014101318</v>
      </c>
      <c r="N504" s="116">
        <v>268.95052919553802</v>
      </c>
      <c r="O504" s="116">
        <v>265.23574288068301</v>
      </c>
      <c r="P504" s="116">
        <v>266.72165740662501</v>
      </c>
      <c r="Q504" s="116">
        <v>1077.7</v>
      </c>
      <c r="R504">
        <v>1195257</v>
      </c>
    </row>
    <row r="505" spans="1:18" x14ac:dyDescent="0.25">
      <c r="A505" s="170">
        <v>42745</v>
      </c>
      <c r="B505" s="116">
        <v>270.42664879243398</v>
      </c>
      <c r="C505" s="116">
        <v>269.21319588118598</v>
      </c>
      <c r="D505" s="116">
        <v>267.02155133740098</v>
      </c>
      <c r="E505" s="116">
        <v>267.20728392585698</v>
      </c>
      <c r="F505" s="116">
        <v>1087.0999999999999</v>
      </c>
      <c r="G505">
        <v>206226</v>
      </c>
      <c r="H505" s="116"/>
      <c r="I505" s="116"/>
      <c r="L505" s="170">
        <v>42745</v>
      </c>
      <c r="M505" s="116">
        <v>269.90399101635097</v>
      </c>
      <c r="N505" s="116">
        <v>271.03080953185702</v>
      </c>
      <c r="O505" s="116">
        <v>267.46461466959602</v>
      </c>
      <c r="P505" s="116">
        <v>267.46461466959602</v>
      </c>
      <c r="Q505" s="116">
        <v>1089.8499999999999</v>
      </c>
      <c r="R505">
        <v>2594400</v>
      </c>
    </row>
    <row r="506" spans="1:18" x14ac:dyDescent="0.25">
      <c r="A506" s="170">
        <v>42746</v>
      </c>
      <c r="B506" s="116">
        <v>271.16957914625903</v>
      </c>
      <c r="C506" s="116">
        <v>268.47026552736003</v>
      </c>
      <c r="D506" s="116">
        <v>267.950214279683</v>
      </c>
      <c r="E506" s="116">
        <v>271.00861090293</v>
      </c>
      <c r="F506" s="116">
        <v>1084.0999999999999</v>
      </c>
      <c r="G506">
        <v>88630</v>
      </c>
      <c r="H506" s="116"/>
      <c r="I506" s="116"/>
      <c r="L506" s="170">
        <v>42746</v>
      </c>
      <c r="M506" s="116">
        <v>268.96291181658802</v>
      </c>
      <c r="N506" s="116">
        <v>271.35275767914499</v>
      </c>
      <c r="O506" s="116">
        <v>268.45522435355798</v>
      </c>
      <c r="P506" s="116">
        <v>271.179400984452</v>
      </c>
      <c r="Q506" s="116">
        <v>1086.05</v>
      </c>
      <c r="R506">
        <v>2623211</v>
      </c>
    </row>
    <row r="507" spans="1:18" x14ac:dyDescent="0.25">
      <c r="A507" s="170">
        <v>42747</v>
      </c>
      <c r="B507" s="116">
        <v>269.93136188988302</v>
      </c>
      <c r="C507" s="116">
        <v>268.23500424864898</v>
      </c>
      <c r="D507" s="116">
        <v>267.24443044354803</v>
      </c>
      <c r="E507" s="116">
        <v>269.54751454040701</v>
      </c>
      <c r="F507" s="116">
        <v>1083.1500000000001</v>
      </c>
      <c r="G507">
        <v>120619</v>
      </c>
      <c r="H507" s="116"/>
      <c r="I507" s="116"/>
      <c r="L507" s="170">
        <v>42747</v>
      </c>
      <c r="M507" s="116">
        <v>268.28186765886397</v>
      </c>
      <c r="N507" s="116">
        <v>270.02781722684603</v>
      </c>
      <c r="O507" s="116">
        <v>267.41508418539797</v>
      </c>
      <c r="P507" s="116">
        <v>269.19818161652898</v>
      </c>
      <c r="Q507" s="116">
        <v>1083.3</v>
      </c>
      <c r="R507">
        <v>999364</v>
      </c>
    </row>
    <row r="508" spans="1:18" x14ac:dyDescent="0.25">
      <c r="A508" s="170">
        <v>42748</v>
      </c>
      <c r="B508" s="116">
        <v>271.56580866829898</v>
      </c>
      <c r="C508" s="116">
        <v>269.96850840757497</v>
      </c>
      <c r="D508" s="116">
        <v>268.74267332376297</v>
      </c>
      <c r="E508" s="116">
        <v>268.86649504940101</v>
      </c>
      <c r="F508" s="116">
        <v>1090.1500000000001</v>
      </c>
      <c r="G508">
        <v>178450</v>
      </c>
      <c r="H508" s="116"/>
      <c r="I508" s="116"/>
      <c r="L508" s="170">
        <v>42748</v>
      </c>
      <c r="M508" s="116">
        <v>270.04019984789602</v>
      </c>
      <c r="N508" s="116">
        <v>271.79853203692801</v>
      </c>
      <c r="O508" s="116">
        <v>268.59143318510201</v>
      </c>
      <c r="P508" s="116">
        <v>268.59143318510201</v>
      </c>
      <c r="Q508" s="116">
        <v>1090.4000000000001</v>
      </c>
      <c r="R508">
        <v>1653669</v>
      </c>
    </row>
    <row r="509" spans="1:18" x14ac:dyDescent="0.25">
      <c r="A509" s="170">
        <v>42751</v>
      </c>
      <c r="B509" s="116">
        <v>270.88478917729299</v>
      </c>
      <c r="C509" s="116">
        <v>266.71199702330699</v>
      </c>
      <c r="D509" s="116">
        <v>265.969066669482</v>
      </c>
      <c r="E509" s="116">
        <v>270.27806272166902</v>
      </c>
      <c r="F509" s="116">
        <v>1077</v>
      </c>
      <c r="G509">
        <v>131122</v>
      </c>
      <c r="H509" s="116"/>
      <c r="I509" s="116"/>
      <c r="L509" s="170">
        <v>42751</v>
      </c>
      <c r="M509" s="116">
        <v>266.53591809088198</v>
      </c>
      <c r="N509" s="116">
        <v>270.91936594241201</v>
      </c>
      <c r="O509" s="116">
        <v>265.96631752260402</v>
      </c>
      <c r="P509" s="116">
        <v>269.92875625844999</v>
      </c>
      <c r="Q509" s="116">
        <v>1076.25</v>
      </c>
      <c r="R509">
        <v>2746005</v>
      </c>
    </row>
    <row r="510" spans="1:18" x14ac:dyDescent="0.25">
      <c r="A510" s="170">
        <v>42752</v>
      </c>
      <c r="B510" s="116">
        <v>266.14241708537401</v>
      </c>
      <c r="C510" s="116">
        <v>257.87112581278501</v>
      </c>
      <c r="D510" s="116">
        <v>257.05390242357697</v>
      </c>
      <c r="E510" s="116">
        <v>264.53273465208599</v>
      </c>
      <c r="F510" s="116">
        <v>1041.3</v>
      </c>
      <c r="G510">
        <v>705492</v>
      </c>
      <c r="H510" s="116"/>
      <c r="I510" s="116"/>
      <c r="L510" s="170">
        <v>42752</v>
      </c>
      <c r="M510" s="116">
        <v>257.86808335621902</v>
      </c>
      <c r="N510" s="116">
        <v>264.492785617712</v>
      </c>
      <c r="O510" s="116">
        <v>257.187039198496</v>
      </c>
      <c r="P510" s="116">
        <v>263.749828354741</v>
      </c>
      <c r="Q510" s="116">
        <v>1041.25</v>
      </c>
      <c r="R510">
        <v>8968290</v>
      </c>
    </row>
    <row r="511" spans="1:18" x14ac:dyDescent="0.25">
      <c r="A511" s="170">
        <v>42753</v>
      </c>
      <c r="B511" s="116">
        <v>259.56748345402002</v>
      </c>
      <c r="C511" s="116">
        <v>255.67948126900001</v>
      </c>
      <c r="D511" s="116">
        <v>254.82511136210101</v>
      </c>
      <c r="E511" s="116">
        <v>258.29211967995298</v>
      </c>
      <c r="F511" s="116">
        <v>1032.45</v>
      </c>
      <c r="G511">
        <v>330933</v>
      </c>
      <c r="H511" s="116"/>
      <c r="I511" s="116"/>
      <c r="L511" s="170">
        <v>42753</v>
      </c>
      <c r="M511" s="116">
        <v>255.71350729360299</v>
      </c>
      <c r="N511" s="116">
        <v>259.539737197904</v>
      </c>
      <c r="O511" s="116">
        <v>254.77242809384001</v>
      </c>
      <c r="P511" s="116">
        <v>258.20241412455601</v>
      </c>
      <c r="Q511" s="116">
        <v>1032.55</v>
      </c>
      <c r="R511">
        <v>3627071</v>
      </c>
    </row>
    <row r="512" spans="1:18" x14ac:dyDescent="0.25">
      <c r="A512" s="170">
        <v>42754</v>
      </c>
      <c r="B512" s="116">
        <v>258.70073137455699</v>
      </c>
      <c r="C512" s="116">
        <v>256.001417755658</v>
      </c>
      <c r="D512" s="116">
        <v>255.320398264651</v>
      </c>
      <c r="E512" s="116">
        <v>255.90236037514799</v>
      </c>
      <c r="F512" s="116">
        <v>1033.75</v>
      </c>
      <c r="G512">
        <v>237906</v>
      </c>
      <c r="H512" s="116"/>
      <c r="I512" s="116"/>
      <c r="L512" s="170">
        <v>42754</v>
      </c>
      <c r="M512" s="116">
        <v>255.998307577742</v>
      </c>
      <c r="N512" s="116">
        <v>258.87107566123001</v>
      </c>
      <c r="O512" s="116">
        <v>255.329646041068</v>
      </c>
      <c r="P512" s="116">
        <v>256.35740358817799</v>
      </c>
      <c r="Q512" s="116">
        <v>1033.7</v>
      </c>
      <c r="R512">
        <v>3493728</v>
      </c>
    </row>
    <row r="513" spans="1:18" x14ac:dyDescent="0.25">
      <c r="A513" s="170">
        <v>42755</v>
      </c>
      <c r="B513" s="116">
        <v>256.979609388195</v>
      </c>
      <c r="C513" s="116">
        <v>254.007887972893</v>
      </c>
      <c r="D513" s="116">
        <v>253.68595148623601</v>
      </c>
      <c r="E513" s="116">
        <v>255.81568516720199</v>
      </c>
      <c r="F513" s="116">
        <v>1025.7</v>
      </c>
      <c r="G513">
        <v>579325</v>
      </c>
      <c r="H513" s="116"/>
      <c r="I513" s="116"/>
      <c r="L513" s="170">
        <v>42755</v>
      </c>
      <c r="M513" s="116">
        <v>254.041853451918</v>
      </c>
      <c r="N513" s="116">
        <v>256.92700415645601</v>
      </c>
      <c r="O513" s="116">
        <v>253.57131385203701</v>
      </c>
      <c r="P513" s="116">
        <v>256.06022068299001</v>
      </c>
      <c r="Q513" s="116">
        <v>1025.8</v>
      </c>
      <c r="R513">
        <v>2008082</v>
      </c>
    </row>
    <row r="514" spans="1:18" x14ac:dyDescent="0.25">
      <c r="A514" s="170">
        <v>42758</v>
      </c>
      <c r="B514" s="116">
        <v>255.320398264651</v>
      </c>
      <c r="C514" s="116">
        <v>251.59336432296101</v>
      </c>
      <c r="D514" s="116">
        <v>251.122841765538</v>
      </c>
      <c r="E514" s="116">
        <v>253.58689410572501</v>
      </c>
      <c r="F514" s="116">
        <v>1015.95</v>
      </c>
      <c r="G514">
        <v>198546</v>
      </c>
      <c r="H514" s="116"/>
      <c r="I514" s="116"/>
      <c r="L514" s="170">
        <v>42758</v>
      </c>
      <c r="M514" s="116">
        <v>251.59009448411399</v>
      </c>
      <c r="N514" s="116">
        <v>255.329646041068</v>
      </c>
      <c r="O514" s="116">
        <v>250.822371979043</v>
      </c>
      <c r="P514" s="116">
        <v>253.051243767957</v>
      </c>
      <c r="Q514" s="116">
        <v>1015.9</v>
      </c>
      <c r="R514">
        <v>3133533</v>
      </c>
    </row>
    <row r="515" spans="1:18" x14ac:dyDescent="0.25">
      <c r="A515" s="170">
        <v>42759</v>
      </c>
      <c r="B515" s="116">
        <v>255.07275481337601</v>
      </c>
      <c r="C515" s="116">
        <v>254.46602835775201</v>
      </c>
      <c r="D515" s="116">
        <v>252.24961946884</v>
      </c>
      <c r="E515" s="116">
        <v>252.596320300625</v>
      </c>
      <c r="F515" s="116">
        <v>1027.55</v>
      </c>
      <c r="G515">
        <v>115731</v>
      </c>
      <c r="H515" s="116"/>
      <c r="I515" s="116"/>
      <c r="L515" s="170">
        <v>42759</v>
      </c>
      <c r="M515" s="116">
        <v>254.41333208340399</v>
      </c>
      <c r="N515" s="116">
        <v>254.78481071488901</v>
      </c>
      <c r="O515" s="116">
        <v>251.86251214720301</v>
      </c>
      <c r="P515" s="116">
        <v>251.86251214720301</v>
      </c>
      <c r="Q515" s="116">
        <v>1027.3</v>
      </c>
      <c r="R515">
        <v>2153091</v>
      </c>
    </row>
    <row r="516" spans="1:18" x14ac:dyDescent="0.25">
      <c r="A516" s="170">
        <v>42760</v>
      </c>
      <c r="B516" s="116">
        <v>256.31097206975198</v>
      </c>
      <c r="C516" s="116">
        <v>251.77909691141701</v>
      </c>
      <c r="D516" s="116">
        <v>251.63051084065199</v>
      </c>
      <c r="E516" s="116">
        <v>256.31097206975198</v>
      </c>
      <c r="F516" s="116">
        <v>1016.7</v>
      </c>
      <c r="G516">
        <v>587082</v>
      </c>
      <c r="H516" s="116"/>
      <c r="I516" s="116"/>
      <c r="L516" s="170">
        <v>42760</v>
      </c>
      <c r="M516" s="116">
        <v>251.93680787349999</v>
      </c>
      <c r="N516" s="116">
        <v>255.750655156752</v>
      </c>
      <c r="O516" s="116">
        <v>251.65200758936101</v>
      </c>
      <c r="P516" s="116">
        <v>255.577298462058</v>
      </c>
      <c r="Q516" s="116">
        <v>1017.3</v>
      </c>
      <c r="R516">
        <v>5453230</v>
      </c>
    </row>
    <row r="517" spans="1:18" x14ac:dyDescent="0.25">
      <c r="A517" s="170">
        <v>42762</v>
      </c>
      <c r="B517" s="116">
        <v>254.81272918953701</v>
      </c>
      <c r="C517" s="116">
        <v>253.87168407469201</v>
      </c>
      <c r="D517" s="116">
        <v>252.34867684935</v>
      </c>
      <c r="E517" s="116">
        <v>252.522027265242</v>
      </c>
      <c r="F517" s="116">
        <v>1025.1500000000001</v>
      </c>
      <c r="G517">
        <v>279811</v>
      </c>
      <c r="H517" s="116"/>
      <c r="I517" s="116"/>
      <c r="L517" s="170">
        <v>42762</v>
      </c>
      <c r="M517" s="116">
        <v>253.86849675722499</v>
      </c>
      <c r="N517" s="116">
        <v>254.809575956988</v>
      </c>
      <c r="O517" s="116">
        <v>252.35781698918399</v>
      </c>
      <c r="P517" s="116">
        <v>252.66738251542199</v>
      </c>
      <c r="Q517" s="116">
        <v>1025.0999999999999</v>
      </c>
      <c r="R517">
        <v>4997239</v>
      </c>
    </row>
    <row r="518" spans="1:18" x14ac:dyDescent="0.25">
      <c r="A518" s="170">
        <v>42765</v>
      </c>
      <c r="B518" s="116">
        <v>258.98552134352298</v>
      </c>
      <c r="C518" s="116">
        <v>258.57690964891901</v>
      </c>
      <c r="D518" s="116">
        <v>253.80977321187299</v>
      </c>
      <c r="E518" s="116">
        <v>253.87168407469201</v>
      </c>
      <c r="F518" s="116">
        <v>1044.1500000000001</v>
      </c>
      <c r="G518">
        <v>330309</v>
      </c>
      <c r="H518" s="116"/>
      <c r="I518" s="116"/>
      <c r="L518" s="170">
        <v>42765</v>
      </c>
      <c r="M518" s="116">
        <v>258.74724945073501</v>
      </c>
      <c r="N518" s="116">
        <v>259.15587594536902</v>
      </c>
      <c r="O518" s="116">
        <v>253.79420103092801</v>
      </c>
      <c r="P518" s="116">
        <v>253.831348894076</v>
      </c>
      <c r="Q518" s="116">
        <v>1044.8</v>
      </c>
      <c r="R518">
        <v>3583756</v>
      </c>
    </row>
    <row r="519" spans="1:18" x14ac:dyDescent="0.25">
      <c r="A519" s="170">
        <v>42766</v>
      </c>
      <c r="B519" s="116">
        <v>260.99143329885197</v>
      </c>
      <c r="C519" s="116">
        <v>258.39117706046301</v>
      </c>
      <c r="D519" s="116">
        <v>257.73492191458399</v>
      </c>
      <c r="E519" s="116">
        <v>259.28269348505302</v>
      </c>
      <c r="F519" s="116">
        <v>1043.4000000000001</v>
      </c>
      <c r="G519">
        <v>163944</v>
      </c>
      <c r="H519" s="116"/>
      <c r="I519" s="116"/>
      <c r="L519" s="170">
        <v>42766</v>
      </c>
      <c r="M519" s="116">
        <v>258.84631041913099</v>
      </c>
      <c r="N519" s="116">
        <v>260.97612123964802</v>
      </c>
      <c r="O519" s="116">
        <v>257.63281355627902</v>
      </c>
      <c r="P519" s="116">
        <v>259.25493691376499</v>
      </c>
      <c r="Q519" s="116">
        <v>1045.2</v>
      </c>
      <c r="R519">
        <v>3457365</v>
      </c>
    </row>
    <row r="520" spans="1:18" x14ac:dyDescent="0.25">
      <c r="A520" s="170">
        <v>42767</v>
      </c>
      <c r="B520" s="116">
        <v>260.23612077246202</v>
      </c>
      <c r="C520" s="116">
        <v>259.82750907785902</v>
      </c>
      <c r="D520" s="116">
        <v>256.23667903436899</v>
      </c>
      <c r="E520" s="116">
        <v>258.83693527275801</v>
      </c>
      <c r="F520" s="116">
        <v>1049.2</v>
      </c>
      <c r="G520">
        <v>253689</v>
      </c>
      <c r="H520" s="116"/>
      <c r="I520" s="116"/>
      <c r="L520" s="170">
        <v>42767</v>
      </c>
      <c r="M520" s="116">
        <v>259.94836369253801</v>
      </c>
      <c r="N520" s="116">
        <v>260.25792921877598</v>
      </c>
      <c r="O520" s="116">
        <v>256.36978620922798</v>
      </c>
      <c r="P520" s="116">
        <v>259.06919759802298</v>
      </c>
      <c r="Q520" s="116">
        <v>1049.6500000000001</v>
      </c>
      <c r="R520">
        <v>2585798</v>
      </c>
    </row>
    <row r="521" spans="1:18" x14ac:dyDescent="0.25">
      <c r="A521" s="170">
        <v>42768</v>
      </c>
      <c r="B521" s="116">
        <v>260.02562383887903</v>
      </c>
      <c r="C521" s="116">
        <v>258.72549571968398</v>
      </c>
      <c r="D521" s="116">
        <v>257.19010632177799</v>
      </c>
      <c r="E521" s="116">
        <v>259.29507565761702</v>
      </c>
      <c r="F521" s="116">
        <v>1044.75</v>
      </c>
      <c r="G521">
        <v>812495</v>
      </c>
      <c r="H521" s="116"/>
      <c r="I521" s="116"/>
      <c r="L521" s="170">
        <v>42768</v>
      </c>
      <c r="M521" s="116">
        <v>258.42530130344801</v>
      </c>
      <c r="N521" s="116">
        <v>260.23316397667702</v>
      </c>
      <c r="O521" s="116">
        <v>257.12512609324801</v>
      </c>
      <c r="P521" s="116">
        <v>260.03504203988501</v>
      </c>
      <c r="Q521" s="116">
        <v>1043.5</v>
      </c>
      <c r="R521">
        <v>2079908</v>
      </c>
    </row>
    <row r="522" spans="1:18" x14ac:dyDescent="0.25">
      <c r="A522" s="170">
        <v>42769</v>
      </c>
      <c r="B522" s="116">
        <v>260.05038818400601</v>
      </c>
      <c r="C522" s="116">
        <v>255.98903558309399</v>
      </c>
      <c r="D522" s="116">
        <v>255.33278043721501</v>
      </c>
      <c r="E522" s="116">
        <v>258.72549571968398</v>
      </c>
      <c r="F522" s="116">
        <v>1033.7</v>
      </c>
      <c r="G522">
        <v>118332</v>
      </c>
      <c r="H522" s="116"/>
      <c r="I522" s="116"/>
      <c r="L522" s="170">
        <v>42769</v>
      </c>
      <c r="M522" s="116">
        <v>255.985924956693</v>
      </c>
      <c r="N522" s="116">
        <v>260.14648562933098</v>
      </c>
      <c r="O522" s="116">
        <v>255.106758862177</v>
      </c>
      <c r="P522" s="116">
        <v>259.04443235592402</v>
      </c>
      <c r="Q522" s="116">
        <v>1033.6500000000001</v>
      </c>
      <c r="R522">
        <v>3021751</v>
      </c>
    </row>
    <row r="523" spans="1:18" x14ac:dyDescent="0.25">
      <c r="A523" s="170">
        <v>42772</v>
      </c>
      <c r="B523" s="116">
        <v>258.51499878610002</v>
      </c>
      <c r="C523" s="116">
        <v>257.57395367125503</v>
      </c>
      <c r="D523" s="116">
        <v>255.69186344156401</v>
      </c>
      <c r="E523" s="116">
        <v>256.57099769359098</v>
      </c>
      <c r="F523" s="116">
        <v>1040.0999999999999</v>
      </c>
      <c r="G523">
        <v>501838</v>
      </c>
      <c r="H523" s="116"/>
      <c r="I523" s="116"/>
      <c r="L523" s="170">
        <v>42772</v>
      </c>
      <c r="M523" s="116">
        <v>257.96714432461602</v>
      </c>
      <c r="N523" s="116">
        <v>258.77201469283398</v>
      </c>
      <c r="O523" s="116">
        <v>255.58968108310799</v>
      </c>
      <c r="P523" s="116">
        <v>256.81556056700998</v>
      </c>
      <c r="Q523" s="116">
        <v>1041.6500000000001</v>
      </c>
      <c r="R523">
        <v>2283982</v>
      </c>
    </row>
    <row r="524" spans="1:18" x14ac:dyDescent="0.25">
      <c r="A524" s="170">
        <v>42773</v>
      </c>
      <c r="B524" s="116">
        <v>257.73492191458399</v>
      </c>
      <c r="C524" s="116">
        <v>255.24610522926901</v>
      </c>
      <c r="D524" s="116">
        <v>254.47841053031601</v>
      </c>
      <c r="E524" s="116">
        <v>257.62348236151001</v>
      </c>
      <c r="F524" s="116">
        <v>1030.7</v>
      </c>
      <c r="G524">
        <v>111221</v>
      </c>
      <c r="H524" s="116"/>
      <c r="I524" s="116"/>
      <c r="L524" s="170">
        <v>42773</v>
      </c>
      <c r="M524" s="116">
        <v>255.30488079896901</v>
      </c>
      <c r="N524" s="116">
        <v>258.140501019309</v>
      </c>
      <c r="O524" s="116">
        <v>254.38856684130499</v>
      </c>
      <c r="P524" s="116">
        <v>258.053822671962</v>
      </c>
      <c r="Q524" s="116">
        <v>1030.9000000000001</v>
      </c>
      <c r="R524">
        <v>2264245</v>
      </c>
    </row>
    <row r="525" spans="1:18" x14ac:dyDescent="0.25">
      <c r="A525" s="170">
        <v>42774</v>
      </c>
      <c r="B525" s="116">
        <v>257.16534197665101</v>
      </c>
      <c r="C525" s="116">
        <v>253.995505800329</v>
      </c>
      <c r="D525" s="116">
        <v>253.33925065445001</v>
      </c>
      <c r="E525" s="116">
        <v>255.35754478234301</v>
      </c>
      <c r="F525" s="116">
        <v>1025.6500000000001</v>
      </c>
      <c r="G525">
        <v>192093</v>
      </c>
      <c r="H525" s="116"/>
      <c r="I525" s="116"/>
      <c r="L525" s="170">
        <v>42774</v>
      </c>
      <c r="M525" s="116">
        <v>253.88087937827501</v>
      </c>
      <c r="N525" s="116">
        <v>257.12512609324801</v>
      </c>
      <c r="O525" s="116">
        <v>253.10077425215499</v>
      </c>
      <c r="P525" s="116">
        <v>255.30488079896901</v>
      </c>
      <c r="Q525" s="116">
        <v>1025.1500000000001</v>
      </c>
      <c r="R525">
        <v>3710094</v>
      </c>
    </row>
    <row r="526" spans="1:18" x14ac:dyDescent="0.25">
      <c r="A526" s="170">
        <v>42775</v>
      </c>
      <c r="B526" s="116">
        <v>256.17476817155</v>
      </c>
      <c r="C526" s="116">
        <v>255.741392131819</v>
      </c>
      <c r="D526" s="116">
        <v>254.082181008276</v>
      </c>
      <c r="E526" s="116">
        <v>254.082181008276</v>
      </c>
      <c r="F526" s="116">
        <v>1032.7</v>
      </c>
      <c r="G526">
        <v>141795</v>
      </c>
      <c r="H526" s="116"/>
      <c r="I526" s="116"/>
      <c r="L526" s="170">
        <v>42775</v>
      </c>
      <c r="M526" s="116">
        <v>255.763037777801</v>
      </c>
      <c r="N526" s="116">
        <v>256.07260330403898</v>
      </c>
      <c r="O526" s="116">
        <v>254.28950587290899</v>
      </c>
      <c r="P526" s="116">
        <v>254.586688778097</v>
      </c>
      <c r="Q526" s="116">
        <v>1032.75</v>
      </c>
      <c r="R526">
        <v>2254216</v>
      </c>
    </row>
    <row r="527" spans="1:18" x14ac:dyDescent="0.25">
      <c r="A527" s="170">
        <v>42776</v>
      </c>
      <c r="B527" s="116">
        <v>256.53385117589897</v>
      </c>
      <c r="C527" s="116">
        <v>255.147047848759</v>
      </c>
      <c r="D527" s="116">
        <v>254.06979883571199</v>
      </c>
      <c r="E527" s="116">
        <v>256.31097206975198</v>
      </c>
      <c r="F527" s="116">
        <v>1030.3</v>
      </c>
      <c r="G527">
        <v>136547</v>
      </c>
      <c r="H527" s="116"/>
      <c r="I527" s="116"/>
      <c r="L527" s="170">
        <v>42776</v>
      </c>
      <c r="M527" s="116">
        <v>255.119141483226</v>
      </c>
      <c r="N527" s="116">
        <v>256.45646455657402</v>
      </c>
      <c r="O527" s="116">
        <v>253.97994034667099</v>
      </c>
      <c r="P527" s="116">
        <v>256.32025572502999</v>
      </c>
      <c r="Q527" s="116">
        <v>1030.1500000000001</v>
      </c>
      <c r="R527">
        <v>2861531</v>
      </c>
    </row>
    <row r="528" spans="1:18" x14ac:dyDescent="0.25">
      <c r="A528" s="170">
        <v>42779</v>
      </c>
      <c r="B528" s="116">
        <v>256.31097206975198</v>
      </c>
      <c r="C528" s="116">
        <v>254.66414311877199</v>
      </c>
      <c r="D528" s="116">
        <v>253.09160720317499</v>
      </c>
      <c r="E528" s="116">
        <v>256.06332861847699</v>
      </c>
      <c r="F528" s="116">
        <v>1028.3499999999999</v>
      </c>
      <c r="G528">
        <v>189181</v>
      </c>
      <c r="H528" s="116"/>
      <c r="I528" s="116"/>
      <c r="L528" s="170">
        <v>42779</v>
      </c>
      <c r="M528" s="116">
        <v>255.04484575692899</v>
      </c>
      <c r="N528" s="116">
        <v>256.07260330403898</v>
      </c>
      <c r="O528" s="116">
        <v>253.10077425215499</v>
      </c>
      <c r="P528" s="116">
        <v>255.82495088304901</v>
      </c>
      <c r="Q528" s="116">
        <v>1029.8499999999999</v>
      </c>
      <c r="R528">
        <v>1957988</v>
      </c>
    </row>
    <row r="529" spans="1:18" x14ac:dyDescent="0.25">
      <c r="A529" s="170">
        <v>42780</v>
      </c>
      <c r="B529" s="116">
        <v>260.64473246706598</v>
      </c>
      <c r="C529" s="116">
        <v>259.592247799147</v>
      </c>
      <c r="D529" s="116">
        <v>255.36992695490599</v>
      </c>
      <c r="E529" s="116">
        <v>255.90236037514799</v>
      </c>
      <c r="F529" s="116">
        <v>1048.25</v>
      </c>
      <c r="G529">
        <v>273085</v>
      </c>
      <c r="H529" s="116"/>
      <c r="I529" s="116"/>
      <c r="L529" s="170">
        <v>42780</v>
      </c>
      <c r="M529" s="116">
        <v>259.98551155568703</v>
      </c>
      <c r="N529" s="116">
        <v>260.75323406075699</v>
      </c>
      <c r="O529" s="116">
        <v>255.05722837797899</v>
      </c>
      <c r="P529" s="116">
        <v>256.32025572502999</v>
      </c>
      <c r="Q529" s="116">
        <v>1049.8</v>
      </c>
      <c r="R529">
        <v>4170414</v>
      </c>
    </row>
    <row r="530" spans="1:18" x14ac:dyDescent="0.25">
      <c r="A530" s="170">
        <v>42781</v>
      </c>
      <c r="B530" s="116">
        <v>261.88294972344198</v>
      </c>
      <c r="C530" s="116">
        <v>260.24850294502602</v>
      </c>
      <c r="D530" s="116">
        <v>259.04743220634202</v>
      </c>
      <c r="E530" s="116">
        <v>260.76855419270402</v>
      </c>
      <c r="F530" s="116">
        <v>1050.9000000000001</v>
      </c>
      <c r="G530">
        <v>227916</v>
      </c>
      <c r="H530" s="116"/>
      <c r="I530" s="116"/>
      <c r="L530" s="170">
        <v>42781</v>
      </c>
      <c r="M530" s="116">
        <v>260.35699018717298</v>
      </c>
      <c r="N530" s="116">
        <v>261.89243519731298</v>
      </c>
      <c r="O530" s="116">
        <v>258.85869304018098</v>
      </c>
      <c r="P530" s="116">
        <v>260.75323406075699</v>
      </c>
      <c r="Q530" s="116">
        <v>1051.3</v>
      </c>
      <c r="R530">
        <v>3482845</v>
      </c>
    </row>
    <row r="531" spans="1:18" x14ac:dyDescent="0.25">
      <c r="A531" s="170">
        <v>42782</v>
      </c>
      <c r="B531" s="116">
        <v>264.23556251055601</v>
      </c>
      <c r="C531" s="116">
        <v>263.72789343544201</v>
      </c>
      <c r="D531" s="116">
        <v>260.52091074142902</v>
      </c>
      <c r="E531" s="116">
        <v>260.52091074142902</v>
      </c>
      <c r="F531" s="116">
        <v>1064.95</v>
      </c>
      <c r="G531">
        <v>196538</v>
      </c>
      <c r="H531" s="116"/>
      <c r="I531" s="116"/>
      <c r="L531" s="170">
        <v>42782</v>
      </c>
      <c r="M531" s="116">
        <v>264.36895940721598</v>
      </c>
      <c r="N531" s="116">
        <v>264.85188162814802</v>
      </c>
      <c r="O531" s="116">
        <v>260.66655571341101</v>
      </c>
      <c r="P531" s="116">
        <v>260.66655571341101</v>
      </c>
      <c r="Q531" s="116">
        <v>1067.5</v>
      </c>
      <c r="R531">
        <v>4492847</v>
      </c>
    </row>
    <row r="532" spans="1:18" x14ac:dyDescent="0.25">
      <c r="A532" s="170">
        <v>42783</v>
      </c>
      <c r="B532" s="116">
        <v>266.93487612945501</v>
      </c>
      <c r="C532" s="116">
        <v>266.30338532870297</v>
      </c>
      <c r="D532" s="116">
        <v>262.25441490035502</v>
      </c>
      <c r="E532" s="116">
        <v>263.98791905928101</v>
      </c>
      <c r="F532" s="116">
        <v>1075.3499999999999</v>
      </c>
      <c r="G532">
        <v>315041</v>
      </c>
      <c r="H532" s="116"/>
      <c r="I532" s="116"/>
      <c r="L532" s="170">
        <v>42783</v>
      </c>
      <c r="M532" s="116">
        <v>266.350178775139</v>
      </c>
      <c r="N532" s="116">
        <v>267.01884031181299</v>
      </c>
      <c r="O532" s="116">
        <v>262.127704997254</v>
      </c>
      <c r="P532" s="116">
        <v>264.12130698622599</v>
      </c>
      <c r="Q532" s="116">
        <v>1075.5</v>
      </c>
      <c r="R532">
        <v>3393856</v>
      </c>
    </row>
    <row r="533" spans="1:18" x14ac:dyDescent="0.25">
      <c r="A533" s="170">
        <v>42786</v>
      </c>
      <c r="B533" s="116">
        <v>266.71199702330699</v>
      </c>
      <c r="C533" s="116">
        <v>265.89477363409901</v>
      </c>
      <c r="D533" s="116">
        <v>264.04982992209898</v>
      </c>
      <c r="E533" s="116">
        <v>264.978492864381</v>
      </c>
      <c r="F533" s="116">
        <v>1073.7</v>
      </c>
      <c r="G533">
        <v>229511</v>
      </c>
      <c r="H533" s="116"/>
      <c r="I533" s="116"/>
      <c r="L533" s="170">
        <v>42786</v>
      </c>
      <c r="M533" s="116">
        <v>266.32541353303998</v>
      </c>
      <c r="N533" s="116">
        <v>267.17981438545701</v>
      </c>
      <c r="O533" s="116">
        <v>264.12130698622599</v>
      </c>
      <c r="P533" s="116">
        <v>265.12429929123698</v>
      </c>
      <c r="Q533" s="116">
        <v>1075.4000000000001</v>
      </c>
      <c r="R533">
        <v>2663127</v>
      </c>
    </row>
    <row r="534" spans="1:18" x14ac:dyDescent="0.25">
      <c r="A534" s="170">
        <v>42787</v>
      </c>
      <c r="B534" s="116">
        <v>270.06756578808501</v>
      </c>
      <c r="C534" s="116">
        <v>269.49798585015202</v>
      </c>
      <c r="D534" s="116">
        <v>265.54807280231398</v>
      </c>
      <c r="E534" s="116">
        <v>265.54807280231398</v>
      </c>
      <c r="F534" s="116">
        <v>1088.25</v>
      </c>
      <c r="G534">
        <v>280191</v>
      </c>
      <c r="H534" s="116"/>
      <c r="I534" s="116"/>
      <c r="L534" s="170">
        <v>42787</v>
      </c>
      <c r="M534" s="116">
        <v>269.49536452171702</v>
      </c>
      <c r="N534" s="116">
        <v>270.17640867944101</v>
      </c>
      <c r="O534" s="116">
        <v>265.74343034371299</v>
      </c>
      <c r="P534" s="116">
        <v>266.27588304884199</v>
      </c>
      <c r="Q534" s="116">
        <v>1088.2</v>
      </c>
      <c r="R534">
        <v>3242790</v>
      </c>
    </row>
    <row r="535" spans="1:18" x14ac:dyDescent="0.25">
      <c r="A535" s="170">
        <v>42788</v>
      </c>
      <c r="B535" s="116">
        <v>300.14386294544801</v>
      </c>
      <c r="C535" s="116">
        <v>299.06661393240199</v>
      </c>
      <c r="D535" s="116">
        <v>270.43903096499702</v>
      </c>
      <c r="E535" s="116">
        <v>270.43903096499702</v>
      </c>
      <c r="F535" s="116">
        <v>1207.6500000000001</v>
      </c>
      <c r="G535">
        <v>3331421</v>
      </c>
      <c r="H535" s="116"/>
      <c r="I535" s="116"/>
      <c r="L535" s="170">
        <v>42788</v>
      </c>
      <c r="M535" s="116">
        <v>299.040298345868</v>
      </c>
      <c r="N535" s="116">
        <v>300.06805589297801</v>
      </c>
      <c r="O535" s="116">
        <v>270.43644372147998</v>
      </c>
      <c r="P535" s="116">
        <v>270.68409614247099</v>
      </c>
      <c r="Q535" s="116">
        <v>1207.5</v>
      </c>
      <c r="R535">
        <v>29103926</v>
      </c>
    </row>
    <row r="536" spans="1:18" x14ac:dyDescent="0.25">
      <c r="A536" s="170">
        <v>42789</v>
      </c>
      <c r="B536" s="116">
        <v>302.69459049358198</v>
      </c>
      <c r="C536" s="116">
        <v>292.86314547796002</v>
      </c>
      <c r="D536" s="116">
        <v>292.02115774362397</v>
      </c>
      <c r="E536" s="116">
        <v>300.61438550287102</v>
      </c>
      <c r="F536" s="116">
        <v>1182.5999999999999</v>
      </c>
      <c r="G536">
        <v>1089289</v>
      </c>
      <c r="H536" s="116"/>
      <c r="I536" s="116"/>
      <c r="L536" s="170">
        <v>42789</v>
      </c>
      <c r="M536" s="116">
        <v>292.91090092635602</v>
      </c>
      <c r="N536" s="116">
        <v>302.63125845022802</v>
      </c>
      <c r="O536" s="116">
        <v>292.06888269498899</v>
      </c>
      <c r="P536" s="116">
        <v>300.55097811390903</v>
      </c>
      <c r="Q536" s="116">
        <v>1182.75</v>
      </c>
      <c r="R536">
        <v>14229234</v>
      </c>
    </row>
    <row r="537" spans="1:18" x14ac:dyDescent="0.25">
      <c r="A537" s="170">
        <v>42793</v>
      </c>
      <c r="B537" s="116">
        <v>311.16399652719099</v>
      </c>
      <c r="C537" s="116">
        <v>306.73117874936702</v>
      </c>
      <c r="D537" s="116">
        <v>293.95277666356998</v>
      </c>
      <c r="E537" s="116">
        <v>293.95277666356998</v>
      </c>
      <c r="F537" s="116">
        <v>1238.5999999999999</v>
      </c>
      <c r="G537">
        <v>1340897</v>
      </c>
      <c r="H537" s="116"/>
      <c r="I537" s="116"/>
      <c r="L537" s="170">
        <v>42793</v>
      </c>
      <c r="M537" s="116">
        <v>306.81658436496502</v>
      </c>
      <c r="N537" s="116">
        <v>311.24956270069299</v>
      </c>
      <c r="O537" s="116">
        <v>294.79305932588301</v>
      </c>
      <c r="P537" s="116">
        <v>294.83020718903202</v>
      </c>
      <c r="Q537" s="116">
        <v>1238.9000000000001</v>
      </c>
      <c r="R537">
        <v>19068911</v>
      </c>
    </row>
    <row r="538" spans="1:18" x14ac:dyDescent="0.25">
      <c r="A538" s="170">
        <v>42794</v>
      </c>
      <c r="B538" s="116">
        <v>309.021880673662</v>
      </c>
      <c r="C538" s="116">
        <v>306.64450354142002</v>
      </c>
      <c r="D538" s="116">
        <v>304.24236206405197</v>
      </c>
      <c r="E538" s="116">
        <v>306.53306398834701</v>
      </c>
      <c r="F538" s="116">
        <v>1238.25</v>
      </c>
      <c r="G538">
        <v>1730900</v>
      </c>
      <c r="H538" s="116"/>
      <c r="I538" s="116"/>
      <c r="L538" s="170">
        <v>42794</v>
      </c>
      <c r="M538" s="116">
        <v>306.60607980712399</v>
      </c>
      <c r="N538" s="116">
        <v>309.07022139597802</v>
      </c>
      <c r="O538" s="116">
        <v>304.24099918666599</v>
      </c>
      <c r="P538" s="116">
        <v>305.10778266013199</v>
      </c>
      <c r="Q538" s="116">
        <v>1238.05</v>
      </c>
      <c r="R538">
        <v>8254531</v>
      </c>
    </row>
    <row r="539" spans="1:18" x14ac:dyDescent="0.25">
      <c r="A539" s="170">
        <v>42795</v>
      </c>
      <c r="B539" s="116">
        <v>308.29133249239999</v>
      </c>
      <c r="C539" s="116">
        <v>305.62916539119198</v>
      </c>
      <c r="D539" s="116">
        <v>304.66335593121897</v>
      </c>
      <c r="E539" s="116">
        <v>307.57316648370198</v>
      </c>
      <c r="F539" s="116">
        <v>1234.1500000000001</v>
      </c>
      <c r="G539">
        <v>822803</v>
      </c>
      <c r="H539" s="116"/>
      <c r="I539" s="116"/>
      <c r="L539" s="170">
        <v>42795</v>
      </c>
      <c r="M539" s="116">
        <v>305.726913712608</v>
      </c>
      <c r="N539" s="116">
        <v>308.17867268041198</v>
      </c>
      <c r="O539" s="116">
        <v>304.61247781815098</v>
      </c>
      <c r="P539" s="116">
        <v>307.11376727015403</v>
      </c>
      <c r="Q539" s="116">
        <v>1234.5</v>
      </c>
      <c r="R539">
        <v>5574153</v>
      </c>
    </row>
    <row r="540" spans="1:18" x14ac:dyDescent="0.25">
      <c r="A540" s="170">
        <v>42796</v>
      </c>
      <c r="B540" s="116">
        <v>310.54488789900398</v>
      </c>
      <c r="C540" s="116">
        <v>305.40628628504498</v>
      </c>
      <c r="D540" s="116">
        <v>303.52419605535403</v>
      </c>
      <c r="E540" s="116">
        <v>306.08730577605098</v>
      </c>
      <c r="F540" s="116">
        <v>1233.25</v>
      </c>
      <c r="G540">
        <v>410896</v>
      </c>
      <c r="H540" s="116"/>
      <c r="I540" s="116"/>
      <c r="L540" s="170">
        <v>42796</v>
      </c>
      <c r="M540" s="116">
        <v>306.28413165983602</v>
      </c>
      <c r="N540" s="116">
        <v>310.72949261661302</v>
      </c>
      <c r="O540" s="116">
        <v>303.88190317623003</v>
      </c>
      <c r="P540" s="116">
        <v>306.56893194397497</v>
      </c>
      <c r="Q540" s="116">
        <v>1236.75</v>
      </c>
      <c r="R540">
        <v>4129033</v>
      </c>
    </row>
    <row r="541" spans="1:18" x14ac:dyDescent="0.25">
      <c r="A541" s="170">
        <v>42797</v>
      </c>
      <c r="B541" s="116">
        <v>318.91523655210301</v>
      </c>
      <c r="C541" s="116">
        <v>311.646901257178</v>
      </c>
      <c r="D541" s="116">
        <v>306.33494922732598</v>
      </c>
      <c r="E541" s="116">
        <v>306.33494922732598</v>
      </c>
      <c r="F541" s="116">
        <v>1258.45</v>
      </c>
      <c r="G541">
        <v>1194011</v>
      </c>
      <c r="H541" s="116"/>
      <c r="I541" s="116"/>
      <c r="L541" s="170">
        <v>42797</v>
      </c>
      <c r="M541" s="116">
        <v>311.68295443742602</v>
      </c>
      <c r="N541" s="116">
        <v>318.92678775139399</v>
      </c>
      <c r="O541" s="116">
        <v>307.47286328058999</v>
      </c>
      <c r="P541" s="116">
        <v>307.47286328058999</v>
      </c>
      <c r="Q541" s="116">
        <v>1258.55</v>
      </c>
      <c r="R541">
        <v>19270851</v>
      </c>
    </row>
    <row r="542" spans="1:18" x14ac:dyDescent="0.25">
      <c r="A542" s="170">
        <v>42800</v>
      </c>
      <c r="B542" s="116">
        <v>324.38815682528298</v>
      </c>
      <c r="C542" s="116">
        <v>323.14993956890697</v>
      </c>
      <c r="D542" s="116">
        <v>313.380405416104</v>
      </c>
      <c r="E542" s="116">
        <v>314.01189621685501</v>
      </c>
      <c r="F542" s="116">
        <v>1304.9000000000001</v>
      </c>
      <c r="G542">
        <v>1196154</v>
      </c>
      <c r="H542" s="116"/>
      <c r="I542" s="116"/>
      <c r="L542" s="170">
        <v>42800</v>
      </c>
      <c r="M542" s="116">
        <v>323.27308773977501</v>
      </c>
      <c r="N542" s="116">
        <v>324.91997633936103</v>
      </c>
      <c r="O542" s="116">
        <v>313.34222565806198</v>
      </c>
      <c r="P542" s="116">
        <v>314.27092223677499</v>
      </c>
      <c r="Q542" s="116">
        <v>1305.3499999999999</v>
      </c>
      <c r="R542">
        <v>15252154</v>
      </c>
    </row>
    <row r="543" spans="1:18" x14ac:dyDescent="0.25">
      <c r="A543" s="170">
        <v>42801</v>
      </c>
      <c r="B543" s="116">
        <v>328.56094897926903</v>
      </c>
      <c r="C543" s="116">
        <v>323.12517522377999</v>
      </c>
      <c r="D543" s="116">
        <v>321.09449892332401</v>
      </c>
      <c r="E543" s="116">
        <v>325.935928395752</v>
      </c>
      <c r="F543" s="116">
        <v>1304.8</v>
      </c>
      <c r="G543">
        <v>1137634</v>
      </c>
      <c r="H543" s="116"/>
      <c r="I543" s="116"/>
      <c r="L543" s="170">
        <v>42801</v>
      </c>
      <c r="M543" s="116">
        <v>323.17402677137898</v>
      </c>
      <c r="N543" s="116">
        <v>328.63476265421701</v>
      </c>
      <c r="O543" s="116">
        <v>320.99468546666401</v>
      </c>
      <c r="P543" s="116">
        <v>326.61639542314498</v>
      </c>
      <c r="Q543" s="116">
        <v>1304.95</v>
      </c>
      <c r="R543">
        <v>9616850</v>
      </c>
    </row>
    <row r="544" spans="1:18" x14ac:dyDescent="0.25">
      <c r="A544" s="170">
        <v>42802</v>
      </c>
      <c r="B544" s="116">
        <v>324.41292117041002</v>
      </c>
      <c r="C544" s="116">
        <v>319.930574702331</v>
      </c>
      <c r="D544" s="116">
        <v>318.46947833980698</v>
      </c>
      <c r="E544" s="116">
        <v>323.68237298914897</v>
      </c>
      <c r="F544" s="116">
        <v>1291.9000000000001</v>
      </c>
      <c r="G544">
        <v>793869</v>
      </c>
      <c r="H544" s="116"/>
      <c r="I544" s="116"/>
      <c r="L544" s="170">
        <v>42802</v>
      </c>
      <c r="M544" s="116">
        <v>319.76880598276199</v>
      </c>
      <c r="N544" s="116">
        <v>323.85507092910302</v>
      </c>
      <c r="O544" s="116">
        <v>318.50577863571101</v>
      </c>
      <c r="P544" s="116">
        <v>323.85507092910302</v>
      </c>
      <c r="Q544" s="116">
        <v>1291.2</v>
      </c>
      <c r="R544">
        <v>9906103</v>
      </c>
    </row>
    <row r="545" spans="1:18" x14ac:dyDescent="0.25">
      <c r="A545" s="170">
        <v>42803</v>
      </c>
      <c r="B545" s="116">
        <v>321.44119975510898</v>
      </c>
      <c r="C545" s="116">
        <v>318.80379699902898</v>
      </c>
      <c r="D545" s="116">
        <v>317.40461149932401</v>
      </c>
      <c r="E545" s="116">
        <v>319.410523454653</v>
      </c>
      <c r="F545" s="116">
        <v>1287.3499999999999</v>
      </c>
      <c r="G545">
        <v>397311380</v>
      </c>
      <c r="H545" s="116"/>
      <c r="I545" s="116"/>
      <c r="L545" s="170">
        <v>42803</v>
      </c>
      <c r="M545" s="116">
        <v>318.666752709354</v>
      </c>
      <c r="N545" s="116">
        <v>321.452842445496</v>
      </c>
      <c r="O545" s="116">
        <v>317.36657749915503</v>
      </c>
      <c r="P545" s="116">
        <v>319.47162307757299</v>
      </c>
      <c r="Q545" s="116">
        <v>1286.75</v>
      </c>
      <c r="R545">
        <v>7107670</v>
      </c>
    </row>
    <row r="546" spans="1:18" x14ac:dyDescent="0.25">
      <c r="A546" s="170">
        <v>42804</v>
      </c>
      <c r="B546" s="116">
        <v>321.06973457819601</v>
      </c>
      <c r="C546" s="116">
        <v>317.33031846394198</v>
      </c>
      <c r="D546" s="116">
        <v>312.40221378356699</v>
      </c>
      <c r="E546" s="116">
        <v>320.438243777445</v>
      </c>
      <c r="F546" s="116">
        <v>1281.4000000000001</v>
      </c>
      <c r="G546">
        <v>360490</v>
      </c>
      <c r="H546" s="116"/>
      <c r="I546" s="116"/>
      <c r="L546" s="170">
        <v>42804</v>
      </c>
      <c r="M546" s="116">
        <v>317.40372536230399</v>
      </c>
      <c r="N546" s="116">
        <v>320.95753760351499</v>
      </c>
      <c r="O546" s="116">
        <v>312.33923335305099</v>
      </c>
      <c r="P546" s="116">
        <v>319.53353618282102</v>
      </c>
      <c r="Q546" s="116">
        <v>1281.6500000000001</v>
      </c>
      <c r="R546">
        <v>5665568</v>
      </c>
    </row>
    <row r="547" spans="1:18" x14ac:dyDescent="0.25">
      <c r="A547" s="170">
        <v>42808</v>
      </c>
      <c r="B547" s="116">
        <v>326.66647657701401</v>
      </c>
      <c r="C547" s="116">
        <v>319.31146607414303</v>
      </c>
      <c r="D547" s="116">
        <v>318.28374575135098</v>
      </c>
      <c r="E547" s="116">
        <v>325.88639970549701</v>
      </c>
      <c r="F547" s="116">
        <v>1289.4000000000001</v>
      </c>
      <c r="G547">
        <v>596869</v>
      </c>
      <c r="H547" s="116"/>
      <c r="I547" s="116"/>
      <c r="L547" s="170">
        <v>42808</v>
      </c>
      <c r="M547" s="116">
        <v>319.34779686707799</v>
      </c>
      <c r="N547" s="116">
        <v>326.653543286294</v>
      </c>
      <c r="O547" s="116">
        <v>318.29527407786901</v>
      </c>
      <c r="P547" s="116">
        <v>326.59163018104601</v>
      </c>
      <c r="Q547" s="116">
        <v>1289.5</v>
      </c>
      <c r="R547">
        <v>6346620</v>
      </c>
    </row>
    <row r="548" spans="1:18" x14ac:dyDescent="0.25">
      <c r="A548" s="170">
        <v>42809</v>
      </c>
      <c r="B548" s="116">
        <v>325.89878187806102</v>
      </c>
      <c r="C548" s="116">
        <v>323.02611784327001</v>
      </c>
      <c r="D548" s="116">
        <v>317.78845884880099</v>
      </c>
      <c r="E548" s="116">
        <v>319.31146607414303</v>
      </c>
      <c r="F548" s="116">
        <v>1304.4000000000001</v>
      </c>
      <c r="G548">
        <v>389306469</v>
      </c>
      <c r="H548" s="116"/>
      <c r="I548" s="116"/>
      <c r="L548" s="170">
        <v>42809</v>
      </c>
      <c r="M548" s="116">
        <v>323.17402677137898</v>
      </c>
      <c r="N548" s="116">
        <v>325.98488174962</v>
      </c>
      <c r="O548" s="116">
        <v>319.57068404596902</v>
      </c>
      <c r="P548" s="116">
        <v>319.73165811961297</v>
      </c>
      <c r="Q548" s="116">
        <v>1304.95</v>
      </c>
      <c r="R548">
        <v>5510658</v>
      </c>
    </row>
    <row r="549" spans="1:18" x14ac:dyDescent="0.25">
      <c r="A549" s="170">
        <v>42810</v>
      </c>
      <c r="B549" s="116">
        <v>324.66056462168598</v>
      </c>
      <c r="C549" s="116">
        <v>321.28023151178002</v>
      </c>
      <c r="D549" s="116">
        <v>320.59921202077402</v>
      </c>
      <c r="E549" s="116">
        <v>324.66056462168598</v>
      </c>
      <c r="F549" s="116">
        <v>1297.3499999999999</v>
      </c>
      <c r="G549">
        <v>306215</v>
      </c>
      <c r="H549" s="116"/>
      <c r="I549" s="116"/>
      <c r="L549" s="170">
        <v>42810</v>
      </c>
      <c r="M549" s="116">
        <v>321.366164098149</v>
      </c>
      <c r="N549" s="116">
        <v>324.52373246577702</v>
      </c>
      <c r="O549" s="116">
        <v>320.36317179313801</v>
      </c>
      <c r="P549" s="116">
        <v>324.42467149738002</v>
      </c>
      <c r="Q549" s="116">
        <v>1297.6500000000001</v>
      </c>
      <c r="R549">
        <v>3639964</v>
      </c>
    </row>
    <row r="550" spans="1:18" x14ac:dyDescent="0.25">
      <c r="A550" s="170">
        <v>42811</v>
      </c>
      <c r="B550" s="116">
        <v>326.85220916547001</v>
      </c>
      <c r="C550" s="116">
        <v>322.097454900988</v>
      </c>
      <c r="D550" s="116">
        <v>321.57740365331</v>
      </c>
      <c r="E550" s="116">
        <v>323.17470391403498</v>
      </c>
      <c r="F550" s="116">
        <v>1300.6500000000001</v>
      </c>
      <c r="G550">
        <v>281621</v>
      </c>
      <c r="H550" s="116"/>
      <c r="I550" s="116"/>
      <c r="L550" s="170">
        <v>42811</v>
      </c>
      <c r="M550" s="116">
        <v>322.12150398217</v>
      </c>
      <c r="N550" s="116">
        <v>326.88881308623502</v>
      </c>
      <c r="O550" s="116">
        <v>321.465225066546</v>
      </c>
      <c r="P550" s="116">
        <v>323.92936665539997</v>
      </c>
      <c r="Q550" s="116">
        <v>1300.7</v>
      </c>
      <c r="R550">
        <v>5195076</v>
      </c>
    </row>
    <row r="551" spans="1:18" x14ac:dyDescent="0.25">
      <c r="A551" s="170">
        <v>42814</v>
      </c>
      <c r="B551" s="116">
        <v>323.17470391403498</v>
      </c>
      <c r="C551" s="116">
        <v>317.07029284010298</v>
      </c>
      <c r="D551" s="116">
        <v>316.277833796023</v>
      </c>
      <c r="E551" s="116">
        <v>322.18413010893403</v>
      </c>
      <c r="F551" s="116">
        <v>1280.3499999999999</v>
      </c>
      <c r="G551">
        <v>392188764</v>
      </c>
      <c r="H551" s="116"/>
      <c r="I551" s="116"/>
      <c r="L551" s="170">
        <v>42814</v>
      </c>
      <c r="M551" s="116">
        <v>317.19322080446199</v>
      </c>
      <c r="N551" s="116">
        <v>323.495974918667</v>
      </c>
      <c r="O551" s="116">
        <v>316.58647237303501</v>
      </c>
      <c r="P551" s="116">
        <v>323.43406181341902</v>
      </c>
      <c r="Q551" s="116">
        <v>1280.8</v>
      </c>
      <c r="R551">
        <v>2941714</v>
      </c>
    </row>
    <row r="552" spans="1:18" x14ac:dyDescent="0.25">
      <c r="A552" s="170">
        <v>42815</v>
      </c>
      <c r="B552" s="116">
        <v>318.37042095929701</v>
      </c>
      <c r="C552" s="116">
        <v>312.97179372149998</v>
      </c>
      <c r="D552" s="116">
        <v>311.95645557127199</v>
      </c>
      <c r="E552" s="116">
        <v>318.37042095929701</v>
      </c>
      <c r="F552" s="116">
        <v>1263.8</v>
      </c>
      <c r="G552">
        <v>245384</v>
      </c>
      <c r="H552" s="116"/>
      <c r="I552" s="116"/>
      <c r="L552" s="170">
        <v>42815</v>
      </c>
      <c r="M552" s="116">
        <v>312.98312964762601</v>
      </c>
      <c r="N552" s="116">
        <v>317.96094330953201</v>
      </c>
      <c r="O552" s="116">
        <v>311.868693753169</v>
      </c>
      <c r="P552" s="116">
        <v>317.53993419384801</v>
      </c>
      <c r="Q552" s="116">
        <v>1263.8</v>
      </c>
      <c r="R552">
        <v>5165107</v>
      </c>
    </row>
    <row r="553" spans="1:18" x14ac:dyDescent="0.25">
      <c r="A553" s="170">
        <v>42816</v>
      </c>
      <c r="B553" s="116">
        <v>313.51660931430501</v>
      </c>
      <c r="C553" s="116">
        <v>311.906926881017</v>
      </c>
      <c r="D553" s="116">
        <v>308.947587638279</v>
      </c>
      <c r="E553" s="116">
        <v>310.71823831489598</v>
      </c>
      <c r="F553" s="116">
        <v>1259.5</v>
      </c>
      <c r="G553">
        <v>265278</v>
      </c>
      <c r="H553" s="116"/>
      <c r="I553" s="116"/>
      <c r="L553" s="170">
        <v>42816</v>
      </c>
      <c r="M553" s="116">
        <v>311.96775472156497</v>
      </c>
      <c r="N553" s="116">
        <v>313.50319973170502</v>
      </c>
      <c r="O553" s="116">
        <v>308.711125385542</v>
      </c>
      <c r="P553" s="116">
        <v>310.06083107993902</v>
      </c>
      <c r="Q553" s="116">
        <v>1259.7</v>
      </c>
      <c r="R553">
        <v>4638338</v>
      </c>
    </row>
    <row r="554" spans="1:18" x14ac:dyDescent="0.25">
      <c r="A554" s="170">
        <v>42817</v>
      </c>
      <c r="B554" s="116">
        <v>316.42641986678802</v>
      </c>
      <c r="C554" s="116">
        <v>315.52252126963401</v>
      </c>
      <c r="D554" s="116">
        <v>311.59737256692301</v>
      </c>
      <c r="E554" s="116">
        <v>313.73948842045297</v>
      </c>
      <c r="F554" s="116">
        <v>1274.0999999999999</v>
      </c>
      <c r="G554">
        <v>295325</v>
      </c>
      <c r="H554" s="116"/>
      <c r="I554" s="116"/>
      <c r="L554" s="170">
        <v>42817</v>
      </c>
      <c r="M554" s="116">
        <v>315.33582764703402</v>
      </c>
      <c r="N554" s="116">
        <v>316.388350436243</v>
      </c>
      <c r="O554" s="116">
        <v>311.54674560588097</v>
      </c>
      <c r="P554" s="116">
        <v>312.822155573982</v>
      </c>
      <c r="Q554" s="116">
        <v>1273.3</v>
      </c>
      <c r="R554">
        <v>2699090</v>
      </c>
    </row>
    <row r="555" spans="1:18" x14ac:dyDescent="0.25">
      <c r="A555" s="170">
        <v>42818</v>
      </c>
      <c r="B555" s="116">
        <v>319.86866383951201</v>
      </c>
      <c r="C555" s="116">
        <v>318.51900703006299</v>
      </c>
      <c r="D555" s="116">
        <v>314.11095359736498</v>
      </c>
      <c r="E555" s="116">
        <v>315.52252126963401</v>
      </c>
      <c r="F555" s="116">
        <v>1286.2</v>
      </c>
      <c r="G555">
        <v>676818</v>
      </c>
      <c r="H555" s="116"/>
      <c r="I555" s="116"/>
      <c r="L555" s="170">
        <v>42818</v>
      </c>
      <c r="M555" s="116">
        <v>318.666752709354</v>
      </c>
      <c r="N555" s="116">
        <v>319.966927919554</v>
      </c>
      <c r="O555" s="116">
        <v>314.13471340523103</v>
      </c>
      <c r="P555" s="116">
        <v>315.53394958382597</v>
      </c>
      <c r="Q555" s="116">
        <v>1286.75</v>
      </c>
      <c r="R555">
        <v>3721911</v>
      </c>
    </row>
    <row r="556" spans="1:18" x14ac:dyDescent="0.25">
      <c r="A556" s="170">
        <v>42821</v>
      </c>
      <c r="B556" s="116">
        <v>316.61215245524397</v>
      </c>
      <c r="C556" s="116">
        <v>309.74004668235898</v>
      </c>
      <c r="D556" s="116">
        <v>308.83614808520502</v>
      </c>
      <c r="E556" s="116">
        <v>313.90045666378097</v>
      </c>
      <c r="F556" s="116">
        <v>1250.75</v>
      </c>
      <c r="G556">
        <v>888667</v>
      </c>
      <c r="H556" s="116"/>
      <c r="I556" s="116"/>
      <c r="L556" s="170">
        <v>42821</v>
      </c>
      <c r="M556" s="116">
        <v>309.83794390104799</v>
      </c>
      <c r="N556" s="116">
        <v>316.68553334143098</v>
      </c>
      <c r="O556" s="116">
        <v>308.87209945918499</v>
      </c>
      <c r="P556" s="116">
        <v>314.79099232085503</v>
      </c>
      <c r="Q556" s="116">
        <v>1251.0999999999999</v>
      </c>
      <c r="R556">
        <v>7418122</v>
      </c>
    </row>
    <row r="557" spans="1:18" x14ac:dyDescent="0.25">
      <c r="A557" s="170">
        <v>42822</v>
      </c>
      <c r="B557" s="116">
        <v>312.860354168426</v>
      </c>
      <c r="C557" s="116">
        <v>308.47706508085599</v>
      </c>
      <c r="D557" s="116">
        <v>306.33494922732598</v>
      </c>
      <c r="E557" s="116">
        <v>310.80491352284201</v>
      </c>
      <c r="F557" s="116">
        <v>1245.6500000000001</v>
      </c>
      <c r="G557">
        <v>436677</v>
      </c>
      <c r="H557" s="116"/>
      <c r="I557" s="116"/>
      <c r="L557" s="170">
        <v>42822</v>
      </c>
      <c r="M557" s="116">
        <v>308.51300344874898</v>
      </c>
      <c r="N557" s="116">
        <v>313.032660131824</v>
      </c>
      <c r="O557" s="116">
        <v>307.60907211213498</v>
      </c>
      <c r="P557" s="116">
        <v>311.54674560588097</v>
      </c>
      <c r="Q557" s="116">
        <v>1245.75</v>
      </c>
      <c r="R557">
        <v>4961934</v>
      </c>
    </row>
    <row r="558" spans="1:18" x14ac:dyDescent="0.25">
      <c r="A558" s="170">
        <v>42823</v>
      </c>
      <c r="B558" s="116">
        <v>312.03074860665402</v>
      </c>
      <c r="C558" s="116">
        <v>310.71823831489598</v>
      </c>
      <c r="D558" s="116">
        <v>305.616783218629</v>
      </c>
      <c r="E558" s="116">
        <v>309.56669626646698</v>
      </c>
      <c r="F558" s="116">
        <v>1254.7</v>
      </c>
      <c r="G558">
        <v>466255</v>
      </c>
      <c r="H558" s="116"/>
      <c r="I558" s="116"/>
      <c r="L558" s="170">
        <v>42823</v>
      </c>
      <c r="M558" s="116">
        <v>311.21241483754397</v>
      </c>
      <c r="N558" s="116">
        <v>312.04205044786198</v>
      </c>
      <c r="O558" s="116">
        <v>305.44211342846899</v>
      </c>
      <c r="P558" s="116">
        <v>309.98653535364201</v>
      </c>
      <c r="Q558" s="116">
        <v>1256.6500000000001</v>
      </c>
      <c r="R558">
        <v>4325787</v>
      </c>
    </row>
    <row r="559" spans="1:18" x14ac:dyDescent="0.25">
      <c r="A559" s="170">
        <v>42824</v>
      </c>
      <c r="B559" s="116">
        <v>315.20058478297602</v>
      </c>
      <c r="C559" s="116">
        <v>314.346214876077</v>
      </c>
      <c r="D559" s="116">
        <v>310.55727007156702</v>
      </c>
      <c r="E559" s="116">
        <v>310.79253135027898</v>
      </c>
      <c r="F559" s="116">
        <v>1269.3499999999999</v>
      </c>
      <c r="G559">
        <v>438308</v>
      </c>
      <c r="H559" s="116"/>
      <c r="I559" s="116"/>
      <c r="L559" s="170">
        <v>42824</v>
      </c>
      <c r="M559" s="116">
        <v>314.67954873141002</v>
      </c>
      <c r="N559" s="116">
        <v>315.69492365746999</v>
      </c>
      <c r="O559" s="116">
        <v>310.30848350092998</v>
      </c>
      <c r="P559" s="116">
        <v>310.80378834291002</v>
      </c>
      <c r="Q559" s="116">
        <v>1270.6500000000001</v>
      </c>
      <c r="R559">
        <v>6368859</v>
      </c>
    </row>
    <row r="560" spans="1:18" x14ac:dyDescent="0.25">
      <c r="A560" s="170">
        <v>42825</v>
      </c>
      <c r="B560" s="116">
        <v>330.85165090356401</v>
      </c>
      <c r="C560" s="116">
        <v>326.69124092214201</v>
      </c>
      <c r="D560" s="116">
        <v>314.24715749556702</v>
      </c>
      <c r="E560" s="116">
        <v>314.50718311940602</v>
      </c>
      <c r="F560" s="116">
        <v>1319.2</v>
      </c>
      <c r="G560">
        <v>1673684</v>
      </c>
      <c r="H560" s="116"/>
      <c r="I560" s="116"/>
      <c r="L560" s="170">
        <v>42825</v>
      </c>
      <c r="M560" s="116">
        <v>327.12408288617502</v>
      </c>
      <c r="N560" s="116">
        <v>331.27226093776397</v>
      </c>
      <c r="O560" s="116">
        <v>313.52796497380399</v>
      </c>
      <c r="P560" s="116">
        <v>313.52796497380399</v>
      </c>
      <c r="Q560" s="116">
        <v>1320.9</v>
      </c>
      <c r="R560">
        <v>10375519</v>
      </c>
    </row>
    <row r="561" spans="1:18" x14ac:dyDescent="0.25">
      <c r="A561" s="170">
        <v>42828</v>
      </c>
      <c r="B561" s="116">
        <v>341.74796275966901</v>
      </c>
      <c r="C561" s="116">
        <v>339.56870038844801</v>
      </c>
      <c r="D561" s="116">
        <v>329.861077098463</v>
      </c>
      <c r="E561" s="116">
        <v>329.861077098463</v>
      </c>
      <c r="F561" s="116">
        <v>1371.2</v>
      </c>
      <c r="G561">
        <v>999005</v>
      </c>
      <c r="H561" s="116"/>
      <c r="I561" s="116"/>
      <c r="L561" s="170">
        <v>42828</v>
      </c>
      <c r="M561" s="116">
        <v>340.435400514408</v>
      </c>
      <c r="N561" s="116">
        <v>341.88416717720099</v>
      </c>
      <c r="O561" s="116">
        <v>331.12366948517001</v>
      </c>
      <c r="P561" s="116">
        <v>332.34954896907198</v>
      </c>
      <c r="Q561" s="116">
        <v>1374.65</v>
      </c>
      <c r="R561">
        <v>10260327</v>
      </c>
    </row>
    <row r="562" spans="1:18" x14ac:dyDescent="0.25">
      <c r="A562" s="170">
        <v>42830</v>
      </c>
      <c r="B562" s="116">
        <v>351.14603173555997</v>
      </c>
      <c r="C562" s="116">
        <v>350.39071920917098</v>
      </c>
      <c r="D562" s="116">
        <v>341.94607752068902</v>
      </c>
      <c r="E562" s="116">
        <v>343.72911036987</v>
      </c>
      <c r="F562" s="116">
        <v>1414.9</v>
      </c>
      <c r="G562">
        <v>902558</v>
      </c>
      <c r="H562" s="116"/>
      <c r="I562" s="116"/>
      <c r="L562" s="170">
        <v>42830</v>
      </c>
      <c r="M562" s="116">
        <v>350.42817570136901</v>
      </c>
      <c r="N562" s="116">
        <v>351.17113296434002</v>
      </c>
      <c r="O562" s="116">
        <v>341.78510620880502</v>
      </c>
      <c r="P562" s="116">
        <v>345.52465776576003</v>
      </c>
      <c r="Q562" s="116">
        <v>1415</v>
      </c>
      <c r="R562">
        <v>9217360</v>
      </c>
    </row>
    <row r="563" spans="1:18" x14ac:dyDescent="0.25">
      <c r="A563" s="170">
        <v>42831</v>
      </c>
      <c r="B563" s="116">
        <v>358.71153917201502</v>
      </c>
      <c r="C563" s="116">
        <v>356.19795814157197</v>
      </c>
      <c r="D563" s="116">
        <v>347.36946910361399</v>
      </c>
      <c r="E563" s="116">
        <v>349.10297326253999</v>
      </c>
      <c r="F563" s="116">
        <v>1438.35</v>
      </c>
      <c r="G563">
        <v>1043156</v>
      </c>
      <c r="H563" s="116"/>
      <c r="I563" s="116"/>
      <c r="L563" s="170">
        <v>42831</v>
      </c>
      <c r="M563" s="116">
        <v>356.24800759464301</v>
      </c>
      <c r="N563" s="116">
        <v>358.82359277294199</v>
      </c>
      <c r="O563" s="116">
        <v>347.25822471269203</v>
      </c>
      <c r="P563" s="116">
        <v>348.94226117542701</v>
      </c>
      <c r="Q563" s="116">
        <v>1438.5</v>
      </c>
      <c r="R563">
        <v>11571075</v>
      </c>
    </row>
    <row r="564" spans="1:18" x14ac:dyDescent="0.25">
      <c r="A564" s="170">
        <v>42832</v>
      </c>
      <c r="B564" s="116">
        <v>355.05879826570703</v>
      </c>
      <c r="C564" s="116">
        <v>348.075252939748</v>
      </c>
      <c r="D564" s="116">
        <v>347.35708693105101</v>
      </c>
      <c r="E564" s="116">
        <v>352.66903896090201</v>
      </c>
      <c r="F564" s="116">
        <v>1405.55</v>
      </c>
      <c r="G564">
        <v>672901</v>
      </c>
      <c r="H564" s="116"/>
      <c r="I564" s="116"/>
      <c r="L564" s="170">
        <v>42832</v>
      </c>
      <c r="M564" s="116">
        <v>348.34789536505002</v>
      </c>
      <c r="N564" s="116">
        <v>355.133571700186</v>
      </c>
      <c r="O564" s="116">
        <v>347.34490306003897</v>
      </c>
      <c r="P564" s="116">
        <v>351.98838595360797</v>
      </c>
      <c r="Q564" s="116">
        <v>1406.6</v>
      </c>
      <c r="R564">
        <v>7286151</v>
      </c>
    </row>
    <row r="565" spans="1:18" x14ac:dyDescent="0.25">
      <c r="A565" s="170">
        <v>42835</v>
      </c>
      <c r="B565" s="116">
        <v>352.81762503166698</v>
      </c>
      <c r="C565" s="116">
        <v>342.00798838350801</v>
      </c>
      <c r="D565" s="116">
        <v>341.25267585711902</v>
      </c>
      <c r="E565" s="116">
        <v>350.66312700557302</v>
      </c>
      <c r="F565" s="116">
        <v>1381.05</v>
      </c>
      <c r="G565">
        <v>386967</v>
      </c>
      <c r="H565" s="116"/>
      <c r="I565" s="116"/>
      <c r="L565" s="170">
        <v>42835</v>
      </c>
      <c r="M565" s="116">
        <v>342.09467173504299</v>
      </c>
      <c r="N565" s="116">
        <v>352.87993466917402</v>
      </c>
      <c r="O565" s="116">
        <v>341.091679430032</v>
      </c>
      <c r="P565" s="116">
        <v>349.189913596417</v>
      </c>
      <c r="Q565" s="116">
        <v>1381.35</v>
      </c>
      <c r="R565">
        <v>7033141</v>
      </c>
    </row>
    <row r="566" spans="1:18" x14ac:dyDescent="0.25">
      <c r="A566" s="170">
        <v>42836</v>
      </c>
      <c r="B566" s="116">
        <v>346.77512482055403</v>
      </c>
      <c r="C566" s="116">
        <v>340.28686639714601</v>
      </c>
      <c r="D566" s="116">
        <v>339.51917169819302</v>
      </c>
      <c r="E566" s="116">
        <v>343.23382346732001</v>
      </c>
      <c r="F566" s="116">
        <v>1374.1</v>
      </c>
      <c r="G566">
        <v>364279</v>
      </c>
      <c r="H566" s="116"/>
      <c r="I566" s="116"/>
      <c r="L566" s="170">
        <v>42836</v>
      </c>
      <c r="M566" s="116">
        <v>339.86579994612998</v>
      </c>
      <c r="N566" s="116">
        <v>346.824832975959</v>
      </c>
      <c r="O566" s="116">
        <v>339.30858199890099</v>
      </c>
      <c r="P566" s="116">
        <v>343.70441247148</v>
      </c>
      <c r="Q566" s="116">
        <v>1372.35</v>
      </c>
      <c r="R566">
        <v>7371727</v>
      </c>
    </row>
    <row r="567" spans="1:18" x14ac:dyDescent="0.25">
      <c r="A567" s="170">
        <v>42837</v>
      </c>
      <c r="B567" s="116">
        <v>343.92722513089001</v>
      </c>
      <c r="C567" s="116">
        <v>335.34637954420702</v>
      </c>
      <c r="D567" s="116">
        <v>334.57868484525397</v>
      </c>
      <c r="E567" s="116">
        <v>343.92722513089001</v>
      </c>
      <c r="F567" s="116">
        <v>1354.15</v>
      </c>
      <c r="G567">
        <v>578519</v>
      </c>
      <c r="H567" s="116"/>
      <c r="I567" s="116"/>
      <c r="L567" s="170">
        <v>42837</v>
      </c>
      <c r="M567" s="116">
        <v>335.32137802095701</v>
      </c>
      <c r="N567" s="116">
        <v>343.35769908209397</v>
      </c>
      <c r="O567" s="116">
        <v>334.615568621134</v>
      </c>
      <c r="P567" s="116">
        <v>342.45376774547901</v>
      </c>
      <c r="Q567" s="116">
        <v>1354</v>
      </c>
      <c r="R567">
        <v>6274215</v>
      </c>
    </row>
    <row r="568" spans="1:18" x14ac:dyDescent="0.25">
      <c r="A568" s="170">
        <v>42838</v>
      </c>
      <c r="B568" s="116">
        <v>340.01445860074301</v>
      </c>
      <c r="C568" s="116">
        <v>337.872342747213</v>
      </c>
      <c r="D568" s="116">
        <v>333.82337231886498</v>
      </c>
      <c r="E568" s="116">
        <v>334.81394612396599</v>
      </c>
      <c r="F568" s="116">
        <v>1364.35</v>
      </c>
      <c r="G568">
        <v>331002</v>
      </c>
      <c r="H568" s="116"/>
      <c r="I568" s="116"/>
      <c r="L568" s="170">
        <v>42838</v>
      </c>
      <c r="M568" s="116">
        <v>337.99602416765299</v>
      </c>
      <c r="N568" s="116">
        <v>340.12583498817003</v>
      </c>
      <c r="O568" s="116">
        <v>333.67448942137099</v>
      </c>
      <c r="P568" s="116">
        <v>335.32137802095701</v>
      </c>
      <c r="Q568" s="116">
        <v>1364.8</v>
      </c>
      <c r="R568">
        <v>2906188</v>
      </c>
    </row>
    <row r="569" spans="1:18" x14ac:dyDescent="0.25">
      <c r="A569" s="170">
        <v>42842</v>
      </c>
      <c r="B569" s="116">
        <v>345.27688194033902</v>
      </c>
      <c r="C569" s="116">
        <v>344.47204072369499</v>
      </c>
      <c r="D569" s="116">
        <v>338.03331099054202</v>
      </c>
      <c r="E569" s="116">
        <v>338.70194830898498</v>
      </c>
      <c r="F569" s="116">
        <v>1391</v>
      </c>
      <c r="G569">
        <v>321378</v>
      </c>
      <c r="H569" s="116"/>
      <c r="I569" s="116"/>
      <c r="L569" s="170">
        <v>42842</v>
      </c>
      <c r="M569" s="116">
        <v>344.69502215544202</v>
      </c>
      <c r="N569" s="116">
        <v>345.61133611310601</v>
      </c>
      <c r="O569" s="116">
        <v>338.04555465185098</v>
      </c>
      <c r="P569" s="116">
        <v>338.04555465185098</v>
      </c>
      <c r="Q569" s="116">
        <v>1391.85</v>
      </c>
      <c r="R569">
        <v>2705854</v>
      </c>
    </row>
    <row r="570" spans="1:18" x14ac:dyDescent="0.25">
      <c r="A570" s="170">
        <v>42843</v>
      </c>
      <c r="B570" s="116">
        <v>349.17726629792298</v>
      </c>
      <c r="C570" s="116">
        <v>339.382967799992</v>
      </c>
      <c r="D570" s="116">
        <v>338.862916552314</v>
      </c>
      <c r="E570" s="116">
        <v>345.58643625443301</v>
      </c>
      <c r="F570" s="116">
        <v>1370.45</v>
      </c>
      <c r="G570">
        <v>358972</v>
      </c>
      <c r="H570" s="116"/>
      <c r="I570" s="116"/>
      <c r="L570" s="170">
        <v>42843</v>
      </c>
      <c r="M570" s="116">
        <v>339.33334724100098</v>
      </c>
      <c r="N570" s="116">
        <v>349.189913596417</v>
      </c>
      <c r="O570" s="116">
        <v>338.54085949383102</v>
      </c>
      <c r="P570" s="116">
        <v>346.701006765464</v>
      </c>
      <c r="Q570" s="116">
        <v>1370.2</v>
      </c>
      <c r="R570">
        <v>3661083</v>
      </c>
    </row>
    <row r="571" spans="1:18" x14ac:dyDescent="0.25">
      <c r="A571" s="170">
        <v>42844</v>
      </c>
      <c r="B571" s="116">
        <v>342.41660007811203</v>
      </c>
      <c r="C571" s="116">
        <v>339.23438172922602</v>
      </c>
      <c r="D571" s="116">
        <v>336.36171769443501</v>
      </c>
      <c r="E571" s="116">
        <v>339.51917169819302</v>
      </c>
      <c r="F571" s="116">
        <v>1369.85</v>
      </c>
      <c r="G571">
        <v>208790</v>
      </c>
      <c r="H571" s="116"/>
      <c r="I571" s="116"/>
      <c r="L571" s="170">
        <v>42844</v>
      </c>
      <c r="M571" s="116">
        <v>338.98663385161399</v>
      </c>
      <c r="N571" s="116">
        <v>342.391854640232</v>
      </c>
      <c r="O571" s="116">
        <v>336.20054411547198</v>
      </c>
      <c r="P571" s="116">
        <v>339.03616433581197</v>
      </c>
      <c r="Q571" s="116">
        <v>1368.8</v>
      </c>
      <c r="R571">
        <v>2645292</v>
      </c>
    </row>
    <row r="572" spans="1:18" x14ac:dyDescent="0.25">
      <c r="A572" s="170">
        <v>42845</v>
      </c>
      <c r="B572" s="116">
        <v>343.456702573467</v>
      </c>
      <c r="C572" s="116">
        <v>339.122942176153</v>
      </c>
      <c r="D572" s="116">
        <v>338.15713271618</v>
      </c>
      <c r="E572" s="116">
        <v>340.88121068020598</v>
      </c>
      <c r="F572" s="116">
        <v>1369.4</v>
      </c>
      <c r="G572">
        <v>288790</v>
      </c>
      <c r="H572" s="116"/>
      <c r="I572" s="116"/>
      <c r="L572" s="170">
        <v>42845</v>
      </c>
      <c r="M572" s="116">
        <v>339.17237316735702</v>
      </c>
      <c r="N572" s="116">
        <v>343.44437742944098</v>
      </c>
      <c r="O572" s="116">
        <v>337.82266747295898</v>
      </c>
      <c r="P572" s="116">
        <v>341.512688545716</v>
      </c>
      <c r="Q572" s="116">
        <v>1369.55</v>
      </c>
      <c r="R572">
        <v>1918612</v>
      </c>
    </row>
    <row r="573" spans="1:18" x14ac:dyDescent="0.25">
      <c r="A573" s="170">
        <v>42846</v>
      </c>
      <c r="B573" s="116">
        <v>351.65370081067402</v>
      </c>
      <c r="C573" s="116">
        <v>346.63892092235301</v>
      </c>
      <c r="D573" s="116">
        <v>340.02684077330701</v>
      </c>
      <c r="E573" s="116">
        <v>340.55927419354799</v>
      </c>
      <c r="F573" s="116">
        <v>1399.75</v>
      </c>
      <c r="G573">
        <v>720639</v>
      </c>
      <c r="H573" s="116"/>
      <c r="I573" s="116"/>
      <c r="L573" s="170">
        <v>42846</v>
      </c>
      <c r="M573" s="116">
        <v>347.33252043898898</v>
      </c>
      <c r="N573" s="116">
        <v>351.91409022731102</v>
      </c>
      <c r="O573" s="116">
        <v>341.40124495626998</v>
      </c>
      <c r="P573" s="116">
        <v>341.88416717720099</v>
      </c>
      <c r="Q573" s="116">
        <v>1402.5</v>
      </c>
      <c r="R573">
        <v>6910277</v>
      </c>
    </row>
    <row r="574" spans="1:18" x14ac:dyDescent="0.25">
      <c r="A574" s="170">
        <v>42849</v>
      </c>
      <c r="B574" s="116">
        <v>355.05879826570703</v>
      </c>
      <c r="C574" s="116">
        <v>350.76218438608402</v>
      </c>
      <c r="D574" s="116">
        <v>346.72559613029898</v>
      </c>
      <c r="E574" s="116">
        <v>349.17726629792298</v>
      </c>
      <c r="F574" s="116">
        <v>1416.4</v>
      </c>
      <c r="G574">
        <v>533960</v>
      </c>
      <c r="H574" s="116"/>
      <c r="I574" s="116"/>
      <c r="L574" s="170">
        <v>42849</v>
      </c>
      <c r="M574" s="116">
        <v>351.022541511746</v>
      </c>
      <c r="N574" s="116">
        <v>355.38122412117599</v>
      </c>
      <c r="O574" s="116">
        <v>346.76291987071198</v>
      </c>
      <c r="P574" s="116">
        <v>348.95464379647598</v>
      </c>
      <c r="Q574" s="116">
        <v>1417.4</v>
      </c>
      <c r="R574">
        <v>5831731</v>
      </c>
    </row>
    <row r="575" spans="1:18" x14ac:dyDescent="0.25">
      <c r="A575" s="170">
        <v>42850</v>
      </c>
      <c r="B575" s="116">
        <v>362.79765611805402</v>
      </c>
      <c r="C575" s="116">
        <v>354.74924395161298</v>
      </c>
      <c r="D575" s="116">
        <v>353.54817321292899</v>
      </c>
      <c r="E575" s="116">
        <v>361.48514582629599</v>
      </c>
      <c r="F575" s="116">
        <v>1432.5</v>
      </c>
      <c r="G575">
        <v>627397</v>
      </c>
      <c r="H575" s="116"/>
      <c r="I575" s="116"/>
      <c r="L575" s="170">
        <v>42850</v>
      </c>
      <c r="M575" s="116">
        <v>354.83638879499699</v>
      </c>
      <c r="N575" s="116">
        <v>363.49184090861098</v>
      </c>
      <c r="O575" s="116">
        <v>353.177117574362</v>
      </c>
      <c r="P575" s="116">
        <v>361.57253464593498</v>
      </c>
      <c r="Q575" s="116">
        <v>1432.8</v>
      </c>
      <c r="R575">
        <v>8403704</v>
      </c>
    </row>
    <row r="576" spans="1:18" x14ac:dyDescent="0.25">
      <c r="A576" s="170">
        <v>42851</v>
      </c>
      <c r="B576" s="116">
        <v>356.60656983617599</v>
      </c>
      <c r="C576" s="116">
        <v>350.74980221352001</v>
      </c>
      <c r="D576" s="116">
        <v>347.48090865668797</v>
      </c>
      <c r="E576" s="116">
        <v>355.39311692492799</v>
      </c>
      <c r="F576" s="116">
        <v>1416.35</v>
      </c>
      <c r="G576">
        <v>313494</v>
      </c>
      <c r="H576" s="116"/>
      <c r="I576" s="116"/>
      <c r="L576" s="170">
        <v>42851</v>
      </c>
      <c r="M576" s="116">
        <v>350.78727171180498</v>
      </c>
      <c r="N576" s="116">
        <v>356.631868847178</v>
      </c>
      <c r="O576" s="116">
        <v>347.357285681088</v>
      </c>
      <c r="P576" s="116">
        <v>355.38122412117599</v>
      </c>
      <c r="Q576" s="116">
        <v>1416.45</v>
      </c>
      <c r="R576">
        <v>3831775</v>
      </c>
    </row>
    <row r="577" spans="1:18" x14ac:dyDescent="0.25">
      <c r="A577" s="170">
        <v>42852</v>
      </c>
      <c r="B577" s="116">
        <v>352.81762503166698</v>
      </c>
      <c r="C577" s="116">
        <v>348.69436156793603</v>
      </c>
      <c r="D577" s="116">
        <v>347.381851276178</v>
      </c>
      <c r="E577" s="116">
        <v>351.65370081067402</v>
      </c>
      <c r="F577" s="116">
        <v>1408.05</v>
      </c>
      <c r="G577">
        <v>269517</v>
      </c>
      <c r="H577" s="116"/>
      <c r="I577" s="116"/>
      <c r="L577" s="170">
        <v>42852</v>
      </c>
      <c r="M577" s="116">
        <v>349.066087385922</v>
      </c>
      <c r="N577" s="116">
        <v>352.69419535343098</v>
      </c>
      <c r="O577" s="116">
        <v>347.25822471269203</v>
      </c>
      <c r="P577" s="116">
        <v>350.92348054335002</v>
      </c>
      <c r="Q577" s="116">
        <v>1409.5</v>
      </c>
      <c r="R577">
        <v>2873655</v>
      </c>
    </row>
    <row r="578" spans="1:18" x14ac:dyDescent="0.25">
      <c r="A578" s="170">
        <v>42853</v>
      </c>
      <c r="B578" s="116">
        <v>351.85181557169398</v>
      </c>
      <c r="C578" s="116">
        <v>345.41308583854101</v>
      </c>
      <c r="D578" s="116">
        <v>344.34821899805797</v>
      </c>
      <c r="E578" s="116">
        <v>348.94200501921102</v>
      </c>
      <c r="F578" s="116">
        <v>1394.8</v>
      </c>
      <c r="G578">
        <v>382297</v>
      </c>
      <c r="H578" s="116"/>
      <c r="I578" s="116"/>
      <c r="L578" s="170">
        <v>42853</v>
      </c>
      <c r="M578" s="116">
        <v>345.52465776576003</v>
      </c>
      <c r="N578" s="116">
        <v>351.74073353261798</v>
      </c>
      <c r="O578" s="116">
        <v>344.48451759760002</v>
      </c>
      <c r="P578" s="116">
        <v>349.12800049116998</v>
      </c>
      <c r="Q578" s="116">
        <v>1395.2</v>
      </c>
      <c r="R578">
        <v>2708404</v>
      </c>
    </row>
    <row r="579" spans="1:18" x14ac:dyDescent="0.25">
      <c r="A579" s="170">
        <v>42857</v>
      </c>
      <c r="B579" s="116">
        <v>347.19611868772199</v>
      </c>
      <c r="C579" s="116">
        <v>339.49440735306501</v>
      </c>
      <c r="D579" s="116">
        <v>338.46668703027399</v>
      </c>
      <c r="E579" s="116">
        <v>346.72559613029898</v>
      </c>
      <c r="F579" s="116">
        <v>1370.9</v>
      </c>
      <c r="G579">
        <v>286125</v>
      </c>
      <c r="H579" s="116"/>
      <c r="I579" s="116"/>
      <c r="L579" s="170">
        <v>42857</v>
      </c>
      <c r="M579" s="116">
        <v>339.42002558834702</v>
      </c>
      <c r="N579" s="116">
        <v>347.20869422849398</v>
      </c>
      <c r="O579" s="116">
        <v>338.36750279913798</v>
      </c>
      <c r="P579" s="116">
        <v>347.20869422849398</v>
      </c>
      <c r="Q579" s="116">
        <v>1370.55</v>
      </c>
      <c r="R579">
        <v>4249684</v>
      </c>
    </row>
    <row r="580" spans="1:18" x14ac:dyDescent="0.25">
      <c r="A580" s="170">
        <v>42858</v>
      </c>
      <c r="B580" s="116">
        <v>341.87178448530699</v>
      </c>
      <c r="C580" s="116">
        <v>339.33343910973701</v>
      </c>
      <c r="D580" s="116">
        <v>338.03331099054202</v>
      </c>
      <c r="E580" s="116">
        <v>340.57165636611199</v>
      </c>
      <c r="F580" s="116">
        <v>1370.25</v>
      </c>
      <c r="G580">
        <v>235239</v>
      </c>
      <c r="H580" s="116"/>
      <c r="I580" s="116"/>
      <c r="L580" s="170">
        <v>42858</v>
      </c>
      <c r="M580" s="116">
        <v>339.30858199890099</v>
      </c>
      <c r="N580" s="116">
        <v>341.94608028244897</v>
      </c>
      <c r="O580" s="116">
        <v>338.04555465185098</v>
      </c>
      <c r="P580" s="116">
        <v>340.99261846163603</v>
      </c>
      <c r="Q580" s="116">
        <v>1370.1</v>
      </c>
      <c r="R580">
        <v>2171549</v>
      </c>
    </row>
    <row r="581" spans="1:18" x14ac:dyDescent="0.25">
      <c r="A581" s="170">
        <v>42859</v>
      </c>
      <c r="B581" s="116">
        <v>341.62414103403103</v>
      </c>
      <c r="C581" s="116">
        <v>336.485539420073</v>
      </c>
      <c r="D581" s="116">
        <v>335.47020126984501</v>
      </c>
      <c r="E581" s="116">
        <v>340.03922294587102</v>
      </c>
      <c r="F581" s="116">
        <v>1358.75</v>
      </c>
      <c r="G581">
        <v>202734</v>
      </c>
      <c r="H581" s="116"/>
      <c r="I581" s="116"/>
      <c r="L581" s="170">
        <v>42859</v>
      </c>
      <c r="M581" s="116">
        <v>336.29960508386898</v>
      </c>
      <c r="N581" s="116">
        <v>341.66127999831002</v>
      </c>
      <c r="O581" s="116">
        <v>335.33376064200598</v>
      </c>
      <c r="P581" s="116">
        <v>340.52207886175398</v>
      </c>
      <c r="Q581" s="116">
        <v>1357.95</v>
      </c>
      <c r="R581">
        <v>3283811</v>
      </c>
    </row>
    <row r="582" spans="1:18" x14ac:dyDescent="0.25">
      <c r="A582" s="170">
        <v>42860</v>
      </c>
      <c r="B582" s="116">
        <v>338.68956613642098</v>
      </c>
      <c r="C582" s="116">
        <v>329.01908936412798</v>
      </c>
      <c r="D582" s="116">
        <v>328.13995511210101</v>
      </c>
      <c r="E582" s="116">
        <v>337.04273718544198</v>
      </c>
      <c r="F582" s="116">
        <v>1328.6</v>
      </c>
      <c r="G582">
        <v>326756</v>
      </c>
      <c r="H582" s="116"/>
      <c r="I582" s="116"/>
      <c r="L582" s="170">
        <v>42860</v>
      </c>
      <c r="M582" s="116">
        <v>328.94432818045499</v>
      </c>
      <c r="N582" s="116">
        <v>338.62753784117803</v>
      </c>
      <c r="O582" s="116">
        <v>328.139457812236</v>
      </c>
      <c r="P582" s="116">
        <v>337.20353642048298</v>
      </c>
      <c r="Q582" s="116">
        <v>1328.25</v>
      </c>
      <c r="R582">
        <v>3565543</v>
      </c>
    </row>
    <row r="583" spans="1:18" x14ac:dyDescent="0.25">
      <c r="A583" s="170">
        <v>42863</v>
      </c>
      <c r="B583" s="116">
        <v>331.74316732815402</v>
      </c>
      <c r="C583" s="116">
        <v>327.37226041314801</v>
      </c>
      <c r="D583" s="116">
        <v>326.88935568316202</v>
      </c>
      <c r="E583" s="116">
        <v>329.01908936412798</v>
      </c>
      <c r="F583" s="116">
        <v>1321.95</v>
      </c>
      <c r="G583">
        <v>580916</v>
      </c>
      <c r="H583" s="116"/>
      <c r="I583" s="116"/>
      <c r="L583" s="170">
        <v>42863</v>
      </c>
      <c r="M583" s="116">
        <v>327.24790909667098</v>
      </c>
      <c r="N583" s="116">
        <v>331.73041791659602</v>
      </c>
      <c r="O583" s="116">
        <v>326.49256921264998</v>
      </c>
      <c r="P583" s="116">
        <v>329.37771991718802</v>
      </c>
      <c r="Q583" s="116">
        <v>1321.4</v>
      </c>
      <c r="R583">
        <v>3672585</v>
      </c>
    </row>
    <row r="584" spans="1:18" x14ac:dyDescent="0.25">
      <c r="A584" s="170">
        <v>42864</v>
      </c>
      <c r="B584" s="116">
        <v>330.108720549738</v>
      </c>
      <c r="C584" s="116">
        <v>329.51437626667803</v>
      </c>
      <c r="D584" s="116">
        <v>327.13699913443702</v>
      </c>
      <c r="E584" s="116">
        <v>327.63228603698701</v>
      </c>
      <c r="F584" s="116">
        <v>1330.6</v>
      </c>
      <c r="G584">
        <v>183764</v>
      </c>
      <c r="H584" s="116"/>
      <c r="I584" s="116"/>
      <c r="L584" s="170">
        <v>42864</v>
      </c>
      <c r="M584" s="116">
        <v>329.464398264534</v>
      </c>
      <c r="N584" s="116">
        <v>330.28165125380298</v>
      </c>
      <c r="O584" s="116">
        <v>326.96310881253203</v>
      </c>
      <c r="P584" s="116">
        <v>327.89180539124601</v>
      </c>
      <c r="Q584" s="116">
        <v>1330.35</v>
      </c>
      <c r="R584">
        <v>4824511</v>
      </c>
    </row>
    <row r="585" spans="1:18" x14ac:dyDescent="0.25">
      <c r="A585" s="170">
        <v>42865</v>
      </c>
      <c r="B585" s="116">
        <v>337.53802408799203</v>
      </c>
      <c r="C585" s="116">
        <v>336.671272008529</v>
      </c>
      <c r="D585" s="116">
        <v>329.72487320026198</v>
      </c>
      <c r="E585" s="116">
        <v>330.108720549738</v>
      </c>
      <c r="F585" s="116">
        <v>1359.5</v>
      </c>
      <c r="G585">
        <v>452629</v>
      </c>
      <c r="H585" s="116"/>
      <c r="I585" s="116"/>
      <c r="L585" s="170">
        <v>42865</v>
      </c>
      <c r="M585" s="116">
        <v>336.58440536800703</v>
      </c>
      <c r="N585" s="116">
        <v>337.69884126246399</v>
      </c>
      <c r="O585" s="116">
        <v>329.53869399083197</v>
      </c>
      <c r="P585" s="116">
        <v>330.56645153794199</v>
      </c>
      <c r="Q585" s="116">
        <v>1359.1</v>
      </c>
      <c r="R585">
        <v>5235932</v>
      </c>
    </row>
    <row r="586" spans="1:18" x14ac:dyDescent="0.25">
      <c r="A586" s="170">
        <v>42866</v>
      </c>
      <c r="B586" s="116">
        <v>340.49736333073002</v>
      </c>
      <c r="C586" s="116">
        <v>335.977870344959</v>
      </c>
      <c r="D586" s="116">
        <v>334.87585698678402</v>
      </c>
      <c r="E586" s="116">
        <v>337.191323256207</v>
      </c>
      <c r="F586" s="116">
        <v>1356.7</v>
      </c>
      <c r="G586">
        <v>384194</v>
      </c>
      <c r="H586" s="116"/>
      <c r="I586" s="116"/>
      <c r="L586" s="170">
        <v>42866</v>
      </c>
      <c r="M586" s="116">
        <v>336.69584895745299</v>
      </c>
      <c r="N586" s="116">
        <v>339.22190365155501</v>
      </c>
      <c r="O586" s="116">
        <v>334.739394831629</v>
      </c>
      <c r="P586" s="116">
        <v>337.82266747295898</v>
      </c>
      <c r="Q586" s="116">
        <v>1359.55</v>
      </c>
      <c r="R586">
        <v>3150756</v>
      </c>
    </row>
    <row r="587" spans="1:18" x14ac:dyDescent="0.25">
      <c r="A587" s="170">
        <v>42867</v>
      </c>
      <c r="B587" s="116">
        <v>337.76090319413998</v>
      </c>
      <c r="C587" s="116">
        <v>334.52915615499899</v>
      </c>
      <c r="D587" s="116">
        <v>332.88232720401999</v>
      </c>
      <c r="E587" s="116">
        <v>337.76090319413998</v>
      </c>
      <c r="F587" s="116">
        <v>1350.85</v>
      </c>
      <c r="G587">
        <v>389836</v>
      </c>
      <c r="H587" s="116"/>
      <c r="I587" s="116"/>
      <c r="L587" s="170">
        <v>42867</v>
      </c>
      <c r="M587" s="116">
        <v>334.44221192644102</v>
      </c>
      <c r="N587" s="116">
        <v>337.79790223086002</v>
      </c>
      <c r="O587" s="116">
        <v>332.85723643210201</v>
      </c>
      <c r="P587" s="116">
        <v>336.81967516794799</v>
      </c>
      <c r="Q587" s="116">
        <v>1350.45</v>
      </c>
      <c r="R587">
        <v>1719729</v>
      </c>
    </row>
    <row r="588" spans="1:18" x14ac:dyDescent="0.25">
      <c r="A588" s="170">
        <v>42870</v>
      </c>
      <c r="B588" s="116">
        <v>335.81690210162998</v>
      </c>
      <c r="C588" s="116">
        <v>332.746123305818</v>
      </c>
      <c r="D588" s="116">
        <v>330.48018572665097</v>
      </c>
      <c r="E588" s="116">
        <v>335.433054752153</v>
      </c>
      <c r="F588" s="116">
        <v>1343.65</v>
      </c>
      <c r="G588">
        <v>144526</v>
      </c>
      <c r="H588" s="116"/>
      <c r="I588" s="116"/>
      <c r="L588" s="170">
        <v>42870</v>
      </c>
      <c r="M588" s="116">
        <v>332.86961905315201</v>
      </c>
      <c r="N588" s="116">
        <v>335.91574383133297</v>
      </c>
      <c r="O588" s="116">
        <v>330.24450339065402</v>
      </c>
      <c r="P588" s="116">
        <v>335.91574383133297</v>
      </c>
      <c r="Q588" s="116">
        <v>1344.1</v>
      </c>
      <c r="R588">
        <v>1540213</v>
      </c>
    </row>
    <row r="589" spans="1:18" x14ac:dyDescent="0.25">
      <c r="A589" s="170">
        <v>42871</v>
      </c>
      <c r="B589" s="116">
        <v>341.00503240584402</v>
      </c>
      <c r="C589" s="116">
        <v>335.90357730957601</v>
      </c>
      <c r="D589" s="116">
        <v>332.287982920959</v>
      </c>
      <c r="E589" s="116">
        <v>333.08044196504</v>
      </c>
      <c r="F589" s="116">
        <v>1356.4</v>
      </c>
      <c r="G589">
        <v>360825</v>
      </c>
      <c r="H589" s="116"/>
      <c r="I589" s="116"/>
      <c r="L589" s="170">
        <v>42871</v>
      </c>
      <c r="M589" s="116">
        <v>335.89097858923401</v>
      </c>
      <c r="N589" s="116">
        <v>340.99261846163603</v>
      </c>
      <c r="O589" s="116">
        <v>332.10189654808198</v>
      </c>
      <c r="P589" s="116">
        <v>333.35254127408302</v>
      </c>
      <c r="Q589" s="116">
        <v>1356.3</v>
      </c>
      <c r="R589">
        <v>2892947</v>
      </c>
    </row>
    <row r="590" spans="1:18" x14ac:dyDescent="0.25">
      <c r="A590" s="170">
        <v>42872</v>
      </c>
      <c r="B590" s="116">
        <v>337.99616447285098</v>
      </c>
      <c r="C590" s="116">
        <v>334.91300350447602</v>
      </c>
      <c r="D590" s="116">
        <v>333.83575449142899</v>
      </c>
      <c r="E590" s="116">
        <v>335.80451992906598</v>
      </c>
      <c r="F590" s="116">
        <v>1352.4</v>
      </c>
      <c r="G590">
        <v>124009</v>
      </c>
      <c r="H590" s="116"/>
      <c r="I590" s="116"/>
      <c r="L590" s="170">
        <v>42872</v>
      </c>
      <c r="M590" s="116">
        <v>335.09849084206502</v>
      </c>
      <c r="N590" s="116">
        <v>338.28082445179098</v>
      </c>
      <c r="O590" s="116">
        <v>333.77355038976702</v>
      </c>
      <c r="P590" s="116">
        <v>335.073725599966</v>
      </c>
      <c r="Q590" s="116">
        <v>1353.1</v>
      </c>
      <c r="R590">
        <v>2250304</v>
      </c>
    </row>
    <row r="591" spans="1:18" x14ac:dyDescent="0.25">
      <c r="A591" s="170">
        <v>42873</v>
      </c>
      <c r="B591" s="116">
        <v>334.81394612396599</v>
      </c>
      <c r="C591" s="116">
        <v>328.635242014651</v>
      </c>
      <c r="D591" s="116">
        <v>327.70657907237</v>
      </c>
      <c r="E591" s="116">
        <v>333.526200177335</v>
      </c>
      <c r="F591" s="116">
        <v>1327.05</v>
      </c>
      <c r="G591">
        <v>115770</v>
      </c>
      <c r="H591" s="116"/>
      <c r="I591" s="116"/>
      <c r="L591" s="170">
        <v>42873</v>
      </c>
      <c r="M591" s="116">
        <v>328.72144100156299</v>
      </c>
      <c r="N591" s="116">
        <v>334.33076833699499</v>
      </c>
      <c r="O591" s="116">
        <v>327.91657063334497</v>
      </c>
      <c r="P591" s="116">
        <v>331.916157232339</v>
      </c>
      <c r="Q591" s="116">
        <v>1327.35</v>
      </c>
      <c r="R591">
        <v>2237916</v>
      </c>
    </row>
    <row r="592" spans="1:18" x14ac:dyDescent="0.25">
      <c r="A592" s="170">
        <v>42874</v>
      </c>
      <c r="B592" s="116">
        <v>331.594581257389</v>
      </c>
      <c r="C592" s="116">
        <v>326.51789050624899</v>
      </c>
      <c r="D592" s="116">
        <v>324.68532896681302</v>
      </c>
      <c r="E592" s="116">
        <v>331.594581257389</v>
      </c>
      <c r="F592" s="116">
        <v>1318.5</v>
      </c>
      <c r="G592">
        <v>155962</v>
      </c>
      <c r="H592" s="116"/>
      <c r="I592" s="116"/>
      <c r="L592" s="170">
        <v>42874</v>
      </c>
      <c r="M592" s="116">
        <v>326.61639542314498</v>
      </c>
      <c r="N592" s="116">
        <v>330.78933871683302</v>
      </c>
      <c r="O592" s="116">
        <v>324.42467149738002</v>
      </c>
      <c r="P592" s="116">
        <v>330.12067718015902</v>
      </c>
      <c r="Q592" s="116">
        <v>1318.85</v>
      </c>
      <c r="R592">
        <v>2928883</v>
      </c>
    </row>
    <row r="593" spans="1:18" x14ac:dyDescent="0.25">
      <c r="A593" s="170">
        <v>42877</v>
      </c>
      <c r="B593" s="116">
        <v>330.19539575768499</v>
      </c>
      <c r="C593" s="116">
        <v>327.81801862544302</v>
      </c>
      <c r="D593" s="116">
        <v>325.66352059935002</v>
      </c>
      <c r="E593" s="116">
        <v>327.52084648391298</v>
      </c>
      <c r="F593" s="116">
        <v>1323.75</v>
      </c>
      <c r="G593">
        <v>221714</v>
      </c>
      <c r="H593" s="116"/>
      <c r="I593" s="116"/>
      <c r="L593" s="170">
        <v>42877</v>
      </c>
      <c r="M593" s="116">
        <v>327.928953254394</v>
      </c>
      <c r="N593" s="116">
        <v>330.26926863275298</v>
      </c>
      <c r="O593" s="116">
        <v>325.71246408653002</v>
      </c>
      <c r="P593" s="116">
        <v>328.51093644372202</v>
      </c>
      <c r="Q593" s="116">
        <v>1324.15</v>
      </c>
      <c r="R593">
        <v>2011859</v>
      </c>
    </row>
    <row r="594" spans="1:18" x14ac:dyDescent="0.25">
      <c r="A594" s="170">
        <v>42878</v>
      </c>
      <c r="B594" s="116">
        <v>329.427701058732</v>
      </c>
      <c r="C594" s="116">
        <v>323.02611784327001</v>
      </c>
      <c r="D594" s="116">
        <v>322.30795183457201</v>
      </c>
      <c r="E594" s="116">
        <v>327.87992948826201</v>
      </c>
      <c r="F594" s="116">
        <v>1304.4000000000001</v>
      </c>
      <c r="G594">
        <v>242172</v>
      </c>
      <c r="H594" s="116"/>
      <c r="I594" s="116"/>
      <c r="L594" s="170">
        <v>42878</v>
      </c>
      <c r="M594" s="116">
        <v>323.322618223973</v>
      </c>
      <c r="N594" s="116">
        <v>329.340572054039</v>
      </c>
      <c r="O594" s="116">
        <v>322.44345212945802</v>
      </c>
      <c r="P594" s="116">
        <v>328.31281450692899</v>
      </c>
      <c r="Q594" s="116">
        <v>1305.55</v>
      </c>
      <c r="R594">
        <v>2108223</v>
      </c>
    </row>
    <row r="595" spans="1:18" x14ac:dyDescent="0.25">
      <c r="A595" s="170">
        <v>42879</v>
      </c>
      <c r="B595" s="116">
        <v>325.27967324987299</v>
      </c>
      <c r="C595" s="116">
        <v>321.19355630383399</v>
      </c>
      <c r="D595" s="116">
        <v>320.69826940128399</v>
      </c>
      <c r="E595" s="116">
        <v>323.335672157364</v>
      </c>
      <c r="F595" s="116">
        <v>1297</v>
      </c>
      <c r="G595">
        <v>148240</v>
      </c>
      <c r="H595" s="116"/>
      <c r="I595" s="116"/>
      <c r="L595" s="170">
        <v>42879</v>
      </c>
      <c r="M595" s="116">
        <v>321.37854671919899</v>
      </c>
      <c r="N595" s="116">
        <v>325.34098545504497</v>
      </c>
      <c r="O595" s="116">
        <v>320.73465042462402</v>
      </c>
      <c r="P595" s="116">
        <v>323.80554044490498</v>
      </c>
      <c r="Q595" s="116">
        <v>1297.7</v>
      </c>
      <c r="R595">
        <v>3274804</v>
      </c>
    </row>
    <row r="596" spans="1:18" x14ac:dyDescent="0.25">
      <c r="A596" s="170">
        <v>42880</v>
      </c>
      <c r="B596" s="116">
        <v>324.84629721014198</v>
      </c>
      <c r="C596" s="116">
        <v>322.65465266635698</v>
      </c>
      <c r="D596" s="116">
        <v>321.39167106485399</v>
      </c>
      <c r="E596" s="116">
        <v>321.93648665765897</v>
      </c>
      <c r="F596" s="116">
        <v>1302.9000000000001</v>
      </c>
      <c r="G596">
        <v>108319</v>
      </c>
      <c r="H596" s="116"/>
      <c r="I596" s="116"/>
      <c r="L596" s="170">
        <v>42880</v>
      </c>
      <c r="M596" s="116">
        <v>322.55489571890303</v>
      </c>
      <c r="N596" s="116">
        <v>325.019037307757</v>
      </c>
      <c r="O596" s="116">
        <v>321.06898119296102</v>
      </c>
      <c r="P596" s="116">
        <v>321.94814728747701</v>
      </c>
      <c r="Q596" s="116">
        <v>1302.45</v>
      </c>
      <c r="R596">
        <v>5925335</v>
      </c>
    </row>
    <row r="597" spans="1:18" x14ac:dyDescent="0.25">
      <c r="A597" s="170">
        <v>42881</v>
      </c>
      <c r="B597" s="116">
        <v>332.84518068632798</v>
      </c>
      <c r="C597" s="116">
        <v>330.80212221330902</v>
      </c>
      <c r="D597" s="116">
        <v>322.18413010893403</v>
      </c>
      <c r="E597" s="116">
        <v>322.43177356020902</v>
      </c>
      <c r="F597" s="116">
        <v>1335.8</v>
      </c>
      <c r="G597">
        <v>320020</v>
      </c>
      <c r="H597" s="116"/>
      <c r="I597" s="116"/>
      <c r="L597" s="170">
        <v>42881</v>
      </c>
      <c r="M597" s="116">
        <v>331.18558259041703</v>
      </c>
      <c r="N597" s="116">
        <v>332.94391477944902</v>
      </c>
      <c r="O597" s="116">
        <v>321.94814728747701</v>
      </c>
      <c r="P597" s="116">
        <v>322.92637435038898</v>
      </c>
      <c r="Q597" s="116">
        <v>1337.3</v>
      </c>
      <c r="R597">
        <v>4898639</v>
      </c>
    </row>
    <row r="598" spans="1:18" x14ac:dyDescent="0.25">
      <c r="A598" s="170">
        <v>42884</v>
      </c>
      <c r="B598" s="116">
        <v>338.25619009668998</v>
      </c>
      <c r="C598" s="116">
        <v>335.94072382726699</v>
      </c>
      <c r="D598" s="116">
        <v>330.85165090356401</v>
      </c>
      <c r="E598" s="116">
        <v>331.17358739022097</v>
      </c>
      <c r="F598" s="116">
        <v>1356.55</v>
      </c>
      <c r="G598">
        <v>452793</v>
      </c>
      <c r="H598" s="116"/>
      <c r="I598" s="116"/>
      <c r="L598" s="170">
        <v>42884</v>
      </c>
      <c r="M598" s="116">
        <v>336.03957004182899</v>
      </c>
      <c r="N598" s="116">
        <v>338.15699824129598</v>
      </c>
      <c r="O598" s="116">
        <v>330.76457347473399</v>
      </c>
      <c r="P598" s="116">
        <v>331.11128686412002</v>
      </c>
      <c r="Q598" s="116">
        <v>1356.9</v>
      </c>
      <c r="R598">
        <v>5491170</v>
      </c>
    </row>
    <row r="599" spans="1:18" x14ac:dyDescent="0.25">
      <c r="A599" s="170">
        <v>42885</v>
      </c>
      <c r="B599" s="116">
        <v>337.85996057465002</v>
      </c>
      <c r="C599" s="116">
        <v>336.51030376519998</v>
      </c>
      <c r="D599" s="116">
        <v>334.07101577013998</v>
      </c>
      <c r="E599" s="116">
        <v>335.94072382726699</v>
      </c>
      <c r="F599" s="116">
        <v>1358.85</v>
      </c>
      <c r="G599">
        <v>131032</v>
      </c>
      <c r="H599" s="116"/>
      <c r="I599" s="116"/>
      <c r="L599" s="170">
        <v>42885</v>
      </c>
      <c r="M599" s="116">
        <v>336.64631847325501</v>
      </c>
      <c r="N599" s="116">
        <v>337.97125892555403</v>
      </c>
      <c r="O599" s="116">
        <v>333.95928970551</v>
      </c>
      <c r="P599" s="116">
        <v>335.79191762083798</v>
      </c>
      <c r="Q599" s="116">
        <v>1359.35</v>
      </c>
      <c r="R599">
        <v>2207727</v>
      </c>
    </row>
    <row r="600" spans="1:18" x14ac:dyDescent="0.25">
      <c r="A600" s="170">
        <v>42886</v>
      </c>
      <c r="B600" s="116">
        <v>338.77624134436797</v>
      </c>
      <c r="C600" s="116">
        <v>331.99081077942901</v>
      </c>
      <c r="D600" s="116">
        <v>330.85165090356401</v>
      </c>
      <c r="E600" s="116">
        <v>338.77624134436797</v>
      </c>
      <c r="F600" s="116">
        <v>1340.6</v>
      </c>
      <c r="G600">
        <v>468501</v>
      </c>
      <c r="H600" s="116"/>
      <c r="I600" s="116"/>
      <c r="L600" s="170">
        <v>42886</v>
      </c>
      <c r="M600" s="116">
        <v>332.02760082178497</v>
      </c>
      <c r="N600" s="116">
        <v>338.77612929377199</v>
      </c>
      <c r="O600" s="116">
        <v>330.81410395893198</v>
      </c>
      <c r="P600" s="116">
        <v>338.54085949383102</v>
      </c>
      <c r="Q600" s="116">
        <v>1340.7</v>
      </c>
      <c r="R600">
        <v>3754099</v>
      </c>
    </row>
    <row r="601" spans="1:18" x14ac:dyDescent="0.25">
      <c r="A601" s="170">
        <v>42887</v>
      </c>
      <c r="B601" s="116">
        <v>331.82984253609999</v>
      </c>
      <c r="C601" s="116">
        <v>328.99432501899997</v>
      </c>
      <c r="D601" s="116">
        <v>327.64466820955101</v>
      </c>
      <c r="E601" s="116">
        <v>331.346937806114</v>
      </c>
      <c r="F601" s="116">
        <v>1328.5</v>
      </c>
      <c r="G601">
        <v>141483</v>
      </c>
      <c r="H601" s="116"/>
      <c r="I601" s="116"/>
      <c r="L601" s="170">
        <v>42887</v>
      </c>
      <c r="M601" s="116">
        <v>328.94432818045499</v>
      </c>
      <c r="N601" s="116">
        <v>331.85424412709102</v>
      </c>
      <c r="O601" s="116">
        <v>327.64415297025499</v>
      </c>
      <c r="P601" s="116">
        <v>330.04638145386201</v>
      </c>
      <c r="Q601" s="116">
        <v>1328.25</v>
      </c>
      <c r="R601">
        <v>2179328</v>
      </c>
    </row>
    <row r="602" spans="1:18" x14ac:dyDescent="0.25">
      <c r="A602" s="170">
        <v>42888</v>
      </c>
      <c r="B602" s="116">
        <v>331.54505256713401</v>
      </c>
      <c r="C602" s="116">
        <v>328.06566207671801</v>
      </c>
      <c r="D602" s="116">
        <v>326.04736794882598</v>
      </c>
      <c r="E602" s="116">
        <v>329.37817236847701</v>
      </c>
      <c r="F602" s="116">
        <v>1324.75</v>
      </c>
      <c r="G602">
        <v>167733</v>
      </c>
      <c r="H602" s="116"/>
      <c r="I602" s="116"/>
      <c r="L602" s="170">
        <v>42888</v>
      </c>
      <c r="M602" s="116">
        <v>328.07754470698802</v>
      </c>
      <c r="N602" s="116">
        <v>331.53229597980402</v>
      </c>
      <c r="O602" s="116">
        <v>326.15823844431299</v>
      </c>
      <c r="P602" s="116">
        <v>330.61598202213997</v>
      </c>
      <c r="Q602" s="116">
        <v>1324.75</v>
      </c>
      <c r="R602">
        <v>2627565</v>
      </c>
    </row>
    <row r="603" spans="1:18" x14ac:dyDescent="0.25">
      <c r="A603" s="170">
        <v>42891</v>
      </c>
      <c r="B603" s="116">
        <v>331.96604643430197</v>
      </c>
      <c r="C603" s="116">
        <v>329.09338239951001</v>
      </c>
      <c r="D603" s="116">
        <v>325.83687101524202</v>
      </c>
      <c r="E603" s="116">
        <v>328.127572939537</v>
      </c>
      <c r="F603" s="116">
        <v>1328.9</v>
      </c>
      <c r="G603">
        <v>263014</v>
      </c>
      <c r="H603" s="116"/>
      <c r="I603" s="116"/>
      <c r="L603" s="170">
        <v>42891</v>
      </c>
      <c r="M603" s="116">
        <v>329.216745843544</v>
      </c>
      <c r="N603" s="116">
        <v>332.10189654808198</v>
      </c>
      <c r="O603" s="116">
        <v>325.87343816017398</v>
      </c>
      <c r="P603" s="116">
        <v>328.44902333847398</v>
      </c>
      <c r="Q603" s="116">
        <v>1329.35</v>
      </c>
      <c r="R603">
        <v>2476706</v>
      </c>
    </row>
    <row r="604" spans="1:18" x14ac:dyDescent="0.25">
      <c r="A604" s="170">
        <v>42892</v>
      </c>
      <c r="B604" s="116">
        <v>331.56981691226201</v>
      </c>
      <c r="C604" s="116">
        <v>325.254908904746</v>
      </c>
      <c r="D604" s="116">
        <v>324.63580027655797</v>
      </c>
      <c r="E604" s="116">
        <v>331.56981691226201</v>
      </c>
      <c r="F604" s="116">
        <v>1313.4</v>
      </c>
      <c r="G604">
        <v>120747</v>
      </c>
      <c r="H604" s="116"/>
      <c r="I604" s="116"/>
      <c r="L604" s="170">
        <v>42892</v>
      </c>
      <c r="M604" s="116">
        <v>325.11809827615298</v>
      </c>
      <c r="N604" s="116">
        <v>330.35594698009999</v>
      </c>
      <c r="O604" s="116">
        <v>324.67232391837098</v>
      </c>
      <c r="P604" s="116">
        <v>330.35594698009999</v>
      </c>
      <c r="Q604" s="116">
        <v>1312.8</v>
      </c>
      <c r="R604">
        <v>2192356</v>
      </c>
    </row>
    <row r="605" spans="1:18" x14ac:dyDescent="0.25">
      <c r="A605" s="170">
        <v>42893</v>
      </c>
      <c r="B605" s="116">
        <v>332.63468375274499</v>
      </c>
      <c r="C605" s="116">
        <v>331.64410994764398</v>
      </c>
      <c r="D605" s="116">
        <v>324.06622033862499</v>
      </c>
      <c r="E605" s="116">
        <v>325.10632283398098</v>
      </c>
      <c r="F605" s="116">
        <v>1339.2</v>
      </c>
      <c r="G605">
        <v>161546</v>
      </c>
      <c r="H605" s="116"/>
      <c r="I605" s="116"/>
      <c r="L605" s="170">
        <v>42893</v>
      </c>
      <c r="M605" s="116">
        <v>331.60659170610103</v>
      </c>
      <c r="N605" s="116">
        <v>332.34954896907198</v>
      </c>
      <c r="O605" s="116">
        <v>324.17701907639002</v>
      </c>
      <c r="P605" s="116">
        <v>324.72185440256902</v>
      </c>
      <c r="Q605" s="116">
        <v>1339</v>
      </c>
      <c r="R605">
        <v>2559954</v>
      </c>
    </row>
    <row r="606" spans="1:18" x14ac:dyDescent="0.25">
      <c r="A606" s="170">
        <v>42894</v>
      </c>
      <c r="B606" s="116">
        <v>333.08044196504</v>
      </c>
      <c r="C606" s="116">
        <v>329.341025850785</v>
      </c>
      <c r="D606" s="116">
        <v>328.89526763849</v>
      </c>
      <c r="E606" s="116">
        <v>331.84222470866399</v>
      </c>
      <c r="F606" s="116">
        <v>1329.9</v>
      </c>
      <c r="G606">
        <v>96115</v>
      </c>
      <c r="H606" s="116"/>
      <c r="I606" s="116"/>
      <c r="L606" s="170">
        <v>42894</v>
      </c>
      <c r="M606" s="116">
        <v>329.79872903287099</v>
      </c>
      <c r="N606" s="116">
        <v>333.04297574784499</v>
      </c>
      <c r="O606" s="116">
        <v>328.894797696257</v>
      </c>
      <c r="P606" s="116">
        <v>331.85424412709102</v>
      </c>
      <c r="Q606" s="116">
        <v>1331.7</v>
      </c>
      <c r="R606">
        <v>1806521</v>
      </c>
    </row>
    <row r="607" spans="1:18" x14ac:dyDescent="0.25">
      <c r="A607" s="170">
        <v>42895</v>
      </c>
      <c r="B607" s="116">
        <v>334.81394612396599</v>
      </c>
      <c r="C607" s="116">
        <v>330.72782917792603</v>
      </c>
      <c r="D607" s="116">
        <v>329.36579019591301</v>
      </c>
      <c r="E607" s="116">
        <v>332.832798513765</v>
      </c>
      <c r="F607" s="116">
        <v>1335.5</v>
      </c>
      <c r="G607">
        <v>188033</v>
      </c>
      <c r="H607" s="116"/>
      <c r="I607" s="116"/>
      <c r="L607" s="170">
        <v>42895</v>
      </c>
      <c r="M607" s="116">
        <v>330.78933871683302</v>
      </c>
      <c r="N607" s="116">
        <v>335.06134297891703</v>
      </c>
      <c r="O607" s="116">
        <v>329.62537233817801</v>
      </c>
      <c r="P607" s="116">
        <v>333.117271474142</v>
      </c>
      <c r="Q607" s="116">
        <v>1335.7</v>
      </c>
      <c r="R607">
        <v>3162802</v>
      </c>
    </row>
    <row r="608" spans="1:18" x14ac:dyDescent="0.25">
      <c r="A608" s="170">
        <v>42898</v>
      </c>
      <c r="B608" s="116">
        <v>329.353408023349</v>
      </c>
      <c r="C608" s="116">
        <v>326.728387439833</v>
      </c>
      <c r="D608" s="116">
        <v>326.27024705497399</v>
      </c>
      <c r="E608" s="116">
        <v>329.24196847027503</v>
      </c>
      <c r="F608" s="116">
        <v>1319.35</v>
      </c>
      <c r="G608">
        <v>79440</v>
      </c>
      <c r="H608" s="116"/>
      <c r="I608" s="116"/>
      <c r="L608" s="170">
        <v>42898</v>
      </c>
      <c r="M608" s="116">
        <v>326.764986875739</v>
      </c>
      <c r="N608" s="116">
        <v>329.31580681193998</v>
      </c>
      <c r="O608" s="116">
        <v>326.15823844431299</v>
      </c>
      <c r="P608" s="116">
        <v>328.52331906477099</v>
      </c>
      <c r="Q608" s="116">
        <v>1319.45</v>
      </c>
      <c r="R608">
        <v>1927513</v>
      </c>
    </row>
    <row r="609" spans="1:18" x14ac:dyDescent="0.25">
      <c r="A609" s="170">
        <v>42899</v>
      </c>
      <c r="B609" s="116">
        <v>328.62285984208802</v>
      </c>
      <c r="C609" s="116">
        <v>325.05679414372599</v>
      </c>
      <c r="D609" s="116">
        <v>324.16527771913502</v>
      </c>
      <c r="E609" s="116">
        <v>325.89878187806102</v>
      </c>
      <c r="F609" s="116">
        <v>1312.6</v>
      </c>
      <c r="G609">
        <v>122599</v>
      </c>
      <c r="H609" s="116"/>
      <c r="I609" s="116"/>
      <c r="L609" s="170">
        <v>42899</v>
      </c>
      <c r="M609" s="116">
        <v>325.50195952868899</v>
      </c>
      <c r="N609" s="116">
        <v>328.63476265421701</v>
      </c>
      <c r="O609" s="116">
        <v>324.67232391837098</v>
      </c>
      <c r="P609" s="116">
        <v>327.04978715987801</v>
      </c>
      <c r="Q609" s="116">
        <v>1314.35</v>
      </c>
      <c r="R609">
        <v>1377291</v>
      </c>
    </row>
    <row r="610" spans="1:18" x14ac:dyDescent="0.25">
      <c r="A610" s="170">
        <v>42900</v>
      </c>
      <c r="B610" s="116">
        <v>336.17598510597901</v>
      </c>
      <c r="C610" s="116">
        <v>335.77975558393899</v>
      </c>
      <c r="D610" s="116">
        <v>325.83687101524202</v>
      </c>
      <c r="E610" s="116">
        <v>326.39406878061101</v>
      </c>
      <c r="F610" s="116">
        <v>1355.9</v>
      </c>
      <c r="G610">
        <v>3489002</v>
      </c>
      <c r="H610" s="116"/>
      <c r="I610" s="116"/>
      <c r="L610" s="170">
        <v>42900</v>
      </c>
      <c r="M610" s="116">
        <v>336.18816149442301</v>
      </c>
      <c r="N610" s="116">
        <v>336.80729254689902</v>
      </c>
      <c r="O610" s="116">
        <v>325.88582078122403</v>
      </c>
      <c r="P610" s="116">
        <v>325.88582078122403</v>
      </c>
      <c r="Q610" s="116">
        <v>1357.5</v>
      </c>
      <c r="R610">
        <v>12101027</v>
      </c>
    </row>
    <row r="611" spans="1:18" x14ac:dyDescent="0.25">
      <c r="A611" s="170">
        <v>42901</v>
      </c>
      <c r="B611" s="116">
        <v>345.27688194033902</v>
      </c>
      <c r="C611" s="116">
        <v>342.86235829040697</v>
      </c>
      <c r="D611" s="116">
        <v>336.79509373416698</v>
      </c>
      <c r="E611" s="116">
        <v>337.29038063671698</v>
      </c>
      <c r="F611" s="116">
        <v>1384.5</v>
      </c>
      <c r="G611">
        <v>1008637</v>
      </c>
      <c r="H611" s="116"/>
      <c r="I611" s="116"/>
      <c r="L611" s="170">
        <v>42901</v>
      </c>
      <c r="M611" s="116">
        <v>342.73856802961802</v>
      </c>
      <c r="N611" s="116">
        <v>345.47512728156198</v>
      </c>
      <c r="O611" s="116">
        <v>336.58440536800703</v>
      </c>
      <c r="P611" s="116">
        <v>336.80729254689902</v>
      </c>
      <c r="Q611" s="116">
        <v>1383.95</v>
      </c>
      <c r="R611">
        <v>6466804</v>
      </c>
    </row>
    <row r="612" spans="1:18" x14ac:dyDescent="0.25">
      <c r="A612" s="170">
        <v>42902</v>
      </c>
      <c r="B612" s="116">
        <v>345.462614528796</v>
      </c>
      <c r="C612" s="116">
        <v>343.69196385217901</v>
      </c>
      <c r="D612" s="116">
        <v>339.29629259204501</v>
      </c>
      <c r="E612" s="116">
        <v>343.92722513089001</v>
      </c>
      <c r="F612" s="116">
        <v>1387.85</v>
      </c>
      <c r="G612">
        <v>962742</v>
      </c>
      <c r="H612" s="116"/>
      <c r="I612" s="116"/>
      <c r="L612" s="170">
        <v>42902</v>
      </c>
      <c r="M612" s="116">
        <v>343.93968227142102</v>
      </c>
      <c r="N612" s="116">
        <v>345.67324921835399</v>
      </c>
      <c r="O612" s="116">
        <v>339.11046006210898</v>
      </c>
      <c r="P612" s="116">
        <v>344.01397799771797</v>
      </c>
      <c r="Q612" s="116">
        <v>1388.8</v>
      </c>
      <c r="R612">
        <v>7477157</v>
      </c>
    </row>
    <row r="613" spans="1:18" x14ac:dyDescent="0.25">
      <c r="A613" s="170">
        <v>42905</v>
      </c>
      <c r="B613" s="116">
        <v>350.41548355429802</v>
      </c>
      <c r="C613" s="116">
        <v>348.96676936433897</v>
      </c>
      <c r="D613" s="116">
        <v>344.47204072369499</v>
      </c>
      <c r="E613" s="116">
        <v>344.694919829843</v>
      </c>
      <c r="F613" s="116">
        <v>1409.15</v>
      </c>
      <c r="G613">
        <v>446711</v>
      </c>
      <c r="H613" s="116"/>
      <c r="I613" s="116"/>
      <c r="L613" s="170">
        <v>42905</v>
      </c>
      <c r="M613" s="116">
        <v>349.00417428067402</v>
      </c>
      <c r="N613" s="116">
        <v>350.62629763816102</v>
      </c>
      <c r="O613" s="116">
        <v>344.28639566080801</v>
      </c>
      <c r="P613" s="116">
        <v>344.28639566080801</v>
      </c>
      <c r="Q613" s="116">
        <v>1409.25</v>
      </c>
      <c r="R613">
        <v>3482912</v>
      </c>
    </row>
    <row r="614" spans="1:18" x14ac:dyDescent="0.25">
      <c r="A614" s="170">
        <v>42906</v>
      </c>
      <c r="B614" s="116">
        <v>352.29757378398898</v>
      </c>
      <c r="C614" s="116">
        <v>349.73446406329202</v>
      </c>
      <c r="D614" s="116">
        <v>348.69436156793603</v>
      </c>
      <c r="E614" s="116">
        <v>350.41548355429802</v>
      </c>
      <c r="F614" s="116">
        <v>1412.25</v>
      </c>
      <c r="G614">
        <v>580523</v>
      </c>
      <c r="H614" s="116"/>
      <c r="I614" s="116"/>
      <c r="L614" s="170">
        <v>42906</v>
      </c>
      <c r="M614" s="116">
        <v>349.77189678574399</v>
      </c>
      <c r="N614" s="116">
        <v>352.186507890401</v>
      </c>
      <c r="O614" s="116">
        <v>348.55839992289202</v>
      </c>
      <c r="P614" s="116">
        <v>348.94226117542701</v>
      </c>
      <c r="Q614" s="116">
        <v>1412.35</v>
      </c>
      <c r="R614">
        <v>2318399</v>
      </c>
    </row>
    <row r="615" spans="1:18" x14ac:dyDescent="0.25">
      <c r="A615" s="170">
        <v>42907</v>
      </c>
      <c r="B615" s="116">
        <v>353.38720496960002</v>
      </c>
      <c r="C615" s="116">
        <v>351.18317825325101</v>
      </c>
      <c r="D615" s="116">
        <v>348.087635112312</v>
      </c>
      <c r="E615" s="116">
        <v>349.17726629792298</v>
      </c>
      <c r="F615" s="116">
        <v>1418.1</v>
      </c>
      <c r="G615">
        <v>1373738</v>
      </c>
      <c r="H615" s="116"/>
      <c r="I615" s="116"/>
      <c r="L615" s="170">
        <v>42907</v>
      </c>
      <c r="M615" s="116">
        <v>352.16174264830198</v>
      </c>
      <c r="N615" s="116">
        <v>353.64765717424399</v>
      </c>
      <c r="O615" s="116">
        <v>347.76591217572297</v>
      </c>
      <c r="P615" s="116">
        <v>348.645078270238</v>
      </c>
      <c r="Q615" s="116">
        <v>1422</v>
      </c>
      <c r="R615">
        <v>4569943</v>
      </c>
    </row>
    <row r="616" spans="1:18" x14ac:dyDescent="0.25">
      <c r="A616" s="170">
        <v>42908</v>
      </c>
      <c r="B616" s="116">
        <v>357.597143641277</v>
      </c>
      <c r="C616" s="116">
        <v>354.91021219494201</v>
      </c>
      <c r="D616" s="116">
        <v>353.79581666420398</v>
      </c>
      <c r="E616" s="116">
        <v>354.13013532342501</v>
      </c>
      <c r="F616" s="116">
        <v>1433.15</v>
      </c>
      <c r="G616">
        <v>289088</v>
      </c>
      <c r="H616" s="116"/>
      <c r="I616" s="116"/>
      <c r="L616" s="170">
        <v>42908</v>
      </c>
      <c r="M616" s="116">
        <v>354.799240931849</v>
      </c>
      <c r="N616" s="116">
        <v>357.95680929947599</v>
      </c>
      <c r="O616" s="116">
        <v>353.57336144794698</v>
      </c>
      <c r="P616" s="116">
        <v>354.00675318468001</v>
      </c>
      <c r="Q616" s="116">
        <v>1432.65</v>
      </c>
      <c r="R616">
        <v>5055942</v>
      </c>
    </row>
    <row r="617" spans="1:18" x14ac:dyDescent="0.25">
      <c r="A617" s="170">
        <v>42909</v>
      </c>
      <c r="B617" s="116">
        <v>357.02756370334401</v>
      </c>
      <c r="C617" s="116">
        <v>355.36835257980101</v>
      </c>
      <c r="D617" s="116">
        <v>354.35301442957302</v>
      </c>
      <c r="E617" s="116">
        <v>356.358926384901</v>
      </c>
      <c r="F617" s="116">
        <v>1435</v>
      </c>
      <c r="G617">
        <v>403436</v>
      </c>
      <c r="H617" s="116"/>
      <c r="I617" s="116"/>
      <c r="L617" s="170">
        <v>42909</v>
      </c>
      <c r="M617" s="116">
        <v>355.59172867901799</v>
      </c>
      <c r="N617" s="116">
        <v>357.11479106810901</v>
      </c>
      <c r="O617" s="116">
        <v>354.29155346881902</v>
      </c>
      <c r="P617" s="116">
        <v>355.62887654216701</v>
      </c>
      <c r="Q617" s="116">
        <v>1435.85</v>
      </c>
      <c r="R617">
        <v>7118832</v>
      </c>
    </row>
    <row r="618" spans="1:18" x14ac:dyDescent="0.25">
      <c r="A618" s="170">
        <v>42913</v>
      </c>
      <c r="B618" s="116">
        <v>356.61895200874</v>
      </c>
      <c r="C618" s="116">
        <v>355.591231685948</v>
      </c>
      <c r="D618" s="116">
        <v>352.89191806705003</v>
      </c>
      <c r="E618" s="116">
        <v>354.625422225975</v>
      </c>
      <c r="F618" s="116">
        <v>1435.9</v>
      </c>
      <c r="G618">
        <v>412000</v>
      </c>
      <c r="H618" s="116"/>
      <c r="I618" s="116"/>
      <c r="L618" s="170">
        <v>42913</v>
      </c>
      <c r="M618" s="116">
        <v>355.91367682630602</v>
      </c>
      <c r="N618" s="116">
        <v>357.36244348909901</v>
      </c>
      <c r="O618" s="116">
        <v>352.90469991127298</v>
      </c>
      <c r="P618" s="116">
        <v>354.63826685820499</v>
      </c>
      <c r="Q618" s="116">
        <v>1437.15</v>
      </c>
      <c r="R618">
        <v>7449878</v>
      </c>
    </row>
    <row r="619" spans="1:18" x14ac:dyDescent="0.25">
      <c r="A619" s="170">
        <v>42914</v>
      </c>
      <c r="B619" s="116">
        <v>356.60656983617599</v>
      </c>
      <c r="C619" s="116">
        <v>346.32936660825902</v>
      </c>
      <c r="D619" s="116">
        <v>345.74740449776198</v>
      </c>
      <c r="E619" s="116">
        <v>356.18557596900899</v>
      </c>
      <c r="F619" s="116">
        <v>1398.5</v>
      </c>
      <c r="G619">
        <v>206243</v>
      </c>
      <c r="H619" s="116"/>
      <c r="I619" s="116"/>
      <c r="L619" s="170">
        <v>42914</v>
      </c>
      <c r="M619" s="116">
        <v>346.34191075502798</v>
      </c>
      <c r="N619" s="116">
        <v>356.60710360507898</v>
      </c>
      <c r="O619" s="116">
        <v>345.61133611310601</v>
      </c>
      <c r="P619" s="116">
        <v>356.60710360507898</v>
      </c>
      <c r="Q619" s="116">
        <v>1398.5</v>
      </c>
      <c r="R619">
        <v>3558538</v>
      </c>
    </row>
    <row r="620" spans="1:18" x14ac:dyDescent="0.25">
      <c r="A620" s="170">
        <v>42915</v>
      </c>
      <c r="B620" s="116">
        <v>351.15841390812398</v>
      </c>
      <c r="C620" s="116">
        <v>344.942563281118</v>
      </c>
      <c r="D620" s="116">
        <v>344.29869030780299</v>
      </c>
      <c r="E620" s="116">
        <v>349.67255320047298</v>
      </c>
      <c r="F620" s="116">
        <v>1392.9</v>
      </c>
      <c r="G620">
        <v>137203</v>
      </c>
      <c r="H620" s="116"/>
      <c r="I620" s="116"/>
      <c r="L620" s="170">
        <v>42915</v>
      </c>
      <c r="M620" s="116">
        <v>344.90552671328402</v>
      </c>
      <c r="N620" s="116">
        <v>349.189913596417</v>
      </c>
      <c r="O620" s="116">
        <v>344.26163041870899</v>
      </c>
      <c r="P620" s="116">
        <v>346.71338938651297</v>
      </c>
      <c r="Q620" s="116">
        <v>1392.7</v>
      </c>
      <c r="R620">
        <v>2948322</v>
      </c>
    </row>
    <row r="621" spans="1:18" x14ac:dyDescent="0.25">
      <c r="A621" s="170">
        <v>42916</v>
      </c>
      <c r="B621" s="116">
        <v>345.26449976777599</v>
      </c>
      <c r="C621" s="116">
        <v>341.809873622488</v>
      </c>
      <c r="D621" s="116">
        <v>340.53450984842101</v>
      </c>
      <c r="E621" s="116">
        <v>344.942563281118</v>
      </c>
      <c r="F621" s="116">
        <v>1380.25</v>
      </c>
      <c r="G621">
        <v>105279</v>
      </c>
      <c r="H621" s="116"/>
      <c r="I621" s="116"/>
      <c r="L621" s="170">
        <v>42916</v>
      </c>
      <c r="M621" s="116">
        <v>341.760340966706</v>
      </c>
      <c r="N621" s="116">
        <v>344.83123098698701</v>
      </c>
      <c r="O621" s="116">
        <v>340.53446148280398</v>
      </c>
      <c r="P621" s="116">
        <v>344.73217001859098</v>
      </c>
      <c r="Q621" s="116">
        <v>1380</v>
      </c>
      <c r="R621">
        <v>1786211</v>
      </c>
    </row>
    <row r="622" spans="1:18" x14ac:dyDescent="0.25">
      <c r="A622" s="170">
        <v>42919</v>
      </c>
      <c r="B622" s="116">
        <v>345.214971077521</v>
      </c>
      <c r="C622" s="116">
        <v>342.763300909897</v>
      </c>
      <c r="D622" s="116">
        <v>339.79157949459602</v>
      </c>
      <c r="E622" s="116">
        <v>343.72911036987</v>
      </c>
      <c r="F622" s="116">
        <v>1384.1</v>
      </c>
      <c r="G622">
        <v>195035</v>
      </c>
      <c r="H622" s="116"/>
      <c r="I622" s="116"/>
      <c r="L622" s="170">
        <v>42919</v>
      </c>
      <c r="M622" s="116">
        <v>342.02037600874598</v>
      </c>
      <c r="N622" s="116">
        <v>345.40083155526497</v>
      </c>
      <c r="O622" s="116">
        <v>339.53146917779299</v>
      </c>
      <c r="P622" s="116">
        <v>343.791090818827</v>
      </c>
      <c r="Q622" s="116">
        <v>1381.05</v>
      </c>
      <c r="R622">
        <v>2101886</v>
      </c>
    </row>
    <row r="623" spans="1:18" x14ac:dyDescent="0.25">
      <c r="A623" s="170">
        <v>42920</v>
      </c>
      <c r="B623" s="116">
        <v>353.01573979268699</v>
      </c>
      <c r="C623" s="116">
        <v>352.32233812911699</v>
      </c>
      <c r="D623" s="116">
        <v>343.60528864423202</v>
      </c>
      <c r="E623" s="116">
        <v>343.60528864423202</v>
      </c>
      <c r="F623" s="116">
        <v>1422.7</v>
      </c>
      <c r="G623">
        <v>740773</v>
      </c>
      <c r="H623" s="116"/>
      <c r="I623" s="116"/>
      <c r="L623" s="170">
        <v>42920</v>
      </c>
      <c r="M623" s="116">
        <v>352.14936002725199</v>
      </c>
      <c r="N623" s="116">
        <v>353.42476999535199</v>
      </c>
      <c r="O623" s="116">
        <v>343.98921275561901</v>
      </c>
      <c r="P623" s="116">
        <v>344.23686517661002</v>
      </c>
      <c r="Q623" s="116">
        <v>1421.95</v>
      </c>
      <c r="R623">
        <v>4301200</v>
      </c>
    </row>
    <row r="624" spans="1:18" x14ac:dyDescent="0.25">
      <c r="A624" s="170">
        <v>42921</v>
      </c>
      <c r="B624" s="116">
        <v>358.06766619870001</v>
      </c>
      <c r="C624" s="116">
        <v>356.557041145921</v>
      </c>
      <c r="D624" s="116">
        <v>353.38720496960002</v>
      </c>
      <c r="E624" s="116">
        <v>353.43673365985501</v>
      </c>
      <c r="F624" s="116">
        <v>1439.8</v>
      </c>
      <c r="G624">
        <v>235558</v>
      </c>
      <c r="H624" s="116"/>
      <c r="I624" s="116"/>
      <c r="L624" s="170">
        <v>42921</v>
      </c>
      <c r="M624" s="116">
        <v>357.27576514175303</v>
      </c>
      <c r="N624" s="116">
        <v>358.46449676250597</v>
      </c>
      <c r="O624" s="116">
        <v>352.65704749028203</v>
      </c>
      <c r="P624" s="116">
        <v>354.00675318468001</v>
      </c>
      <c r="Q624" s="116">
        <v>1442.65</v>
      </c>
      <c r="R624">
        <v>6219522</v>
      </c>
    </row>
    <row r="625" spans="1:18" x14ac:dyDescent="0.25">
      <c r="A625" s="170">
        <v>42922</v>
      </c>
      <c r="B625" s="116">
        <v>359.070622176364</v>
      </c>
      <c r="C625" s="116">
        <v>356.95327066796199</v>
      </c>
      <c r="D625" s="116">
        <v>355.95031469029698</v>
      </c>
      <c r="E625" s="116">
        <v>357.91908012793402</v>
      </c>
      <c r="F625" s="116">
        <v>1441.4</v>
      </c>
      <c r="G625">
        <v>161198</v>
      </c>
      <c r="H625" s="116"/>
      <c r="I625" s="116"/>
      <c r="L625" s="170">
        <v>42922</v>
      </c>
      <c r="M625" s="116">
        <v>357.250999899654</v>
      </c>
      <c r="N625" s="116">
        <v>359.09601043603197</v>
      </c>
      <c r="O625" s="116">
        <v>356.12418138414699</v>
      </c>
      <c r="P625" s="116">
        <v>358.77406228874401</v>
      </c>
      <c r="Q625" s="116">
        <v>1442.55</v>
      </c>
      <c r="R625">
        <v>3106517</v>
      </c>
    </row>
    <row r="626" spans="1:18" x14ac:dyDescent="0.25">
      <c r="A626" s="170">
        <v>42923</v>
      </c>
      <c r="B626" s="116">
        <v>370.72224655885799</v>
      </c>
      <c r="C626" s="116">
        <v>369.18685716095302</v>
      </c>
      <c r="D626" s="116">
        <v>356.111282933626</v>
      </c>
      <c r="E626" s="116">
        <v>356.111282933626</v>
      </c>
      <c r="F626" s="116">
        <v>1490.8</v>
      </c>
      <c r="G626">
        <v>677607</v>
      </c>
      <c r="H626" s="116"/>
      <c r="I626" s="116"/>
      <c r="L626" s="170">
        <v>42923</v>
      </c>
      <c r="M626" s="116">
        <v>369.28690755978499</v>
      </c>
      <c r="N626" s="116">
        <v>370.92141353832199</v>
      </c>
      <c r="O626" s="116">
        <v>356.619486226128</v>
      </c>
      <c r="P626" s="116">
        <v>357.36244348909901</v>
      </c>
      <c r="Q626" s="116">
        <v>1491.15</v>
      </c>
      <c r="R626">
        <v>8193635</v>
      </c>
    </row>
    <row r="627" spans="1:18" x14ac:dyDescent="0.25">
      <c r="A627" s="170">
        <v>42926</v>
      </c>
      <c r="B627" s="116">
        <v>373.44632452288499</v>
      </c>
      <c r="C627" s="116">
        <v>369.59546885555699</v>
      </c>
      <c r="D627" s="116">
        <v>368.24581204610701</v>
      </c>
      <c r="E627" s="116">
        <v>369.48402930248301</v>
      </c>
      <c r="F627" s="116">
        <v>1492.45</v>
      </c>
      <c r="G627">
        <v>1255041</v>
      </c>
      <c r="H627" s="116"/>
      <c r="I627" s="116"/>
      <c r="L627" s="170">
        <v>42926</v>
      </c>
      <c r="M627" s="116">
        <v>369.70791667546899</v>
      </c>
      <c r="N627" s="116">
        <v>383.86125253506799</v>
      </c>
      <c r="O627" s="116">
        <v>368.77922009675501</v>
      </c>
      <c r="P627" s="116">
        <v>378.90820411526101</v>
      </c>
      <c r="Q627" s="116">
        <v>1492.85</v>
      </c>
      <c r="R627">
        <v>815433</v>
      </c>
    </row>
    <row r="628" spans="1:18" x14ac:dyDescent="0.25">
      <c r="A628" s="170">
        <v>42927</v>
      </c>
      <c r="B628" s="116">
        <v>372.45575071778399</v>
      </c>
      <c r="C628" s="116">
        <v>370.27648834656299</v>
      </c>
      <c r="D628" s="116">
        <v>368.25819421867101</v>
      </c>
      <c r="E628" s="116">
        <v>371.465176912684</v>
      </c>
      <c r="F628" s="116">
        <v>1495.2</v>
      </c>
      <c r="G628">
        <v>263784</v>
      </c>
      <c r="H628" s="116"/>
      <c r="I628" s="116"/>
      <c r="L628" s="170">
        <v>42927</v>
      </c>
      <c r="M628" s="116">
        <v>370.07939530695501</v>
      </c>
      <c r="N628" s="116">
        <v>372.56830213790801</v>
      </c>
      <c r="O628" s="116">
        <v>368.25915001267498</v>
      </c>
      <c r="P628" s="116">
        <v>371.72628390654</v>
      </c>
      <c r="Q628" s="116">
        <v>1494.35</v>
      </c>
      <c r="R628">
        <v>4799229</v>
      </c>
    </row>
    <row r="629" spans="1:18" x14ac:dyDescent="0.25">
      <c r="A629" s="170">
        <v>42928</v>
      </c>
      <c r="B629" s="116">
        <v>377.53244146892399</v>
      </c>
      <c r="C629" s="116">
        <v>374.06543315107302</v>
      </c>
      <c r="D629" s="116">
        <v>370.47460310758299</v>
      </c>
      <c r="E629" s="116">
        <v>371.16800477115402</v>
      </c>
      <c r="F629" s="116">
        <v>1510.5</v>
      </c>
      <c r="G629">
        <v>285428</v>
      </c>
      <c r="H629" s="116"/>
      <c r="I629" s="116"/>
      <c r="L629" s="170">
        <v>42928</v>
      </c>
      <c r="M629" s="116">
        <v>374.227573358543</v>
      </c>
      <c r="N629" s="116">
        <v>377.669942010309</v>
      </c>
      <c r="O629" s="116">
        <v>370.859500433074</v>
      </c>
      <c r="P629" s="116">
        <v>371.33004003295599</v>
      </c>
      <c r="Q629" s="116">
        <v>1511.1</v>
      </c>
      <c r="R629">
        <v>3909797</v>
      </c>
    </row>
    <row r="630" spans="1:18" x14ac:dyDescent="0.25">
      <c r="A630" s="170">
        <v>42929</v>
      </c>
      <c r="B630" s="116">
        <v>377.309562362777</v>
      </c>
      <c r="C630" s="116">
        <v>376.13325596921999</v>
      </c>
      <c r="D630" s="116">
        <v>373.124388036227</v>
      </c>
      <c r="E630" s="116">
        <v>373.94161142543498</v>
      </c>
      <c r="F630" s="116">
        <v>1518.85</v>
      </c>
      <c r="G630">
        <v>287454</v>
      </c>
      <c r="H630" s="116"/>
      <c r="I630" s="116"/>
      <c r="L630" s="170">
        <v>42929</v>
      </c>
      <c r="M630" s="116">
        <v>376.95174998943702</v>
      </c>
      <c r="N630" s="116">
        <v>377.669942010309</v>
      </c>
      <c r="O630" s="116">
        <v>373.00169387464098</v>
      </c>
      <c r="P630" s="116">
        <v>373.64559016921601</v>
      </c>
      <c r="Q630" s="116">
        <v>1522.1</v>
      </c>
      <c r="R630">
        <v>5259759</v>
      </c>
    </row>
    <row r="631" spans="1:18" x14ac:dyDescent="0.25">
      <c r="A631" s="170">
        <v>42930</v>
      </c>
      <c r="B631" s="116">
        <v>379.88505425603802</v>
      </c>
      <c r="C631" s="116">
        <v>379.15450607477601</v>
      </c>
      <c r="D631" s="116">
        <v>375.24173954462901</v>
      </c>
      <c r="E631" s="116">
        <v>376.91333284073602</v>
      </c>
      <c r="F631" s="116">
        <v>1531.05</v>
      </c>
      <c r="G631">
        <v>253773</v>
      </c>
      <c r="H631" s="116"/>
      <c r="I631" s="116"/>
      <c r="L631" s="170">
        <v>42930</v>
      </c>
      <c r="M631" s="116">
        <v>379.836900693975</v>
      </c>
      <c r="N631" s="116">
        <v>380.39411864120302</v>
      </c>
      <c r="O631" s="116">
        <v>375.32962663195002</v>
      </c>
      <c r="P631" s="116">
        <v>376.43167990535699</v>
      </c>
      <c r="Q631" s="116">
        <v>1533.75</v>
      </c>
      <c r="R631">
        <v>4693011</v>
      </c>
    </row>
    <row r="632" spans="1:18" x14ac:dyDescent="0.25">
      <c r="A632" s="170">
        <v>42933</v>
      </c>
      <c r="B632" s="116">
        <v>386.026611847661</v>
      </c>
      <c r="C632" s="116">
        <v>384.18166813566103</v>
      </c>
      <c r="D632" s="116">
        <v>379.95934729141999</v>
      </c>
      <c r="E632" s="116">
        <v>379.95934729141999</v>
      </c>
      <c r="F632" s="116">
        <v>1551.35</v>
      </c>
      <c r="G632">
        <v>247452</v>
      </c>
      <c r="H632" s="116"/>
      <c r="I632" s="116"/>
      <c r="L632" s="170">
        <v>42933</v>
      </c>
      <c r="M632" s="116">
        <v>384.29464427180199</v>
      </c>
      <c r="N632" s="116">
        <v>386.23871577657599</v>
      </c>
      <c r="O632" s="116">
        <v>380.64177106219398</v>
      </c>
      <c r="P632" s="116">
        <v>380.64177106219398</v>
      </c>
      <c r="Q632" s="116">
        <v>1551.75</v>
      </c>
      <c r="R632">
        <v>4285809</v>
      </c>
    </row>
    <row r="633" spans="1:18" x14ac:dyDescent="0.25">
      <c r="A633" s="170">
        <v>42934</v>
      </c>
      <c r="B633" s="116">
        <v>384.21881465335298</v>
      </c>
      <c r="C633" s="116">
        <v>376.39328159305899</v>
      </c>
      <c r="D633" s="116">
        <v>374.43689832798498</v>
      </c>
      <c r="E633" s="116">
        <v>383.45111995439999</v>
      </c>
      <c r="F633" s="116">
        <v>1519.9</v>
      </c>
      <c r="G633">
        <v>253446</v>
      </c>
      <c r="H633" s="116"/>
      <c r="I633" s="116"/>
      <c r="L633" s="170">
        <v>42934</v>
      </c>
      <c r="M633" s="116">
        <v>376.40691466325802</v>
      </c>
      <c r="N633" s="116">
        <v>384.30702689285101</v>
      </c>
      <c r="O633" s="116">
        <v>374.20280811644398</v>
      </c>
      <c r="P633" s="116">
        <v>383.068764787899</v>
      </c>
      <c r="Q633" s="116">
        <v>1519.9</v>
      </c>
      <c r="R633">
        <v>4489412</v>
      </c>
    </row>
    <row r="634" spans="1:18" x14ac:dyDescent="0.25">
      <c r="A634" s="170">
        <v>42935</v>
      </c>
      <c r="B634" s="116">
        <v>381.56902972470903</v>
      </c>
      <c r="C634" s="116">
        <v>379.76123253039998</v>
      </c>
      <c r="D634" s="116">
        <v>375.17982868181099</v>
      </c>
      <c r="E634" s="116">
        <v>376.343752902804</v>
      </c>
      <c r="F634" s="116">
        <v>1533.5</v>
      </c>
      <c r="G634">
        <v>140176</v>
      </c>
      <c r="H634" s="116"/>
      <c r="I634" s="116"/>
      <c r="L634" s="170">
        <v>42935</v>
      </c>
      <c r="M634" s="116">
        <v>379.63877875718299</v>
      </c>
      <c r="N634" s="116">
        <v>380.88942348318398</v>
      </c>
      <c r="O634" s="116">
        <v>374.59905199002901</v>
      </c>
      <c r="P634" s="116">
        <v>374.59905199002901</v>
      </c>
      <c r="Q634" s="116">
        <v>1532.95</v>
      </c>
      <c r="R634">
        <v>2695041</v>
      </c>
    </row>
    <row r="635" spans="1:18" x14ac:dyDescent="0.25">
      <c r="A635" s="170">
        <v>42936</v>
      </c>
      <c r="B635" s="116">
        <v>383.81020295874902</v>
      </c>
      <c r="C635" s="116">
        <v>378.57254396427999</v>
      </c>
      <c r="D635" s="116">
        <v>376.67807156202502</v>
      </c>
      <c r="E635" s="116">
        <v>381.37091496368902</v>
      </c>
      <c r="F635" s="116">
        <v>1528.7</v>
      </c>
      <c r="G635">
        <v>227482</v>
      </c>
      <c r="H635" s="116"/>
      <c r="I635" s="116"/>
      <c r="L635" s="170">
        <v>42936</v>
      </c>
      <c r="M635" s="116">
        <v>378.635786452172</v>
      </c>
      <c r="N635" s="116">
        <v>383.86125253506799</v>
      </c>
      <c r="O635" s="116">
        <v>377.347993863022</v>
      </c>
      <c r="P635" s="116">
        <v>381.322815219917</v>
      </c>
      <c r="Q635" s="116">
        <v>1528.9</v>
      </c>
      <c r="R635">
        <v>3114686</v>
      </c>
    </row>
    <row r="636" spans="1:18" x14ac:dyDescent="0.25">
      <c r="A636" s="170">
        <v>42937</v>
      </c>
      <c r="B636" s="116">
        <v>394.29790312025</v>
      </c>
      <c r="C636" s="116">
        <v>392.812042412599</v>
      </c>
      <c r="D636" s="116">
        <v>382.46054614929898</v>
      </c>
      <c r="E636" s="116">
        <v>384.83792328153999</v>
      </c>
      <c r="F636" s="116">
        <v>1586.2</v>
      </c>
      <c r="G636">
        <v>1975685</v>
      </c>
      <c r="H636" s="116"/>
      <c r="I636" s="116"/>
      <c r="L636" s="170">
        <v>42937</v>
      </c>
      <c r="M636" s="116">
        <v>392.52908726973101</v>
      </c>
      <c r="N636" s="116">
        <v>394.18835849036702</v>
      </c>
      <c r="O636" s="116">
        <v>382.61060780906701</v>
      </c>
      <c r="P636" s="116">
        <v>383.86125253506799</v>
      </c>
      <c r="Q636" s="116">
        <v>1585</v>
      </c>
      <c r="R636">
        <v>22205112</v>
      </c>
    </row>
    <row r="637" spans="1:18" x14ac:dyDescent="0.25">
      <c r="A637" s="170">
        <v>42940</v>
      </c>
      <c r="B637" s="116">
        <v>402.37107963181899</v>
      </c>
      <c r="C637" s="116">
        <v>400.21658160572503</v>
      </c>
      <c r="D637" s="116">
        <v>392.812042412599</v>
      </c>
      <c r="E637" s="116">
        <v>397.22009584529599</v>
      </c>
      <c r="F637" s="116">
        <v>1616.1</v>
      </c>
      <c r="G637">
        <v>793324</v>
      </c>
      <c r="H637" s="116"/>
      <c r="I637" s="116"/>
      <c r="L637" s="170">
        <v>42940</v>
      </c>
      <c r="M637" s="116">
        <v>400.02057300468999</v>
      </c>
      <c r="N637" s="116">
        <v>402.41041886724702</v>
      </c>
      <c r="O637" s="116">
        <v>392.52908726973101</v>
      </c>
      <c r="P637" s="116">
        <v>396.24387358458699</v>
      </c>
      <c r="Q637" s="116">
        <v>1615.25</v>
      </c>
      <c r="R637">
        <v>9927229</v>
      </c>
    </row>
    <row r="638" spans="1:18" x14ac:dyDescent="0.25">
      <c r="A638" s="170">
        <v>42941</v>
      </c>
      <c r="B638" s="116">
        <v>403.41118212717498</v>
      </c>
      <c r="C638" s="116">
        <v>397.05912760196799</v>
      </c>
      <c r="D638" s="116">
        <v>396.229522040196</v>
      </c>
      <c r="E638" s="116">
        <v>402.841602189242</v>
      </c>
      <c r="F638" s="116">
        <v>1603.35</v>
      </c>
      <c r="G638">
        <v>281744</v>
      </c>
      <c r="H638" s="116"/>
      <c r="I638" s="116"/>
      <c r="L638" s="170">
        <v>42941</v>
      </c>
      <c r="M638" s="116">
        <v>396.776326289716</v>
      </c>
      <c r="N638" s="116">
        <v>402.42280148829599</v>
      </c>
      <c r="O638" s="116">
        <v>395.64950777421001</v>
      </c>
      <c r="P638" s="116">
        <v>402.36088838304897</v>
      </c>
      <c r="Q638" s="116">
        <v>1602.15</v>
      </c>
      <c r="R638">
        <v>4586079</v>
      </c>
    </row>
    <row r="639" spans="1:18" x14ac:dyDescent="0.25">
      <c r="A639" s="170">
        <v>42942</v>
      </c>
      <c r="B639" s="116">
        <v>403.64644340588598</v>
      </c>
      <c r="C639" s="116">
        <v>401.65291362312098</v>
      </c>
      <c r="D639" s="116">
        <v>396.72480894274599</v>
      </c>
      <c r="E639" s="116">
        <v>398.70595655294699</v>
      </c>
      <c r="F639" s="116">
        <v>1621.9</v>
      </c>
      <c r="G639">
        <v>744107</v>
      </c>
      <c r="H639" s="116"/>
      <c r="I639" s="116"/>
      <c r="L639" s="170">
        <v>42942</v>
      </c>
      <c r="M639" s="116">
        <v>401.87796616211801</v>
      </c>
      <c r="N639" s="116">
        <v>403.64868097219897</v>
      </c>
      <c r="O639" s="116">
        <v>396.51629124767601</v>
      </c>
      <c r="P639" s="116">
        <v>397.28401375274598</v>
      </c>
      <c r="Q639" s="116">
        <v>1622.75</v>
      </c>
      <c r="R639">
        <v>5018389</v>
      </c>
    </row>
    <row r="640" spans="1:18" x14ac:dyDescent="0.25">
      <c r="A640" s="170">
        <v>42943</v>
      </c>
      <c r="B640" s="116">
        <v>403.93123337485201</v>
      </c>
      <c r="C640" s="116">
        <v>395.82091034559198</v>
      </c>
      <c r="D640" s="116">
        <v>394.00073097872001</v>
      </c>
      <c r="E640" s="116">
        <v>403.64644340588598</v>
      </c>
      <c r="F640" s="116">
        <v>1598.35</v>
      </c>
      <c r="G640">
        <v>250169</v>
      </c>
      <c r="H640" s="116"/>
      <c r="I640" s="116"/>
      <c r="L640" s="170">
        <v>42943</v>
      </c>
      <c r="M640" s="116">
        <v>394.95608099543699</v>
      </c>
      <c r="N640" s="116">
        <v>404.04492484578299</v>
      </c>
      <c r="O640" s="116">
        <v>393.35872288004902</v>
      </c>
      <c r="P640" s="116">
        <v>403.17814137231699</v>
      </c>
      <c r="Q640" s="116">
        <v>1594.8</v>
      </c>
      <c r="R640">
        <v>4208071</v>
      </c>
    </row>
    <row r="641" spans="1:18" x14ac:dyDescent="0.25">
      <c r="A641" s="170">
        <v>42944</v>
      </c>
      <c r="B641" s="116">
        <v>397.46773929657201</v>
      </c>
      <c r="C641" s="116">
        <v>394.80557219536399</v>
      </c>
      <c r="D641" s="116">
        <v>391.02900956341801</v>
      </c>
      <c r="E641" s="116">
        <v>395.48659168637101</v>
      </c>
      <c r="F641" s="116">
        <v>1594.25</v>
      </c>
      <c r="G641">
        <v>228358</v>
      </c>
      <c r="H641" s="116"/>
      <c r="I641" s="116"/>
      <c r="L641" s="170">
        <v>42944</v>
      </c>
      <c r="M641" s="116">
        <v>394.86940264808999</v>
      </c>
      <c r="N641" s="116">
        <v>397.71740548947901</v>
      </c>
      <c r="O641" s="116">
        <v>390.79552032279901</v>
      </c>
      <c r="P641" s="116">
        <v>394.076914900921</v>
      </c>
      <c r="Q641" s="116">
        <v>1594.45</v>
      </c>
      <c r="R641">
        <v>3276023</v>
      </c>
    </row>
    <row r="642" spans="1:18" x14ac:dyDescent="0.25">
      <c r="A642" s="170">
        <v>42947</v>
      </c>
      <c r="B642" s="116">
        <v>400.68710416314798</v>
      </c>
      <c r="C642" s="116">
        <v>399.65938384035599</v>
      </c>
      <c r="D642" s="116">
        <v>395.23894823509499</v>
      </c>
      <c r="E642" s="116">
        <v>396.24190421276001</v>
      </c>
      <c r="F642" s="116">
        <v>1613.85</v>
      </c>
      <c r="G642">
        <v>192588</v>
      </c>
      <c r="H642" s="116"/>
      <c r="I642" s="116"/>
      <c r="L642" s="170">
        <v>42947</v>
      </c>
      <c r="M642" s="116">
        <v>400.00819038364</v>
      </c>
      <c r="N642" s="116">
        <v>400.89973909920599</v>
      </c>
      <c r="O642" s="116">
        <v>395.25326390062497</v>
      </c>
      <c r="P642" s="116">
        <v>396.72679580551801</v>
      </c>
      <c r="Q642" s="116">
        <v>1615.2</v>
      </c>
      <c r="R642">
        <v>3787034</v>
      </c>
    </row>
    <row r="643" spans="1:18" x14ac:dyDescent="0.25">
      <c r="A643" s="170">
        <v>42948</v>
      </c>
      <c r="B643" s="116">
        <v>402.42060832207397</v>
      </c>
      <c r="C643" s="116">
        <v>397.10865629222297</v>
      </c>
      <c r="D643" s="116">
        <v>394.14931704948498</v>
      </c>
      <c r="E643" s="116">
        <v>402.13581835310799</v>
      </c>
      <c r="F643" s="116">
        <v>1603.55</v>
      </c>
      <c r="G643">
        <v>142243</v>
      </c>
      <c r="H643" s="116"/>
      <c r="I643" s="116"/>
      <c r="L643" s="170">
        <v>42948</v>
      </c>
      <c r="M643" s="116">
        <v>397.13542230015202</v>
      </c>
      <c r="N643" s="116">
        <v>401.87796616211801</v>
      </c>
      <c r="O643" s="116">
        <v>394.13882800616898</v>
      </c>
      <c r="P643" s="116">
        <v>401.87796616211801</v>
      </c>
      <c r="Q643" s="116">
        <v>1603.6</v>
      </c>
      <c r="R643">
        <v>2814298</v>
      </c>
    </row>
    <row r="644" spans="1:18" x14ac:dyDescent="0.25">
      <c r="A644" s="170">
        <v>42949</v>
      </c>
      <c r="B644" s="116">
        <v>405.14468628610001</v>
      </c>
      <c r="C644" s="116">
        <v>403.43594647230202</v>
      </c>
      <c r="D644" s="116">
        <v>397.46773929657201</v>
      </c>
      <c r="E644" s="116">
        <v>398.35925572116201</v>
      </c>
      <c r="F644" s="116">
        <v>1629.1</v>
      </c>
      <c r="G644">
        <v>334548</v>
      </c>
      <c r="H644" s="116"/>
      <c r="I644" s="116"/>
      <c r="L644" s="170">
        <v>42949</v>
      </c>
      <c r="M644" s="116">
        <v>403.47532427750599</v>
      </c>
      <c r="N644" s="116">
        <v>405.08506501394299</v>
      </c>
      <c r="O644" s="116">
        <v>398.24985819460898</v>
      </c>
      <c r="P644" s="116">
        <v>398.72039779449</v>
      </c>
      <c r="Q644" s="116">
        <v>1629.2</v>
      </c>
      <c r="R644">
        <v>4751385</v>
      </c>
    </row>
    <row r="645" spans="1:18" x14ac:dyDescent="0.25">
      <c r="A645" s="170">
        <v>42950</v>
      </c>
      <c r="B645" s="116">
        <v>412.32634637307899</v>
      </c>
      <c r="C645" s="116">
        <v>408.99554195342898</v>
      </c>
      <c r="D645" s="116">
        <v>400.414696366746</v>
      </c>
      <c r="E645" s="116">
        <v>403.63406123332197</v>
      </c>
      <c r="F645" s="116">
        <v>1651.55</v>
      </c>
      <c r="G645">
        <v>381187</v>
      </c>
      <c r="H645" s="116"/>
      <c r="I645" s="116"/>
      <c r="L645" s="170">
        <v>42950</v>
      </c>
      <c r="M645" s="116">
        <v>408.65125987620399</v>
      </c>
      <c r="N645" s="116">
        <v>412.31651570686199</v>
      </c>
      <c r="O645" s="116">
        <v>400.46634736247302</v>
      </c>
      <c r="P645" s="116">
        <v>402.89334108817798</v>
      </c>
      <c r="Q645" s="116">
        <v>1650.1</v>
      </c>
      <c r="R645">
        <v>4504776</v>
      </c>
    </row>
    <row r="646" spans="1:18" x14ac:dyDescent="0.25">
      <c r="A646" s="170">
        <v>42951</v>
      </c>
      <c r="B646" s="116">
        <v>411.88058816078399</v>
      </c>
      <c r="C646" s="116">
        <v>401.801499693886</v>
      </c>
      <c r="D646" s="116">
        <v>400.08037770752401</v>
      </c>
      <c r="E646" s="116">
        <v>411.22433301490503</v>
      </c>
      <c r="F646" s="116">
        <v>1622.5</v>
      </c>
      <c r="G646">
        <v>284552</v>
      </c>
      <c r="H646" s="116"/>
      <c r="I646" s="116"/>
      <c r="L646" s="170">
        <v>42951</v>
      </c>
      <c r="M646" s="116">
        <v>401.72937470952297</v>
      </c>
      <c r="N646" s="116">
        <v>411.84597610698</v>
      </c>
      <c r="O646" s="116">
        <v>399.98342514154098</v>
      </c>
      <c r="P646" s="116">
        <v>411.84597610698</v>
      </c>
      <c r="Q646" s="116">
        <v>1622.15</v>
      </c>
      <c r="R646">
        <v>4247045</v>
      </c>
    </row>
    <row r="647" spans="1:18" x14ac:dyDescent="0.25">
      <c r="A647" s="170">
        <v>42954</v>
      </c>
      <c r="B647" s="116">
        <v>404.15411248100003</v>
      </c>
      <c r="C647" s="116">
        <v>400.34040333136301</v>
      </c>
      <c r="D647" s="116">
        <v>399.39935821651801</v>
      </c>
      <c r="E647" s="116">
        <v>403.55976819794</v>
      </c>
      <c r="F647" s="116">
        <v>1616.6</v>
      </c>
      <c r="G647">
        <v>202763</v>
      </c>
      <c r="H647" s="116"/>
      <c r="I647" s="116"/>
      <c r="L647" s="170">
        <v>42954</v>
      </c>
      <c r="M647" s="116">
        <v>400.29299066777901</v>
      </c>
      <c r="N647" s="116">
        <v>404.06969008788201</v>
      </c>
      <c r="O647" s="116">
        <v>399.351911468016</v>
      </c>
      <c r="P647" s="116">
        <v>404.06969008788201</v>
      </c>
      <c r="Q647" s="116">
        <v>1616.35</v>
      </c>
      <c r="R647">
        <v>2180018</v>
      </c>
    </row>
    <row r="648" spans="1:18" x14ac:dyDescent="0.25">
      <c r="A648" s="170">
        <v>42955</v>
      </c>
      <c r="B648" s="116">
        <v>401.43003451697399</v>
      </c>
      <c r="C648" s="116">
        <v>397.07150977453102</v>
      </c>
      <c r="D648" s="116">
        <v>393.31971148771299</v>
      </c>
      <c r="E648" s="116">
        <v>401.18239106569803</v>
      </c>
      <c r="F648" s="116">
        <v>1603.4</v>
      </c>
      <c r="G648">
        <v>207090</v>
      </c>
      <c r="H648" s="116"/>
      <c r="I648" s="116"/>
      <c r="L648" s="170">
        <v>42955</v>
      </c>
      <c r="M648" s="116">
        <v>396.87538725811203</v>
      </c>
      <c r="N648" s="116">
        <v>401.45695704643401</v>
      </c>
      <c r="O648" s="116">
        <v>392.97486162751397</v>
      </c>
      <c r="P648" s="116">
        <v>400.70161716241302</v>
      </c>
      <c r="Q648" s="116">
        <v>1602.55</v>
      </c>
      <c r="R648">
        <v>2505568</v>
      </c>
    </row>
    <row r="649" spans="1:18" x14ac:dyDescent="0.25">
      <c r="A649" s="170">
        <v>42956</v>
      </c>
      <c r="B649" s="116">
        <v>401.15762672057099</v>
      </c>
      <c r="C649" s="116">
        <v>395.94473207123002</v>
      </c>
      <c r="D649" s="116">
        <v>392.70060285952502</v>
      </c>
      <c r="E649" s="116">
        <v>396.229522040196</v>
      </c>
      <c r="F649" s="116">
        <v>1598.85</v>
      </c>
      <c r="G649">
        <v>193556</v>
      </c>
      <c r="H649" s="116"/>
      <c r="I649" s="116"/>
      <c r="L649" s="170">
        <v>42956</v>
      </c>
      <c r="M649" s="116">
        <v>395.94669067939799</v>
      </c>
      <c r="N649" s="116">
        <v>401.19692200439403</v>
      </c>
      <c r="O649" s="116">
        <v>392.52908726973101</v>
      </c>
      <c r="P649" s="116">
        <v>396.61535221607198</v>
      </c>
      <c r="Q649" s="116">
        <v>1598.8</v>
      </c>
      <c r="R649">
        <v>2385643</v>
      </c>
    </row>
    <row r="650" spans="1:18" x14ac:dyDescent="0.25">
      <c r="A650" s="170">
        <v>42957</v>
      </c>
      <c r="B650" s="116">
        <v>397.92587968143101</v>
      </c>
      <c r="C650" s="116">
        <v>392.27960899235802</v>
      </c>
      <c r="D650" s="116">
        <v>390.60801569625102</v>
      </c>
      <c r="E650" s="116">
        <v>395.72185296508201</v>
      </c>
      <c r="F650" s="116">
        <v>1584.05</v>
      </c>
      <c r="G650">
        <v>339199</v>
      </c>
      <c r="H650" s="116"/>
      <c r="I650" s="116"/>
      <c r="L650" s="170">
        <v>42957</v>
      </c>
      <c r="M650" s="116">
        <v>392.36811319608802</v>
      </c>
      <c r="N650" s="116">
        <v>397.89076218417301</v>
      </c>
      <c r="O650" s="116">
        <v>390.78313770174901</v>
      </c>
      <c r="P650" s="116">
        <v>394.52268925870402</v>
      </c>
      <c r="Q650" s="116">
        <v>1584.35</v>
      </c>
      <c r="R650">
        <v>2328843</v>
      </c>
    </row>
    <row r="651" spans="1:18" x14ac:dyDescent="0.25">
      <c r="A651" s="170">
        <v>42958</v>
      </c>
      <c r="B651" s="116">
        <v>390.78136611214302</v>
      </c>
      <c r="C651" s="116">
        <v>382.99297956954098</v>
      </c>
      <c r="D651" s="116">
        <v>380.25651943295099</v>
      </c>
      <c r="E651" s="116">
        <v>385.060802387688</v>
      </c>
      <c r="F651" s="116">
        <v>1546.55</v>
      </c>
      <c r="G651">
        <v>251961</v>
      </c>
      <c r="H651" s="116"/>
      <c r="I651" s="116"/>
      <c r="L651" s="170">
        <v>42958</v>
      </c>
      <c r="M651" s="116">
        <v>382.93255595635497</v>
      </c>
      <c r="N651" s="116">
        <v>391.29082516477899</v>
      </c>
      <c r="O651" s="116">
        <v>379.65116137823202</v>
      </c>
      <c r="P651" s="116">
        <v>384.09652233500901</v>
      </c>
      <c r="Q651" s="116">
        <v>1546.25</v>
      </c>
      <c r="R651">
        <v>3885064</v>
      </c>
    </row>
    <row r="652" spans="1:18" x14ac:dyDescent="0.25">
      <c r="A652" s="170">
        <v>42961</v>
      </c>
      <c r="B652" s="116">
        <v>392.51487027106901</v>
      </c>
      <c r="C652" s="116">
        <v>389.58029537345902</v>
      </c>
      <c r="D652" s="116">
        <v>385.45703190972802</v>
      </c>
      <c r="E652" s="116">
        <v>385.45703190972802</v>
      </c>
      <c r="F652" s="116">
        <v>1573.15</v>
      </c>
      <c r="G652">
        <v>291672</v>
      </c>
      <c r="H652" s="116"/>
      <c r="I652" s="116"/>
      <c r="L652" s="170">
        <v>42961</v>
      </c>
      <c r="M652" s="116">
        <v>389.56964083889602</v>
      </c>
      <c r="N652" s="116">
        <v>392.40526105923601</v>
      </c>
      <c r="O652" s="116">
        <v>386.58542916596201</v>
      </c>
      <c r="P652" s="116">
        <v>386.58542916596201</v>
      </c>
      <c r="Q652" s="116">
        <v>1573.05</v>
      </c>
      <c r="R652">
        <v>3072299</v>
      </c>
    </row>
    <row r="653" spans="1:18" x14ac:dyDescent="0.25">
      <c r="A653" s="170">
        <v>42963</v>
      </c>
      <c r="B653" s="116">
        <v>390.78136611214302</v>
      </c>
      <c r="C653" s="116">
        <v>388.04490597555298</v>
      </c>
      <c r="D653" s="116">
        <v>383.98355337464102</v>
      </c>
      <c r="E653" s="116">
        <v>389.04786195321702</v>
      </c>
      <c r="F653" s="116">
        <v>1566.95</v>
      </c>
      <c r="G653">
        <v>239849</v>
      </c>
      <c r="H653" s="116"/>
      <c r="I653" s="116"/>
      <c r="L653" s="170">
        <v>42963</v>
      </c>
      <c r="M653" s="116">
        <v>387.84845651301299</v>
      </c>
      <c r="N653" s="116">
        <v>390.300215480818</v>
      </c>
      <c r="O653" s="116">
        <v>383.910783019267</v>
      </c>
      <c r="P653" s="116">
        <v>389.309605796857</v>
      </c>
      <c r="Q653" s="116">
        <v>1566.1</v>
      </c>
      <c r="R653">
        <v>3103394</v>
      </c>
    </row>
    <row r="654" spans="1:18" x14ac:dyDescent="0.25">
      <c r="A654" s="170">
        <v>42964</v>
      </c>
      <c r="B654" s="116">
        <v>395.44944516867901</v>
      </c>
      <c r="C654" s="116">
        <v>387.82202686940599</v>
      </c>
      <c r="D654" s="116">
        <v>386.34854833431899</v>
      </c>
      <c r="E654" s="116">
        <v>389.22121236910999</v>
      </c>
      <c r="F654" s="116">
        <v>1566.05</v>
      </c>
      <c r="G654">
        <v>313387</v>
      </c>
      <c r="H654" s="116"/>
      <c r="I654" s="116"/>
      <c r="L654" s="170">
        <v>42964</v>
      </c>
      <c r="M654" s="116">
        <v>388.09610893400401</v>
      </c>
      <c r="N654" s="116">
        <v>395.66189039525898</v>
      </c>
      <c r="O654" s="116">
        <v>386.62257702911103</v>
      </c>
      <c r="P654" s="116">
        <v>388.56664853388497</v>
      </c>
      <c r="Q654" s="116">
        <v>1567.1</v>
      </c>
      <c r="R654">
        <v>3618179</v>
      </c>
    </row>
    <row r="655" spans="1:18" x14ac:dyDescent="0.25">
      <c r="A655" s="170">
        <v>42965</v>
      </c>
      <c r="B655" s="116">
        <v>391.152831289056</v>
      </c>
      <c r="C655" s="116">
        <v>390.13749313882801</v>
      </c>
      <c r="D655" s="116">
        <v>384.75124807359401</v>
      </c>
      <c r="E655" s="116">
        <v>387.80964469684199</v>
      </c>
      <c r="F655" s="116">
        <v>1575.4</v>
      </c>
      <c r="G655">
        <v>142815</v>
      </c>
      <c r="H655" s="116"/>
      <c r="I655" s="116"/>
      <c r="L655" s="170">
        <v>42965</v>
      </c>
      <c r="M655" s="116">
        <v>390.15162402822398</v>
      </c>
      <c r="N655" s="116">
        <v>390.74598983860102</v>
      </c>
      <c r="O655" s="116">
        <v>384.64135766118801</v>
      </c>
      <c r="P655" s="116">
        <v>387.32838642893398</v>
      </c>
      <c r="Q655" s="116">
        <v>1575.4</v>
      </c>
      <c r="R655">
        <v>1814011</v>
      </c>
    </row>
    <row r="656" spans="1:18" x14ac:dyDescent="0.25">
      <c r="A656" s="170">
        <v>42968</v>
      </c>
      <c r="B656" s="116">
        <v>392.53963461619702</v>
      </c>
      <c r="C656" s="116">
        <v>387.760116006587</v>
      </c>
      <c r="D656" s="116">
        <v>387.06671434301597</v>
      </c>
      <c r="E656" s="116">
        <v>390.54610483343203</v>
      </c>
      <c r="F656" s="116">
        <v>1565.8</v>
      </c>
      <c r="G656">
        <v>436281</v>
      </c>
      <c r="H656" s="116"/>
      <c r="I656" s="116"/>
      <c r="L656" s="170">
        <v>42968</v>
      </c>
      <c r="M656" s="116">
        <v>387.42744739733001</v>
      </c>
      <c r="N656" s="116">
        <v>392.31858271188997</v>
      </c>
      <c r="O656" s="116">
        <v>386.39968985022</v>
      </c>
      <c r="P656" s="116">
        <v>390.54786790180799</v>
      </c>
      <c r="Q656" s="116">
        <v>1564.4</v>
      </c>
      <c r="R656">
        <v>1731188</v>
      </c>
    </row>
    <row r="657" spans="1:18" x14ac:dyDescent="0.25">
      <c r="A657" s="170">
        <v>42969</v>
      </c>
      <c r="B657" s="116">
        <v>391.152831289056</v>
      </c>
      <c r="C657" s="116">
        <v>387.15338955096303</v>
      </c>
      <c r="D657" s="116">
        <v>385.82849708664099</v>
      </c>
      <c r="E657" s="116">
        <v>389.79079230704298</v>
      </c>
      <c r="F657" s="116">
        <v>1563.35</v>
      </c>
      <c r="G657">
        <v>159019</v>
      </c>
      <c r="H657" s="116"/>
      <c r="I657" s="116"/>
      <c r="L657" s="170">
        <v>42969</v>
      </c>
      <c r="M657" s="116">
        <v>386.35015936602201</v>
      </c>
      <c r="N657" s="116">
        <v>391.26605992267997</v>
      </c>
      <c r="O657" s="116">
        <v>385.35954968205999</v>
      </c>
      <c r="P657" s="116">
        <v>389.309605796857</v>
      </c>
      <c r="Q657" s="116">
        <v>1560.05</v>
      </c>
      <c r="R657">
        <v>2179230</v>
      </c>
    </row>
    <row r="658" spans="1:18" x14ac:dyDescent="0.25">
      <c r="A658" s="170">
        <v>42970</v>
      </c>
      <c r="B658" s="116">
        <v>392.51487027106901</v>
      </c>
      <c r="C658" s="116">
        <v>391.598589501351</v>
      </c>
      <c r="D658" s="116">
        <v>384.83792328153999</v>
      </c>
      <c r="E658" s="116">
        <v>388.05728814811698</v>
      </c>
      <c r="F658" s="116">
        <v>1581.3</v>
      </c>
      <c r="G658">
        <v>191458</v>
      </c>
      <c r="H658" s="116"/>
      <c r="I658" s="116"/>
      <c r="L658" s="170">
        <v>42970</v>
      </c>
      <c r="M658" s="116">
        <v>391.79851262781</v>
      </c>
      <c r="N658" s="116">
        <v>392.91294852226599</v>
      </c>
      <c r="O658" s="116">
        <v>384.64135766118801</v>
      </c>
      <c r="P658" s="116">
        <v>387.53889098677502</v>
      </c>
      <c r="Q658" s="116">
        <v>1582.05</v>
      </c>
      <c r="R658">
        <v>1901824</v>
      </c>
    </row>
    <row r="659" spans="1:18" x14ac:dyDescent="0.25">
      <c r="A659" s="170">
        <v>42971</v>
      </c>
      <c r="B659" s="116">
        <v>394.29790312025</v>
      </c>
      <c r="C659" s="116">
        <v>388.15634552862701</v>
      </c>
      <c r="D659" s="116">
        <v>387.46294386505701</v>
      </c>
      <c r="E659" s="116">
        <v>394.17408139461202</v>
      </c>
      <c r="F659" s="116">
        <v>1567.4</v>
      </c>
      <c r="G659">
        <v>168554</v>
      </c>
      <c r="H659" s="116"/>
      <c r="I659" s="116"/>
      <c r="L659" s="170">
        <v>42971</v>
      </c>
      <c r="M659" s="116">
        <v>388.33137873394497</v>
      </c>
      <c r="N659" s="116">
        <v>394.53507187975299</v>
      </c>
      <c r="O659" s="116">
        <v>387.45221263942898</v>
      </c>
      <c r="P659" s="116">
        <v>393.76734937468302</v>
      </c>
      <c r="Q659" s="116">
        <v>1568.05</v>
      </c>
      <c r="R659">
        <v>2892571</v>
      </c>
    </row>
    <row r="660" spans="1:18" x14ac:dyDescent="0.25">
      <c r="A660" s="170">
        <v>42975</v>
      </c>
      <c r="B660" s="116">
        <v>391.83385078006302</v>
      </c>
      <c r="C660" s="116">
        <v>387.760116006587</v>
      </c>
      <c r="D660" s="116">
        <v>386.74477785635901</v>
      </c>
      <c r="E660" s="116">
        <v>391.02900956341801</v>
      </c>
      <c r="F660" s="116">
        <v>1565.8</v>
      </c>
      <c r="G660">
        <v>133246</v>
      </c>
      <c r="H660" s="116"/>
      <c r="I660" s="116"/>
      <c r="L660" s="170">
        <v>42975</v>
      </c>
      <c r="M660" s="116">
        <v>387.95990010245902</v>
      </c>
      <c r="N660" s="116">
        <v>391.77374738571098</v>
      </c>
      <c r="O660" s="116">
        <v>386.63495965016102</v>
      </c>
      <c r="P660" s="116">
        <v>391.05555536483899</v>
      </c>
      <c r="Q660" s="116">
        <v>1566.55</v>
      </c>
      <c r="R660">
        <v>2815328</v>
      </c>
    </row>
    <row r="661" spans="1:18" x14ac:dyDescent="0.25">
      <c r="A661" s="170">
        <v>42976</v>
      </c>
      <c r="B661" s="116">
        <v>388.00775945786199</v>
      </c>
      <c r="C661" s="116">
        <v>379.32785649066898</v>
      </c>
      <c r="D661" s="116">
        <v>378.89448045093701</v>
      </c>
      <c r="E661" s="116">
        <v>386.32378398919099</v>
      </c>
      <c r="F661" s="116">
        <v>1531.75</v>
      </c>
      <c r="G661">
        <v>203547</v>
      </c>
      <c r="H661" s="116"/>
      <c r="I661" s="116"/>
      <c r="L661" s="170">
        <v>42976</v>
      </c>
      <c r="M661" s="116">
        <v>379.44065682039002</v>
      </c>
      <c r="N661" s="116">
        <v>388.19516990239998</v>
      </c>
      <c r="O661" s="116">
        <v>378.90820411526101</v>
      </c>
      <c r="P661" s="116">
        <v>386.79593372380401</v>
      </c>
      <c r="Q661" s="116">
        <v>1532.15</v>
      </c>
      <c r="R661">
        <v>3466421</v>
      </c>
    </row>
    <row r="662" spans="1:18" x14ac:dyDescent="0.25">
      <c r="A662" s="170">
        <v>42977</v>
      </c>
      <c r="B662" s="116">
        <v>388.453517670157</v>
      </c>
      <c r="C662" s="116">
        <v>387.35150431198298</v>
      </c>
      <c r="D662" s="116">
        <v>382.26243138827903</v>
      </c>
      <c r="E662" s="116">
        <v>382.609132220064</v>
      </c>
      <c r="F662" s="116">
        <v>1564.15</v>
      </c>
      <c r="G662">
        <v>188965</v>
      </c>
      <c r="H662" s="116"/>
      <c r="I662" s="116"/>
      <c r="L662" s="170">
        <v>42977</v>
      </c>
      <c r="M662" s="116">
        <v>387.353151671033</v>
      </c>
      <c r="N662" s="116">
        <v>388.51711804968699</v>
      </c>
      <c r="O662" s="116">
        <v>381.69429385140302</v>
      </c>
      <c r="P662" s="116">
        <v>383.25450410364198</v>
      </c>
      <c r="Q662" s="116">
        <v>1564.1</v>
      </c>
      <c r="R662">
        <v>2362387</v>
      </c>
    </row>
    <row r="663" spans="1:18" x14ac:dyDescent="0.25">
      <c r="A663" s="170">
        <v>42978</v>
      </c>
      <c r="B663" s="116">
        <v>395.61041341200797</v>
      </c>
      <c r="C663" s="116">
        <v>394.61983960690799</v>
      </c>
      <c r="D663" s="116">
        <v>388.87451153732502</v>
      </c>
      <c r="E663" s="116">
        <v>388.87451153732502</v>
      </c>
      <c r="F663" s="116">
        <v>1593.5</v>
      </c>
      <c r="G663">
        <v>314208</v>
      </c>
      <c r="H663" s="116"/>
      <c r="I663" s="116"/>
      <c r="L663" s="170">
        <v>42978</v>
      </c>
      <c r="M663" s="116">
        <v>394.88178526913998</v>
      </c>
      <c r="N663" s="116">
        <v>395.61235991106099</v>
      </c>
      <c r="O663" s="116">
        <v>389.80491063883699</v>
      </c>
      <c r="P663" s="116">
        <v>390.052563059828</v>
      </c>
      <c r="Q663" s="116">
        <v>1594.5</v>
      </c>
      <c r="R663">
        <v>5738495</v>
      </c>
    </row>
    <row r="664" spans="1:18" x14ac:dyDescent="0.25">
      <c r="A664" s="170">
        <v>42979</v>
      </c>
      <c r="B664" s="116">
        <v>400.17943508803398</v>
      </c>
      <c r="C664" s="116">
        <v>398.54498830961802</v>
      </c>
      <c r="D664" s="116">
        <v>395.783763827901</v>
      </c>
      <c r="E664" s="116">
        <v>396.67528025249101</v>
      </c>
      <c r="F664" s="116">
        <v>1609.35</v>
      </c>
      <c r="G664">
        <v>202910</v>
      </c>
      <c r="H664" s="116"/>
      <c r="I664" s="116"/>
      <c r="L664" s="170">
        <v>42979</v>
      </c>
      <c r="M664" s="116">
        <v>398.74516303658902</v>
      </c>
      <c r="N664" s="116">
        <v>400.35490377302699</v>
      </c>
      <c r="O664" s="116">
        <v>395.99622116359598</v>
      </c>
      <c r="P664" s="116">
        <v>396.20672572143798</v>
      </c>
      <c r="Q664" s="116">
        <v>1610.1</v>
      </c>
      <c r="R664">
        <v>3527477</v>
      </c>
    </row>
    <row r="665" spans="1:18" x14ac:dyDescent="0.25">
      <c r="A665" s="170">
        <v>42982</v>
      </c>
      <c r="B665" s="116">
        <v>405.08277542328199</v>
      </c>
      <c r="C665" s="116">
        <v>399.04027521216898</v>
      </c>
      <c r="D665" s="116">
        <v>395.28847692534998</v>
      </c>
      <c r="E665" s="116">
        <v>399.94417380932299</v>
      </c>
      <c r="F665" s="116">
        <v>1611.35</v>
      </c>
      <c r="G665">
        <v>1027025</v>
      </c>
      <c r="H665" s="116"/>
      <c r="I665" s="116"/>
      <c r="L665" s="170">
        <v>42982</v>
      </c>
      <c r="M665" s="116">
        <v>399.550033404808</v>
      </c>
      <c r="N665" s="116">
        <v>405.19650860338902</v>
      </c>
      <c r="O665" s="116">
        <v>395.21611603747698</v>
      </c>
      <c r="P665" s="116">
        <v>400.08248610993701</v>
      </c>
      <c r="Q665" s="116">
        <v>1613.35</v>
      </c>
      <c r="R665">
        <v>4928375</v>
      </c>
    </row>
    <row r="666" spans="1:18" x14ac:dyDescent="0.25">
      <c r="A666" s="170">
        <v>42983</v>
      </c>
      <c r="B666" s="116">
        <v>404.87227848969798</v>
      </c>
      <c r="C666" s="116">
        <v>404.40175593227502</v>
      </c>
      <c r="D666" s="116">
        <v>400.93474761442297</v>
      </c>
      <c r="E666" s="116">
        <v>400.93474761442297</v>
      </c>
      <c r="F666" s="116">
        <v>1633</v>
      </c>
      <c r="G666">
        <v>1047047</v>
      </c>
      <c r="H666" s="116"/>
      <c r="I666" s="116"/>
      <c r="L666" s="170">
        <v>42983</v>
      </c>
      <c r="M666" s="116">
        <v>404.31734250887303</v>
      </c>
      <c r="N666" s="116">
        <v>404.87456045610099</v>
      </c>
      <c r="O666" s="116">
        <v>401.45695704643401</v>
      </c>
      <c r="P666" s="116">
        <v>403.673446214298</v>
      </c>
      <c r="Q666" s="116">
        <v>1632.6</v>
      </c>
      <c r="R666">
        <v>5764131</v>
      </c>
    </row>
    <row r="667" spans="1:18" x14ac:dyDescent="0.25">
      <c r="A667" s="170">
        <v>42984</v>
      </c>
      <c r="B667" s="116">
        <v>409.20603888701203</v>
      </c>
      <c r="C667" s="116">
        <v>407.27441996706602</v>
      </c>
      <c r="D667" s="116">
        <v>402.42060832207397</v>
      </c>
      <c r="E667" s="116">
        <v>404.00552641023501</v>
      </c>
      <c r="F667" s="116">
        <v>1644.6</v>
      </c>
      <c r="G667">
        <v>949193</v>
      </c>
      <c r="H667" s="116"/>
      <c r="I667" s="116"/>
      <c r="L667" s="170">
        <v>42984</v>
      </c>
      <c r="M667" s="116">
        <v>407.48729349754899</v>
      </c>
      <c r="N667" s="116">
        <v>409.24562568658098</v>
      </c>
      <c r="O667" s="116">
        <v>401.89034878316698</v>
      </c>
      <c r="P667" s="116">
        <v>402.78189749873297</v>
      </c>
      <c r="Q667" s="116">
        <v>1645.4</v>
      </c>
      <c r="R667">
        <v>11142512</v>
      </c>
    </row>
    <row r="668" spans="1:18" x14ac:dyDescent="0.25">
      <c r="A668" s="170">
        <v>42985</v>
      </c>
      <c r="B668" s="116">
        <v>412.42540375358902</v>
      </c>
      <c r="C668" s="116">
        <v>405.59044449839598</v>
      </c>
      <c r="D668" s="116">
        <v>404.40175593227502</v>
      </c>
      <c r="E668" s="116">
        <v>408.11640770140201</v>
      </c>
      <c r="F668" s="116">
        <v>818.9</v>
      </c>
      <c r="G668">
        <v>639020</v>
      </c>
      <c r="H668" s="116"/>
      <c r="I668" s="116"/>
      <c r="L668" s="170">
        <v>42985</v>
      </c>
      <c r="M668" s="116">
        <v>405.20889122443799</v>
      </c>
      <c r="N668" s="116">
        <v>412.34128094896101</v>
      </c>
      <c r="O668" s="116">
        <v>403.673446214298</v>
      </c>
      <c r="P668" s="116">
        <v>407.63588495014397</v>
      </c>
      <c r="Q668" s="116">
        <v>818.1</v>
      </c>
      <c r="R668">
        <v>7408536</v>
      </c>
    </row>
    <row r="669" spans="1:18" x14ac:dyDescent="0.25">
      <c r="A669" s="170">
        <v>42986</v>
      </c>
      <c r="B669" s="116">
        <v>407.918292940382</v>
      </c>
      <c r="C669" s="116">
        <v>404.72369241893301</v>
      </c>
      <c r="D669" s="116">
        <v>402.56919439283899</v>
      </c>
      <c r="E669" s="116">
        <v>406.18478878145601</v>
      </c>
      <c r="F669" s="116">
        <v>817.15</v>
      </c>
      <c r="G669">
        <v>293009</v>
      </c>
      <c r="H669" s="116"/>
      <c r="I669" s="116"/>
      <c r="L669" s="170">
        <v>42986</v>
      </c>
      <c r="M669" s="116">
        <v>404.61452541406101</v>
      </c>
      <c r="N669" s="116">
        <v>407.75971116063897</v>
      </c>
      <c r="O669" s="116">
        <v>402.23706217255398</v>
      </c>
      <c r="P669" s="116">
        <v>406.149970424201</v>
      </c>
      <c r="Q669" s="116">
        <v>816.9</v>
      </c>
      <c r="R669">
        <v>6056729</v>
      </c>
    </row>
    <row r="670" spans="1:18" x14ac:dyDescent="0.25">
      <c r="A670" s="170">
        <v>42989</v>
      </c>
      <c r="B670" s="116">
        <v>409.60226840905301</v>
      </c>
      <c r="C670" s="116">
        <v>405.194214976355</v>
      </c>
      <c r="D670" s="116">
        <v>404.17887682612701</v>
      </c>
      <c r="E670" s="116">
        <v>406.33337485222103</v>
      </c>
      <c r="F670" s="116">
        <v>818.1</v>
      </c>
      <c r="G670">
        <v>982073</v>
      </c>
      <c r="H670" s="116"/>
      <c r="I670" s="116"/>
      <c r="L670" s="170">
        <v>42989</v>
      </c>
      <c r="M670" s="116">
        <v>405.10983025604202</v>
      </c>
      <c r="N670" s="116">
        <v>409.54280859176902</v>
      </c>
      <c r="O670" s="116">
        <v>404.44116871936802</v>
      </c>
      <c r="P670" s="116">
        <v>406.79386671877597</v>
      </c>
      <c r="Q670" s="116">
        <v>817.9</v>
      </c>
      <c r="R670">
        <v>5801712</v>
      </c>
    </row>
    <row r="671" spans="1:18" x14ac:dyDescent="0.25">
      <c r="A671" s="170">
        <v>42990</v>
      </c>
      <c r="B671" s="116">
        <v>408.41357984293199</v>
      </c>
      <c r="C671" s="116">
        <v>407.76970686961698</v>
      </c>
      <c r="D671" s="116">
        <v>404.87227848969798</v>
      </c>
      <c r="E671" s="116">
        <v>407.17536258655599</v>
      </c>
      <c r="F671" s="116">
        <v>823.3</v>
      </c>
      <c r="G671">
        <v>140436</v>
      </c>
      <c r="H671" s="116"/>
      <c r="I671" s="116"/>
      <c r="L671" s="170">
        <v>42990</v>
      </c>
      <c r="M671" s="116">
        <v>408.00736358162902</v>
      </c>
      <c r="N671" s="116">
        <v>408.62649463410497</v>
      </c>
      <c r="O671" s="116">
        <v>404.66405589825899</v>
      </c>
      <c r="P671" s="116">
        <v>407.51205873964801</v>
      </c>
      <c r="Q671" s="116">
        <v>823.75</v>
      </c>
      <c r="R671">
        <v>2971669</v>
      </c>
    </row>
    <row r="672" spans="1:18" x14ac:dyDescent="0.25">
      <c r="A672" s="170">
        <v>42991</v>
      </c>
      <c r="B672" s="116">
        <v>425.57527101629802</v>
      </c>
      <c r="C672" s="116">
        <v>420.548108955413</v>
      </c>
      <c r="D672" s="116">
        <v>407.373477347576</v>
      </c>
      <c r="E672" s="116">
        <v>408.11640770140201</v>
      </c>
      <c r="F672" s="116">
        <v>849.1</v>
      </c>
      <c r="G672">
        <v>751535</v>
      </c>
      <c r="H672" s="116"/>
      <c r="I672" s="116"/>
      <c r="L672" s="170">
        <v>42991</v>
      </c>
      <c r="M672" s="116">
        <v>420.51381084164302</v>
      </c>
      <c r="N672" s="116">
        <v>425.91263361923302</v>
      </c>
      <c r="O672" s="116">
        <v>407.14058010816302</v>
      </c>
      <c r="P672" s="116">
        <v>408.13118979212402</v>
      </c>
      <c r="Q672" s="116">
        <v>849</v>
      </c>
      <c r="R672">
        <v>13430225</v>
      </c>
    </row>
    <row r="673" spans="1:18" x14ac:dyDescent="0.25">
      <c r="A673" s="170">
        <v>42992</v>
      </c>
      <c r="B673" s="116">
        <v>426.640137856781</v>
      </c>
      <c r="C673" s="116">
        <v>418.121203132917</v>
      </c>
      <c r="D673" s="116">
        <v>417.03157194730602</v>
      </c>
      <c r="E673" s="116">
        <v>424.46087548556</v>
      </c>
      <c r="F673" s="116">
        <v>844.2</v>
      </c>
      <c r="G673">
        <v>466073</v>
      </c>
      <c r="H673" s="116"/>
      <c r="I673" s="116"/>
      <c r="L673" s="170">
        <v>42992</v>
      </c>
      <c r="M673" s="116">
        <v>417.96299090544198</v>
      </c>
      <c r="N673" s="116">
        <v>426.70512136640201</v>
      </c>
      <c r="O673" s="116">
        <v>417.046676947778</v>
      </c>
      <c r="P673" s="116">
        <v>423.88188376711201</v>
      </c>
      <c r="Q673" s="116">
        <v>843.85</v>
      </c>
      <c r="R673">
        <v>5425486</v>
      </c>
    </row>
    <row r="674" spans="1:18" x14ac:dyDescent="0.25">
      <c r="A674" s="170">
        <v>42993</v>
      </c>
      <c r="B674" s="116">
        <v>422.05873400819098</v>
      </c>
      <c r="C674" s="116">
        <v>417.72497361087699</v>
      </c>
      <c r="D674" s="116">
        <v>413.762678390475</v>
      </c>
      <c r="E674" s="116">
        <v>417.08110063756101</v>
      </c>
      <c r="F674" s="116">
        <v>843.4</v>
      </c>
      <c r="G674">
        <v>414656</v>
      </c>
      <c r="H674" s="116"/>
      <c r="I674" s="116"/>
      <c r="L674" s="170">
        <v>42993</v>
      </c>
      <c r="M674" s="116">
        <v>416.947615979381</v>
      </c>
      <c r="N674" s="116">
        <v>422.42073448326897</v>
      </c>
      <c r="O674" s="116">
        <v>413.45571684341701</v>
      </c>
      <c r="P674" s="116">
        <v>417.046676947778</v>
      </c>
      <c r="Q674" s="116">
        <v>841.8</v>
      </c>
      <c r="R674">
        <v>13072853</v>
      </c>
    </row>
    <row r="675" spans="1:18" x14ac:dyDescent="0.25">
      <c r="A675" s="170">
        <v>42996</v>
      </c>
      <c r="B675" s="116">
        <v>421.63774014102302</v>
      </c>
      <c r="C675" s="116">
        <v>418.71554741597703</v>
      </c>
      <c r="D675" s="116">
        <v>417.57638754011202</v>
      </c>
      <c r="E675" s="116">
        <v>419.508006460057</v>
      </c>
      <c r="F675" s="116">
        <v>845.4</v>
      </c>
      <c r="G675">
        <v>272693</v>
      </c>
      <c r="H675" s="116"/>
      <c r="I675" s="116"/>
      <c r="L675" s="170">
        <v>42996</v>
      </c>
      <c r="M675" s="116">
        <v>418.80500913680902</v>
      </c>
      <c r="N675" s="116">
        <v>421.52918576770298</v>
      </c>
      <c r="O675" s="116">
        <v>417.59151227395603</v>
      </c>
      <c r="P675" s="116">
        <v>421.00911568362301</v>
      </c>
      <c r="Q675" s="116">
        <v>845.55</v>
      </c>
      <c r="R675">
        <v>2314174</v>
      </c>
    </row>
    <row r="676" spans="1:18" x14ac:dyDescent="0.25">
      <c r="A676" s="170">
        <v>42997</v>
      </c>
      <c r="B676" s="116">
        <v>420.49858026515801</v>
      </c>
      <c r="C676" s="116">
        <v>416.04099814220598</v>
      </c>
      <c r="D676" s="116">
        <v>414.82754523095798</v>
      </c>
      <c r="E676" s="116">
        <v>420.49858026515801</v>
      </c>
      <c r="F676" s="116">
        <v>840</v>
      </c>
      <c r="G676">
        <v>199852</v>
      </c>
      <c r="H676" s="116"/>
      <c r="I676" s="116"/>
      <c r="L676" s="170">
        <v>42997</v>
      </c>
      <c r="M676" s="116">
        <v>415.36264048504302</v>
      </c>
      <c r="N676" s="116">
        <v>420.38998463114802</v>
      </c>
      <c r="O676" s="116">
        <v>414.57015273787403</v>
      </c>
      <c r="P676" s="116">
        <v>420.365219389049</v>
      </c>
      <c r="Q676" s="116">
        <v>838.6</v>
      </c>
      <c r="R676">
        <v>3528729</v>
      </c>
    </row>
    <row r="677" spans="1:18" x14ac:dyDescent="0.25">
      <c r="A677" s="170">
        <v>42998</v>
      </c>
      <c r="B677" s="116">
        <v>431.93970771406902</v>
      </c>
      <c r="C677" s="116">
        <v>419.55753515031302</v>
      </c>
      <c r="D677" s="116">
        <v>418.51743265495702</v>
      </c>
      <c r="E677" s="116">
        <v>424.08941030864702</v>
      </c>
      <c r="F677" s="116">
        <v>847.1</v>
      </c>
      <c r="G677">
        <v>745756</v>
      </c>
      <c r="H677" s="116"/>
      <c r="I677" s="116"/>
      <c r="L677" s="170">
        <v>42998</v>
      </c>
      <c r="M677" s="116">
        <v>419.59749688397801</v>
      </c>
      <c r="N677" s="116">
        <v>432.15347462819</v>
      </c>
      <c r="O677" s="116">
        <v>418.58212195791799</v>
      </c>
      <c r="P677" s="116">
        <v>424.03047521970598</v>
      </c>
      <c r="Q677" s="116">
        <v>847.15</v>
      </c>
      <c r="R677">
        <v>11402965</v>
      </c>
    </row>
    <row r="678" spans="1:18" x14ac:dyDescent="0.25">
      <c r="A678" s="170">
        <v>42999</v>
      </c>
      <c r="B678" s="116">
        <v>421.68726883127903</v>
      </c>
      <c r="C678" s="116">
        <v>416.68487111552099</v>
      </c>
      <c r="D678" s="116">
        <v>414.55513743455498</v>
      </c>
      <c r="E678" s="116">
        <v>420.00329336260802</v>
      </c>
      <c r="F678" s="116">
        <v>841.3</v>
      </c>
      <c r="G678">
        <v>415569</v>
      </c>
      <c r="H678" s="116"/>
      <c r="I678" s="116"/>
      <c r="L678" s="170">
        <v>42999</v>
      </c>
      <c r="M678" s="116">
        <v>416.72472880049003</v>
      </c>
      <c r="N678" s="116">
        <v>421.85113391499101</v>
      </c>
      <c r="O678" s="116">
        <v>414.19867410638801</v>
      </c>
      <c r="P678" s="116">
        <v>419.523201157681</v>
      </c>
      <c r="Q678" s="116">
        <v>841.35</v>
      </c>
      <c r="R678">
        <v>5920552</v>
      </c>
    </row>
    <row r="679" spans="1:18" x14ac:dyDescent="0.25">
      <c r="A679" s="170">
        <v>43000</v>
      </c>
      <c r="B679" s="116">
        <v>416.38769897399101</v>
      </c>
      <c r="C679" s="116">
        <v>404.89704283482502</v>
      </c>
      <c r="D679" s="116">
        <v>403.16353867589902</v>
      </c>
      <c r="E679" s="116">
        <v>416.38769897399101</v>
      </c>
      <c r="F679" s="116">
        <v>817.5</v>
      </c>
      <c r="G679">
        <v>447324</v>
      </c>
      <c r="H679" s="116"/>
      <c r="I679" s="116"/>
      <c r="L679" s="170">
        <v>43000</v>
      </c>
      <c r="M679" s="116">
        <v>404.86217783505202</v>
      </c>
      <c r="N679" s="116">
        <v>416.00653677961799</v>
      </c>
      <c r="O679" s="116">
        <v>402.78189749873297</v>
      </c>
      <c r="P679" s="116">
        <v>416.00653677961799</v>
      </c>
      <c r="Q679" s="116">
        <v>817.4</v>
      </c>
      <c r="R679">
        <v>5620443</v>
      </c>
    </row>
    <row r="680" spans="1:18" x14ac:dyDescent="0.25">
      <c r="A680" s="170">
        <v>43003</v>
      </c>
      <c r="B680" s="116">
        <v>409.94896924083798</v>
      </c>
      <c r="C680" s="116">
        <v>406.35813919734801</v>
      </c>
      <c r="D680" s="116">
        <v>398.85454262371201</v>
      </c>
      <c r="E680" s="116">
        <v>405.09515759584502</v>
      </c>
      <c r="F680" s="116">
        <v>820.45</v>
      </c>
      <c r="G680">
        <v>713622</v>
      </c>
      <c r="H680" s="116"/>
      <c r="I680" s="116"/>
      <c r="L680" s="170">
        <v>43003</v>
      </c>
      <c r="M680" s="116">
        <v>406.91769292927199</v>
      </c>
      <c r="N680" s="116">
        <v>410.08764391794801</v>
      </c>
      <c r="O680" s="116">
        <v>398.819458762887</v>
      </c>
      <c r="P680" s="116">
        <v>403.673446214298</v>
      </c>
      <c r="Q680" s="116">
        <v>821.55</v>
      </c>
      <c r="R680">
        <v>6505309</v>
      </c>
    </row>
    <row r="681" spans="1:18" x14ac:dyDescent="0.25">
      <c r="A681" s="170">
        <v>43004</v>
      </c>
      <c r="B681" s="116">
        <v>409.60226840905301</v>
      </c>
      <c r="C681" s="116">
        <v>405.739030569161</v>
      </c>
      <c r="D681" s="116">
        <v>402.42060832207397</v>
      </c>
      <c r="E681" s="116">
        <v>406.38290354247601</v>
      </c>
      <c r="F681" s="116">
        <v>819.2</v>
      </c>
      <c r="G681">
        <v>459787</v>
      </c>
      <c r="H681" s="116"/>
      <c r="I681" s="116"/>
      <c r="L681" s="170">
        <v>43004</v>
      </c>
      <c r="M681" s="116">
        <v>406.19950090840001</v>
      </c>
      <c r="N681" s="116">
        <v>409.64186956016601</v>
      </c>
      <c r="O681" s="116">
        <v>402.28659265675202</v>
      </c>
      <c r="P681" s="116">
        <v>406.991988655569</v>
      </c>
      <c r="Q681" s="116">
        <v>820.1</v>
      </c>
      <c r="R681">
        <v>4829571</v>
      </c>
    </row>
    <row r="682" spans="1:18" x14ac:dyDescent="0.25">
      <c r="A682" s="170">
        <v>43005</v>
      </c>
      <c r="B682" s="116">
        <v>409.84991186032801</v>
      </c>
      <c r="C682" s="116">
        <v>395.536120376626</v>
      </c>
      <c r="D682" s="116">
        <v>394.00073097872001</v>
      </c>
      <c r="E682" s="116">
        <v>409.84991186032801</v>
      </c>
      <c r="F682" s="116">
        <v>798.6</v>
      </c>
      <c r="G682">
        <v>590896</v>
      </c>
      <c r="H682" s="116"/>
      <c r="I682" s="116"/>
      <c r="L682" s="170">
        <v>43005</v>
      </c>
      <c r="M682" s="116">
        <v>395.82286446890299</v>
      </c>
      <c r="N682" s="116">
        <v>408.97320802349202</v>
      </c>
      <c r="O682" s="116">
        <v>394.01500179567302</v>
      </c>
      <c r="P682" s="116">
        <v>408.92367753929398</v>
      </c>
      <c r="Q682" s="116">
        <v>799.15</v>
      </c>
      <c r="R682">
        <v>8434196</v>
      </c>
    </row>
    <row r="683" spans="1:18" x14ac:dyDescent="0.25">
      <c r="A683" s="170">
        <v>43006</v>
      </c>
      <c r="B683" s="116">
        <v>397.46773929657201</v>
      </c>
      <c r="C683" s="116">
        <v>389.666970581405</v>
      </c>
      <c r="D683" s="116">
        <v>386.89336392712403</v>
      </c>
      <c r="E683" s="116">
        <v>396.229522040196</v>
      </c>
      <c r="F683" s="116">
        <v>786.75</v>
      </c>
      <c r="G683">
        <v>915584</v>
      </c>
      <c r="H683" s="116"/>
      <c r="I683" s="116"/>
      <c r="L683" s="170">
        <v>43006</v>
      </c>
      <c r="M683" s="116">
        <v>389.53249297574803</v>
      </c>
      <c r="N683" s="116">
        <v>397.68025762633101</v>
      </c>
      <c r="O683" s="116">
        <v>386.43683771336799</v>
      </c>
      <c r="P683" s="116">
        <v>396.07051688989401</v>
      </c>
      <c r="Q683" s="116">
        <v>786.45</v>
      </c>
      <c r="R683">
        <v>13508179</v>
      </c>
    </row>
    <row r="684" spans="1:18" x14ac:dyDescent="0.25">
      <c r="A684" s="170">
        <v>43007</v>
      </c>
      <c r="B684" s="116">
        <v>393.01015717361901</v>
      </c>
      <c r="C684" s="116">
        <v>387.38865082967402</v>
      </c>
      <c r="D684" s="116">
        <v>386.32378398919099</v>
      </c>
      <c r="E684" s="116">
        <v>391.77193991724403</v>
      </c>
      <c r="F684" s="116">
        <v>782.15</v>
      </c>
      <c r="G684">
        <v>643300</v>
      </c>
      <c r="H684" s="116"/>
      <c r="I684" s="116"/>
      <c r="L684" s="170">
        <v>43007</v>
      </c>
      <c r="M684" s="116">
        <v>386.78355110275498</v>
      </c>
      <c r="N684" s="116">
        <v>392.97486162751397</v>
      </c>
      <c r="O684" s="116">
        <v>385.892002387189</v>
      </c>
      <c r="P684" s="116">
        <v>392.15760863824602</v>
      </c>
      <c r="Q684" s="116">
        <v>780.9</v>
      </c>
      <c r="R684">
        <v>7619230</v>
      </c>
    </row>
    <row r="685" spans="1:18" x14ac:dyDescent="0.25">
      <c r="A685" s="170">
        <v>43011</v>
      </c>
      <c r="B685" s="116">
        <v>398.06208357963197</v>
      </c>
      <c r="C685" s="116">
        <v>395.41229865098802</v>
      </c>
      <c r="D685" s="116">
        <v>389.41932713013</v>
      </c>
      <c r="E685" s="116">
        <v>392.44057723568699</v>
      </c>
      <c r="F685" s="116">
        <v>798.35</v>
      </c>
      <c r="G685">
        <v>606837</v>
      </c>
      <c r="H685" s="116"/>
      <c r="I685" s="116"/>
      <c r="L685" s="170">
        <v>43011</v>
      </c>
      <c r="M685" s="116">
        <v>395.42662059531898</v>
      </c>
      <c r="N685" s="116">
        <v>398.150797226213</v>
      </c>
      <c r="O685" s="116">
        <v>388.98765764956897</v>
      </c>
      <c r="P685" s="116">
        <v>393.76734937468302</v>
      </c>
      <c r="Q685" s="116">
        <v>798.35</v>
      </c>
      <c r="R685">
        <v>8387059</v>
      </c>
    </row>
    <row r="686" spans="1:18" x14ac:dyDescent="0.25">
      <c r="A686" s="170">
        <v>43012</v>
      </c>
      <c r="B686" s="116">
        <v>408.58693025882502</v>
      </c>
      <c r="C686" s="116">
        <v>405.739030569161</v>
      </c>
      <c r="D686" s="116">
        <v>394.00073097872001</v>
      </c>
      <c r="E686" s="116">
        <v>395.41229865098802</v>
      </c>
      <c r="F686" s="116">
        <v>819.2</v>
      </c>
      <c r="G686">
        <v>410935</v>
      </c>
      <c r="H686" s="116"/>
      <c r="I686" s="116"/>
      <c r="L686" s="170">
        <v>43012</v>
      </c>
      <c r="M686" s="116">
        <v>405.580369855924</v>
      </c>
      <c r="N686" s="116">
        <v>408.60172939200601</v>
      </c>
      <c r="O686" s="116">
        <v>394.06453227987203</v>
      </c>
      <c r="P686" s="116">
        <v>395.84762971100201</v>
      </c>
      <c r="Q686" s="116">
        <v>818.85</v>
      </c>
      <c r="R686">
        <v>8643924</v>
      </c>
    </row>
    <row r="687" spans="1:18" x14ac:dyDescent="0.25">
      <c r="A687" s="170">
        <v>43013</v>
      </c>
      <c r="B687" s="116">
        <v>410.22137703724002</v>
      </c>
      <c r="C687" s="116">
        <v>408.21546508191199</v>
      </c>
      <c r="D687" s="116">
        <v>405.51615146301299</v>
      </c>
      <c r="E687" s="116">
        <v>408.611694603952</v>
      </c>
      <c r="F687" s="116">
        <v>824.2</v>
      </c>
      <c r="G687">
        <v>354967</v>
      </c>
      <c r="H687" s="116"/>
      <c r="I687" s="116"/>
      <c r="L687" s="170">
        <v>43013</v>
      </c>
      <c r="M687" s="116">
        <v>408.20548551842103</v>
      </c>
      <c r="N687" s="116">
        <v>410.33529633893897</v>
      </c>
      <c r="O687" s="116">
        <v>405.48130888752701</v>
      </c>
      <c r="P687" s="116">
        <v>408.62649463410497</v>
      </c>
      <c r="Q687" s="116">
        <v>824.15</v>
      </c>
      <c r="R687">
        <v>4860479</v>
      </c>
    </row>
    <row r="688" spans="1:18" x14ac:dyDescent="0.25">
      <c r="A688" s="170">
        <v>43014</v>
      </c>
      <c r="B688" s="116">
        <v>415.49618254939998</v>
      </c>
      <c r="C688" s="116">
        <v>414.48084439917301</v>
      </c>
      <c r="D688" s="116">
        <v>407.44777038295899</v>
      </c>
      <c r="E688" s="116">
        <v>408.56216591369702</v>
      </c>
      <c r="F688" s="116">
        <v>836.85</v>
      </c>
      <c r="G688">
        <v>279656</v>
      </c>
      <c r="H688" s="116"/>
      <c r="I688" s="116"/>
      <c r="L688" s="170">
        <v>43014</v>
      </c>
      <c r="M688" s="116">
        <v>414.59491797997299</v>
      </c>
      <c r="N688" s="116">
        <v>415.73411911652897</v>
      </c>
      <c r="O688" s="116">
        <v>407.437763013351</v>
      </c>
      <c r="P688" s="116">
        <v>408.13118979212402</v>
      </c>
      <c r="Q688" s="116">
        <v>837.05</v>
      </c>
      <c r="R688">
        <v>5942106</v>
      </c>
    </row>
    <row r="689" spans="1:18" x14ac:dyDescent="0.25">
      <c r="A689" s="170">
        <v>43017</v>
      </c>
      <c r="B689" s="116">
        <v>415.05042433710503</v>
      </c>
      <c r="C689" s="116">
        <v>411.45959429361602</v>
      </c>
      <c r="D689" s="116">
        <v>410.22137703724002</v>
      </c>
      <c r="E689" s="116">
        <v>414.48084439917301</v>
      </c>
      <c r="F689" s="116">
        <v>830.75</v>
      </c>
      <c r="G689">
        <v>252670</v>
      </c>
      <c r="H689" s="116"/>
      <c r="I689" s="116"/>
      <c r="L689" s="170">
        <v>43017</v>
      </c>
      <c r="M689" s="116">
        <v>411.424966991296</v>
      </c>
      <c r="N689" s="116">
        <v>415.95700629542</v>
      </c>
      <c r="O689" s="116">
        <v>410.11240916004698</v>
      </c>
      <c r="P689" s="116">
        <v>415.56076242183502</v>
      </c>
      <c r="Q689" s="116">
        <v>830.65</v>
      </c>
      <c r="R689">
        <v>4046109</v>
      </c>
    </row>
    <row r="690" spans="1:18" x14ac:dyDescent="0.25">
      <c r="A690" s="170">
        <v>43018</v>
      </c>
      <c r="B690" s="116">
        <v>419.45847776980202</v>
      </c>
      <c r="C690" s="116">
        <v>417.72497361087699</v>
      </c>
      <c r="D690" s="116">
        <v>411.45959429361602</v>
      </c>
      <c r="E690" s="116">
        <v>411.583416019254</v>
      </c>
      <c r="F690" s="116">
        <v>843.4</v>
      </c>
      <c r="G690">
        <v>316112</v>
      </c>
      <c r="H690" s="116"/>
      <c r="I690" s="116"/>
      <c r="L690" s="170">
        <v>43018</v>
      </c>
      <c r="M690" s="116">
        <v>417.64104275815498</v>
      </c>
      <c r="N690" s="116">
        <v>419.67179261027502</v>
      </c>
      <c r="O690" s="116">
        <v>411.59832368599001</v>
      </c>
      <c r="P690" s="116">
        <v>411.59832368599001</v>
      </c>
      <c r="Q690" s="116">
        <v>843.2</v>
      </c>
      <c r="R690">
        <v>6734986</v>
      </c>
    </row>
    <row r="691" spans="1:18" x14ac:dyDescent="0.25">
      <c r="A691" s="170">
        <v>43019</v>
      </c>
      <c r="B691" s="116">
        <v>424.906633697855</v>
      </c>
      <c r="C691" s="116">
        <v>416.23911290322599</v>
      </c>
      <c r="D691" s="116">
        <v>414.20843660277001</v>
      </c>
      <c r="E691" s="116">
        <v>418.51743265495702</v>
      </c>
      <c r="F691" s="116">
        <v>840.4</v>
      </c>
      <c r="G691">
        <v>426076</v>
      </c>
      <c r="H691" s="116"/>
      <c r="I691" s="116"/>
      <c r="L691" s="170">
        <v>43019</v>
      </c>
      <c r="M691" s="116">
        <v>416.13036299011299</v>
      </c>
      <c r="N691" s="116">
        <v>425.16967635626202</v>
      </c>
      <c r="O691" s="116">
        <v>414.07484789589301</v>
      </c>
      <c r="P691" s="116">
        <v>418.68118292631402</v>
      </c>
      <c r="Q691" s="116">
        <v>840.15</v>
      </c>
      <c r="R691">
        <v>7049800</v>
      </c>
    </row>
    <row r="692" spans="1:18" x14ac:dyDescent="0.25">
      <c r="A692" s="170">
        <v>43020</v>
      </c>
      <c r="B692" s="116">
        <v>433.970384014525</v>
      </c>
      <c r="C692" s="116">
        <v>432.13782247508902</v>
      </c>
      <c r="D692" s="116">
        <v>416.53628504475603</v>
      </c>
      <c r="E692" s="116">
        <v>416.53628504475603</v>
      </c>
      <c r="F692" s="116">
        <v>872.5</v>
      </c>
      <c r="G692">
        <v>632480</v>
      </c>
      <c r="H692" s="116"/>
      <c r="I692" s="116"/>
      <c r="L692" s="170">
        <v>43020</v>
      </c>
      <c r="M692" s="116">
        <v>432.27730083868499</v>
      </c>
      <c r="N692" s="116">
        <v>434.28328544870698</v>
      </c>
      <c r="O692" s="116">
        <v>417.09620743197598</v>
      </c>
      <c r="P692" s="116">
        <v>417.09620743197598</v>
      </c>
      <c r="Q692" s="116">
        <v>872.75</v>
      </c>
      <c r="R692">
        <v>8522926</v>
      </c>
    </row>
    <row r="693" spans="1:18" x14ac:dyDescent="0.25">
      <c r="A693" s="170">
        <v>43021</v>
      </c>
      <c r="B693" s="116">
        <v>441.30063017226797</v>
      </c>
      <c r="C693" s="116">
        <v>434.21802746579999</v>
      </c>
      <c r="D693" s="116">
        <v>433.00457455455199</v>
      </c>
      <c r="E693" s="116">
        <v>435.85247424421601</v>
      </c>
      <c r="F693" s="116">
        <v>876.7</v>
      </c>
      <c r="G693">
        <v>625450</v>
      </c>
      <c r="H693" s="116"/>
      <c r="I693" s="116"/>
      <c r="L693" s="170">
        <v>43021</v>
      </c>
      <c r="M693" s="116">
        <v>434.10992875401399</v>
      </c>
      <c r="N693" s="116">
        <v>441.16802275223898</v>
      </c>
      <c r="O693" s="116">
        <v>432.574483743874</v>
      </c>
      <c r="P693" s="116">
        <v>435.52154755365899</v>
      </c>
      <c r="Q693" s="116">
        <v>876.45</v>
      </c>
      <c r="R693">
        <v>9833512</v>
      </c>
    </row>
    <row r="694" spans="1:18" x14ac:dyDescent="0.25">
      <c r="A694" s="170">
        <v>43024</v>
      </c>
      <c r="B694" s="116">
        <v>441.647331004053</v>
      </c>
      <c r="C694" s="116">
        <v>433.47509711197398</v>
      </c>
      <c r="D694" s="116">
        <v>426.81348827267402</v>
      </c>
      <c r="E694" s="116">
        <v>435.80294555396102</v>
      </c>
      <c r="F694" s="116">
        <v>875.2</v>
      </c>
      <c r="G694">
        <v>630948</v>
      </c>
      <c r="H694" s="116"/>
      <c r="I694" s="116"/>
      <c r="L694" s="170">
        <v>43024</v>
      </c>
      <c r="M694" s="116">
        <v>434.28328544870698</v>
      </c>
      <c r="N694" s="116">
        <v>441.81191904681401</v>
      </c>
      <c r="O694" s="116">
        <v>426.60606039800598</v>
      </c>
      <c r="P694" s="116">
        <v>435.37295610106497</v>
      </c>
      <c r="Q694" s="116">
        <v>876.8</v>
      </c>
      <c r="R694">
        <v>14633539</v>
      </c>
    </row>
    <row r="695" spans="1:18" x14ac:dyDescent="0.25">
      <c r="A695" s="170">
        <v>43025</v>
      </c>
      <c r="B695" s="116">
        <v>437.808857509289</v>
      </c>
      <c r="C695" s="116">
        <v>433.00457455455199</v>
      </c>
      <c r="D695" s="116">
        <v>429.56233058182698</v>
      </c>
      <c r="E695" s="116">
        <v>435.30765865141001</v>
      </c>
      <c r="F695" s="116">
        <v>874.25</v>
      </c>
      <c r="G695">
        <v>332838</v>
      </c>
      <c r="H695" s="116"/>
      <c r="I695" s="116"/>
      <c r="L695" s="170">
        <v>43025</v>
      </c>
      <c r="M695" s="116">
        <v>433.06978858585398</v>
      </c>
      <c r="N695" s="116">
        <v>437.84948031096798</v>
      </c>
      <c r="O695" s="116">
        <v>429.52835896569201</v>
      </c>
      <c r="P695" s="116">
        <v>434.87765125908402</v>
      </c>
      <c r="Q695" s="116">
        <v>874.35</v>
      </c>
      <c r="R695">
        <v>6354084</v>
      </c>
    </row>
    <row r="696" spans="1:18" x14ac:dyDescent="0.25">
      <c r="A696" s="170">
        <v>43026</v>
      </c>
      <c r="B696" s="116">
        <v>454.17808963857499</v>
      </c>
      <c r="C696" s="116">
        <v>452.56840720528601</v>
      </c>
      <c r="D696" s="116">
        <v>433.450332766847</v>
      </c>
      <c r="E696" s="116">
        <v>433.64844752786701</v>
      </c>
      <c r="F696" s="116">
        <v>913.75</v>
      </c>
      <c r="G696">
        <v>1010077</v>
      </c>
      <c r="H696" s="116"/>
      <c r="I696" s="116"/>
      <c r="L696" s="170">
        <v>43026</v>
      </c>
      <c r="M696" s="116">
        <v>452.956277991381</v>
      </c>
      <c r="N696" s="116">
        <v>454.64031445411501</v>
      </c>
      <c r="O696" s="116">
        <v>433.39173673314201</v>
      </c>
      <c r="P696" s="116">
        <v>434.58046835389598</v>
      </c>
      <c r="Q696" s="116">
        <v>914.5</v>
      </c>
      <c r="R696">
        <v>16765178</v>
      </c>
    </row>
    <row r="697" spans="1:18" x14ac:dyDescent="0.25">
      <c r="A697" s="170">
        <v>43027</v>
      </c>
      <c r="B697" s="116">
        <v>456.53070242568799</v>
      </c>
      <c r="C697" s="116">
        <v>450.88443173661602</v>
      </c>
      <c r="D697" s="116">
        <v>447.36789472850899</v>
      </c>
      <c r="E697" s="116">
        <v>454.02950356781002</v>
      </c>
      <c r="F697" s="116">
        <v>910.35</v>
      </c>
      <c r="G697">
        <v>278563</v>
      </c>
      <c r="H697" s="116"/>
      <c r="I697" s="116"/>
      <c r="L697" s="170">
        <v>43027</v>
      </c>
      <c r="M697" s="116">
        <v>450.67787571826898</v>
      </c>
      <c r="N697" s="116">
        <v>456.62153382203797</v>
      </c>
      <c r="O697" s="116">
        <v>447.260272308602</v>
      </c>
      <c r="P697" s="116">
        <v>453.60017428595597</v>
      </c>
      <c r="Q697" s="116">
        <v>909.9</v>
      </c>
      <c r="R697">
        <v>3664082</v>
      </c>
    </row>
    <row r="698" spans="1:18" x14ac:dyDescent="0.25">
      <c r="A698" s="170">
        <v>43031</v>
      </c>
      <c r="B698" s="116">
        <v>467.278428211029</v>
      </c>
      <c r="C698" s="116">
        <v>464.62864328238499</v>
      </c>
      <c r="D698" s="116">
        <v>450.66155263046801</v>
      </c>
      <c r="E698" s="116">
        <v>451.28066125865598</v>
      </c>
      <c r="F698" s="116">
        <v>938.1</v>
      </c>
      <c r="G698">
        <v>540383</v>
      </c>
      <c r="H698" s="116"/>
      <c r="I698" s="116"/>
      <c r="L698" s="170">
        <v>43031</v>
      </c>
      <c r="M698" s="116">
        <v>465.46272525139398</v>
      </c>
      <c r="N698" s="116">
        <v>467.91448421919898</v>
      </c>
      <c r="O698" s="116">
        <v>450.28163184468502</v>
      </c>
      <c r="P698" s="116">
        <v>452.16379024421201</v>
      </c>
      <c r="Q698" s="116">
        <v>939.75</v>
      </c>
      <c r="R698">
        <v>12551649</v>
      </c>
    </row>
    <row r="699" spans="1:18" x14ac:dyDescent="0.25">
      <c r="A699" s="170">
        <v>43032</v>
      </c>
      <c r="B699" s="116">
        <v>469.08622540533702</v>
      </c>
      <c r="C699" s="116">
        <v>462.96943215884102</v>
      </c>
      <c r="D699" s="116">
        <v>459.77483163739203</v>
      </c>
      <c r="E699" s="116">
        <v>469.08622540533702</v>
      </c>
      <c r="F699" s="116">
        <v>934.75</v>
      </c>
      <c r="G699">
        <v>320250</v>
      </c>
      <c r="H699" s="116"/>
      <c r="I699" s="116"/>
      <c r="L699" s="170">
        <v>43032</v>
      </c>
      <c r="M699" s="116">
        <v>462.73854862050001</v>
      </c>
      <c r="N699" s="116">
        <v>469.40039874514099</v>
      </c>
      <c r="O699" s="116">
        <v>459.74195432651698</v>
      </c>
      <c r="P699" s="116">
        <v>469.40039874514099</v>
      </c>
      <c r="Q699" s="116">
        <v>934.25</v>
      </c>
      <c r="R699">
        <v>6335308</v>
      </c>
    </row>
    <row r="700" spans="1:18" x14ac:dyDescent="0.25">
      <c r="A700" s="170">
        <v>43033</v>
      </c>
      <c r="B700" s="116">
        <v>468.417588086894</v>
      </c>
      <c r="C700" s="116">
        <v>465.544924052103</v>
      </c>
      <c r="D700" s="116">
        <v>460.61681937172801</v>
      </c>
      <c r="E700" s="116">
        <v>465.56968839722998</v>
      </c>
      <c r="F700" s="116">
        <v>939.95</v>
      </c>
      <c r="G700">
        <v>448754</v>
      </c>
      <c r="H700" s="116"/>
      <c r="I700" s="116"/>
      <c r="L700" s="170">
        <v>43033</v>
      </c>
      <c r="M700" s="116">
        <v>465.53702097769099</v>
      </c>
      <c r="N700" s="116">
        <v>468.50885002957602</v>
      </c>
      <c r="O700" s="116">
        <v>460.385850621092</v>
      </c>
      <c r="P700" s="116">
        <v>465.63608194608798</v>
      </c>
      <c r="Q700" s="116">
        <v>939.9</v>
      </c>
      <c r="R700">
        <v>4577050</v>
      </c>
    </row>
    <row r="701" spans="1:18" x14ac:dyDescent="0.25">
      <c r="A701" s="170">
        <v>43034</v>
      </c>
      <c r="B701" s="116">
        <v>474.58391002364499</v>
      </c>
      <c r="C701" s="116">
        <v>469.16051844072001</v>
      </c>
      <c r="D701" s="116">
        <v>461.359749725553</v>
      </c>
      <c r="E701" s="116">
        <v>464.752465008022</v>
      </c>
      <c r="F701" s="116">
        <v>947.25</v>
      </c>
      <c r="G701">
        <v>694575</v>
      </c>
      <c r="H701" s="116"/>
      <c r="I701" s="116"/>
      <c r="L701" s="170">
        <v>43034</v>
      </c>
      <c r="M701" s="116">
        <v>469.25180729254703</v>
      </c>
      <c r="N701" s="116">
        <v>474.40297764914698</v>
      </c>
      <c r="O701" s="116">
        <v>461.12880788406301</v>
      </c>
      <c r="P701" s="116">
        <v>465.58655146188897</v>
      </c>
      <c r="Q701" s="116">
        <v>947.4</v>
      </c>
      <c r="R701">
        <v>7698704</v>
      </c>
    </row>
    <row r="702" spans="1:18" x14ac:dyDescent="0.25">
      <c r="A702" s="170">
        <v>43035</v>
      </c>
      <c r="B702" s="116">
        <v>473.741922289309</v>
      </c>
      <c r="C702" s="116">
        <v>460.34441157532501</v>
      </c>
      <c r="D702" s="116">
        <v>458.83378652254697</v>
      </c>
      <c r="E702" s="116">
        <v>470.57208611298802</v>
      </c>
      <c r="F702" s="116">
        <v>929.45</v>
      </c>
      <c r="G702">
        <v>4100930</v>
      </c>
      <c r="H702" s="116"/>
      <c r="I702" s="116"/>
      <c r="L702" s="170">
        <v>43035</v>
      </c>
      <c r="M702" s="116">
        <v>460.55920731578499</v>
      </c>
      <c r="N702" s="116">
        <v>473.85814232296798</v>
      </c>
      <c r="O702" s="116">
        <v>458.50369222156502</v>
      </c>
      <c r="P702" s="116">
        <v>470.53959988169697</v>
      </c>
      <c r="Q702" s="116">
        <v>929.85</v>
      </c>
      <c r="R702">
        <v>5256749</v>
      </c>
    </row>
    <row r="703" spans="1:18" x14ac:dyDescent="0.25">
      <c r="A703" s="170">
        <v>43038</v>
      </c>
      <c r="B703" s="116">
        <v>468.04612290998102</v>
      </c>
      <c r="C703" s="116">
        <v>465.64398143261297</v>
      </c>
      <c r="D703" s="116">
        <v>461.11210627427801</v>
      </c>
      <c r="E703" s="116">
        <v>461.11210627427801</v>
      </c>
      <c r="F703" s="116">
        <v>940.15</v>
      </c>
      <c r="G703">
        <v>435289</v>
      </c>
      <c r="H703" s="116"/>
      <c r="I703" s="116"/>
      <c r="L703" s="170">
        <v>43038</v>
      </c>
      <c r="M703" s="116">
        <v>466.82481356684099</v>
      </c>
      <c r="N703" s="116">
        <v>468.33549333488298</v>
      </c>
      <c r="O703" s="116">
        <v>460.930685947271</v>
      </c>
      <c r="P703" s="116">
        <v>462.61472241000502</v>
      </c>
      <c r="Q703" s="116">
        <v>942.5</v>
      </c>
      <c r="R703">
        <v>3576533</v>
      </c>
    </row>
    <row r="704" spans="1:18" x14ac:dyDescent="0.25">
      <c r="A704" s="170">
        <v>43039</v>
      </c>
      <c r="B704" s="116">
        <v>468.04612290998102</v>
      </c>
      <c r="C704" s="116">
        <v>465.96591791927</v>
      </c>
      <c r="D704" s="116">
        <v>461.65692186708299</v>
      </c>
      <c r="E704" s="116">
        <v>467.05554910488098</v>
      </c>
      <c r="F704" s="116">
        <v>940.8</v>
      </c>
      <c r="G704">
        <v>476464</v>
      </c>
      <c r="H704" s="116"/>
      <c r="I704" s="116"/>
      <c r="L704" s="170">
        <v>43039</v>
      </c>
      <c r="M704" s="116">
        <v>466.00756057757297</v>
      </c>
      <c r="N704" s="116">
        <v>468.43455430327901</v>
      </c>
      <c r="O704" s="116">
        <v>461.72317369443999</v>
      </c>
      <c r="P704" s="116">
        <v>468.03831042969398</v>
      </c>
      <c r="Q704" s="116">
        <v>940.85</v>
      </c>
      <c r="R704">
        <v>4345360</v>
      </c>
    </row>
    <row r="705" spans="1:18" x14ac:dyDescent="0.25">
      <c r="A705" s="170">
        <v>43040</v>
      </c>
      <c r="B705" s="116">
        <v>474.18768050160497</v>
      </c>
      <c r="C705" s="116">
        <v>471.66171729859798</v>
      </c>
      <c r="D705" s="116">
        <v>468.49188112227699</v>
      </c>
      <c r="E705" s="116">
        <v>468.54140981253198</v>
      </c>
      <c r="F705" s="116">
        <v>952.3</v>
      </c>
      <c r="G705">
        <v>455586</v>
      </c>
      <c r="H705" s="116"/>
      <c r="I705" s="116"/>
      <c r="L705" s="170">
        <v>43040</v>
      </c>
      <c r="M705" s="116">
        <v>471.80262722874801</v>
      </c>
      <c r="N705" s="116">
        <v>474.40297764914698</v>
      </c>
      <c r="O705" s="116">
        <v>468.43455430327901</v>
      </c>
      <c r="P705" s="116">
        <v>469.42516398724001</v>
      </c>
      <c r="Q705" s="116">
        <v>952.55</v>
      </c>
      <c r="R705">
        <v>8033040</v>
      </c>
    </row>
    <row r="706" spans="1:18" x14ac:dyDescent="0.25">
      <c r="A706" s="170">
        <v>43041</v>
      </c>
      <c r="B706" s="116">
        <v>473.94003705032901</v>
      </c>
      <c r="C706" s="116">
        <v>469.08622540533702</v>
      </c>
      <c r="D706" s="116">
        <v>467.64989338794101</v>
      </c>
      <c r="E706" s="116">
        <v>472.50370503293402</v>
      </c>
      <c r="F706" s="116">
        <v>947.1</v>
      </c>
      <c r="G706">
        <v>513714</v>
      </c>
      <c r="H706" s="116"/>
      <c r="I706" s="116"/>
      <c r="L706" s="170">
        <v>43041</v>
      </c>
      <c r="M706" s="116">
        <v>468.85556341896199</v>
      </c>
      <c r="N706" s="116">
        <v>473.759081354572</v>
      </c>
      <c r="O706" s="116">
        <v>467.69159704030801</v>
      </c>
      <c r="P706" s="116">
        <v>471.92645343924301</v>
      </c>
      <c r="Q706" s="116">
        <v>946.6</v>
      </c>
      <c r="R706">
        <v>4698609</v>
      </c>
    </row>
    <row r="707" spans="1:18" x14ac:dyDescent="0.25">
      <c r="A707" s="170">
        <v>43042</v>
      </c>
      <c r="B707" s="116">
        <v>472.15700420114803</v>
      </c>
      <c r="C707" s="116">
        <v>468.34329505151197</v>
      </c>
      <c r="D707" s="116">
        <v>465.81733184850498</v>
      </c>
      <c r="E707" s="116">
        <v>472.15700420114803</v>
      </c>
      <c r="F707" s="116">
        <v>945.6</v>
      </c>
      <c r="G707">
        <v>725344</v>
      </c>
      <c r="H707" s="116"/>
      <c r="I707" s="116"/>
      <c r="L707" s="170">
        <v>43042</v>
      </c>
      <c r="M707" s="116">
        <v>468.21166712438702</v>
      </c>
      <c r="N707" s="116">
        <v>473.48666369148202</v>
      </c>
      <c r="O707" s="116">
        <v>465.66084718818701</v>
      </c>
      <c r="P707" s="116">
        <v>473.48666369148202</v>
      </c>
      <c r="Q707" s="116">
        <v>945.3</v>
      </c>
      <c r="R707">
        <v>2193730</v>
      </c>
    </row>
    <row r="708" spans="1:18" x14ac:dyDescent="0.25">
      <c r="A708" s="170">
        <v>43045</v>
      </c>
      <c r="B708" s="116">
        <v>468.04612290998102</v>
      </c>
      <c r="C708" s="116">
        <v>462.820846088076</v>
      </c>
      <c r="D708" s="116">
        <v>460.12153246917802</v>
      </c>
      <c r="E708" s="116">
        <v>467.55083600743097</v>
      </c>
      <c r="F708" s="116">
        <v>934.45</v>
      </c>
      <c r="G708">
        <v>405565</v>
      </c>
      <c r="H708" s="116"/>
      <c r="I708" s="116"/>
      <c r="L708" s="170">
        <v>43045</v>
      </c>
      <c r="M708" s="116">
        <v>461.87176514703401</v>
      </c>
      <c r="N708" s="116">
        <v>466.82481356684099</v>
      </c>
      <c r="O708" s="116">
        <v>460.13819820010099</v>
      </c>
      <c r="P708" s="116">
        <v>466.82481356684099</v>
      </c>
      <c r="Q708" s="116">
        <v>932.5</v>
      </c>
      <c r="R708">
        <v>4460799</v>
      </c>
    </row>
    <row r="709" spans="1:18" x14ac:dyDescent="0.25">
      <c r="A709" s="170">
        <v>43046</v>
      </c>
      <c r="B709" s="116">
        <v>463.093253884479</v>
      </c>
      <c r="C709" s="116">
        <v>449.05187019717999</v>
      </c>
      <c r="D709" s="116">
        <v>447.318366038254</v>
      </c>
      <c r="E709" s="116">
        <v>462.820846088076</v>
      </c>
      <c r="F709" s="116">
        <v>906.65</v>
      </c>
      <c r="G709">
        <v>426181</v>
      </c>
      <c r="H709" s="116"/>
      <c r="I709" s="116"/>
      <c r="L709" s="170">
        <v>43046</v>
      </c>
      <c r="M709" s="116">
        <v>449.092900223931</v>
      </c>
      <c r="N709" s="116">
        <v>463.11002725198603</v>
      </c>
      <c r="O709" s="116">
        <v>447.28503755070102</v>
      </c>
      <c r="P709" s="116">
        <v>462.29277426271801</v>
      </c>
      <c r="Q709" s="116">
        <v>906.7</v>
      </c>
      <c r="R709">
        <v>9347943</v>
      </c>
    </row>
    <row r="710" spans="1:18" x14ac:dyDescent="0.25">
      <c r="A710" s="170">
        <v>43047</v>
      </c>
      <c r="B710" s="116">
        <v>450.16626572791802</v>
      </c>
      <c r="C710" s="116">
        <v>439.93859119025501</v>
      </c>
      <c r="D710" s="116">
        <v>438.37843744722198</v>
      </c>
      <c r="E710" s="116">
        <v>449.225220613072</v>
      </c>
      <c r="F710" s="116">
        <v>888.25</v>
      </c>
      <c r="G710">
        <v>368861</v>
      </c>
      <c r="H710" s="116"/>
      <c r="I710" s="116"/>
      <c r="L710" s="170">
        <v>43047</v>
      </c>
      <c r="M710" s="116">
        <v>439.73163871049502</v>
      </c>
      <c r="N710" s="116">
        <v>448.74618683454497</v>
      </c>
      <c r="O710" s="116">
        <v>437.89901079516602</v>
      </c>
      <c r="P710" s="116">
        <v>447.012619887612</v>
      </c>
      <c r="Q710" s="116">
        <v>887.8</v>
      </c>
      <c r="R710">
        <v>8115980</v>
      </c>
    </row>
    <row r="711" spans="1:18" x14ac:dyDescent="0.25">
      <c r="A711" s="170">
        <v>43048</v>
      </c>
      <c r="B711" s="116">
        <v>450.26532310842799</v>
      </c>
      <c r="C711" s="116">
        <v>446.525906994173</v>
      </c>
      <c r="D711" s="116">
        <v>441.79591707481802</v>
      </c>
      <c r="E711" s="116">
        <v>443.33130647272401</v>
      </c>
      <c r="F711" s="116">
        <v>901.55</v>
      </c>
      <c r="G711">
        <v>320008</v>
      </c>
      <c r="H711" s="116"/>
      <c r="I711" s="116"/>
      <c r="L711" s="170">
        <v>43048</v>
      </c>
      <c r="M711" s="116">
        <v>446.02201020365101</v>
      </c>
      <c r="N711" s="116">
        <v>450.67787571826898</v>
      </c>
      <c r="O711" s="116">
        <v>441.83668428891298</v>
      </c>
      <c r="P711" s="116">
        <v>443.17400736226102</v>
      </c>
      <c r="Q711" s="116">
        <v>900.5</v>
      </c>
      <c r="R711">
        <v>6860798</v>
      </c>
    </row>
    <row r="712" spans="1:18" x14ac:dyDescent="0.25">
      <c r="A712" s="170">
        <v>43049</v>
      </c>
      <c r="B712" s="116">
        <v>446.25349919777102</v>
      </c>
      <c r="C712" s="116">
        <v>437.58597840314098</v>
      </c>
      <c r="D712" s="116">
        <v>436.02582466010801</v>
      </c>
      <c r="E712" s="116">
        <v>445.75821229522001</v>
      </c>
      <c r="F712" s="116">
        <v>883.5</v>
      </c>
      <c r="G712">
        <v>302328</v>
      </c>
      <c r="H712" s="116"/>
      <c r="I712" s="116"/>
      <c r="L712" s="170">
        <v>43049</v>
      </c>
      <c r="M712" s="116">
        <v>437.77518458467102</v>
      </c>
      <c r="N712" s="116">
        <v>446.24489738254198</v>
      </c>
      <c r="O712" s="116">
        <v>435.472017069461</v>
      </c>
      <c r="P712" s="116">
        <v>446.24489738254198</v>
      </c>
      <c r="Q712" s="116">
        <v>883.85</v>
      </c>
      <c r="R712">
        <v>6365174</v>
      </c>
    </row>
    <row r="713" spans="1:18" x14ac:dyDescent="0.25">
      <c r="A713" s="170">
        <v>43052</v>
      </c>
      <c r="B713" s="116">
        <v>441.473980588161</v>
      </c>
      <c r="C713" s="116">
        <v>433.450332766847</v>
      </c>
      <c r="D713" s="116">
        <v>432.38546592636402</v>
      </c>
      <c r="E713" s="116">
        <v>437.58597840314098</v>
      </c>
      <c r="F713" s="116">
        <v>875.15</v>
      </c>
      <c r="G713">
        <v>282688</v>
      </c>
      <c r="H713" s="116"/>
      <c r="I713" s="116"/>
      <c r="L713" s="170">
        <v>43052</v>
      </c>
      <c r="M713" s="116">
        <v>433.51556294363701</v>
      </c>
      <c r="N713" s="116">
        <v>441.76238856261602</v>
      </c>
      <c r="O713" s="116">
        <v>432.64877947017101</v>
      </c>
      <c r="P713" s="116">
        <v>438.34478515294899</v>
      </c>
      <c r="Q713" s="116">
        <v>875.25</v>
      </c>
      <c r="R713">
        <v>4155011</v>
      </c>
    </row>
    <row r="714" spans="1:18" x14ac:dyDescent="0.25">
      <c r="A714" s="170">
        <v>43053</v>
      </c>
      <c r="B714" s="116">
        <v>443.03413433119402</v>
      </c>
      <c r="C714" s="116">
        <v>438.92325304002702</v>
      </c>
      <c r="D714" s="116">
        <v>432.38546592636402</v>
      </c>
      <c r="E714" s="116">
        <v>433.376039731464</v>
      </c>
      <c r="F714" s="116">
        <v>886.2</v>
      </c>
      <c r="G714">
        <v>289538</v>
      </c>
      <c r="H714" s="116"/>
      <c r="I714" s="116"/>
      <c r="L714" s="170">
        <v>43053</v>
      </c>
      <c r="M714" s="116">
        <v>439.18680338431602</v>
      </c>
      <c r="N714" s="116">
        <v>443.29783357275602</v>
      </c>
      <c r="O714" s="116">
        <v>432.40112704917999</v>
      </c>
      <c r="P714" s="116">
        <v>433.39173673314201</v>
      </c>
      <c r="Q714" s="116">
        <v>886.7</v>
      </c>
      <c r="R714">
        <v>5706105</v>
      </c>
    </row>
    <row r="715" spans="1:18" x14ac:dyDescent="0.25">
      <c r="A715" s="170">
        <v>43054</v>
      </c>
      <c r="B715" s="116">
        <v>440.73105023433601</v>
      </c>
      <c r="C715" s="116">
        <v>437.041162810336</v>
      </c>
      <c r="D715" s="116">
        <v>434.861900439115</v>
      </c>
      <c r="E715" s="116">
        <v>438.82419565951699</v>
      </c>
      <c r="F715" s="116">
        <v>882.4</v>
      </c>
      <c r="G715">
        <v>1129619</v>
      </c>
      <c r="H715" s="116"/>
      <c r="I715" s="116"/>
      <c r="L715" s="170">
        <v>43054</v>
      </c>
      <c r="M715" s="116">
        <v>437.70088885837401</v>
      </c>
      <c r="N715" s="116">
        <v>441.118492268041</v>
      </c>
      <c r="O715" s="116">
        <v>434.852886016985</v>
      </c>
      <c r="P715" s="116">
        <v>438.09713273195899</v>
      </c>
      <c r="Q715" s="116">
        <v>883.7</v>
      </c>
      <c r="R715">
        <v>6981872</v>
      </c>
    </row>
    <row r="716" spans="1:18" x14ac:dyDescent="0.25">
      <c r="A716" s="170">
        <v>43055</v>
      </c>
      <c r="B716" s="116">
        <v>448.23464680797201</v>
      </c>
      <c r="C716" s="116">
        <v>446.97166520646903</v>
      </c>
      <c r="D716" s="116">
        <v>437.09069150059099</v>
      </c>
      <c r="E716" s="116">
        <v>437.09069150059099</v>
      </c>
      <c r="F716" s="116">
        <v>902.45</v>
      </c>
      <c r="G716">
        <v>642828</v>
      </c>
      <c r="H716" s="116"/>
      <c r="I716" s="116"/>
      <c r="L716" s="170">
        <v>43055</v>
      </c>
      <c r="M716" s="116">
        <v>447.681281424286</v>
      </c>
      <c r="N716" s="116">
        <v>448.74618683454497</v>
      </c>
      <c r="O716" s="116">
        <v>438.59243757393898</v>
      </c>
      <c r="P716" s="116">
        <v>438.59243757393898</v>
      </c>
      <c r="Q716" s="116">
        <v>903.85</v>
      </c>
      <c r="R716">
        <v>6931038</v>
      </c>
    </row>
    <row r="717" spans="1:18" x14ac:dyDescent="0.25">
      <c r="A717" s="170">
        <v>43056</v>
      </c>
      <c r="B717" s="116">
        <v>458.01656313333899</v>
      </c>
      <c r="C717" s="116">
        <v>450.56249524995798</v>
      </c>
      <c r="D717" s="116">
        <v>449.27474930332698</v>
      </c>
      <c r="E717" s="116">
        <v>454.47526178010497</v>
      </c>
      <c r="F717" s="116">
        <v>909.7</v>
      </c>
      <c r="G717">
        <v>443239</v>
      </c>
      <c r="H717" s="116"/>
      <c r="I717" s="116"/>
      <c r="L717" s="170">
        <v>43056</v>
      </c>
      <c r="M717" s="116">
        <v>451.668485402231</v>
      </c>
      <c r="N717" s="116">
        <v>458.10744834797998</v>
      </c>
      <c r="O717" s="116">
        <v>449.98444893949602</v>
      </c>
      <c r="P717" s="116">
        <v>455.16038453819499</v>
      </c>
      <c r="Q717" s="116">
        <v>911.9</v>
      </c>
      <c r="R717">
        <v>5586242</v>
      </c>
    </row>
    <row r="718" spans="1:18" x14ac:dyDescent="0.25">
      <c r="A718" s="170">
        <v>43059</v>
      </c>
      <c r="B718" s="116">
        <v>457.64509795642601</v>
      </c>
      <c r="C718" s="116">
        <v>455.094370408293</v>
      </c>
      <c r="D718" s="116">
        <v>448.35846853360903</v>
      </c>
      <c r="E718" s="116">
        <v>450.711081320723</v>
      </c>
      <c r="F718" s="116">
        <v>918.85</v>
      </c>
      <c r="G718">
        <v>429005</v>
      </c>
      <c r="H718" s="116"/>
      <c r="I718" s="116"/>
      <c r="L718" s="170">
        <v>43059</v>
      </c>
      <c r="M718" s="116">
        <v>456.101463737958</v>
      </c>
      <c r="N718" s="116">
        <v>457.83503068489102</v>
      </c>
      <c r="O718" s="116">
        <v>448.25088199256402</v>
      </c>
      <c r="P718" s="116">
        <v>448.845247802941</v>
      </c>
      <c r="Q718" s="116">
        <v>920.85</v>
      </c>
      <c r="R718">
        <v>4220192</v>
      </c>
    </row>
    <row r="719" spans="1:18" x14ac:dyDescent="0.25">
      <c r="A719" s="170">
        <v>43060</v>
      </c>
      <c r="B719" s="116">
        <v>465.42110232646502</v>
      </c>
      <c r="C719" s="116">
        <v>461.80550793784801</v>
      </c>
      <c r="D719" s="116">
        <v>457.64509795642601</v>
      </c>
      <c r="E719" s="116">
        <v>458.14038485897697</v>
      </c>
      <c r="F719" s="116">
        <v>932.4</v>
      </c>
      <c r="G719">
        <v>477835</v>
      </c>
      <c r="H719" s="116"/>
      <c r="I719" s="116"/>
      <c r="L719" s="170">
        <v>43060</v>
      </c>
      <c r="M719" s="116">
        <v>461.89653038913298</v>
      </c>
      <c r="N719" s="116">
        <v>465.41319476719599</v>
      </c>
      <c r="O719" s="116">
        <v>458.40463125316899</v>
      </c>
      <c r="P719" s="116">
        <v>459.04852754774402</v>
      </c>
      <c r="Q719" s="116">
        <v>932.55</v>
      </c>
      <c r="R719">
        <v>5980763</v>
      </c>
    </row>
    <row r="720" spans="1:18" x14ac:dyDescent="0.25">
      <c r="A720" s="170">
        <v>43061</v>
      </c>
      <c r="B720" s="116">
        <v>464.92581542391503</v>
      </c>
      <c r="C720" s="116">
        <v>460.74064109736503</v>
      </c>
      <c r="D720" s="116">
        <v>457.91750575282902</v>
      </c>
      <c r="E720" s="116">
        <v>464.10859203470699</v>
      </c>
      <c r="F720" s="116">
        <v>930.25</v>
      </c>
      <c r="G720">
        <v>417327</v>
      </c>
      <c r="H720" s="116"/>
      <c r="I720" s="116"/>
      <c r="L720" s="170">
        <v>43061</v>
      </c>
      <c r="M720" s="116">
        <v>461.00498167356801</v>
      </c>
      <c r="N720" s="116">
        <v>464.91788992521498</v>
      </c>
      <c r="O720" s="116">
        <v>457.389256327108</v>
      </c>
      <c r="P720" s="116">
        <v>464.32352411483902</v>
      </c>
      <c r="Q720" s="116">
        <v>930.75</v>
      </c>
      <c r="R720">
        <v>5055490</v>
      </c>
    </row>
    <row r="721" spans="1:18" x14ac:dyDescent="0.25">
      <c r="A721" s="170">
        <v>43062</v>
      </c>
      <c r="B721" s="116">
        <v>469.53198361763202</v>
      </c>
      <c r="C721" s="116">
        <v>468.12041594536402</v>
      </c>
      <c r="D721" s="116">
        <v>458.462321345634</v>
      </c>
      <c r="E721" s="116">
        <v>458.462321345634</v>
      </c>
      <c r="F721" s="116">
        <v>945.15</v>
      </c>
      <c r="G721">
        <v>553671</v>
      </c>
      <c r="H721" s="116"/>
      <c r="I721" s="116"/>
      <c r="L721" s="170">
        <v>43062</v>
      </c>
      <c r="M721" s="116">
        <v>469.05368535575502</v>
      </c>
      <c r="N721" s="116">
        <v>470.49006939749898</v>
      </c>
      <c r="O721" s="116">
        <v>458.97423182144701</v>
      </c>
      <c r="P721" s="116">
        <v>461.12880788406301</v>
      </c>
      <c r="Q721" s="116">
        <v>947</v>
      </c>
      <c r="R721">
        <v>7329126</v>
      </c>
    </row>
    <row r="722" spans="1:18" x14ac:dyDescent="0.25">
      <c r="A722" s="170">
        <v>43063</v>
      </c>
      <c r="B722" s="116">
        <v>474.98013954568501</v>
      </c>
      <c r="C722" s="116">
        <v>470.27491397145798</v>
      </c>
      <c r="D722" s="116">
        <v>468.863346299189</v>
      </c>
      <c r="E722" s="116">
        <v>469.53198361763202</v>
      </c>
      <c r="F722" s="116">
        <v>949.5</v>
      </c>
      <c r="G722">
        <v>508893</v>
      </c>
      <c r="H722" s="116"/>
      <c r="I722" s="116"/>
      <c r="L722" s="170">
        <v>43063</v>
      </c>
      <c r="M722" s="116">
        <v>471.08443520787603</v>
      </c>
      <c r="N722" s="116">
        <v>475.24499588051401</v>
      </c>
      <c r="O722" s="116">
        <v>469.25180729254703</v>
      </c>
      <c r="P722" s="116">
        <v>470.53959988169697</v>
      </c>
      <c r="Q722" s="116">
        <v>951.1</v>
      </c>
      <c r="R722">
        <v>6394443</v>
      </c>
    </row>
    <row r="723" spans="1:18" x14ac:dyDescent="0.25">
      <c r="A723" s="170">
        <v>43066</v>
      </c>
      <c r="B723" s="116">
        <v>473.37045711239699</v>
      </c>
      <c r="C723" s="116">
        <v>470.869258254518</v>
      </c>
      <c r="D723" s="116">
        <v>467.30319255615598</v>
      </c>
      <c r="E723" s="116">
        <v>469.53198361763202</v>
      </c>
      <c r="F723" s="116">
        <v>950.7</v>
      </c>
      <c r="G723">
        <v>316710</v>
      </c>
      <c r="H723" s="116"/>
      <c r="I723" s="116"/>
      <c r="L723" s="170">
        <v>43066</v>
      </c>
      <c r="M723" s="116">
        <v>471.20826141837102</v>
      </c>
      <c r="N723" s="116">
        <v>474.25438619655199</v>
      </c>
      <c r="O723" s="116">
        <v>467.56777082981199</v>
      </c>
      <c r="P723" s="116">
        <v>469.17751156625002</v>
      </c>
      <c r="Q723" s="116">
        <v>951.35</v>
      </c>
      <c r="R723">
        <v>4680074</v>
      </c>
    </row>
    <row r="724" spans="1:18" x14ac:dyDescent="0.25">
      <c r="A724" s="170">
        <v>43067</v>
      </c>
      <c r="B724" s="116">
        <v>470.99307998015502</v>
      </c>
      <c r="C724" s="116">
        <v>467.03078475975298</v>
      </c>
      <c r="D724" s="116">
        <v>464.70293631776701</v>
      </c>
      <c r="E724" s="116">
        <v>470.25014962633003</v>
      </c>
      <c r="F724" s="116">
        <v>942.95</v>
      </c>
      <c r="G724">
        <v>227961</v>
      </c>
      <c r="H724" s="116"/>
      <c r="I724" s="116"/>
      <c r="L724" s="170">
        <v>43067</v>
      </c>
      <c r="M724" s="116">
        <v>467.24582268252499</v>
      </c>
      <c r="N724" s="116">
        <v>471.20826141837102</v>
      </c>
      <c r="O724" s="116">
        <v>464.64547226212602</v>
      </c>
      <c r="P724" s="116">
        <v>470.46530415540002</v>
      </c>
      <c r="Q724" s="116">
        <v>943.35</v>
      </c>
      <c r="R724">
        <v>4641893</v>
      </c>
    </row>
    <row r="725" spans="1:18" x14ac:dyDescent="0.25">
      <c r="A725" s="170">
        <v>43068</v>
      </c>
      <c r="B725" s="116">
        <v>470.423500042223</v>
      </c>
      <c r="C725" s="116">
        <v>468.26900201612898</v>
      </c>
      <c r="D725" s="116">
        <v>464.57911459213</v>
      </c>
      <c r="E725" s="116">
        <v>467.03078475975298</v>
      </c>
      <c r="F725" s="116">
        <v>945.45</v>
      </c>
      <c r="G725">
        <v>506994</v>
      </c>
      <c r="H725" s="116"/>
      <c r="I725" s="116"/>
      <c r="L725" s="170">
        <v>43068</v>
      </c>
      <c r="M725" s="116">
        <v>468.55838051377401</v>
      </c>
      <c r="N725" s="116">
        <v>470.53959988169697</v>
      </c>
      <c r="O725" s="116">
        <v>466.08185630386998</v>
      </c>
      <c r="P725" s="116">
        <v>466.50286541955398</v>
      </c>
      <c r="Q725" s="116">
        <v>946</v>
      </c>
      <c r="R725">
        <v>3674864</v>
      </c>
    </row>
    <row r="726" spans="1:18" x14ac:dyDescent="0.25">
      <c r="A726" s="170">
        <v>43069</v>
      </c>
      <c r="B726" s="116">
        <v>471.51313122783301</v>
      </c>
      <c r="C726" s="116">
        <v>456.95169629285601</v>
      </c>
      <c r="D726" s="116">
        <v>455.66395034622502</v>
      </c>
      <c r="E726" s="116">
        <v>465.56968839722998</v>
      </c>
      <c r="F726" s="116">
        <v>922.6</v>
      </c>
      <c r="G726">
        <v>299035</v>
      </c>
      <c r="H726" s="116"/>
      <c r="I726" s="116"/>
      <c r="L726" s="170">
        <v>43069</v>
      </c>
      <c r="M726" s="116">
        <v>456.44817712734499</v>
      </c>
      <c r="N726" s="116">
        <v>466.30474348276198</v>
      </c>
      <c r="O726" s="116">
        <v>455.43280220128401</v>
      </c>
      <c r="P726" s="116">
        <v>466.30474348276198</v>
      </c>
      <c r="Q726" s="116">
        <v>921.55</v>
      </c>
      <c r="R726">
        <v>9434893</v>
      </c>
    </row>
    <row r="727" spans="1:18" x14ac:dyDescent="0.25">
      <c r="A727" s="170">
        <v>43070</v>
      </c>
      <c r="B727" s="116">
        <v>461.16163496453299</v>
      </c>
      <c r="C727" s="116">
        <v>450.63678828534</v>
      </c>
      <c r="D727" s="116">
        <v>449.72050751562199</v>
      </c>
      <c r="E727" s="116">
        <v>458.14038485897697</v>
      </c>
      <c r="F727" s="116">
        <v>909.85</v>
      </c>
      <c r="G727">
        <v>312694</v>
      </c>
      <c r="H727" s="116"/>
      <c r="I727" s="116"/>
      <c r="L727" s="170">
        <v>43070</v>
      </c>
      <c r="M727" s="116">
        <v>450.77693668666598</v>
      </c>
      <c r="N727" s="116">
        <v>461.252634094558</v>
      </c>
      <c r="O727" s="116">
        <v>449.58820506591201</v>
      </c>
      <c r="P727" s="116">
        <v>457.88456116908901</v>
      </c>
      <c r="Q727" s="116">
        <v>910.1</v>
      </c>
      <c r="R727">
        <v>5081389</v>
      </c>
    </row>
    <row r="728" spans="1:18" x14ac:dyDescent="0.25">
      <c r="A728" s="170">
        <v>43073</v>
      </c>
      <c r="B728" s="116">
        <v>454.62384785086999</v>
      </c>
      <c r="C728" s="116">
        <v>446.50114264904602</v>
      </c>
      <c r="D728" s="116">
        <v>444.76763849012002</v>
      </c>
      <c r="E728" s="116">
        <v>453.55898101038701</v>
      </c>
      <c r="F728" s="116">
        <v>901.5</v>
      </c>
      <c r="G728">
        <v>452210</v>
      </c>
      <c r="H728" s="116"/>
      <c r="I728" s="116"/>
      <c r="L728" s="170">
        <v>43073</v>
      </c>
      <c r="M728" s="116">
        <v>446.56684552982898</v>
      </c>
      <c r="N728" s="116">
        <v>452.60956460199401</v>
      </c>
      <c r="O728" s="116">
        <v>444.46179995141102</v>
      </c>
      <c r="P728" s="116">
        <v>452.46097314939999</v>
      </c>
      <c r="Q728" s="116">
        <v>901.6</v>
      </c>
      <c r="R728">
        <v>4618847</v>
      </c>
    </row>
    <row r="729" spans="1:18" x14ac:dyDescent="0.25">
      <c r="A729" s="170">
        <v>43074</v>
      </c>
      <c r="B729" s="116">
        <v>455.11913475341998</v>
      </c>
      <c r="C729" s="116">
        <v>451.45401167454798</v>
      </c>
      <c r="D729" s="116">
        <v>443.72753599476403</v>
      </c>
      <c r="E729" s="116">
        <v>445.93156271111297</v>
      </c>
      <c r="F729" s="116">
        <v>911.5</v>
      </c>
      <c r="G729">
        <v>517058</v>
      </c>
      <c r="H729" s="116"/>
      <c r="I729" s="116"/>
      <c r="L729" s="170">
        <v>43074</v>
      </c>
      <c r="M729" s="116">
        <v>452.56003411779602</v>
      </c>
      <c r="N729" s="116">
        <v>456.05193325376001</v>
      </c>
      <c r="O729" s="116">
        <v>443.52072075164801</v>
      </c>
      <c r="P729" s="116">
        <v>446.29442786674002</v>
      </c>
      <c r="Q729" s="116">
        <v>913.7</v>
      </c>
      <c r="R729">
        <v>8369174</v>
      </c>
    </row>
    <row r="730" spans="1:18" x14ac:dyDescent="0.25">
      <c r="A730" s="170">
        <v>43075</v>
      </c>
      <c r="B730" s="116">
        <v>460.86446282300301</v>
      </c>
      <c r="C730" s="116">
        <v>459.37860211535201</v>
      </c>
      <c r="D730" s="116">
        <v>450.31485179868298</v>
      </c>
      <c r="E730" s="116">
        <v>452.59317155041401</v>
      </c>
      <c r="F730" s="116">
        <v>927.5</v>
      </c>
      <c r="G730">
        <v>1026271</v>
      </c>
      <c r="H730" s="116"/>
      <c r="I730" s="116"/>
      <c r="L730" s="170">
        <v>43075</v>
      </c>
      <c r="M730" s="116">
        <v>458.97423182144701</v>
      </c>
      <c r="N730" s="116">
        <v>460.78209449467602</v>
      </c>
      <c r="O730" s="116">
        <v>450.133040392091</v>
      </c>
      <c r="P730" s="116">
        <v>450.72740620246702</v>
      </c>
      <c r="Q730" s="116">
        <v>926.65</v>
      </c>
      <c r="R730">
        <v>11007689</v>
      </c>
    </row>
    <row r="731" spans="1:18" x14ac:dyDescent="0.25">
      <c r="A731" s="170">
        <v>43076</v>
      </c>
      <c r="B731" s="116">
        <v>462.573202636801</v>
      </c>
      <c r="C731" s="116">
        <v>460.93875585838498</v>
      </c>
      <c r="D731" s="116">
        <v>457.05075367336599</v>
      </c>
      <c r="E731" s="116">
        <v>459.180487354332</v>
      </c>
      <c r="F731" s="116">
        <v>930.65</v>
      </c>
      <c r="G731">
        <v>473398</v>
      </c>
      <c r="H731" s="116"/>
      <c r="I731" s="116"/>
      <c r="L731" s="170">
        <v>43076</v>
      </c>
      <c r="M731" s="116">
        <v>461.40122554715202</v>
      </c>
      <c r="N731" s="116">
        <v>463.60533209396698</v>
      </c>
      <c r="O731" s="116">
        <v>457.16636914821697</v>
      </c>
      <c r="P731" s="116">
        <v>460.65826828418102</v>
      </c>
      <c r="Q731" s="116">
        <v>931.55</v>
      </c>
      <c r="R731">
        <v>5529565</v>
      </c>
    </row>
    <row r="732" spans="1:18" x14ac:dyDescent="0.25">
      <c r="A732" s="170">
        <v>43077</v>
      </c>
      <c r="B732" s="116">
        <v>464.08382768957898</v>
      </c>
      <c r="C732" s="116">
        <v>456.13447290364797</v>
      </c>
      <c r="D732" s="116">
        <v>455.49059993033302</v>
      </c>
      <c r="E732" s="116">
        <v>464.08382768957898</v>
      </c>
      <c r="F732" s="116">
        <v>920.95</v>
      </c>
      <c r="G732">
        <v>365165</v>
      </c>
      <c r="H732" s="116"/>
      <c r="I732" s="116"/>
      <c r="L732" s="170">
        <v>43077</v>
      </c>
      <c r="M732" s="116">
        <v>456.17575946425598</v>
      </c>
      <c r="N732" s="116">
        <v>464.075871693848</v>
      </c>
      <c r="O732" s="116">
        <v>455.20991502239298</v>
      </c>
      <c r="P732" s="116">
        <v>462.54042668370801</v>
      </c>
      <c r="Q732" s="116">
        <v>921</v>
      </c>
      <c r="R732">
        <v>5588486</v>
      </c>
    </row>
    <row r="733" spans="1:18" x14ac:dyDescent="0.25">
      <c r="A733" s="170">
        <v>43080</v>
      </c>
      <c r="B733" s="116">
        <v>458.36326396512402</v>
      </c>
      <c r="C733" s="116">
        <v>453.63327404576899</v>
      </c>
      <c r="D733" s="116">
        <v>452.44458547964899</v>
      </c>
      <c r="E733" s="116">
        <v>456.060179868266</v>
      </c>
      <c r="F733" s="116">
        <v>915.9</v>
      </c>
      <c r="G733">
        <v>428087</v>
      </c>
      <c r="H733" s="116"/>
      <c r="I733" s="116"/>
      <c r="L733" s="170">
        <v>43080</v>
      </c>
      <c r="M733" s="116">
        <v>453.77353098064901</v>
      </c>
      <c r="N733" s="116">
        <v>458.65228367415898</v>
      </c>
      <c r="O733" s="116">
        <v>452.48573839149901</v>
      </c>
      <c r="P733" s="116">
        <v>456.89395148512801</v>
      </c>
      <c r="Q733" s="116">
        <v>916.15</v>
      </c>
      <c r="R733">
        <v>4933853</v>
      </c>
    </row>
    <row r="734" spans="1:18" x14ac:dyDescent="0.25">
      <c r="A734" s="170">
        <v>43081</v>
      </c>
      <c r="B734" s="116">
        <v>460.09676812405002</v>
      </c>
      <c r="C734" s="116">
        <v>453.21228017860199</v>
      </c>
      <c r="D734" s="116">
        <v>449.670978825367</v>
      </c>
      <c r="E734" s="116">
        <v>452.44458547964899</v>
      </c>
      <c r="F734" s="116">
        <v>915.05</v>
      </c>
      <c r="G734">
        <v>535672</v>
      </c>
      <c r="H734" s="116"/>
      <c r="I734" s="116"/>
      <c r="L734" s="170">
        <v>43081</v>
      </c>
      <c r="M734" s="116">
        <v>453.50111331756</v>
      </c>
      <c r="N734" s="116">
        <v>460.13819820010099</v>
      </c>
      <c r="O734" s="116">
        <v>449.73679651850603</v>
      </c>
      <c r="P734" s="116">
        <v>453.67447001225298</v>
      </c>
      <c r="Q734" s="116">
        <v>915.6</v>
      </c>
      <c r="R734">
        <v>7215014</v>
      </c>
    </row>
    <row r="735" spans="1:18" x14ac:dyDescent="0.25">
      <c r="A735" s="170">
        <v>43082</v>
      </c>
      <c r="B735" s="116">
        <v>457.79368402719098</v>
      </c>
      <c r="C735" s="116">
        <v>452.69222893092399</v>
      </c>
      <c r="D735" s="116">
        <v>451.70165512582298</v>
      </c>
      <c r="E735" s="116">
        <v>455.54012862058801</v>
      </c>
      <c r="F735" s="116">
        <v>914</v>
      </c>
      <c r="G735">
        <v>556810</v>
      </c>
      <c r="H735" s="116"/>
      <c r="I735" s="116"/>
      <c r="L735" s="170">
        <v>43082</v>
      </c>
      <c r="M735" s="116">
        <v>453.03057371767801</v>
      </c>
      <c r="N735" s="116">
        <v>458.132213590079</v>
      </c>
      <c r="O735" s="116">
        <v>451.07411959185401</v>
      </c>
      <c r="P735" s="116">
        <v>454.14500961213503</v>
      </c>
      <c r="Q735" s="116">
        <v>914.65</v>
      </c>
      <c r="R735">
        <v>4182097</v>
      </c>
    </row>
    <row r="736" spans="1:18" x14ac:dyDescent="0.25">
      <c r="A736" s="170">
        <v>43083</v>
      </c>
      <c r="B736" s="116">
        <v>458.14038485897697</v>
      </c>
      <c r="C736" s="116">
        <v>455.93635814262802</v>
      </c>
      <c r="D736" s="116">
        <v>450.215794418173</v>
      </c>
      <c r="E736" s="116">
        <v>455.66395034622502</v>
      </c>
      <c r="F736" s="116">
        <v>920.55</v>
      </c>
      <c r="G736">
        <v>1041124</v>
      </c>
      <c r="H736" s="116"/>
      <c r="I736" s="116"/>
      <c r="L736" s="170">
        <v>43083</v>
      </c>
      <c r="M736" s="116">
        <v>456.42341188524603</v>
      </c>
      <c r="N736" s="116">
        <v>458.10744834797998</v>
      </c>
      <c r="O736" s="116">
        <v>450.10827514999198</v>
      </c>
      <c r="P736" s="116">
        <v>455.18514978029401</v>
      </c>
      <c r="Q736" s="116">
        <v>921.5</v>
      </c>
      <c r="R736">
        <v>5021130</v>
      </c>
    </row>
    <row r="737" spans="1:18" x14ac:dyDescent="0.25">
      <c r="A737" s="170">
        <v>43084</v>
      </c>
      <c r="B737" s="116">
        <v>462.10268007937901</v>
      </c>
      <c r="C737" s="116">
        <v>455.61442165596998</v>
      </c>
      <c r="D737" s="116">
        <v>454.42573308984998</v>
      </c>
      <c r="E737" s="116">
        <v>460.220589849688</v>
      </c>
      <c r="F737" s="116">
        <v>919.9</v>
      </c>
      <c r="G737">
        <v>414425</v>
      </c>
      <c r="H737" s="116"/>
      <c r="I737" s="116"/>
      <c r="L737" s="170">
        <v>43084</v>
      </c>
      <c r="M737" s="116">
        <v>455.55662841178003</v>
      </c>
      <c r="N737" s="116">
        <v>462.09465232592498</v>
      </c>
      <c r="O737" s="116">
        <v>454.54125348571898</v>
      </c>
      <c r="P737" s="116">
        <v>461.12880788406301</v>
      </c>
      <c r="Q737" s="116">
        <v>919.75</v>
      </c>
      <c r="R737">
        <v>11158706</v>
      </c>
    </row>
    <row r="738" spans="1:18" x14ac:dyDescent="0.25">
      <c r="A738" s="170">
        <v>43087</v>
      </c>
      <c r="B738" s="116">
        <v>461.23592799991599</v>
      </c>
      <c r="C738" s="116">
        <v>455.36677820469498</v>
      </c>
      <c r="D738" s="116">
        <v>426.78872392754602</v>
      </c>
      <c r="E738" s="116">
        <v>454.17808963857499</v>
      </c>
      <c r="F738" s="116">
        <v>919.4</v>
      </c>
      <c r="G738">
        <v>568232</v>
      </c>
      <c r="H738" s="116"/>
      <c r="I738" s="116"/>
      <c r="L738" s="170">
        <v>43087</v>
      </c>
      <c r="M738" s="116">
        <v>456.17575946425598</v>
      </c>
      <c r="N738" s="116">
        <v>461.94606087333102</v>
      </c>
      <c r="O738" s="116">
        <v>427.27472193467997</v>
      </c>
      <c r="P738" s="116">
        <v>451.69325064433002</v>
      </c>
      <c r="Q738" s="116">
        <v>921</v>
      </c>
      <c r="R738">
        <v>8494801</v>
      </c>
    </row>
    <row r="739" spans="1:18" x14ac:dyDescent="0.25">
      <c r="A739" s="170">
        <v>43088</v>
      </c>
      <c r="B739" s="116">
        <v>459.08142997382203</v>
      </c>
      <c r="C739" s="116">
        <v>457.64509795642601</v>
      </c>
      <c r="D739" s="116">
        <v>455.68871469135303</v>
      </c>
      <c r="E739" s="116">
        <v>456.40688070005098</v>
      </c>
      <c r="F739" s="116">
        <v>924</v>
      </c>
      <c r="G739">
        <v>529672</v>
      </c>
      <c r="H739" s="116"/>
      <c r="I739" s="116"/>
      <c r="L739" s="170">
        <v>43088</v>
      </c>
      <c r="M739" s="116">
        <v>458.62751843206001</v>
      </c>
      <c r="N739" s="116">
        <v>459.14758851613999</v>
      </c>
      <c r="O739" s="116">
        <v>455.68045462227502</v>
      </c>
      <c r="P739" s="116">
        <v>457.46355205340501</v>
      </c>
      <c r="Q739" s="116">
        <v>925.95</v>
      </c>
      <c r="R739">
        <v>4064982</v>
      </c>
    </row>
    <row r="740" spans="1:18" x14ac:dyDescent="0.25">
      <c r="A740" s="170">
        <v>43089</v>
      </c>
      <c r="B740" s="116">
        <v>459.13095866407701</v>
      </c>
      <c r="C740" s="116">
        <v>455.04484171803801</v>
      </c>
      <c r="D740" s="116">
        <v>454.17808963857499</v>
      </c>
      <c r="E740" s="116">
        <v>458.14038485897697</v>
      </c>
      <c r="F740" s="116">
        <v>918.75</v>
      </c>
      <c r="G740">
        <v>575306</v>
      </c>
      <c r="H740" s="116"/>
      <c r="I740" s="116"/>
      <c r="L740" s="170">
        <v>43089</v>
      </c>
      <c r="M740" s="116">
        <v>454.76414066461001</v>
      </c>
      <c r="N740" s="116">
        <v>459.345710452932</v>
      </c>
      <c r="O740" s="116">
        <v>454.19454009633301</v>
      </c>
      <c r="P740" s="116">
        <v>458.60275318996099</v>
      </c>
      <c r="Q740" s="116">
        <v>918.15</v>
      </c>
      <c r="R740">
        <v>4774414</v>
      </c>
    </row>
    <row r="741" spans="1:18" x14ac:dyDescent="0.25">
      <c r="A741" s="170">
        <v>43090</v>
      </c>
      <c r="B741" s="116">
        <v>457.248868434386</v>
      </c>
      <c r="C741" s="116">
        <v>452.22170637350098</v>
      </c>
      <c r="D741" s="116">
        <v>451.25589691352798</v>
      </c>
      <c r="E741" s="116">
        <v>455.66395034622502</v>
      </c>
      <c r="F741" s="116">
        <v>913.05</v>
      </c>
      <c r="G741">
        <v>312577</v>
      </c>
      <c r="H741" s="116"/>
      <c r="I741" s="116"/>
      <c r="L741" s="170">
        <v>43090</v>
      </c>
      <c r="M741" s="116">
        <v>452.18855548631097</v>
      </c>
      <c r="N741" s="116">
        <v>457.63690874809902</v>
      </c>
      <c r="O741" s="116">
        <v>450.72740620246702</v>
      </c>
      <c r="P741" s="116">
        <v>454.912732117205</v>
      </c>
      <c r="Q741" s="116">
        <v>912.95</v>
      </c>
      <c r="R741">
        <v>4147162</v>
      </c>
    </row>
    <row r="742" spans="1:18" x14ac:dyDescent="0.25">
      <c r="A742" s="170">
        <v>43091</v>
      </c>
      <c r="B742" s="116">
        <v>456.65452415132597</v>
      </c>
      <c r="C742" s="116">
        <v>454.92101999239998</v>
      </c>
      <c r="D742" s="116">
        <v>450.81013870123297</v>
      </c>
      <c r="E742" s="116">
        <v>453.68280273602397</v>
      </c>
      <c r="F742" s="116">
        <v>918.5</v>
      </c>
      <c r="G742">
        <v>295905</v>
      </c>
      <c r="H742" s="116"/>
      <c r="I742" s="116"/>
      <c r="L742" s="170">
        <v>43091</v>
      </c>
      <c r="M742" s="116">
        <v>455.87857655906703</v>
      </c>
      <c r="N742" s="116">
        <v>456.86918624302899</v>
      </c>
      <c r="O742" s="116">
        <v>450.380692813081</v>
      </c>
      <c r="P742" s="116">
        <v>453.03057371767801</v>
      </c>
      <c r="Q742" s="116">
        <v>920.4</v>
      </c>
      <c r="R742">
        <v>4872675</v>
      </c>
    </row>
    <row r="743" spans="1:18" x14ac:dyDescent="0.25">
      <c r="A743" s="170">
        <v>43095</v>
      </c>
      <c r="B743" s="116">
        <v>463.88571292855897</v>
      </c>
      <c r="C743" s="116">
        <v>459.62624556662701</v>
      </c>
      <c r="D743" s="116">
        <v>454.97054868265502</v>
      </c>
      <c r="E743" s="116">
        <v>457.14981105387602</v>
      </c>
      <c r="F743" s="116">
        <v>928</v>
      </c>
      <c r="G743">
        <v>404624</v>
      </c>
      <c r="H743" s="116"/>
      <c r="I743" s="116"/>
      <c r="L743" s="170">
        <v>43095</v>
      </c>
      <c r="M743" s="116">
        <v>460.53444207368602</v>
      </c>
      <c r="N743" s="116">
        <v>465.041716135711</v>
      </c>
      <c r="O743" s="116">
        <v>454.76414066461001</v>
      </c>
      <c r="P743" s="116">
        <v>458.08268310588102</v>
      </c>
      <c r="Q743" s="116">
        <v>929.8</v>
      </c>
      <c r="R743">
        <v>5301456</v>
      </c>
    </row>
    <row r="744" spans="1:18" x14ac:dyDescent="0.25">
      <c r="A744" s="170">
        <v>43096</v>
      </c>
      <c r="B744" s="116">
        <v>463.96000596394202</v>
      </c>
      <c r="C744" s="116">
        <v>456.80311022209099</v>
      </c>
      <c r="D744" s="116">
        <v>454.84672695701698</v>
      </c>
      <c r="E744" s="116">
        <v>460.69111240710998</v>
      </c>
      <c r="F744" s="116">
        <v>922.3</v>
      </c>
      <c r="G744">
        <v>390127</v>
      </c>
      <c r="H744" s="116"/>
      <c r="I744" s="116"/>
      <c r="L744" s="170">
        <v>43096</v>
      </c>
      <c r="M744" s="116">
        <v>457.53784777970299</v>
      </c>
      <c r="N744" s="116">
        <v>464.34828935693798</v>
      </c>
      <c r="O744" s="116">
        <v>455.18514978029401</v>
      </c>
      <c r="P744" s="116">
        <v>462.11941756802401</v>
      </c>
      <c r="Q744" s="116">
        <v>923.75</v>
      </c>
      <c r="R744">
        <v>4352384</v>
      </c>
    </row>
    <row r="745" spans="1:18" x14ac:dyDescent="0.25">
      <c r="A745" s="170">
        <v>43097</v>
      </c>
      <c r="B745" s="116">
        <v>462.69702436243898</v>
      </c>
      <c r="C745" s="116">
        <v>457.84321271744602</v>
      </c>
      <c r="D745" s="116">
        <v>454.99531302778303</v>
      </c>
      <c r="E745" s="116">
        <v>457.248868434386</v>
      </c>
      <c r="F745" s="116">
        <v>924.4</v>
      </c>
      <c r="G745">
        <v>557798</v>
      </c>
      <c r="H745" s="116"/>
      <c r="I745" s="116"/>
      <c r="L745" s="170">
        <v>43097</v>
      </c>
      <c r="M745" s="116">
        <v>457.76073495859401</v>
      </c>
      <c r="N745" s="116">
        <v>462.81284434679702</v>
      </c>
      <c r="O745" s="116">
        <v>455.234680264492</v>
      </c>
      <c r="P745" s="116">
        <v>458.28080504267399</v>
      </c>
      <c r="Q745" s="116">
        <v>924.2</v>
      </c>
      <c r="R745">
        <v>7091515</v>
      </c>
    </row>
    <row r="746" spans="1:18" x14ac:dyDescent="0.25">
      <c r="A746" s="170">
        <v>43098</v>
      </c>
      <c r="B746" s="116">
        <v>461.73121490246598</v>
      </c>
      <c r="C746" s="116">
        <v>456.18400159390302</v>
      </c>
      <c r="D746" s="116">
        <v>454.72290523138003</v>
      </c>
      <c r="E746" s="116">
        <v>458.58614307127198</v>
      </c>
      <c r="F746" s="116">
        <v>921.05</v>
      </c>
      <c r="G746">
        <v>913689</v>
      </c>
      <c r="H746" s="116"/>
      <c r="I746" s="116"/>
      <c r="L746" s="170">
        <v>43098</v>
      </c>
      <c r="M746" s="116">
        <v>456.200524706355</v>
      </c>
      <c r="N746" s="116">
        <v>461.77270417863798</v>
      </c>
      <c r="O746" s="116">
        <v>454.93749735930402</v>
      </c>
      <c r="P746" s="116">
        <v>458.89993609515</v>
      </c>
      <c r="Q746" s="116">
        <v>921.05</v>
      </c>
      <c r="R746">
        <v>5069838</v>
      </c>
    </row>
    <row r="747" spans="1:18" x14ac:dyDescent="0.25">
      <c r="A747" s="170">
        <v>43101</v>
      </c>
      <c r="B747" s="116">
        <v>457.14981105387602</v>
      </c>
      <c r="C747" s="116">
        <v>451.47877601967599</v>
      </c>
      <c r="D747" s="116">
        <v>450.56249524995798</v>
      </c>
      <c r="E747" s="116">
        <v>456.65452415132597</v>
      </c>
      <c r="F747" s="116">
        <v>911.55</v>
      </c>
      <c r="G747">
        <v>242669</v>
      </c>
      <c r="H747" s="116"/>
      <c r="I747" s="116"/>
      <c r="L747" s="170">
        <v>43101</v>
      </c>
      <c r="M747" s="116">
        <v>450.60357999197203</v>
      </c>
      <c r="N747" s="116">
        <v>457.01777769562301</v>
      </c>
      <c r="O747" s="116">
        <v>449.48914409751598</v>
      </c>
      <c r="P747" s="116">
        <v>457.01777769562301</v>
      </c>
      <c r="Q747" s="116">
        <v>909.75</v>
      </c>
      <c r="R747">
        <v>4321686</v>
      </c>
    </row>
    <row r="748" spans="1:18" x14ac:dyDescent="0.25">
      <c r="A748" s="170">
        <v>43102</v>
      </c>
      <c r="B748" s="116">
        <v>455.26772082418501</v>
      </c>
      <c r="C748" s="116">
        <v>451.404482984293</v>
      </c>
      <c r="D748" s="116">
        <v>449.34904233870998</v>
      </c>
      <c r="E748" s="116">
        <v>453.18751583347398</v>
      </c>
      <c r="F748" s="116">
        <v>911.4</v>
      </c>
      <c r="G748">
        <v>1763025</v>
      </c>
      <c r="H748" s="116"/>
      <c r="I748" s="116"/>
      <c r="L748" s="170">
        <v>43102</v>
      </c>
      <c r="M748" s="116">
        <v>451.29700677074499</v>
      </c>
      <c r="N748" s="116">
        <v>455.45756744338303</v>
      </c>
      <c r="O748" s="116">
        <v>448.94430877133698</v>
      </c>
      <c r="P748" s="116">
        <v>452.21332072841</v>
      </c>
      <c r="Q748" s="116">
        <v>911.15</v>
      </c>
      <c r="R748">
        <v>4342815</v>
      </c>
    </row>
    <row r="749" spans="1:18" x14ac:dyDescent="0.25">
      <c r="A749" s="170">
        <v>43103</v>
      </c>
      <c r="B749" s="116">
        <v>459.23001604458699</v>
      </c>
      <c r="C749" s="116">
        <v>453.856153151917</v>
      </c>
      <c r="D749" s="116">
        <v>452.34552809913902</v>
      </c>
      <c r="E749" s="116">
        <v>457.86797706257403</v>
      </c>
      <c r="F749" s="116">
        <v>916.35</v>
      </c>
      <c r="G749">
        <v>515755</v>
      </c>
      <c r="H749" s="116"/>
      <c r="I749" s="116"/>
      <c r="L749" s="170">
        <v>43103</v>
      </c>
      <c r="M749" s="116">
        <v>453.10486944397502</v>
      </c>
      <c r="N749" s="116">
        <v>458.65228367415898</v>
      </c>
      <c r="O749" s="116">
        <v>452.23808597050902</v>
      </c>
      <c r="P749" s="116">
        <v>458.15697883217803</v>
      </c>
      <c r="Q749" s="116">
        <v>914.8</v>
      </c>
      <c r="R749">
        <v>6175312</v>
      </c>
    </row>
    <row r="750" spans="1:18" x14ac:dyDescent="0.25">
      <c r="A750" s="170">
        <v>43104</v>
      </c>
      <c r="B750" s="116">
        <v>456.555466770816</v>
      </c>
      <c r="C750" s="116">
        <v>455.787772071863</v>
      </c>
      <c r="D750" s="116">
        <v>453.68280273602397</v>
      </c>
      <c r="E750" s="116">
        <v>455.16866344367497</v>
      </c>
      <c r="F750" s="116">
        <v>920.25</v>
      </c>
      <c r="G750">
        <v>238922</v>
      </c>
      <c r="H750" s="116"/>
      <c r="I750" s="116"/>
      <c r="L750" s="170">
        <v>43104</v>
      </c>
      <c r="M750" s="116">
        <v>455.82904607486898</v>
      </c>
      <c r="N750" s="116">
        <v>456.57200333783999</v>
      </c>
      <c r="O750" s="116">
        <v>453.55064380175799</v>
      </c>
      <c r="P750" s="116">
        <v>454.76414066461001</v>
      </c>
      <c r="Q750" s="116">
        <v>920.3</v>
      </c>
      <c r="R750">
        <v>4118581</v>
      </c>
    </row>
    <row r="751" spans="1:18" x14ac:dyDescent="0.25">
      <c r="A751" s="170">
        <v>43105</v>
      </c>
      <c r="B751" s="116">
        <v>458.56137872614403</v>
      </c>
      <c r="C751" s="116">
        <v>457.14981105387602</v>
      </c>
      <c r="D751" s="116">
        <v>455.39154254982299</v>
      </c>
      <c r="E751" s="116">
        <v>455.91159379750002</v>
      </c>
      <c r="F751" s="116">
        <v>923</v>
      </c>
      <c r="G751">
        <v>406686</v>
      </c>
      <c r="H751" s="116"/>
      <c r="I751" s="116"/>
      <c r="L751" s="170">
        <v>43105</v>
      </c>
      <c r="M751" s="116">
        <v>457.29019535871203</v>
      </c>
      <c r="N751" s="116">
        <v>459.098058031942</v>
      </c>
      <c r="O751" s="116">
        <v>455.80428083277002</v>
      </c>
      <c r="P751" s="116">
        <v>456.57200333783999</v>
      </c>
      <c r="Q751" s="116">
        <v>923.25</v>
      </c>
      <c r="R751">
        <v>3401905</v>
      </c>
    </row>
    <row r="752" spans="1:18" x14ac:dyDescent="0.25">
      <c r="A752" s="170">
        <v>43108</v>
      </c>
      <c r="B752" s="116">
        <v>460.71587675223799</v>
      </c>
      <c r="C752" s="116">
        <v>459.84912467277502</v>
      </c>
      <c r="D752" s="116">
        <v>457.44698319540601</v>
      </c>
      <c r="E752" s="116">
        <v>457.694626646681</v>
      </c>
      <c r="F752" s="116">
        <v>928.45</v>
      </c>
      <c r="G752">
        <v>332558</v>
      </c>
      <c r="H752" s="116"/>
      <c r="I752" s="116"/>
      <c r="L752" s="170">
        <v>43108</v>
      </c>
      <c r="M752" s="116">
        <v>459.91531102121002</v>
      </c>
      <c r="N752" s="116">
        <v>461.12880788406301</v>
      </c>
      <c r="O752" s="116">
        <v>457.41402156920702</v>
      </c>
      <c r="P752" s="116">
        <v>458.70181415835702</v>
      </c>
      <c r="Q752" s="116">
        <v>928.55</v>
      </c>
      <c r="R752">
        <v>4035417</v>
      </c>
    </row>
    <row r="753" spans="1:18" x14ac:dyDescent="0.25">
      <c r="A753" s="170">
        <v>43109</v>
      </c>
      <c r="B753" s="116">
        <v>467.52607166230399</v>
      </c>
      <c r="C753" s="116">
        <v>466.01544660952499</v>
      </c>
      <c r="D753" s="116">
        <v>457.64509795642601</v>
      </c>
      <c r="E753" s="116">
        <v>460.146296814305</v>
      </c>
      <c r="F753" s="116">
        <v>940.9</v>
      </c>
      <c r="G753">
        <v>519256</v>
      </c>
      <c r="H753" s="116"/>
      <c r="I753" s="116"/>
      <c r="L753" s="170">
        <v>43109</v>
      </c>
      <c r="M753" s="116">
        <v>466.05709106177102</v>
      </c>
      <c r="N753" s="116">
        <v>467.518240345614</v>
      </c>
      <c r="O753" s="116">
        <v>457.66167399019798</v>
      </c>
      <c r="P753" s="116">
        <v>459.71718908441801</v>
      </c>
      <c r="Q753" s="116">
        <v>940.95</v>
      </c>
      <c r="R753">
        <v>6534997</v>
      </c>
    </row>
    <row r="754" spans="1:18" x14ac:dyDescent="0.25">
      <c r="A754" s="170">
        <v>43110</v>
      </c>
      <c r="B754" s="116">
        <v>468.91287498944399</v>
      </c>
      <c r="C754" s="116">
        <v>466.31261875105599</v>
      </c>
      <c r="D754" s="116">
        <v>463.29136864549901</v>
      </c>
      <c r="E754" s="116">
        <v>468.04612290998102</v>
      </c>
      <c r="F754" s="116">
        <v>941.5</v>
      </c>
      <c r="G754">
        <v>352402</v>
      </c>
      <c r="H754" s="116"/>
      <c r="I754" s="116"/>
      <c r="L754" s="170">
        <v>43110</v>
      </c>
      <c r="M754" s="116">
        <v>466.75051784054398</v>
      </c>
      <c r="N754" s="116">
        <v>469.25180729254703</v>
      </c>
      <c r="O754" s="116">
        <v>463.35767967297602</v>
      </c>
      <c r="P754" s="116">
        <v>467.072465987832</v>
      </c>
      <c r="Q754" s="116">
        <v>942.35</v>
      </c>
      <c r="R754">
        <v>5361502</v>
      </c>
    </row>
    <row r="755" spans="1:18" x14ac:dyDescent="0.25">
      <c r="A755" s="170">
        <v>43111</v>
      </c>
      <c r="B755" s="116">
        <v>466.931727379243</v>
      </c>
      <c r="C755" s="116">
        <v>464.18288507008998</v>
      </c>
      <c r="D755" s="116">
        <v>463.093253884479</v>
      </c>
      <c r="E755" s="116">
        <v>466.43644047669301</v>
      </c>
      <c r="F755" s="116">
        <v>937.2</v>
      </c>
      <c r="G755">
        <v>268912</v>
      </c>
      <c r="H755" s="116"/>
      <c r="I755" s="116"/>
      <c r="L755" s="170">
        <v>43111</v>
      </c>
      <c r="M755" s="116">
        <v>464.47211556743298</v>
      </c>
      <c r="N755" s="116">
        <v>466.899109293138</v>
      </c>
      <c r="O755" s="116">
        <v>463.11002725198603</v>
      </c>
      <c r="P755" s="116">
        <v>466.47810017745502</v>
      </c>
      <c r="Q755" s="116">
        <v>937.75</v>
      </c>
      <c r="R755">
        <v>3588727</v>
      </c>
    </row>
    <row r="756" spans="1:18" x14ac:dyDescent="0.25">
      <c r="A756" s="170">
        <v>43112</v>
      </c>
      <c r="B756" s="116">
        <v>471.43883819245099</v>
      </c>
      <c r="C756" s="116">
        <v>468.91287498944399</v>
      </c>
      <c r="D756" s="116">
        <v>464.62864328238499</v>
      </c>
      <c r="E756" s="116">
        <v>466.56026220233099</v>
      </c>
      <c r="F756" s="116">
        <v>946.75</v>
      </c>
      <c r="G756">
        <v>596333</v>
      </c>
      <c r="H756" s="116"/>
      <c r="I756" s="116"/>
      <c r="L756" s="170">
        <v>43112</v>
      </c>
      <c r="M756" s="116">
        <v>470.04429503971602</v>
      </c>
      <c r="N756" s="116">
        <v>471.92645343924301</v>
      </c>
      <c r="O756" s="116">
        <v>464.71976798842297</v>
      </c>
      <c r="P756" s="116">
        <v>467.072465987832</v>
      </c>
      <c r="Q756" s="116">
        <v>949</v>
      </c>
      <c r="R756">
        <v>6890028</v>
      </c>
    </row>
    <row r="757" spans="1:18" x14ac:dyDescent="0.25">
      <c r="A757" s="170">
        <v>43115</v>
      </c>
      <c r="B757" s="116">
        <v>474.261973536987</v>
      </c>
      <c r="C757" s="116">
        <v>469.33386885661201</v>
      </c>
      <c r="D757" s="116">
        <v>468.14518029049202</v>
      </c>
      <c r="E757" s="116">
        <v>470.62161480324301</v>
      </c>
      <c r="F757" s="116">
        <v>947.6</v>
      </c>
      <c r="G757">
        <v>445379</v>
      </c>
      <c r="H757" s="116"/>
      <c r="I757" s="116"/>
      <c r="L757" s="170">
        <v>43115</v>
      </c>
      <c r="M757" s="116">
        <v>470.11859076601303</v>
      </c>
      <c r="N757" s="116">
        <v>474.749691038533</v>
      </c>
      <c r="O757" s="116">
        <v>468.16213664018898</v>
      </c>
      <c r="P757" s="116">
        <v>470.53959988169697</v>
      </c>
      <c r="Q757" s="116">
        <v>949.15</v>
      </c>
      <c r="R757">
        <v>5084113</v>
      </c>
    </row>
    <row r="758" spans="1:18" x14ac:dyDescent="0.25">
      <c r="A758" s="170">
        <v>43116</v>
      </c>
      <c r="B758" s="116">
        <v>470.02727052018201</v>
      </c>
      <c r="C758" s="116">
        <v>457.39745450515102</v>
      </c>
      <c r="D758" s="116">
        <v>455.66395034622502</v>
      </c>
      <c r="E758" s="116">
        <v>470.02727052018201</v>
      </c>
      <c r="F758" s="116">
        <v>923.5</v>
      </c>
      <c r="G758">
        <v>479344</v>
      </c>
      <c r="H758" s="116"/>
      <c r="I758" s="116"/>
      <c r="L758" s="170">
        <v>43116</v>
      </c>
      <c r="M758" s="116">
        <v>457.14160390611801</v>
      </c>
      <c r="N758" s="116">
        <v>469.40039874514099</v>
      </c>
      <c r="O758" s="116">
        <v>455.68045462227502</v>
      </c>
      <c r="P758" s="116">
        <v>469.40039874514099</v>
      </c>
      <c r="Q758" s="116">
        <v>922.95</v>
      </c>
      <c r="R758">
        <v>4948895</v>
      </c>
    </row>
    <row r="759" spans="1:18" x14ac:dyDescent="0.25">
      <c r="A759" s="170">
        <v>43117</v>
      </c>
      <c r="B759" s="116">
        <v>459.948182053285</v>
      </c>
      <c r="C759" s="116">
        <v>457.967034443084</v>
      </c>
      <c r="D759" s="116">
        <v>449.72050751562199</v>
      </c>
      <c r="E759" s="116">
        <v>458.14038485897697</v>
      </c>
      <c r="F759" s="116">
        <v>924.65</v>
      </c>
      <c r="G759">
        <v>360307</v>
      </c>
      <c r="H759" s="116"/>
      <c r="I759" s="116"/>
      <c r="L759" s="170">
        <v>43117</v>
      </c>
      <c r="M759" s="116">
        <v>457.90932641118798</v>
      </c>
      <c r="N759" s="116">
        <v>460.13819820010099</v>
      </c>
      <c r="O759" s="116">
        <v>449.24149167652502</v>
      </c>
      <c r="P759" s="116">
        <v>458.65228367415898</v>
      </c>
      <c r="Q759" s="116">
        <v>924.5</v>
      </c>
      <c r="R759">
        <v>6036432</v>
      </c>
    </row>
    <row r="760" spans="1:18" x14ac:dyDescent="0.25">
      <c r="A760" s="170">
        <v>43118</v>
      </c>
      <c r="B760" s="116">
        <v>460.61681937172801</v>
      </c>
      <c r="C760" s="116">
        <v>455.31724951443999</v>
      </c>
      <c r="D760" s="116">
        <v>451.20636822327299</v>
      </c>
      <c r="E760" s="116">
        <v>460.61681937172801</v>
      </c>
      <c r="F760" s="116">
        <v>919.3</v>
      </c>
      <c r="G760">
        <v>354147</v>
      </c>
      <c r="H760" s="116"/>
      <c r="I760" s="116"/>
      <c r="L760" s="170">
        <v>43118</v>
      </c>
      <c r="M760" s="116">
        <v>455.531863169681</v>
      </c>
      <c r="N760" s="116">
        <v>460.43538110528999</v>
      </c>
      <c r="O760" s="116">
        <v>453.25346089656898</v>
      </c>
      <c r="P760" s="116">
        <v>460.13819820010099</v>
      </c>
      <c r="Q760" s="116">
        <v>919.7</v>
      </c>
      <c r="R760">
        <v>4289053</v>
      </c>
    </row>
    <row r="761" spans="1:18" x14ac:dyDescent="0.25">
      <c r="A761" s="170">
        <v>43119</v>
      </c>
      <c r="B761" s="116">
        <v>461.78074359272102</v>
      </c>
      <c r="C761" s="116">
        <v>460.29488288507002</v>
      </c>
      <c r="D761" s="116">
        <v>456.65452415132597</v>
      </c>
      <c r="E761" s="116">
        <v>456.65452415132597</v>
      </c>
      <c r="F761" s="116">
        <v>929.35</v>
      </c>
      <c r="G761">
        <v>600361</v>
      </c>
      <c r="H761" s="116"/>
      <c r="I761" s="116"/>
      <c r="L761" s="170">
        <v>43119</v>
      </c>
      <c r="M761" s="116">
        <v>461.27739933665703</v>
      </c>
      <c r="N761" s="116">
        <v>462.81284434679702</v>
      </c>
      <c r="O761" s="116">
        <v>456.72059479043401</v>
      </c>
      <c r="P761" s="116">
        <v>457.16636914821697</v>
      </c>
      <c r="Q761" s="116">
        <v>931.3</v>
      </c>
      <c r="R761">
        <v>4559564</v>
      </c>
    </row>
    <row r="762" spans="1:18" x14ac:dyDescent="0.25">
      <c r="A762" s="170">
        <v>43122</v>
      </c>
      <c r="B762" s="116">
        <v>482.65708653521398</v>
      </c>
      <c r="C762" s="116">
        <v>481.02263975679801</v>
      </c>
      <c r="D762" s="116">
        <v>465.61921708748503</v>
      </c>
      <c r="E762" s="116">
        <v>469.77962706890702</v>
      </c>
      <c r="F762" s="116">
        <v>971.2</v>
      </c>
      <c r="G762">
        <v>1773742</v>
      </c>
      <c r="H762" s="116"/>
      <c r="I762" s="116"/>
      <c r="L762" s="170">
        <v>43122</v>
      </c>
      <c r="M762" s="116">
        <v>481.18865398428301</v>
      </c>
      <c r="N762" s="116">
        <v>482.57550754182898</v>
      </c>
      <c r="O762" s="116">
        <v>465.58655146188897</v>
      </c>
      <c r="P762" s="116">
        <v>469.54899019773501</v>
      </c>
      <c r="Q762" s="116">
        <v>971.5</v>
      </c>
      <c r="R762">
        <v>20892838</v>
      </c>
    </row>
    <row r="763" spans="1:18" x14ac:dyDescent="0.25">
      <c r="A763" s="170">
        <v>43123</v>
      </c>
      <c r="B763" s="116">
        <v>490.33403352474198</v>
      </c>
      <c r="C763" s="116">
        <v>486.22315223357498</v>
      </c>
      <c r="D763" s="116">
        <v>482.90472998648897</v>
      </c>
      <c r="E763" s="116">
        <v>482.90472998648897</v>
      </c>
      <c r="F763" s="116">
        <v>981.7</v>
      </c>
      <c r="G763">
        <v>669605</v>
      </c>
      <c r="H763" s="116"/>
      <c r="I763" s="116"/>
      <c r="L763" s="170">
        <v>43123</v>
      </c>
      <c r="M763" s="116">
        <v>487.00848587755598</v>
      </c>
      <c r="N763" s="116">
        <v>490.822333160808</v>
      </c>
      <c r="O763" s="116">
        <v>482.92222093121501</v>
      </c>
      <c r="P763" s="116">
        <v>482.92222093121501</v>
      </c>
      <c r="Q763" s="116">
        <v>983.25</v>
      </c>
      <c r="R763">
        <v>10298500</v>
      </c>
    </row>
    <row r="764" spans="1:18" x14ac:dyDescent="0.25">
      <c r="A764" s="170">
        <v>43124</v>
      </c>
      <c r="B764" s="116">
        <v>486.32220961408598</v>
      </c>
      <c r="C764" s="116">
        <v>477.72898185483899</v>
      </c>
      <c r="D764" s="116">
        <v>475.72306989950999</v>
      </c>
      <c r="E764" s="116">
        <v>486.32220961408598</v>
      </c>
      <c r="F764" s="116">
        <v>964.55</v>
      </c>
      <c r="G764">
        <v>441731</v>
      </c>
      <c r="H764" s="116"/>
      <c r="I764" s="116"/>
      <c r="L764" s="170">
        <v>43124</v>
      </c>
      <c r="M764" s="116">
        <v>478.63783404808203</v>
      </c>
      <c r="N764" s="116">
        <v>486.26552861458498</v>
      </c>
      <c r="O764" s="116">
        <v>476.80520613275303</v>
      </c>
      <c r="P764" s="116">
        <v>486.26552861458498</v>
      </c>
      <c r="Q764" s="116">
        <v>966.35</v>
      </c>
      <c r="R764">
        <v>6532672</v>
      </c>
    </row>
    <row r="765" spans="1:18" x14ac:dyDescent="0.25">
      <c r="A765" s="170">
        <v>43125</v>
      </c>
      <c r="B765" s="116">
        <v>481.14646148243497</v>
      </c>
      <c r="C765" s="116">
        <v>477.72898185483899</v>
      </c>
      <c r="D765" s="116">
        <v>474.11338746622198</v>
      </c>
      <c r="E765" s="116">
        <v>480.42829547373799</v>
      </c>
      <c r="F765" s="116">
        <v>964.55</v>
      </c>
      <c r="G765">
        <v>421966</v>
      </c>
      <c r="H765" s="116"/>
      <c r="I765" s="116"/>
      <c r="L765" s="170">
        <v>43125</v>
      </c>
      <c r="M765" s="116">
        <v>478.41494686918998</v>
      </c>
      <c r="N765" s="116">
        <v>481.436306405273</v>
      </c>
      <c r="O765" s="116">
        <v>473.585724659878</v>
      </c>
      <c r="P765" s="116">
        <v>479.405556553152</v>
      </c>
      <c r="Q765" s="116">
        <v>965.9</v>
      </c>
      <c r="R765">
        <v>6249419</v>
      </c>
    </row>
    <row r="766" spans="1:18" x14ac:dyDescent="0.25">
      <c r="A766" s="170">
        <v>43129</v>
      </c>
      <c r="B766" s="116">
        <v>483.67242468544202</v>
      </c>
      <c r="C766" s="116">
        <v>477.35751667792601</v>
      </c>
      <c r="D766" s="116">
        <v>475.52495513848999</v>
      </c>
      <c r="E766" s="116">
        <v>478.447147863537</v>
      </c>
      <c r="F766" s="116">
        <v>963.8</v>
      </c>
      <c r="G766">
        <v>418040</v>
      </c>
      <c r="H766" s="116"/>
      <c r="I766" s="116"/>
      <c r="L766" s="170">
        <v>43129</v>
      </c>
      <c r="M766" s="116">
        <v>477.72152009041702</v>
      </c>
      <c r="N766" s="116">
        <v>484.06142206777099</v>
      </c>
      <c r="O766" s="116">
        <v>475.14593491211798</v>
      </c>
      <c r="P766" s="116">
        <v>478.56353832178502</v>
      </c>
      <c r="Q766" s="116">
        <v>964.5</v>
      </c>
      <c r="R766">
        <v>4524605</v>
      </c>
    </row>
    <row r="767" spans="1:18" x14ac:dyDescent="0.25">
      <c r="A767" s="170">
        <v>43130</v>
      </c>
      <c r="B767" s="116">
        <v>477.60516012920101</v>
      </c>
      <c r="C767" s="116">
        <v>470.15109224582</v>
      </c>
      <c r="D767" s="116">
        <v>468.31853070638402</v>
      </c>
      <c r="E767" s="116">
        <v>477.45657405843599</v>
      </c>
      <c r="F767" s="116">
        <v>949.25</v>
      </c>
      <c r="G767">
        <v>694016</v>
      </c>
      <c r="H767" s="116"/>
      <c r="I767" s="116"/>
      <c r="L767" s="170">
        <v>43130</v>
      </c>
      <c r="M767" s="116">
        <v>470.73772181848898</v>
      </c>
      <c r="N767" s="116">
        <v>478.36541638499199</v>
      </c>
      <c r="O767" s="116">
        <v>470.04429503971602</v>
      </c>
      <c r="P767" s="116">
        <v>478.36541638499199</v>
      </c>
      <c r="Q767" s="116">
        <v>950.4</v>
      </c>
      <c r="R767">
        <v>4198139</v>
      </c>
    </row>
    <row r="768" spans="1:18" x14ac:dyDescent="0.25">
      <c r="A768" s="170">
        <v>43131</v>
      </c>
      <c r="B768" s="116">
        <v>477.90233227073099</v>
      </c>
      <c r="C768" s="116">
        <v>476.04500638616798</v>
      </c>
      <c r="D768" s="116">
        <v>466.56026220233099</v>
      </c>
      <c r="E768" s="116">
        <v>470.52255742273297</v>
      </c>
      <c r="F768" s="116">
        <v>961.15</v>
      </c>
      <c r="G768">
        <v>457062</v>
      </c>
      <c r="H768" s="116"/>
      <c r="I768" s="116"/>
      <c r="L768" s="170">
        <v>43131</v>
      </c>
      <c r="M768" s="116">
        <v>476.13654459607898</v>
      </c>
      <c r="N768" s="116">
        <v>477.72152009041702</v>
      </c>
      <c r="O768" s="116">
        <v>466.35427396696002</v>
      </c>
      <c r="P768" s="116">
        <v>470.53959988169697</v>
      </c>
      <c r="Q768" s="116">
        <v>961.3</v>
      </c>
      <c r="R768">
        <v>5738209</v>
      </c>
    </row>
    <row r="769" spans="1:18" x14ac:dyDescent="0.25">
      <c r="A769" s="170">
        <v>43132</v>
      </c>
      <c r="B769" s="116">
        <v>481.047404101925</v>
      </c>
      <c r="C769" s="116">
        <v>467.60036469768602</v>
      </c>
      <c r="D769" s="116">
        <v>464.67817197263997</v>
      </c>
      <c r="E769" s="116">
        <v>477.654688819456</v>
      </c>
      <c r="F769" s="116">
        <v>944.1</v>
      </c>
      <c r="G769">
        <v>758632</v>
      </c>
      <c r="H769" s="116"/>
      <c r="I769" s="116"/>
      <c r="L769" s="170">
        <v>43132</v>
      </c>
      <c r="M769" s="116">
        <v>467.49347510351498</v>
      </c>
      <c r="N769" s="116">
        <v>481.73348931046098</v>
      </c>
      <c r="O769" s="116">
        <v>463.90251499915502</v>
      </c>
      <c r="P769" s="116">
        <v>477.10238903794198</v>
      </c>
      <c r="Q769" s="116">
        <v>943.85</v>
      </c>
      <c r="R769">
        <v>7554587</v>
      </c>
    </row>
    <row r="770" spans="1:18" x14ac:dyDescent="0.25">
      <c r="A770" s="170">
        <v>43133</v>
      </c>
      <c r="B770" s="116">
        <v>467.17937083051902</v>
      </c>
      <c r="C770" s="116">
        <v>448.58134763975698</v>
      </c>
      <c r="D770" s="116">
        <v>447.244073002871</v>
      </c>
      <c r="E770" s="116">
        <v>464.92581542391503</v>
      </c>
      <c r="F770" s="116">
        <v>905.7</v>
      </c>
      <c r="G770">
        <v>701244</v>
      </c>
      <c r="H770" s="116"/>
      <c r="I770" s="116"/>
      <c r="L770" s="170">
        <v>43133</v>
      </c>
      <c r="M770" s="116">
        <v>447.92893384527599</v>
      </c>
      <c r="N770" s="116">
        <v>467.54300558771303</v>
      </c>
      <c r="O770" s="116">
        <v>446.269662624641</v>
      </c>
      <c r="P770" s="116">
        <v>463.11002725198603</v>
      </c>
      <c r="Q770" s="116">
        <v>904.35</v>
      </c>
      <c r="R770">
        <v>13242095</v>
      </c>
    </row>
    <row r="771" spans="1:18" x14ac:dyDescent="0.25">
      <c r="A771" s="170">
        <v>43136</v>
      </c>
      <c r="B771" s="116">
        <v>451.70165512582298</v>
      </c>
      <c r="C771" s="116">
        <v>447.96223901156901</v>
      </c>
      <c r="D771" s="116">
        <v>437.18974888110102</v>
      </c>
      <c r="E771" s="116">
        <v>443.67800730450898</v>
      </c>
      <c r="F771" s="116">
        <v>904.45</v>
      </c>
      <c r="G771">
        <v>386485</v>
      </c>
      <c r="H771" s="116"/>
      <c r="I771" s="116"/>
      <c r="L771" s="170">
        <v>43136</v>
      </c>
      <c r="M771" s="116">
        <v>446.83926319291902</v>
      </c>
      <c r="N771" s="116">
        <v>451.96566830741898</v>
      </c>
      <c r="O771" s="116">
        <v>436.759809658611</v>
      </c>
      <c r="P771" s="116">
        <v>442.80252873077598</v>
      </c>
      <c r="Q771" s="116">
        <v>902.15</v>
      </c>
      <c r="R771">
        <v>8773525</v>
      </c>
    </row>
    <row r="772" spans="1:18" x14ac:dyDescent="0.25">
      <c r="A772" s="170">
        <v>43137</v>
      </c>
      <c r="B772" s="116">
        <v>444.74287414499202</v>
      </c>
      <c r="C772" s="116">
        <v>442.167382251731</v>
      </c>
      <c r="D772" s="116">
        <v>431.93970771406902</v>
      </c>
      <c r="E772" s="116">
        <v>435.85247424421601</v>
      </c>
      <c r="F772" s="116">
        <v>892.75</v>
      </c>
      <c r="G772">
        <v>1041277</v>
      </c>
      <c r="H772" s="116"/>
      <c r="I772" s="116"/>
      <c r="L772" s="170">
        <v>43137</v>
      </c>
      <c r="M772" s="116">
        <v>441.861449531012</v>
      </c>
      <c r="N772" s="116">
        <v>444.78374809869899</v>
      </c>
      <c r="O772" s="116">
        <v>431.41051736521899</v>
      </c>
      <c r="P772" s="116">
        <v>434.38234641710301</v>
      </c>
      <c r="Q772" s="116">
        <v>892.1</v>
      </c>
      <c r="R772">
        <v>11000567</v>
      </c>
    </row>
    <row r="773" spans="1:18" x14ac:dyDescent="0.25">
      <c r="A773" s="170">
        <v>43138</v>
      </c>
      <c r="B773" s="116">
        <v>448.48229025924701</v>
      </c>
      <c r="C773" s="116">
        <v>442.78649087991897</v>
      </c>
      <c r="D773" s="116">
        <v>441.07775106612098</v>
      </c>
      <c r="E773" s="116">
        <v>446.03062009162301</v>
      </c>
      <c r="F773" s="116">
        <v>894</v>
      </c>
      <c r="G773">
        <v>374725</v>
      </c>
      <c r="H773" s="116"/>
      <c r="I773" s="116"/>
      <c r="L773" s="170">
        <v>43138</v>
      </c>
      <c r="M773" s="116">
        <v>443.00065066756798</v>
      </c>
      <c r="N773" s="116">
        <v>448.44900392935602</v>
      </c>
      <c r="O773" s="116">
        <v>440.82130936285301</v>
      </c>
      <c r="P773" s="116">
        <v>447.03738512971103</v>
      </c>
      <c r="Q773" s="116">
        <v>894.4</v>
      </c>
      <c r="R773">
        <v>7100838</v>
      </c>
    </row>
    <row r="774" spans="1:18" x14ac:dyDescent="0.25">
      <c r="A774" s="170">
        <v>43139</v>
      </c>
      <c r="B774" s="116">
        <v>450.711081320723</v>
      </c>
      <c r="C774" s="116">
        <v>447.54124514440099</v>
      </c>
      <c r="D774" s="116">
        <v>441.82068141994603</v>
      </c>
      <c r="E774" s="116">
        <v>443.95041510091198</v>
      </c>
      <c r="F774" s="116">
        <v>903.6</v>
      </c>
      <c r="G774">
        <v>417327</v>
      </c>
      <c r="H774" s="116"/>
      <c r="I774" s="116"/>
      <c r="L774" s="170">
        <v>43139</v>
      </c>
      <c r="M774" s="116">
        <v>448.02799481367202</v>
      </c>
      <c r="N774" s="116">
        <v>451.04935434975499</v>
      </c>
      <c r="O774" s="116">
        <v>441.98527574150802</v>
      </c>
      <c r="P774" s="116">
        <v>444.73421761450101</v>
      </c>
      <c r="Q774" s="116">
        <v>904.55</v>
      </c>
      <c r="R774">
        <v>6320734</v>
      </c>
    </row>
    <row r="775" spans="1:18" x14ac:dyDescent="0.25">
      <c r="A775" s="170">
        <v>43140</v>
      </c>
      <c r="B775" s="116">
        <v>446.87260782595803</v>
      </c>
      <c r="C775" s="116">
        <v>444.74287414499202</v>
      </c>
      <c r="D775" s="116">
        <v>439.07183911079198</v>
      </c>
      <c r="E775" s="116">
        <v>441.77115272969098</v>
      </c>
      <c r="F775" s="116">
        <v>897.95</v>
      </c>
      <c r="G775">
        <v>402311</v>
      </c>
      <c r="H775" s="116"/>
      <c r="I775" s="116"/>
      <c r="L775" s="170">
        <v>43140</v>
      </c>
      <c r="M775" s="116">
        <v>444.70945237240198</v>
      </c>
      <c r="N775" s="116">
        <v>446.76496746662201</v>
      </c>
      <c r="O775" s="116">
        <v>438.84008999493</v>
      </c>
      <c r="P775" s="116">
        <v>440.326004520872</v>
      </c>
      <c r="Q775" s="116">
        <v>897.85</v>
      </c>
      <c r="R775">
        <v>5294279</v>
      </c>
    </row>
    <row r="776" spans="1:18" x14ac:dyDescent="0.25">
      <c r="A776" s="170">
        <v>43143</v>
      </c>
      <c r="B776" s="116">
        <v>454.67337654112498</v>
      </c>
      <c r="C776" s="116">
        <v>453.03892976270902</v>
      </c>
      <c r="D776" s="116">
        <v>446.30302788802601</v>
      </c>
      <c r="E776" s="116">
        <v>446.30302788802601</v>
      </c>
      <c r="F776" s="116">
        <v>914.7</v>
      </c>
      <c r="G776">
        <v>354136</v>
      </c>
      <c r="H776" s="116"/>
      <c r="I776" s="116"/>
      <c r="L776" s="170">
        <v>43143</v>
      </c>
      <c r="M776" s="116">
        <v>453.45158283336201</v>
      </c>
      <c r="N776" s="116">
        <v>454.78890590670898</v>
      </c>
      <c r="O776" s="116">
        <v>446.78973270872098</v>
      </c>
      <c r="P776" s="116">
        <v>447.260272308602</v>
      </c>
      <c r="Q776" s="116">
        <v>915.5</v>
      </c>
      <c r="R776">
        <v>5429792</v>
      </c>
    </row>
    <row r="777" spans="1:18" x14ac:dyDescent="0.25">
      <c r="A777" s="170">
        <v>43145</v>
      </c>
      <c r="B777" s="116">
        <v>466.31261875105599</v>
      </c>
      <c r="C777" s="116">
        <v>461.80550793784801</v>
      </c>
      <c r="D777" s="116">
        <v>456.060179868266</v>
      </c>
      <c r="E777" s="116">
        <v>456.481173735433</v>
      </c>
      <c r="F777" s="116">
        <v>932.4</v>
      </c>
      <c r="G777">
        <v>429100</v>
      </c>
      <c r="H777" s="116"/>
      <c r="I777" s="116"/>
      <c r="L777" s="170">
        <v>43145</v>
      </c>
      <c r="M777" s="116">
        <v>462.44136571531197</v>
      </c>
      <c r="N777" s="116">
        <v>466.82481356684099</v>
      </c>
      <c r="O777" s="116">
        <v>456.17575946425598</v>
      </c>
      <c r="P777" s="116">
        <v>457.16636914821697</v>
      </c>
      <c r="Q777" s="116">
        <v>933.65</v>
      </c>
      <c r="R777">
        <v>10170959</v>
      </c>
    </row>
    <row r="778" spans="1:18" x14ac:dyDescent="0.25">
      <c r="A778" s="170">
        <v>43146</v>
      </c>
      <c r="B778" s="116">
        <v>468.04612290998102</v>
      </c>
      <c r="C778" s="116">
        <v>462.62273132705599</v>
      </c>
      <c r="D778" s="116">
        <v>459.77483163739203</v>
      </c>
      <c r="E778" s="116">
        <v>463.613305132157</v>
      </c>
      <c r="F778" s="116">
        <v>934.05</v>
      </c>
      <c r="G778">
        <v>312747</v>
      </c>
      <c r="H778" s="116"/>
      <c r="I778" s="116"/>
      <c r="L778" s="170">
        <v>43146</v>
      </c>
      <c r="M778" s="116">
        <v>463.43197539927303</v>
      </c>
      <c r="N778" s="116">
        <v>468.43455430327901</v>
      </c>
      <c r="O778" s="116">
        <v>459.71718908441801</v>
      </c>
      <c r="P778" s="116">
        <v>464.42258508323499</v>
      </c>
      <c r="Q778" s="116">
        <v>935.65</v>
      </c>
      <c r="R778">
        <v>6109454</v>
      </c>
    </row>
    <row r="779" spans="1:18" x14ac:dyDescent="0.25">
      <c r="A779" s="170">
        <v>43147</v>
      </c>
      <c r="B779" s="116">
        <v>466.56026220233099</v>
      </c>
      <c r="C779" s="116">
        <v>456.50593808056101</v>
      </c>
      <c r="D779" s="116">
        <v>454.99531302778303</v>
      </c>
      <c r="E779" s="116">
        <v>464.25717810547201</v>
      </c>
      <c r="F779" s="116">
        <v>921.7</v>
      </c>
      <c r="G779">
        <v>241125</v>
      </c>
      <c r="H779" s="116"/>
      <c r="I779" s="116"/>
      <c r="L779" s="170">
        <v>43147</v>
      </c>
      <c r="M779" s="116">
        <v>456.32435091684999</v>
      </c>
      <c r="N779" s="116">
        <v>466.87434405103897</v>
      </c>
      <c r="O779" s="116">
        <v>454.73937542251099</v>
      </c>
      <c r="P779" s="116">
        <v>465.38842952509702</v>
      </c>
      <c r="Q779" s="116">
        <v>921.3</v>
      </c>
      <c r="R779">
        <v>4401672</v>
      </c>
    </row>
    <row r="780" spans="1:18" x14ac:dyDescent="0.25">
      <c r="A780" s="170">
        <v>43150</v>
      </c>
      <c r="B780" s="116">
        <v>460.913991513258</v>
      </c>
      <c r="C780" s="116">
        <v>458.56137872614403</v>
      </c>
      <c r="D780" s="116">
        <v>452.890343691944</v>
      </c>
      <c r="E780" s="116">
        <v>455.81253641698999</v>
      </c>
      <c r="F780" s="116">
        <v>925.85</v>
      </c>
      <c r="G780">
        <v>239308</v>
      </c>
      <c r="H780" s="116"/>
      <c r="I780" s="116"/>
      <c r="L780" s="170">
        <v>43150</v>
      </c>
      <c r="M780" s="116">
        <v>459.14758851613999</v>
      </c>
      <c r="N780" s="116">
        <v>461.62411272604402</v>
      </c>
      <c r="O780" s="116">
        <v>452.48573839149901</v>
      </c>
      <c r="P780" s="116">
        <v>456.17575946425598</v>
      </c>
      <c r="Q780" s="116">
        <v>927</v>
      </c>
      <c r="R780">
        <v>4087936</v>
      </c>
    </row>
    <row r="781" spans="1:18" x14ac:dyDescent="0.25">
      <c r="A781" s="170">
        <v>43151</v>
      </c>
      <c r="B781" s="116">
        <v>460.61681937172801</v>
      </c>
      <c r="C781" s="116">
        <v>455.36677820469498</v>
      </c>
      <c r="D781" s="116">
        <v>453.68280273602397</v>
      </c>
      <c r="E781" s="116">
        <v>459.62624556662701</v>
      </c>
      <c r="F781" s="116">
        <v>919.4</v>
      </c>
      <c r="G781">
        <v>183167</v>
      </c>
      <c r="H781" s="116"/>
      <c r="I781" s="116"/>
      <c r="L781" s="170">
        <v>43151</v>
      </c>
      <c r="M781" s="116">
        <v>456.22528994845402</v>
      </c>
      <c r="N781" s="116">
        <v>460.41061586319103</v>
      </c>
      <c r="O781" s="116">
        <v>455.08608881189798</v>
      </c>
      <c r="P781" s="116">
        <v>460.13819820010099</v>
      </c>
      <c r="Q781" s="116">
        <v>921.1</v>
      </c>
      <c r="R781">
        <v>3866919</v>
      </c>
    </row>
    <row r="782" spans="1:18" x14ac:dyDescent="0.25">
      <c r="A782" s="170">
        <v>43152</v>
      </c>
      <c r="B782" s="116">
        <v>461.11210627427801</v>
      </c>
      <c r="C782" s="116">
        <v>459.79959598251997</v>
      </c>
      <c r="D782" s="116">
        <v>456.65452415132597</v>
      </c>
      <c r="E782" s="116">
        <v>459.13095866407701</v>
      </c>
      <c r="F782" s="116">
        <v>928.35</v>
      </c>
      <c r="G782">
        <v>201220</v>
      </c>
      <c r="H782" s="116"/>
      <c r="I782" s="116"/>
      <c r="L782" s="170">
        <v>43152</v>
      </c>
      <c r="M782" s="116">
        <v>460.31155489479499</v>
      </c>
      <c r="N782" s="116">
        <v>461.87176514703401</v>
      </c>
      <c r="O782" s="116">
        <v>456.74536003253297</v>
      </c>
      <c r="P782" s="116">
        <v>460.633503042082</v>
      </c>
      <c r="Q782" s="116">
        <v>929.35</v>
      </c>
      <c r="R782">
        <v>5448230</v>
      </c>
    </row>
    <row r="783" spans="1:18" x14ac:dyDescent="0.25">
      <c r="A783" s="170">
        <v>43153</v>
      </c>
      <c r="B783" s="116">
        <v>460.98828454864002</v>
      </c>
      <c r="C783" s="116">
        <v>457.59556926617103</v>
      </c>
      <c r="D783" s="116">
        <v>455.66395034622502</v>
      </c>
      <c r="E783" s="116">
        <v>457.22410408925901</v>
      </c>
      <c r="F783" s="116">
        <v>923.9</v>
      </c>
      <c r="G783">
        <v>161502</v>
      </c>
      <c r="H783" s="116"/>
      <c r="I783" s="116"/>
      <c r="L783" s="170">
        <v>43153</v>
      </c>
      <c r="M783" s="116">
        <v>457.83503068489102</v>
      </c>
      <c r="N783" s="116">
        <v>461.12880788406301</v>
      </c>
      <c r="O783" s="116">
        <v>455.68045462227502</v>
      </c>
      <c r="P783" s="116">
        <v>456.67106430623602</v>
      </c>
      <c r="Q783" s="116">
        <v>924.35</v>
      </c>
      <c r="R783">
        <v>5118850</v>
      </c>
    </row>
    <row r="784" spans="1:18" x14ac:dyDescent="0.25">
      <c r="A784" s="170">
        <v>43154</v>
      </c>
      <c r="B784" s="116">
        <v>464.08382768957898</v>
      </c>
      <c r="C784" s="116">
        <v>462.59796698192901</v>
      </c>
      <c r="D784" s="116">
        <v>457.521276230789</v>
      </c>
      <c r="E784" s="116">
        <v>457.74415533693599</v>
      </c>
      <c r="F784" s="116">
        <v>934</v>
      </c>
      <c r="G784">
        <v>204349</v>
      </c>
      <c r="H784" s="116"/>
      <c r="I784" s="116"/>
      <c r="L784" s="170">
        <v>43154</v>
      </c>
      <c r="M784" s="116">
        <v>462.73854862050001</v>
      </c>
      <c r="N784" s="116">
        <v>464.59594177792798</v>
      </c>
      <c r="O784" s="116">
        <v>457.04254293772198</v>
      </c>
      <c r="P784" s="116">
        <v>458.355100768971</v>
      </c>
      <c r="Q784" s="116">
        <v>934.25</v>
      </c>
      <c r="R784">
        <v>4850839</v>
      </c>
    </row>
    <row r="785" spans="1:18" x14ac:dyDescent="0.25">
      <c r="A785" s="170">
        <v>43157</v>
      </c>
      <c r="B785" s="116">
        <v>467.92230118434401</v>
      </c>
      <c r="C785" s="116">
        <v>464.87628673365998</v>
      </c>
      <c r="D785" s="116">
        <v>463.63806947728398</v>
      </c>
      <c r="E785" s="116">
        <v>463.63806947728398</v>
      </c>
      <c r="F785" s="116">
        <v>938.6</v>
      </c>
      <c r="G785">
        <v>197775</v>
      </c>
      <c r="H785" s="116"/>
      <c r="I785" s="116"/>
      <c r="L785" s="170">
        <v>43157</v>
      </c>
      <c r="M785" s="116">
        <v>464.94265516731502</v>
      </c>
      <c r="N785" s="116">
        <v>468.01354518759501</v>
      </c>
      <c r="O785" s="116">
        <v>463.90251499915502</v>
      </c>
      <c r="P785" s="116">
        <v>465.09124661990899</v>
      </c>
      <c r="Q785" s="116">
        <v>938.7</v>
      </c>
      <c r="R785">
        <v>3856478</v>
      </c>
    </row>
    <row r="786" spans="1:18" x14ac:dyDescent="0.25">
      <c r="A786" s="170">
        <v>43158</v>
      </c>
      <c r="B786" s="116">
        <v>473.24663538675901</v>
      </c>
      <c r="C786" s="116">
        <v>470.49779307760502</v>
      </c>
      <c r="D786" s="116">
        <v>464.87628673365998</v>
      </c>
      <c r="E786" s="116">
        <v>465.07440149467999</v>
      </c>
      <c r="F786" s="116">
        <v>949.95</v>
      </c>
      <c r="G786">
        <v>342196</v>
      </c>
      <c r="H786" s="116"/>
      <c r="I786" s="116"/>
      <c r="L786" s="170">
        <v>43158</v>
      </c>
      <c r="M786" s="116">
        <v>470.78725230268702</v>
      </c>
      <c r="N786" s="116">
        <v>473.41236796518501</v>
      </c>
      <c r="O786" s="116">
        <v>464.76929847262102</v>
      </c>
      <c r="P786" s="116">
        <v>465.09124661990899</v>
      </c>
      <c r="Q786" s="116">
        <v>950.5</v>
      </c>
      <c r="R786">
        <v>6410097</v>
      </c>
    </row>
    <row r="787" spans="1:18" x14ac:dyDescent="0.25">
      <c r="A787" s="170">
        <v>43159</v>
      </c>
      <c r="B787" s="116">
        <v>472.94946324522903</v>
      </c>
      <c r="C787" s="116">
        <v>471.73601033398103</v>
      </c>
      <c r="D787" s="116">
        <v>464.08382768957898</v>
      </c>
      <c r="E787" s="116">
        <v>467.79847945870603</v>
      </c>
      <c r="F787" s="116">
        <v>952.45</v>
      </c>
      <c r="G787">
        <v>231622</v>
      </c>
      <c r="H787" s="116"/>
      <c r="I787" s="116"/>
      <c r="L787" s="170">
        <v>43159</v>
      </c>
      <c r="M787" s="116">
        <v>472.79323691270901</v>
      </c>
      <c r="N787" s="116">
        <v>474.05626425975998</v>
      </c>
      <c r="O787" s="116">
        <v>467.17152695622798</v>
      </c>
      <c r="P787" s="116">
        <v>468.53361527167499</v>
      </c>
      <c r="Q787" s="116">
        <v>954.55</v>
      </c>
      <c r="R787">
        <v>25898694</v>
      </c>
    </row>
    <row r="788" spans="1:18" x14ac:dyDescent="0.25">
      <c r="A788" s="170">
        <v>43160</v>
      </c>
      <c r="B788" s="116">
        <v>474.88108216517497</v>
      </c>
      <c r="C788" s="116">
        <v>469.383397546867</v>
      </c>
      <c r="D788" s="116">
        <v>468.54140981253198</v>
      </c>
      <c r="E788" s="116">
        <v>470.94355128989997</v>
      </c>
      <c r="F788" s="116">
        <v>947.7</v>
      </c>
      <c r="G788">
        <v>173780</v>
      </c>
      <c r="H788" s="116"/>
      <c r="I788" s="116"/>
      <c r="L788" s="170">
        <v>43160</v>
      </c>
      <c r="M788" s="116">
        <v>469.74711213452798</v>
      </c>
      <c r="N788" s="116">
        <v>475.44311781730602</v>
      </c>
      <c r="O788" s="116">
        <v>468.53361527167499</v>
      </c>
      <c r="P788" s="116">
        <v>470.41577367120198</v>
      </c>
      <c r="Q788" s="116">
        <v>948.4</v>
      </c>
      <c r="R788">
        <v>4094652</v>
      </c>
    </row>
    <row r="789" spans="1:18" x14ac:dyDescent="0.25">
      <c r="A789" s="170">
        <v>43164</v>
      </c>
      <c r="B789" s="116">
        <v>470.47302873247799</v>
      </c>
      <c r="C789" s="116">
        <v>457.74415533693599</v>
      </c>
      <c r="D789" s="116">
        <v>456.65452415132597</v>
      </c>
      <c r="E789" s="116">
        <v>467.79847945870603</v>
      </c>
      <c r="F789" s="116">
        <v>924.2</v>
      </c>
      <c r="G789">
        <v>652534</v>
      </c>
      <c r="H789" s="116"/>
      <c r="I789" s="116"/>
      <c r="L789" s="170">
        <v>43164</v>
      </c>
      <c r="M789" s="116">
        <v>457.71120447439603</v>
      </c>
      <c r="N789" s="116">
        <v>470.61389560799398</v>
      </c>
      <c r="O789" s="116">
        <v>456.47294236944401</v>
      </c>
      <c r="P789" s="116">
        <v>467.072465987832</v>
      </c>
      <c r="Q789" s="116">
        <v>924.1</v>
      </c>
      <c r="R789">
        <v>5634893</v>
      </c>
    </row>
    <row r="790" spans="1:18" x14ac:dyDescent="0.25">
      <c r="A790" s="170">
        <v>43165</v>
      </c>
      <c r="B790" s="116">
        <v>463.58854078702899</v>
      </c>
      <c r="C790" s="116">
        <v>451.156839533018</v>
      </c>
      <c r="D790" s="116">
        <v>447.318366038254</v>
      </c>
      <c r="E790" s="116">
        <v>460.46823330096299</v>
      </c>
      <c r="F790" s="116">
        <v>910.9</v>
      </c>
      <c r="G790">
        <v>288116</v>
      </c>
      <c r="H790" s="116"/>
      <c r="I790" s="116"/>
      <c r="L790" s="170">
        <v>43165</v>
      </c>
      <c r="M790" s="116">
        <v>451.14841531815102</v>
      </c>
      <c r="N790" s="116">
        <v>463.70439306236301</v>
      </c>
      <c r="O790" s="116">
        <v>448.30041247676201</v>
      </c>
      <c r="P790" s="116">
        <v>460.13819820010099</v>
      </c>
      <c r="Q790" s="116">
        <v>910.85</v>
      </c>
      <c r="R790">
        <v>7323680</v>
      </c>
    </row>
    <row r="791" spans="1:18" x14ac:dyDescent="0.25">
      <c r="A791" s="170">
        <v>43166</v>
      </c>
      <c r="B791" s="116">
        <v>450.36438048893802</v>
      </c>
      <c r="C791" s="116">
        <v>441.57303796867097</v>
      </c>
      <c r="D791" s="116">
        <v>439.96335553538302</v>
      </c>
      <c r="E791" s="116">
        <v>450.017679657153</v>
      </c>
      <c r="F791" s="116">
        <v>891.55</v>
      </c>
      <c r="G791">
        <v>337383</v>
      </c>
      <c r="H791" s="116"/>
      <c r="I791" s="116"/>
      <c r="L791" s="170">
        <v>43166</v>
      </c>
      <c r="M791" s="116">
        <v>440.69748315235802</v>
      </c>
      <c r="N791" s="116">
        <v>450.35592757098198</v>
      </c>
      <c r="O791" s="116">
        <v>439.85546492099002</v>
      </c>
      <c r="P791" s="116">
        <v>450.35592757098198</v>
      </c>
      <c r="Q791" s="116">
        <v>889.75</v>
      </c>
      <c r="R791">
        <v>7247708</v>
      </c>
    </row>
    <row r="792" spans="1:18" x14ac:dyDescent="0.25">
      <c r="A792" s="170">
        <v>43167</v>
      </c>
      <c r="B792" s="116">
        <v>452.642700240669</v>
      </c>
      <c r="C792" s="116">
        <v>451.50354036480297</v>
      </c>
      <c r="D792" s="116">
        <v>442.93507695068399</v>
      </c>
      <c r="E792" s="116">
        <v>445.60962622445498</v>
      </c>
      <c r="F792" s="116">
        <v>911.6</v>
      </c>
      <c r="G792">
        <v>312892</v>
      </c>
      <c r="H792" s="116"/>
      <c r="I792" s="116"/>
      <c r="L792" s="170">
        <v>43167</v>
      </c>
      <c r="M792" s="116">
        <v>451.44559822334003</v>
      </c>
      <c r="N792" s="116">
        <v>452.956277991381</v>
      </c>
      <c r="O792" s="116">
        <v>442.45581534138898</v>
      </c>
      <c r="P792" s="116">
        <v>444.61039140400499</v>
      </c>
      <c r="Q792" s="116">
        <v>911.45</v>
      </c>
      <c r="R792">
        <v>6072983</v>
      </c>
    </row>
    <row r="793" spans="1:18" x14ac:dyDescent="0.25">
      <c r="A793" s="170">
        <v>43168</v>
      </c>
      <c r="B793" s="116">
        <v>455.16866344367497</v>
      </c>
      <c r="C793" s="116">
        <v>451.72641947095099</v>
      </c>
      <c r="D793" s="116">
        <v>450.711081320723</v>
      </c>
      <c r="E793" s="116">
        <v>453.18751583347398</v>
      </c>
      <c r="F793" s="116">
        <v>912.05</v>
      </c>
      <c r="G793">
        <v>178146</v>
      </c>
      <c r="H793" s="116"/>
      <c r="I793" s="116"/>
      <c r="L793" s="170">
        <v>43168</v>
      </c>
      <c r="M793" s="116">
        <v>452.26285121260798</v>
      </c>
      <c r="N793" s="116">
        <v>455.358506474987</v>
      </c>
      <c r="O793" s="116">
        <v>451.247476286547</v>
      </c>
      <c r="P793" s="116">
        <v>453.15439992817301</v>
      </c>
      <c r="Q793" s="116">
        <v>913.1</v>
      </c>
      <c r="R793">
        <v>4863577</v>
      </c>
    </row>
    <row r="794" spans="1:18" x14ac:dyDescent="0.25">
      <c r="A794" s="170">
        <v>43171</v>
      </c>
      <c r="B794" s="116">
        <v>462.10268007937901</v>
      </c>
      <c r="C794" s="116">
        <v>460.29488288507002</v>
      </c>
      <c r="D794" s="116">
        <v>453.78186011653401</v>
      </c>
      <c r="E794" s="116">
        <v>455.11913475341998</v>
      </c>
      <c r="F794" s="116">
        <v>929.35</v>
      </c>
      <c r="G794">
        <v>288520</v>
      </c>
      <c r="H794" s="116"/>
      <c r="I794" s="116"/>
      <c r="L794" s="170">
        <v>43171</v>
      </c>
      <c r="M794" s="116">
        <v>460.78209449467602</v>
      </c>
      <c r="N794" s="116">
        <v>462.16894805222199</v>
      </c>
      <c r="O794" s="116">
        <v>454.46695775942197</v>
      </c>
      <c r="P794" s="116">
        <v>455.68045462227502</v>
      </c>
      <c r="Q794" s="116">
        <v>930.3</v>
      </c>
      <c r="R794">
        <v>3801407</v>
      </c>
    </row>
    <row r="795" spans="1:18" x14ac:dyDescent="0.25">
      <c r="A795" s="170">
        <v>43172</v>
      </c>
      <c r="B795" s="116">
        <v>463.26660430037202</v>
      </c>
      <c r="C795" s="116">
        <v>460.913991513258</v>
      </c>
      <c r="D795" s="116">
        <v>456.45640939030602</v>
      </c>
      <c r="E795" s="116">
        <v>460.29488288507002</v>
      </c>
      <c r="F795" s="116">
        <v>930.6</v>
      </c>
      <c r="G795">
        <v>196941</v>
      </c>
      <c r="H795" s="116"/>
      <c r="I795" s="116"/>
      <c r="L795" s="170">
        <v>43172</v>
      </c>
      <c r="M795" s="116">
        <v>461.54981699974701</v>
      </c>
      <c r="N795" s="116">
        <v>463.60533209396698</v>
      </c>
      <c r="O795" s="116">
        <v>456.34911615894902</v>
      </c>
      <c r="P795" s="116">
        <v>461.57458224184597</v>
      </c>
      <c r="Q795" s="116">
        <v>931.85</v>
      </c>
      <c r="R795">
        <v>5096825</v>
      </c>
    </row>
    <row r="796" spans="1:18" x14ac:dyDescent="0.25">
      <c r="A796" s="170">
        <v>43173</v>
      </c>
      <c r="B796" s="116">
        <v>461.21116365478798</v>
      </c>
      <c r="C796" s="116">
        <v>459.92341770815699</v>
      </c>
      <c r="D796" s="116">
        <v>455.44107124007797</v>
      </c>
      <c r="E796" s="116">
        <v>458.908079557929</v>
      </c>
      <c r="F796" s="116">
        <v>928.6</v>
      </c>
      <c r="G796">
        <v>176000</v>
      </c>
      <c r="H796" s="116"/>
      <c r="I796" s="116"/>
      <c r="L796" s="170">
        <v>43173</v>
      </c>
      <c r="M796" s="116">
        <v>460.16296344220001</v>
      </c>
      <c r="N796" s="116">
        <v>461.64887796814298</v>
      </c>
      <c r="O796" s="116">
        <v>455.28421074868999</v>
      </c>
      <c r="P796" s="116">
        <v>460.03913723170501</v>
      </c>
      <c r="Q796" s="116">
        <v>929.05</v>
      </c>
      <c r="R796">
        <v>6731530</v>
      </c>
    </row>
    <row r="797" spans="1:18" x14ac:dyDescent="0.25">
      <c r="A797" s="170">
        <v>43174</v>
      </c>
      <c r="B797" s="116">
        <v>459.97294639841198</v>
      </c>
      <c r="C797" s="116">
        <v>451.82547685146102</v>
      </c>
      <c r="D797" s="116">
        <v>450.711081320723</v>
      </c>
      <c r="E797" s="116">
        <v>459.97294639841198</v>
      </c>
      <c r="F797" s="116">
        <v>912.25</v>
      </c>
      <c r="G797">
        <v>344267</v>
      </c>
      <c r="H797" s="116"/>
      <c r="I797" s="116"/>
      <c r="L797" s="170">
        <v>43174</v>
      </c>
      <c r="M797" s="116">
        <v>451.61895491803301</v>
      </c>
      <c r="N797" s="116">
        <v>460.36108537899298</v>
      </c>
      <c r="O797" s="116">
        <v>450.72740620246702</v>
      </c>
      <c r="P797" s="116">
        <v>458.15697883217803</v>
      </c>
      <c r="Q797" s="116">
        <v>911.8</v>
      </c>
      <c r="R797">
        <v>5811424</v>
      </c>
    </row>
    <row r="798" spans="1:18" x14ac:dyDescent="0.25">
      <c r="A798" s="170">
        <v>43175</v>
      </c>
      <c r="B798" s="116">
        <v>450.711081320723</v>
      </c>
      <c r="C798" s="116">
        <v>446.00585574649602</v>
      </c>
      <c r="D798" s="116">
        <v>439.022310420537</v>
      </c>
      <c r="E798" s="116">
        <v>450.711081320723</v>
      </c>
      <c r="F798" s="116">
        <v>900.5</v>
      </c>
      <c r="G798">
        <v>614239</v>
      </c>
      <c r="H798" s="116"/>
      <c r="I798" s="116"/>
      <c r="L798" s="170">
        <v>43175</v>
      </c>
      <c r="M798" s="116">
        <v>445.79912302475901</v>
      </c>
      <c r="N798" s="116">
        <v>450.578814749873</v>
      </c>
      <c r="O798" s="116">
        <v>438.86485523702902</v>
      </c>
      <c r="P798" s="116">
        <v>450.23210136048698</v>
      </c>
      <c r="Q798" s="116">
        <v>900.05</v>
      </c>
      <c r="R798">
        <v>14087564</v>
      </c>
    </row>
    <row r="799" spans="1:18" x14ac:dyDescent="0.25">
      <c r="A799" s="170">
        <v>43178</v>
      </c>
      <c r="B799" s="116">
        <v>448.77946240077699</v>
      </c>
      <c r="C799" s="116">
        <v>443.43036385323398</v>
      </c>
      <c r="D799" s="116">
        <v>441.96926749071099</v>
      </c>
      <c r="E799" s="116">
        <v>447.64030252491102</v>
      </c>
      <c r="F799" s="116">
        <v>895.3</v>
      </c>
      <c r="G799">
        <v>271227</v>
      </c>
      <c r="H799" s="116"/>
      <c r="I799" s="116"/>
      <c r="L799" s="170">
        <v>43178</v>
      </c>
      <c r="M799" s="116">
        <v>443.54548599374698</v>
      </c>
      <c r="N799" s="116">
        <v>449.19196119232703</v>
      </c>
      <c r="O799" s="116">
        <v>441.81191904681401</v>
      </c>
      <c r="P799" s="116">
        <v>446.269662624641</v>
      </c>
      <c r="Q799" s="116">
        <v>895.5</v>
      </c>
      <c r="R799">
        <v>5774392</v>
      </c>
    </row>
    <row r="800" spans="1:18" x14ac:dyDescent="0.25">
      <c r="A800" s="170">
        <v>43179</v>
      </c>
      <c r="B800" s="116">
        <v>447.54124514440099</v>
      </c>
      <c r="C800" s="116">
        <v>440.58246416357002</v>
      </c>
      <c r="D800" s="116">
        <v>439.31948256206698</v>
      </c>
      <c r="E800" s="116">
        <v>445.312454082925</v>
      </c>
      <c r="F800" s="116">
        <v>889.55</v>
      </c>
      <c r="G800">
        <v>285669</v>
      </c>
      <c r="H800" s="116"/>
      <c r="I800" s="116"/>
      <c r="L800" s="170">
        <v>43179</v>
      </c>
      <c r="M800" s="116">
        <v>440.72224839445698</v>
      </c>
      <c r="N800" s="116">
        <v>447.75557715058301</v>
      </c>
      <c r="O800" s="116">
        <v>439.36016007900997</v>
      </c>
      <c r="P800" s="116">
        <v>442.45581534138898</v>
      </c>
      <c r="Q800" s="116">
        <v>889.8</v>
      </c>
      <c r="R800">
        <v>6945721</v>
      </c>
    </row>
    <row r="801" spans="1:18" x14ac:dyDescent="0.25">
      <c r="A801" s="170">
        <v>43180</v>
      </c>
      <c r="B801" s="116">
        <v>446.72402175519301</v>
      </c>
      <c r="C801" s="116">
        <v>443.95041510091198</v>
      </c>
      <c r="D801" s="116">
        <v>441.79591707481802</v>
      </c>
      <c r="E801" s="116">
        <v>443.67800730450898</v>
      </c>
      <c r="F801" s="116">
        <v>896.35</v>
      </c>
      <c r="G801">
        <v>254485</v>
      </c>
      <c r="H801" s="116"/>
      <c r="I801" s="116"/>
      <c r="L801" s="170">
        <v>43180</v>
      </c>
      <c r="M801" s="116">
        <v>444.23891277252</v>
      </c>
      <c r="N801" s="116">
        <v>446.93832416131499</v>
      </c>
      <c r="O801" s="116">
        <v>442.45581534138898</v>
      </c>
      <c r="P801" s="116">
        <v>443.22353784645901</v>
      </c>
      <c r="Q801" s="116">
        <v>896.9</v>
      </c>
      <c r="R801">
        <v>6727261</v>
      </c>
    </row>
    <row r="802" spans="1:18" x14ac:dyDescent="0.25">
      <c r="A802" s="170">
        <v>43181</v>
      </c>
      <c r="B802" s="116">
        <v>451.00825346225298</v>
      </c>
      <c r="C802" s="116">
        <v>449.37380668383702</v>
      </c>
      <c r="D802" s="116">
        <v>443.380835162979</v>
      </c>
      <c r="E802" s="116">
        <v>444.02470813629498</v>
      </c>
      <c r="F802" s="116">
        <v>907.3</v>
      </c>
      <c r="G802">
        <v>810933</v>
      </c>
      <c r="H802" s="116"/>
      <c r="I802" s="116"/>
      <c r="L802" s="170">
        <v>43181</v>
      </c>
      <c r="M802" s="116">
        <v>449.81109224480298</v>
      </c>
      <c r="N802" s="116">
        <v>451.69325064433002</v>
      </c>
      <c r="O802" s="116">
        <v>443.66931220424198</v>
      </c>
      <c r="P802" s="116">
        <v>443.79313841473697</v>
      </c>
      <c r="Q802" s="116">
        <v>908.15</v>
      </c>
      <c r="R802">
        <v>10116965</v>
      </c>
    </row>
    <row r="803" spans="1:18" x14ac:dyDescent="0.25">
      <c r="A803" s="170">
        <v>43182</v>
      </c>
      <c r="B803" s="116">
        <v>445.60962622445498</v>
      </c>
      <c r="C803" s="116">
        <v>442.21691094198599</v>
      </c>
      <c r="D803" s="116">
        <v>440.80534326971798</v>
      </c>
      <c r="E803" s="116">
        <v>442.48931873838899</v>
      </c>
      <c r="F803" s="116">
        <v>892.85</v>
      </c>
      <c r="G803">
        <v>416270</v>
      </c>
      <c r="H803" s="116"/>
      <c r="I803" s="116"/>
      <c r="L803" s="170">
        <v>43182</v>
      </c>
      <c r="M803" s="116">
        <v>442.75299824657799</v>
      </c>
      <c r="N803" s="116">
        <v>445.77435778265999</v>
      </c>
      <c r="O803" s="116">
        <v>440.37553500506999</v>
      </c>
      <c r="P803" s="116">
        <v>441.118492268041</v>
      </c>
      <c r="Q803" s="116">
        <v>893.9</v>
      </c>
      <c r="R803">
        <v>10729694</v>
      </c>
    </row>
    <row r="804" spans="1:18" x14ac:dyDescent="0.25">
      <c r="A804" s="170">
        <v>43185</v>
      </c>
      <c r="B804" s="116">
        <v>447.98700335669702</v>
      </c>
      <c r="C804" s="116">
        <v>446.278263542898</v>
      </c>
      <c r="D804" s="116">
        <v>441.79591707481802</v>
      </c>
      <c r="E804" s="116">
        <v>442.21691094198599</v>
      </c>
      <c r="F804" s="116">
        <v>901.05</v>
      </c>
      <c r="G804">
        <v>567273</v>
      </c>
      <c r="H804" s="116"/>
      <c r="I804" s="116"/>
      <c r="L804" s="170">
        <v>43185</v>
      </c>
      <c r="M804" s="116">
        <v>446.31919310883899</v>
      </c>
      <c r="N804" s="116">
        <v>447.90416860317703</v>
      </c>
      <c r="O804" s="116">
        <v>442.05957146780497</v>
      </c>
      <c r="P804" s="116">
        <v>442.77776348867701</v>
      </c>
      <c r="Q804" s="116">
        <v>901.1</v>
      </c>
      <c r="R804">
        <v>6047262</v>
      </c>
    </row>
    <row r="805" spans="1:18" x14ac:dyDescent="0.25">
      <c r="A805" s="170">
        <v>43186</v>
      </c>
      <c r="B805" s="116">
        <v>450.73584566584998</v>
      </c>
      <c r="C805" s="116">
        <v>445.73344795009302</v>
      </c>
      <c r="D805" s="116">
        <v>444.51999503884502</v>
      </c>
      <c r="E805" s="116">
        <v>448.25941115309899</v>
      </c>
      <c r="F805" s="116">
        <v>899.95</v>
      </c>
      <c r="G805">
        <v>300370</v>
      </c>
      <c r="H805" s="116"/>
      <c r="I805" s="116"/>
      <c r="L805" s="170">
        <v>43186</v>
      </c>
      <c r="M805" s="116">
        <v>445.67529681426402</v>
      </c>
      <c r="N805" s="116">
        <v>451.09888483395298</v>
      </c>
      <c r="O805" s="116">
        <v>444.28844325671798</v>
      </c>
      <c r="P805" s="116">
        <v>449.34055264492099</v>
      </c>
      <c r="Q805" s="116">
        <v>899.8</v>
      </c>
      <c r="R805">
        <v>6939577</v>
      </c>
    </row>
    <row r="806" spans="1:18" x14ac:dyDescent="0.25">
      <c r="A806" s="170">
        <v>43187</v>
      </c>
      <c r="B806" s="116">
        <v>443.77706468501901</v>
      </c>
      <c r="C806" s="116">
        <v>437.23927757135601</v>
      </c>
      <c r="D806" s="116">
        <v>436.347761146766</v>
      </c>
      <c r="E806" s="116">
        <v>443.30654212759703</v>
      </c>
      <c r="F806" s="116">
        <v>882.8</v>
      </c>
      <c r="G806">
        <v>324237</v>
      </c>
      <c r="H806" s="116"/>
      <c r="I806" s="116"/>
      <c r="L806" s="170">
        <v>43187</v>
      </c>
      <c r="M806" s="116">
        <v>437.205584016393</v>
      </c>
      <c r="N806" s="116">
        <v>443.71884268844002</v>
      </c>
      <c r="O806" s="116">
        <v>435.86826094304502</v>
      </c>
      <c r="P806" s="116">
        <v>443.694077446341</v>
      </c>
      <c r="Q806" s="116">
        <v>882.7</v>
      </c>
      <c r="R806">
        <v>8759586</v>
      </c>
    </row>
    <row r="807" spans="1:18" x14ac:dyDescent="0.25">
      <c r="A807" s="170">
        <v>43192</v>
      </c>
      <c r="B807" s="116">
        <v>446.352556578281</v>
      </c>
      <c r="C807" s="116">
        <v>442.14261790660402</v>
      </c>
      <c r="D807" s="116">
        <v>439.022310420537</v>
      </c>
      <c r="E807" s="116">
        <v>441.05298672099298</v>
      </c>
      <c r="F807" s="116">
        <v>892.7</v>
      </c>
      <c r="G807">
        <v>469960</v>
      </c>
      <c r="H807" s="116"/>
      <c r="I807" s="116"/>
      <c r="L807" s="170">
        <v>43192</v>
      </c>
      <c r="M807" s="116">
        <v>442.282458646696</v>
      </c>
      <c r="N807" s="116">
        <v>446.24489738254198</v>
      </c>
      <c r="O807" s="116">
        <v>439.08774241591999</v>
      </c>
      <c r="P807" s="116">
        <v>442.30722388879502</v>
      </c>
      <c r="Q807" s="116">
        <v>892.95</v>
      </c>
      <c r="R807">
        <v>5712065</v>
      </c>
    </row>
    <row r="808" spans="1:18" x14ac:dyDescent="0.25">
      <c r="A808" s="170">
        <v>43193</v>
      </c>
      <c r="B808" s="116">
        <v>446.25349919777102</v>
      </c>
      <c r="C808" s="116">
        <v>445.16386801215998</v>
      </c>
      <c r="D808" s="116">
        <v>438.87372434977198</v>
      </c>
      <c r="E808" s="116">
        <v>440.80534326971798</v>
      </c>
      <c r="F808" s="116">
        <v>898.8</v>
      </c>
      <c r="G808">
        <v>172194</v>
      </c>
      <c r="H808" s="116"/>
      <c r="I808" s="116"/>
      <c r="L808" s="170">
        <v>43193</v>
      </c>
      <c r="M808" s="116">
        <v>445.55147060376902</v>
      </c>
      <c r="N808" s="116">
        <v>446.61637601402703</v>
      </c>
      <c r="O808" s="116">
        <v>438.46861136344398</v>
      </c>
      <c r="P808" s="116">
        <v>441.31661420483402</v>
      </c>
      <c r="Q808" s="116">
        <v>899.55</v>
      </c>
      <c r="R808">
        <v>6364728</v>
      </c>
    </row>
    <row r="809" spans="1:18" x14ac:dyDescent="0.25">
      <c r="A809" s="170">
        <v>43194</v>
      </c>
      <c r="B809" s="116">
        <v>451.28066125865598</v>
      </c>
      <c r="C809" s="116">
        <v>443.33130647272401</v>
      </c>
      <c r="D809" s="116">
        <v>441.96926749071099</v>
      </c>
      <c r="E809" s="116">
        <v>448.48229025924701</v>
      </c>
      <c r="F809" s="116">
        <v>895.1</v>
      </c>
      <c r="G809">
        <v>186330</v>
      </c>
      <c r="H809" s="116"/>
      <c r="I809" s="116"/>
      <c r="L809" s="170">
        <v>43194</v>
      </c>
      <c r="M809" s="116">
        <v>443.24830308855798</v>
      </c>
      <c r="N809" s="116">
        <v>451.61895491803301</v>
      </c>
      <c r="O809" s="116">
        <v>441.83668428891298</v>
      </c>
      <c r="P809" s="116">
        <v>448.10229053997</v>
      </c>
      <c r="Q809" s="116">
        <v>894.9</v>
      </c>
      <c r="R809">
        <v>6498407</v>
      </c>
    </row>
    <row r="810" spans="1:18" x14ac:dyDescent="0.25">
      <c r="A810" s="170">
        <v>43195</v>
      </c>
      <c r="B810" s="116">
        <v>450.711081320723</v>
      </c>
      <c r="C810" s="116">
        <v>449.10139888743498</v>
      </c>
      <c r="D810" s="116">
        <v>447.02119389672401</v>
      </c>
      <c r="E810" s="116">
        <v>447.02119389672401</v>
      </c>
      <c r="F810" s="116">
        <v>906.75</v>
      </c>
      <c r="G810">
        <v>465637</v>
      </c>
      <c r="H810" s="116"/>
      <c r="I810" s="116"/>
      <c r="L810" s="170">
        <v>43195</v>
      </c>
      <c r="M810" s="116">
        <v>449.835857486902</v>
      </c>
      <c r="N810" s="116">
        <v>450.72740620246702</v>
      </c>
      <c r="O810" s="116">
        <v>447.50792472959301</v>
      </c>
      <c r="P810" s="116">
        <v>448.30041247676201</v>
      </c>
      <c r="Q810" s="116">
        <v>908.2</v>
      </c>
      <c r="R810">
        <v>3898676</v>
      </c>
    </row>
    <row r="811" spans="1:18" x14ac:dyDescent="0.25">
      <c r="A811" s="170">
        <v>43196</v>
      </c>
      <c r="B811" s="116">
        <v>454.27714701908502</v>
      </c>
      <c r="C811" s="116">
        <v>450.58725959508502</v>
      </c>
      <c r="D811" s="116">
        <v>448.23464680797201</v>
      </c>
      <c r="E811" s="116">
        <v>450.66155263046801</v>
      </c>
      <c r="F811" s="116">
        <v>909.75</v>
      </c>
      <c r="G811">
        <v>421073</v>
      </c>
      <c r="H811" s="116"/>
      <c r="I811" s="116"/>
      <c r="L811" s="170">
        <v>43196</v>
      </c>
      <c r="M811" s="116">
        <v>451.22271104444798</v>
      </c>
      <c r="N811" s="116">
        <v>454.93749735930402</v>
      </c>
      <c r="O811" s="116">
        <v>448.25088199256402</v>
      </c>
      <c r="P811" s="116">
        <v>449.73679651850603</v>
      </c>
      <c r="Q811" s="116">
        <v>911</v>
      </c>
      <c r="R811">
        <v>4418462</v>
      </c>
    </row>
    <row r="812" spans="1:18" x14ac:dyDescent="0.25">
      <c r="A812" s="170">
        <v>43199</v>
      </c>
      <c r="B812" s="116">
        <v>454.549554815487</v>
      </c>
      <c r="C812" s="116">
        <v>453.70756708115198</v>
      </c>
      <c r="D812" s="116">
        <v>451.404482984293</v>
      </c>
      <c r="E812" s="116">
        <v>452.17217768324599</v>
      </c>
      <c r="F812" s="116">
        <v>916.05</v>
      </c>
      <c r="G812">
        <v>289846</v>
      </c>
      <c r="H812" s="116"/>
      <c r="I812" s="116"/>
      <c r="L812" s="170">
        <v>43199</v>
      </c>
      <c r="M812" s="116">
        <v>453.699235254352</v>
      </c>
      <c r="N812" s="116">
        <v>455.18514978029401</v>
      </c>
      <c r="O812" s="116">
        <v>451.990433549518</v>
      </c>
      <c r="P812" s="116">
        <v>451.990433549518</v>
      </c>
      <c r="Q812" s="116">
        <v>916</v>
      </c>
      <c r="R812">
        <v>3572251</v>
      </c>
    </row>
    <row r="813" spans="1:18" x14ac:dyDescent="0.25">
      <c r="A813" s="170">
        <v>43200</v>
      </c>
      <c r="B813" s="116">
        <v>456.87740325747302</v>
      </c>
      <c r="C813" s="116">
        <v>453.90568184217199</v>
      </c>
      <c r="D813" s="116">
        <v>452.370292444266</v>
      </c>
      <c r="E813" s="116">
        <v>454.67337654112498</v>
      </c>
      <c r="F813" s="116">
        <v>916.45</v>
      </c>
      <c r="G813">
        <v>518840</v>
      </c>
      <c r="H813" s="116"/>
      <c r="I813" s="116"/>
      <c r="L813" s="170">
        <v>43200</v>
      </c>
      <c r="M813" s="116">
        <v>454.21930533843198</v>
      </c>
      <c r="N813" s="116">
        <v>457.612143506</v>
      </c>
      <c r="O813" s="116">
        <v>452.78292129668802</v>
      </c>
      <c r="P813" s="116">
        <v>454.88796687510597</v>
      </c>
      <c r="Q813" s="116">
        <v>917.05</v>
      </c>
      <c r="R813">
        <v>3865402</v>
      </c>
    </row>
    <row r="814" spans="1:18" x14ac:dyDescent="0.25">
      <c r="A814" s="170">
        <v>43201</v>
      </c>
      <c r="B814" s="116">
        <v>461.11210627427801</v>
      </c>
      <c r="C814" s="116">
        <v>460.146296814305</v>
      </c>
      <c r="D814" s="116">
        <v>454.00473922268202</v>
      </c>
      <c r="E814" s="116">
        <v>455.71347903648001</v>
      </c>
      <c r="F814" s="116">
        <v>929.05</v>
      </c>
      <c r="G814">
        <v>442774</v>
      </c>
      <c r="H814" s="116"/>
      <c r="I814" s="116"/>
      <c r="L814" s="170">
        <v>43201</v>
      </c>
      <c r="M814" s="116">
        <v>461.054512157766</v>
      </c>
      <c r="N814" s="116">
        <v>461.99559135752901</v>
      </c>
      <c r="O814" s="116">
        <v>453.72400049645103</v>
      </c>
      <c r="P814" s="116">
        <v>456.57200333783999</v>
      </c>
      <c r="Q814" s="116">
        <v>930.85</v>
      </c>
      <c r="R814">
        <v>6007539</v>
      </c>
    </row>
    <row r="815" spans="1:18" x14ac:dyDescent="0.25">
      <c r="A815" s="170">
        <v>43202</v>
      </c>
      <c r="B815" s="116">
        <v>463.24183995524402</v>
      </c>
      <c r="C815" s="116">
        <v>459.40336646048002</v>
      </c>
      <c r="D815" s="116">
        <v>457.19933974413101</v>
      </c>
      <c r="E815" s="116">
        <v>460.61681937172801</v>
      </c>
      <c r="F815" s="116">
        <v>927.55</v>
      </c>
      <c r="G815">
        <v>381070</v>
      </c>
      <c r="H815" s="116"/>
      <c r="I815" s="116"/>
      <c r="L815" s="170">
        <v>43202</v>
      </c>
      <c r="M815" s="116">
        <v>459.98960674750703</v>
      </c>
      <c r="N815" s="116">
        <v>463.92728024125398</v>
      </c>
      <c r="O815" s="116">
        <v>457.76073495859401</v>
      </c>
      <c r="P815" s="116">
        <v>460.55920731578499</v>
      </c>
      <c r="Q815" s="116">
        <v>928.7</v>
      </c>
      <c r="R815">
        <v>4947725</v>
      </c>
    </row>
    <row r="816" spans="1:18" x14ac:dyDescent="0.25">
      <c r="A816" s="170">
        <v>43203</v>
      </c>
      <c r="B816" s="116">
        <v>466.26309006080101</v>
      </c>
      <c r="C816" s="116">
        <v>465.000108459297</v>
      </c>
      <c r="D816" s="116">
        <v>460.17106115943301</v>
      </c>
      <c r="E816" s="116">
        <v>461.186399309661</v>
      </c>
      <c r="F816" s="116">
        <v>938.85</v>
      </c>
      <c r="G816">
        <v>723849</v>
      </c>
      <c r="H816" s="116"/>
      <c r="I816" s="116"/>
      <c r="L816" s="170">
        <v>43203</v>
      </c>
      <c r="M816" s="116">
        <v>465.01695089361198</v>
      </c>
      <c r="N816" s="116">
        <v>466.42856969325697</v>
      </c>
      <c r="O816" s="116">
        <v>459.98960674750703</v>
      </c>
      <c r="P816" s="116">
        <v>461.97082611542999</v>
      </c>
      <c r="Q816" s="116">
        <v>938.85</v>
      </c>
      <c r="R816">
        <v>5767984</v>
      </c>
    </row>
    <row r="817" spans="1:18" x14ac:dyDescent="0.25">
      <c r="A817" s="170">
        <v>43206</v>
      </c>
      <c r="B817" s="116">
        <v>465.52015970697499</v>
      </c>
      <c r="C817" s="116">
        <v>464.20764941521702</v>
      </c>
      <c r="D817" s="116">
        <v>459.77483163739203</v>
      </c>
      <c r="E817" s="116">
        <v>463.093253884479</v>
      </c>
      <c r="F817" s="116">
        <v>937.25</v>
      </c>
      <c r="G817">
        <v>147413</v>
      </c>
      <c r="H817" s="116"/>
      <c r="I817" s="116"/>
      <c r="L817" s="170">
        <v>43206</v>
      </c>
      <c r="M817" s="116">
        <v>464.12540217804599</v>
      </c>
      <c r="N817" s="116">
        <v>465.58655146188897</v>
      </c>
      <c r="O817" s="116">
        <v>459.89054577911099</v>
      </c>
      <c r="P817" s="116">
        <v>462.83760958889599</v>
      </c>
      <c r="Q817" s="116">
        <v>937.05</v>
      </c>
      <c r="R817">
        <v>4084450</v>
      </c>
    </row>
    <row r="818" spans="1:18" x14ac:dyDescent="0.25">
      <c r="A818" s="170">
        <v>43207</v>
      </c>
      <c r="B818" s="116">
        <v>469.28434016635703</v>
      </c>
      <c r="C818" s="116">
        <v>467.40224993666601</v>
      </c>
      <c r="D818" s="116">
        <v>463.63806947728398</v>
      </c>
      <c r="E818" s="116">
        <v>464.70293631776701</v>
      </c>
      <c r="F818" s="116">
        <v>943.7</v>
      </c>
      <c r="G818">
        <v>365055</v>
      </c>
      <c r="H818" s="116"/>
      <c r="I818" s="116"/>
      <c r="L818" s="170">
        <v>43207</v>
      </c>
      <c r="M818" s="116">
        <v>467.69159704030801</v>
      </c>
      <c r="N818" s="116">
        <v>469.152746324151</v>
      </c>
      <c r="O818" s="116">
        <v>463.60533209396698</v>
      </c>
      <c r="P818" s="116">
        <v>465.58655146188897</v>
      </c>
      <c r="Q818" s="116">
        <v>944.25</v>
      </c>
      <c r="R818">
        <v>4388713</v>
      </c>
    </row>
    <row r="819" spans="1:18" x14ac:dyDescent="0.25">
      <c r="A819" s="170">
        <v>43208</v>
      </c>
      <c r="B819" s="116">
        <v>469.65580534327</v>
      </c>
      <c r="C819" s="116">
        <v>464.08382768957898</v>
      </c>
      <c r="D819" s="116">
        <v>462.59796698192901</v>
      </c>
      <c r="E819" s="116">
        <v>468.04612290998102</v>
      </c>
      <c r="F819" s="116">
        <v>937</v>
      </c>
      <c r="G819">
        <v>205557</v>
      </c>
      <c r="H819" s="116"/>
      <c r="I819" s="116"/>
      <c r="L819" s="170">
        <v>43208</v>
      </c>
      <c r="M819" s="116">
        <v>464.59594177792798</v>
      </c>
      <c r="N819" s="116">
        <v>469.64805116613098</v>
      </c>
      <c r="O819" s="116">
        <v>463.13479249408499</v>
      </c>
      <c r="P819" s="116">
        <v>468.186901882288</v>
      </c>
      <c r="Q819" s="116">
        <v>938</v>
      </c>
      <c r="R819">
        <v>3365196</v>
      </c>
    </row>
    <row r="820" spans="1:18" x14ac:dyDescent="0.25">
      <c r="A820" s="170">
        <v>43209</v>
      </c>
      <c r="B820" s="116">
        <v>467.52607166230399</v>
      </c>
      <c r="C820" s="116">
        <v>466.18879702541801</v>
      </c>
      <c r="D820" s="116">
        <v>463.14278257473399</v>
      </c>
      <c r="E820" s="116">
        <v>464.67817197263997</v>
      </c>
      <c r="F820" s="116">
        <v>941.25</v>
      </c>
      <c r="G820">
        <v>366035</v>
      </c>
      <c r="H820" s="116"/>
      <c r="I820" s="116"/>
      <c r="L820" s="170">
        <v>43209</v>
      </c>
      <c r="M820" s="116">
        <v>466.72575259844501</v>
      </c>
      <c r="N820" s="116">
        <v>468.063075671793</v>
      </c>
      <c r="O820" s="116">
        <v>463.11002725198603</v>
      </c>
      <c r="P820" s="116">
        <v>465.14077710410697</v>
      </c>
      <c r="Q820" s="116">
        <v>942.3</v>
      </c>
      <c r="R820">
        <v>4481413</v>
      </c>
    </row>
    <row r="821" spans="1:18" x14ac:dyDescent="0.25">
      <c r="A821" s="170">
        <v>43210</v>
      </c>
      <c r="B821" s="116">
        <v>466.36214744131098</v>
      </c>
      <c r="C821" s="116">
        <v>459.65100991175501</v>
      </c>
      <c r="D821" s="116">
        <v>456.38211635492303</v>
      </c>
      <c r="E821" s="116">
        <v>465.07440149467999</v>
      </c>
      <c r="F821" s="116">
        <v>928.05</v>
      </c>
      <c r="G821">
        <v>214926</v>
      </c>
      <c r="H821" s="116"/>
      <c r="I821" s="116"/>
      <c r="L821" s="170">
        <v>43210</v>
      </c>
      <c r="M821" s="116">
        <v>459.59336287392301</v>
      </c>
      <c r="N821" s="116">
        <v>466.50286541955398</v>
      </c>
      <c r="O821" s="116">
        <v>456.27482043265201</v>
      </c>
      <c r="P821" s="116">
        <v>464.59594177792798</v>
      </c>
      <c r="Q821" s="116">
        <v>927.9</v>
      </c>
      <c r="R821">
        <v>3349519</v>
      </c>
    </row>
    <row r="822" spans="1:18" x14ac:dyDescent="0.25">
      <c r="A822" s="170">
        <v>43213</v>
      </c>
      <c r="B822" s="116">
        <v>467.03078475975298</v>
      </c>
      <c r="C822" s="116">
        <v>463.16754691986199</v>
      </c>
      <c r="D822" s="116">
        <v>458.63567176152702</v>
      </c>
      <c r="E822" s="116">
        <v>459.27954473484198</v>
      </c>
      <c r="F822" s="116">
        <v>935.15</v>
      </c>
      <c r="G822">
        <v>159076</v>
      </c>
      <c r="H822" s="116"/>
      <c r="I822" s="116"/>
      <c r="L822" s="170">
        <v>43213</v>
      </c>
      <c r="M822" s="116">
        <v>463.60533209396698</v>
      </c>
      <c r="N822" s="116">
        <v>467.741127524506</v>
      </c>
      <c r="O822" s="116">
        <v>459.89054577911099</v>
      </c>
      <c r="P822" s="116">
        <v>460.633503042082</v>
      </c>
      <c r="Q822" s="116">
        <v>936</v>
      </c>
      <c r="R822">
        <v>3508515</v>
      </c>
    </row>
    <row r="823" spans="1:18" x14ac:dyDescent="0.25">
      <c r="A823" s="170">
        <v>43214</v>
      </c>
      <c r="B823" s="116">
        <v>482.65708653521398</v>
      </c>
      <c r="C823" s="116">
        <v>480.30447374810001</v>
      </c>
      <c r="D823" s="116">
        <v>463.093253884479</v>
      </c>
      <c r="E823" s="116">
        <v>464.43052852136498</v>
      </c>
      <c r="F823" s="116">
        <v>969.75</v>
      </c>
      <c r="G823">
        <v>511300</v>
      </c>
      <c r="H823" s="116"/>
      <c r="I823" s="116"/>
      <c r="L823" s="170">
        <v>43214</v>
      </c>
      <c r="M823" s="116">
        <v>480.47046196341103</v>
      </c>
      <c r="N823" s="116">
        <v>483.268934320602</v>
      </c>
      <c r="O823" s="116">
        <v>463.11002725198603</v>
      </c>
      <c r="P823" s="116">
        <v>463.50627112556998</v>
      </c>
      <c r="Q823" s="116">
        <v>970.05</v>
      </c>
      <c r="R823">
        <v>9107264</v>
      </c>
    </row>
    <row r="824" spans="1:18" x14ac:dyDescent="0.25">
      <c r="A824" s="170">
        <v>43215</v>
      </c>
      <c r="B824" s="116">
        <v>486.09933050793802</v>
      </c>
      <c r="C824" s="116">
        <v>480.77499630552302</v>
      </c>
      <c r="D824" s="116">
        <v>477.70421750971099</v>
      </c>
      <c r="E824" s="116">
        <v>481.69127707524098</v>
      </c>
      <c r="F824" s="116">
        <v>970.7</v>
      </c>
      <c r="G824">
        <v>425381</v>
      </c>
      <c r="H824" s="116"/>
      <c r="I824" s="116"/>
      <c r="L824" s="170">
        <v>43215</v>
      </c>
      <c r="M824" s="116">
        <v>480.693349142302</v>
      </c>
      <c r="N824" s="116">
        <v>486.290293856684</v>
      </c>
      <c r="O824" s="116">
        <v>477.25098049053599</v>
      </c>
      <c r="P824" s="116">
        <v>482.25355939454101</v>
      </c>
      <c r="Q824" s="116">
        <v>970.5</v>
      </c>
      <c r="R824">
        <v>6436620</v>
      </c>
    </row>
    <row r="825" spans="1:18" x14ac:dyDescent="0.25">
      <c r="A825" s="170">
        <v>43216</v>
      </c>
      <c r="B825" s="116">
        <v>489.343459719642</v>
      </c>
      <c r="C825" s="116">
        <v>483.07808040238098</v>
      </c>
      <c r="D825" s="116">
        <v>477.15940191690601</v>
      </c>
      <c r="E825" s="116">
        <v>481.41886927883797</v>
      </c>
      <c r="F825" s="116">
        <v>975.35</v>
      </c>
      <c r="G825">
        <v>530962</v>
      </c>
      <c r="H825" s="116"/>
      <c r="I825" s="116"/>
      <c r="L825" s="170">
        <v>43216</v>
      </c>
      <c r="M825" s="116">
        <v>483.09557762590799</v>
      </c>
      <c r="N825" s="116">
        <v>489.36118387696501</v>
      </c>
      <c r="O825" s="116">
        <v>476.60708419596102</v>
      </c>
      <c r="P825" s="116">
        <v>481.93161124725401</v>
      </c>
      <c r="Q825" s="116">
        <v>975.35</v>
      </c>
      <c r="R825">
        <v>15588001</v>
      </c>
    </row>
    <row r="826" spans="1:18" x14ac:dyDescent="0.25">
      <c r="A826" s="170">
        <v>43217</v>
      </c>
      <c r="B826" s="116">
        <v>500.58647240753299</v>
      </c>
      <c r="C826" s="116">
        <v>492.68664631185601</v>
      </c>
      <c r="D826" s="116">
        <v>489.46728144527998</v>
      </c>
      <c r="E826" s="116">
        <v>489.46728144527998</v>
      </c>
      <c r="F826" s="116">
        <v>994.75</v>
      </c>
      <c r="G826">
        <v>1092703</v>
      </c>
      <c r="H826" s="116"/>
      <c r="I826" s="116"/>
      <c r="L826" s="170">
        <v>43217</v>
      </c>
      <c r="M826" s="116">
        <v>493.47221406540501</v>
      </c>
      <c r="N826" s="116">
        <v>500.753195242522</v>
      </c>
      <c r="O826" s="116">
        <v>488.122921772013</v>
      </c>
      <c r="P826" s="116">
        <v>490.25273259252998</v>
      </c>
      <c r="Q826" s="116">
        <v>996.3</v>
      </c>
      <c r="R826">
        <v>11666267</v>
      </c>
    </row>
    <row r="827" spans="1:18" x14ac:dyDescent="0.25">
      <c r="A827" s="170">
        <v>43220</v>
      </c>
      <c r="B827" s="116">
        <v>491.32460732984299</v>
      </c>
      <c r="C827" s="116">
        <v>477.01081584614099</v>
      </c>
      <c r="D827" s="116">
        <v>475.97071335078499</v>
      </c>
      <c r="E827" s="116">
        <v>487.70901294122598</v>
      </c>
      <c r="F827" s="116">
        <v>963.1</v>
      </c>
      <c r="G827">
        <v>549488</v>
      </c>
      <c r="H827" s="116"/>
      <c r="I827" s="116"/>
      <c r="L827" s="170">
        <v>43220</v>
      </c>
      <c r="M827" s="116">
        <v>477.127154280041</v>
      </c>
      <c r="N827" s="116">
        <v>491.63958615007601</v>
      </c>
      <c r="O827" s="116">
        <v>475.492648301504</v>
      </c>
      <c r="P827" s="116">
        <v>486.38935482507998</v>
      </c>
      <c r="Q827" s="116">
        <v>963.3</v>
      </c>
      <c r="R827">
        <v>8871802</v>
      </c>
    </row>
    <row r="828" spans="1:18" x14ac:dyDescent="0.25">
      <c r="A828" s="170">
        <v>43222</v>
      </c>
      <c r="B828" s="116">
        <v>484.48964807465001</v>
      </c>
      <c r="C828" s="116">
        <v>481.91415618138802</v>
      </c>
      <c r="D828" s="116">
        <v>478.57096958917401</v>
      </c>
      <c r="E828" s="116">
        <v>479.833951190677</v>
      </c>
      <c r="F828" s="116">
        <v>973</v>
      </c>
      <c r="G828">
        <v>309846</v>
      </c>
      <c r="H828" s="116"/>
      <c r="I828" s="116"/>
      <c r="L828" s="170">
        <v>43222</v>
      </c>
      <c r="M828" s="116">
        <v>481.78301979465903</v>
      </c>
      <c r="N828" s="116">
        <v>485.002501267534</v>
      </c>
      <c r="O828" s="116">
        <v>477.993937753507</v>
      </c>
      <c r="P828" s="116">
        <v>478.95978219536897</v>
      </c>
      <c r="Q828" s="116">
        <v>972.7</v>
      </c>
      <c r="R828">
        <v>6117761</v>
      </c>
    </row>
    <row r="829" spans="1:18" x14ac:dyDescent="0.25">
      <c r="A829" s="170">
        <v>43223</v>
      </c>
      <c r="B829" s="116">
        <v>484.78682021617999</v>
      </c>
      <c r="C829" s="116">
        <v>476.76317239486599</v>
      </c>
      <c r="D829" s="116">
        <v>475.12872561645003</v>
      </c>
      <c r="E829" s="116">
        <v>483.89530379158901</v>
      </c>
      <c r="F829" s="116">
        <v>962.6</v>
      </c>
      <c r="G829">
        <v>319978</v>
      </c>
      <c r="H829" s="116"/>
      <c r="I829" s="116"/>
      <c r="L829" s="170">
        <v>43223</v>
      </c>
      <c r="M829" s="116">
        <v>476.285136048673</v>
      </c>
      <c r="N829" s="116">
        <v>484.35860497295897</v>
      </c>
      <c r="O829" s="116">
        <v>475.12116967001901</v>
      </c>
      <c r="P829" s="116">
        <v>484.35860497295897</v>
      </c>
      <c r="Q829" s="116">
        <v>961.6</v>
      </c>
      <c r="R829">
        <v>3947546</v>
      </c>
    </row>
    <row r="830" spans="1:18" x14ac:dyDescent="0.25">
      <c r="A830" s="170">
        <v>43224</v>
      </c>
      <c r="B830" s="116">
        <v>477.70421750971099</v>
      </c>
      <c r="C830" s="116">
        <v>472.45417634267898</v>
      </c>
      <c r="D830" s="116">
        <v>470.34920700684</v>
      </c>
      <c r="E830" s="116">
        <v>477.43180971330901</v>
      </c>
      <c r="F830" s="116">
        <v>953.9</v>
      </c>
      <c r="G830">
        <v>179721</v>
      </c>
      <c r="H830" s="116"/>
      <c r="I830" s="116"/>
      <c r="L830" s="170">
        <v>43224</v>
      </c>
      <c r="M830" s="116">
        <v>472.49605400752102</v>
      </c>
      <c r="N830" s="116">
        <v>477.82058105881401</v>
      </c>
      <c r="O830" s="116">
        <v>470.53959988169697</v>
      </c>
      <c r="P830" s="116">
        <v>476.904267101149</v>
      </c>
      <c r="Q830" s="116">
        <v>953.95</v>
      </c>
      <c r="R830">
        <v>3795692</v>
      </c>
    </row>
    <row r="831" spans="1:18" x14ac:dyDescent="0.25">
      <c r="A831" s="170">
        <v>43227</v>
      </c>
      <c r="B831" s="116">
        <v>482.40944308393898</v>
      </c>
      <c r="C831" s="116">
        <v>481.344576243456</v>
      </c>
      <c r="D831" s="116">
        <v>473.741922289309</v>
      </c>
      <c r="E831" s="116">
        <v>474.48485264313501</v>
      </c>
      <c r="F831" s="116">
        <v>971.85</v>
      </c>
      <c r="G831">
        <v>350888</v>
      </c>
      <c r="H831" s="116"/>
      <c r="I831" s="116"/>
      <c r="L831" s="170">
        <v>43227</v>
      </c>
      <c r="M831" s="116">
        <v>480.94100156329199</v>
      </c>
      <c r="N831" s="116">
        <v>482.05543745774901</v>
      </c>
      <c r="O831" s="116">
        <v>473.68478562827403</v>
      </c>
      <c r="P831" s="116">
        <v>474.92304773322599</v>
      </c>
      <c r="Q831" s="116">
        <v>971</v>
      </c>
      <c r="R831">
        <v>3512532</v>
      </c>
    </row>
    <row r="832" spans="1:18" x14ac:dyDescent="0.25">
      <c r="A832" s="170">
        <v>43228</v>
      </c>
      <c r="B832" s="116">
        <v>486.37173830434102</v>
      </c>
      <c r="C832" s="116">
        <v>479.26437125274498</v>
      </c>
      <c r="D832" s="116">
        <v>478.02615399636898</v>
      </c>
      <c r="E832" s="116">
        <v>482.18656397779102</v>
      </c>
      <c r="F832" s="116">
        <v>967.65</v>
      </c>
      <c r="G832">
        <v>337704</v>
      </c>
      <c r="H832" s="116"/>
      <c r="I832" s="116"/>
      <c r="L832" s="170">
        <v>43228</v>
      </c>
      <c r="M832" s="116">
        <v>479.00931267956702</v>
      </c>
      <c r="N832" s="116">
        <v>486.38935482507998</v>
      </c>
      <c r="O832" s="116">
        <v>478.06823347980401</v>
      </c>
      <c r="P832" s="116">
        <v>484.16048303616702</v>
      </c>
      <c r="Q832" s="116">
        <v>967.1</v>
      </c>
      <c r="R832">
        <v>4934036</v>
      </c>
    </row>
    <row r="833" spans="1:18" x14ac:dyDescent="0.25">
      <c r="A833" s="170">
        <v>43229</v>
      </c>
      <c r="B833" s="116">
        <v>486.69367479099799</v>
      </c>
      <c r="C833" s="116">
        <v>483.05331605725399</v>
      </c>
      <c r="D833" s="116">
        <v>476.46600025333601</v>
      </c>
      <c r="E833" s="116">
        <v>479.26437125274498</v>
      </c>
      <c r="F833" s="116">
        <v>975.3</v>
      </c>
      <c r="G833">
        <v>333659</v>
      </c>
      <c r="H833" s="116"/>
      <c r="I833" s="116"/>
      <c r="L833" s="170">
        <v>43229</v>
      </c>
      <c r="M833" s="116">
        <v>483.76423916258199</v>
      </c>
      <c r="N833" s="116">
        <v>487.52855596163602</v>
      </c>
      <c r="O833" s="116">
        <v>476.60708419596102</v>
      </c>
      <c r="P833" s="116">
        <v>478.41494686918998</v>
      </c>
      <c r="Q833" s="116">
        <v>976.7</v>
      </c>
      <c r="R833">
        <v>4494423</v>
      </c>
    </row>
    <row r="834" spans="1:18" x14ac:dyDescent="0.25">
      <c r="A834" s="170">
        <v>43230</v>
      </c>
      <c r="B834" s="116">
        <v>487.36231210944101</v>
      </c>
      <c r="C834" s="116">
        <v>485.72786533102499</v>
      </c>
      <c r="D834" s="116">
        <v>482.65708653521398</v>
      </c>
      <c r="E834" s="116">
        <v>483.944832481844</v>
      </c>
      <c r="F834" s="116">
        <v>980.7</v>
      </c>
      <c r="G834">
        <v>319954</v>
      </c>
      <c r="H834" s="116"/>
      <c r="I834" s="116"/>
      <c r="L834" s="170">
        <v>43230</v>
      </c>
      <c r="M834" s="116">
        <v>485.968345709397</v>
      </c>
      <c r="N834" s="116">
        <v>487.67714741422998</v>
      </c>
      <c r="O834" s="116">
        <v>482.55074229973002</v>
      </c>
      <c r="P834" s="116">
        <v>485.39874514111898</v>
      </c>
      <c r="Q834" s="116">
        <v>981.15</v>
      </c>
      <c r="R834">
        <v>4014645</v>
      </c>
    </row>
    <row r="835" spans="1:18" x14ac:dyDescent="0.25">
      <c r="A835" s="170">
        <v>43231</v>
      </c>
      <c r="B835" s="116">
        <v>490.40832656012498</v>
      </c>
      <c r="C835" s="116">
        <v>489.59110317091699</v>
      </c>
      <c r="D835" s="116">
        <v>484.019125517227</v>
      </c>
      <c r="E835" s="116">
        <v>486.76796782638098</v>
      </c>
      <c r="F835" s="116">
        <v>988.5</v>
      </c>
      <c r="G835">
        <v>343688</v>
      </c>
      <c r="H835" s="116"/>
      <c r="I835" s="116"/>
      <c r="L835" s="170">
        <v>43231</v>
      </c>
      <c r="M835" s="116">
        <v>489.98031492944102</v>
      </c>
      <c r="N835" s="116">
        <v>490.99568985550098</v>
      </c>
      <c r="O835" s="116">
        <v>484.28430924666202</v>
      </c>
      <c r="P835" s="116">
        <v>486.01787619359499</v>
      </c>
      <c r="Q835" s="116">
        <v>989.25</v>
      </c>
      <c r="R835">
        <v>4011516</v>
      </c>
    </row>
    <row r="836" spans="1:18" x14ac:dyDescent="0.25">
      <c r="A836" s="170">
        <v>43234</v>
      </c>
      <c r="B836" s="116">
        <v>492.26565244468799</v>
      </c>
      <c r="C836" s="116">
        <v>487.78330597660897</v>
      </c>
      <c r="D836" s="116">
        <v>483.59813165005897</v>
      </c>
      <c r="E836" s="116">
        <v>492.26565244468799</v>
      </c>
      <c r="F836" s="116">
        <v>984.85</v>
      </c>
      <c r="G836">
        <v>167118</v>
      </c>
      <c r="H836" s="116"/>
      <c r="I836" s="116"/>
      <c r="L836" s="170">
        <v>43234</v>
      </c>
      <c r="M836" s="116">
        <v>488.667757098192</v>
      </c>
      <c r="N836" s="116">
        <v>491.31763800278901</v>
      </c>
      <c r="O836" s="116">
        <v>483.76423916258199</v>
      </c>
      <c r="P836" s="116">
        <v>491.31763800278901</v>
      </c>
      <c r="Q836" s="116">
        <v>986.6</v>
      </c>
      <c r="R836">
        <v>2579561</v>
      </c>
    </row>
    <row r="837" spans="1:18" x14ac:dyDescent="0.25">
      <c r="A837" s="170">
        <v>43235</v>
      </c>
      <c r="B837" s="116">
        <v>494.94020171846</v>
      </c>
      <c r="C837" s="116">
        <v>485.05922801258203</v>
      </c>
      <c r="D837" s="116">
        <v>483.89530379158901</v>
      </c>
      <c r="E837" s="116">
        <v>485.38116449924001</v>
      </c>
      <c r="F837" s="116">
        <v>979.35</v>
      </c>
      <c r="G837">
        <v>305063</v>
      </c>
      <c r="H837" s="116"/>
      <c r="I837" s="116"/>
      <c r="L837" s="170">
        <v>43235</v>
      </c>
      <c r="M837" s="116">
        <v>484.878675057039</v>
      </c>
      <c r="N837" s="116">
        <v>495.30484198073401</v>
      </c>
      <c r="O837" s="116">
        <v>483.73947392048302</v>
      </c>
      <c r="P837" s="116">
        <v>486.90942490916001</v>
      </c>
      <c r="Q837" s="116">
        <v>978.95</v>
      </c>
      <c r="R837">
        <v>4800923</v>
      </c>
    </row>
    <row r="838" spans="1:18" x14ac:dyDescent="0.25">
      <c r="A838" s="170">
        <v>43236</v>
      </c>
      <c r="B838" s="116">
        <v>483.54860295980399</v>
      </c>
      <c r="C838" s="116">
        <v>473.71715794418202</v>
      </c>
      <c r="D838" s="116">
        <v>472.70181979395397</v>
      </c>
      <c r="E838" s="116">
        <v>483.54860295980399</v>
      </c>
      <c r="F838" s="116">
        <v>956.45</v>
      </c>
      <c r="G838">
        <v>1288716</v>
      </c>
      <c r="H838" s="116"/>
      <c r="I838" s="116"/>
      <c r="L838" s="170">
        <v>43236</v>
      </c>
      <c r="M838" s="116">
        <v>473.585724659878</v>
      </c>
      <c r="N838" s="116">
        <v>482.426916089234</v>
      </c>
      <c r="O838" s="116">
        <v>471.75309674455002</v>
      </c>
      <c r="P838" s="116">
        <v>482.426916089234</v>
      </c>
      <c r="Q838" s="116">
        <v>956.15</v>
      </c>
      <c r="R838">
        <v>8613363</v>
      </c>
    </row>
    <row r="839" spans="1:18" x14ac:dyDescent="0.25">
      <c r="A839" s="170">
        <v>43237</v>
      </c>
      <c r="B839" s="116">
        <v>475.82212728002003</v>
      </c>
      <c r="C839" s="116">
        <v>468.12041594536402</v>
      </c>
      <c r="D839" s="116">
        <v>466.80790565360599</v>
      </c>
      <c r="E839" s="116">
        <v>475.42589775798001</v>
      </c>
      <c r="F839" s="116">
        <v>945.15</v>
      </c>
      <c r="G839">
        <v>1414396</v>
      </c>
      <c r="H839" s="116"/>
      <c r="I839" s="116"/>
      <c r="L839" s="170">
        <v>43237</v>
      </c>
      <c r="M839" s="116">
        <v>468.23643236648599</v>
      </c>
      <c r="N839" s="116">
        <v>475.492648301504</v>
      </c>
      <c r="O839" s="116">
        <v>466.329508724861</v>
      </c>
      <c r="P839" s="116">
        <v>475.170700154217</v>
      </c>
      <c r="Q839" s="116">
        <v>945.35</v>
      </c>
      <c r="R839">
        <v>4733477</v>
      </c>
    </row>
    <row r="840" spans="1:18" x14ac:dyDescent="0.25">
      <c r="A840" s="170">
        <v>43238</v>
      </c>
      <c r="B840" s="116">
        <v>472.28082592678601</v>
      </c>
      <c r="C840" s="116">
        <v>462.30079484039902</v>
      </c>
      <c r="D840" s="116">
        <v>461.359749725553</v>
      </c>
      <c r="E840" s="116">
        <v>468.54140981253198</v>
      </c>
      <c r="F840" s="116">
        <v>933.4</v>
      </c>
      <c r="G840">
        <v>484887</v>
      </c>
      <c r="H840" s="116"/>
      <c r="I840" s="116"/>
      <c r="L840" s="170">
        <v>43238</v>
      </c>
      <c r="M840" s="116">
        <v>462.54042668370801</v>
      </c>
      <c r="N840" s="116">
        <v>472.27316682862897</v>
      </c>
      <c r="O840" s="116">
        <v>461.62411272604402</v>
      </c>
      <c r="P840" s="116">
        <v>468.36025857698201</v>
      </c>
      <c r="Q840" s="116">
        <v>933.85</v>
      </c>
      <c r="R840">
        <v>5230037</v>
      </c>
    </row>
    <row r="841" spans="1:18" x14ac:dyDescent="0.25">
      <c r="A841" s="170">
        <v>43241</v>
      </c>
      <c r="B841" s="116">
        <v>463.29136864549901</v>
      </c>
      <c r="C841" s="116">
        <v>461.58262883170102</v>
      </c>
      <c r="D841" s="116">
        <v>456.65452415132597</v>
      </c>
      <c r="E841" s="116">
        <v>461.607393176828</v>
      </c>
      <c r="F841" s="116">
        <v>931.95</v>
      </c>
      <c r="G841">
        <v>233114</v>
      </c>
      <c r="H841" s="116"/>
      <c r="I841" s="116"/>
      <c r="L841" s="170">
        <v>43241</v>
      </c>
      <c r="M841" s="116">
        <v>461.30216457875599</v>
      </c>
      <c r="N841" s="116">
        <v>463.45674064137199</v>
      </c>
      <c r="O841" s="116">
        <v>456.72059479043401</v>
      </c>
      <c r="P841" s="116">
        <v>461.00498167356801</v>
      </c>
      <c r="Q841" s="116">
        <v>931.35</v>
      </c>
      <c r="R841">
        <v>6624893</v>
      </c>
    </row>
    <row r="842" spans="1:18" x14ac:dyDescent="0.25">
      <c r="A842" s="170">
        <v>43242</v>
      </c>
      <c r="B842" s="116">
        <v>462.69702436243898</v>
      </c>
      <c r="C842" s="116">
        <v>459.08142997382203</v>
      </c>
      <c r="D842" s="116">
        <v>457.89274140770101</v>
      </c>
      <c r="E842" s="116">
        <v>462.10268007937901</v>
      </c>
      <c r="F842" s="116">
        <v>926.9</v>
      </c>
      <c r="G842">
        <v>220896</v>
      </c>
      <c r="H842" s="116"/>
      <c r="I842" s="116"/>
      <c r="L842" s="170">
        <v>43242</v>
      </c>
      <c r="M842" s="116">
        <v>459.02376230564499</v>
      </c>
      <c r="N842" s="116">
        <v>462.61472241000502</v>
      </c>
      <c r="O842" s="116">
        <v>458.15697883217803</v>
      </c>
      <c r="P842" s="116">
        <v>462.19371329432101</v>
      </c>
      <c r="Q842" s="116">
        <v>926.75</v>
      </c>
      <c r="R842">
        <v>5170585</v>
      </c>
    </row>
    <row r="843" spans="1:18" x14ac:dyDescent="0.25">
      <c r="A843" s="170">
        <v>43243</v>
      </c>
      <c r="B843" s="116">
        <v>459.180487354332</v>
      </c>
      <c r="C843" s="116">
        <v>451.82547685146102</v>
      </c>
      <c r="D843" s="116">
        <v>450.24055876329999</v>
      </c>
      <c r="E843" s="116">
        <v>459.13095866407701</v>
      </c>
      <c r="F843" s="116">
        <v>912.25</v>
      </c>
      <c r="G843">
        <v>275631</v>
      </c>
      <c r="H843" s="116"/>
      <c r="I843" s="116"/>
      <c r="L843" s="170">
        <v>43243</v>
      </c>
      <c r="M843" s="116">
        <v>451.84184209692398</v>
      </c>
      <c r="N843" s="116">
        <v>458.65228367415898</v>
      </c>
      <c r="O843" s="116">
        <v>450.30639708678399</v>
      </c>
      <c r="P843" s="116">
        <v>458.65228367415898</v>
      </c>
      <c r="Q843" s="116">
        <v>912.25</v>
      </c>
      <c r="R843">
        <v>4567562</v>
      </c>
    </row>
    <row r="844" spans="1:18" x14ac:dyDescent="0.25">
      <c r="A844" s="170">
        <v>43244</v>
      </c>
      <c r="B844" s="116">
        <v>456.13447290364797</v>
      </c>
      <c r="C844" s="116">
        <v>453.70756708115198</v>
      </c>
      <c r="D844" s="116">
        <v>451.13207518789102</v>
      </c>
      <c r="E844" s="116">
        <v>454.02950356781002</v>
      </c>
      <c r="F844" s="116">
        <v>916.05</v>
      </c>
      <c r="G844">
        <v>238484</v>
      </c>
      <c r="H844" s="116"/>
      <c r="I844" s="116"/>
      <c r="L844" s="170">
        <v>43244</v>
      </c>
      <c r="M844" s="116">
        <v>453.62493952805499</v>
      </c>
      <c r="N844" s="116">
        <v>456.17575946425598</v>
      </c>
      <c r="O844" s="116">
        <v>450.801701928765</v>
      </c>
      <c r="P844" s="116">
        <v>452.70862557038998</v>
      </c>
      <c r="Q844" s="116">
        <v>915.85</v>
      </c>
      <c r="R844">
        <v>5317983</v>
      </c>
    </row>
    <row r="845" spans="1:18" x14ac:dyDescent="0.25">
      <c r="A845" s="170">
        <v>43245</v>
      </c>
      <c r="B845" s="116">
        <v>457.76891968206399</v>
      </c>
      <c r="C845" s="116">
        <v>456.53070242568799</v>
      </c>
      <c r="D845" s="116">
        <v>453.48468797500402</v>
      </c>
      <c r="E845" s="116">
        <v>454.69814088625202</v>
      </c>
      <c r="F845" s="116">
        <v>921.75</v>
      </c>
      <c r="G845">
        <v>175102</v>
      </c>
      <c r="H845" s="116"/>
      <c r="I845" s="116"/>
      <c r="L845" s="170">
        <v>43245</v>
      </c>
      <c r="M845" s="116">
        <v>456.07669849585898</v>
      </c>
      <c r="N845" s="116">
        <v>457.36449108500898</v>
      </c>
      <c r="O845" s="116">
        <v>452.93151274928198</v>
      </c>
      <c r="P845" s="116">
        <v>453.699235254352</v>
      </c>
      <c r="Q845" s="116">
        <v>920.8</v>
      </c>
      <c r="R845">
        <v>8129520</v>
      </c>
    </row>
    <row r="846" spans="1:18" x14ac:dyDescent="0.25">
      <c r="A846" s="170">
        <v>43248</v>
      </c>
      <c r="B846" s="116">
        <v>459.20525169946001</v>
      </c>
      <c r="C846" s="116">
        <v>456.15923724877598</v>
      </c>
      <c r="D846" s="116">
        <v>455.14389909854799</v>
      </c>
      <c r="E846" s="116">
        <v>457.42221885027902</v>
      </c>
      <c r="F846" s="116">
        <v>921</v>
      </c>
      <c r="G846">
        <v>1353411</v>
      </c>
      <c r="H846" s="116"/>
      <c r="I846" s="116"/>
      <c r="L846" s="170">
        <v>43248</v>
      </c>
      <c r="M846" s="116">
        <v>455.87857655906703</v>
      </c>
      <c r="N846" s="116">
        <v>459.14758851613999</v>
      </c>
      <c r="O846" s="116">
        <v>454.73937542251099</v>
      </c>
      <c r="P846" s="116">
        <v>458.10744834797998</v>
      </c>
      <c r="Q846" s="116">
        <v>920.4</v>
      </c>
      <c r="R846">
        <v>5197835</v>
      </c>
    </row>
    <row r="847" spans="1:18" x14ac:dyDescent="0.25">
      <c r="A847" s="170">
        <v>43249</v>
      </c>
      <c r="B847" s="116">
        <v>459.57671687637202</v>
      </c>
      <c r="C847" s="116">
        <v>454.17808963857499</v>
      </c>
      <c r="D847" s="116">
        <v>452.76652196630602</v>
      </c>
      <c r="E847" s="116">
        <v>455.68871469135303</v>
      </c>
      <c r="F847" s="116">
        <v>917</v>
      </c>
      <c r="G847">
        <v>227379</v>
      </c>
      <c r="H847" s="116"/>
      <c r="I847" s="116"/>
      <c r="L847" s="170">
        <v>43249</v>
      </c>
      <c r="M847" s="116">
        <v>454.41742727522399</v>
      </c>
      <c r="N847" s="116">
        <v>459.642893358121</v>
      </c>
      <c r="O847" s="116">
        <v>452.90674750718301</v>
      </c>
      <c r="P847" s="116">
        <v>456.42341188524603</v>
      </c>
      <c r="Q847" s="116">
        <v>917.45</v>
      </c>
      <c r="R847">
        <v>8173396</v>
      </c>
    </row>
    <row r="848" spans="1:18" x14ac:dyDescent="0.25">
      <c r="A848" s="170">
        <v>43250</v>
      </c>
      <c r="B848" s="116">
        <v>457.05075367336599</v>
      </c>
      <c r="C848" s="116">
        <v>454.35144005446699</v>
      </c>
      <c r="D848" s="116">
        <v>449.27474930332698</v>
      </c>
      <c r="E848" s="116">
        <v>452.69222893092399</v>
      </c>
      <c r="F848" s="116">
        <v>917.35</v>
      </c>
      <c r="G848">
        <v>482165</v>
      </c>
      <c r="H848" s="116"/>
      <c r="I848" s="116"/>
      <c r="L848" s="170">
        <v>43250</v>
      </c>
      <c r="M848" s="116">
        <v>453.74876573854999</v>
      </c>
      <c r="N848" s="116">
        <v>457.265430116613</v>
      </c>
      <c r="O848" s="116">
        <v>449.04336973973301</v>
      </c>
      <c r="P848" s="116">
        <v>453.12963468607398</v>
      </c>
      <c r="Q848" s="116">
        <v>916.1</v>
      </c>
      <c r="R848">
        <v>5991222</v>
      </c>
    </row>
    <row r="849" spans="1:18" x14ac:dyDescent="0.25">
      <c r="A849" s="170">
        <v>43251</v>
      </c>
      <c r="B849" s="116">
        <v>457.64509795642601</v>
      </c>
      <c r="C849" s="116">
        <v>456.307823319541</v>
      </c>
      <c r="D849" s="116">
        <v>453.93044618729903</v>
      </c>
      <c r="E849" s="116">
        <v>455.342013859568</v>
      </c>
      <c r="F849" s="116">
        <v>921.3</v>
      </c>
      <c r="G849">
        <v>2016619</v>
      </c>
      <c r="H849" s="116"/>
      <c r="I849" s="116"/>
      <c r="L849" s="170">
        <v>43251</v>
      </c>
      <c r="M849" s="116">
        <v>456.34911615894902</v>
      </c>
      <c r="N849" s="116">
        <v>456.81965575882998</v>
      </c>
      <c r="O849" s="116">
        <v>452.98104323348002</v>
      </c>
      <c r="P849" s="116">
        <v>456.17575946425598</v>
      </c>
      <c r="Q849" s="116">
        <v>921.35</v>
      </c>
      <c r="R849">
        <v>16951801</v>
      </c>
    </row>
    <row r="850" spans="1:18" x14ac:dyDescent="0.25">
      <c r="A850" s="170">
        <v>43252</v>
      </c>
      <c r="B850" s="116">
        <v>463.04372519422401</v>
      </c>
      <c r="C850" s="116">
        <v>460.220589849688</v>
      </c>
      <c r="D850" s="116">
        <v>455.21819213393002</v>
      </c>
      <c r="E850" s="116">
        <v>456.307823319541</v>
      </c>
      <c r="F850" s="116">
        <v>929.2</v>
      </c>
      <c r="G850">
        <v>2034925</v>
      </c>
      <c r="H850" s="116"/>
      <c r="I850" s="116"/>
      <c r="L850" s="170">
        <v>43252</v>
      </c>
      <c r="M850" s="116">
        <v>460.90592070517198</v>
      </c>
      <c r="N850" s="116">
        <v>463.48150588347102</v>
      </c>
      <c r="O850" s="116">
        <v>454.912732117205</v>
      </c>
      <c r="P850" s="116">
        <v>455.68045462227502</v>
      </c>
      <c r="Q850" s="116">
        <v>930.55</v>
      </c>
      <c r="R850">
        <v>8765835</v>
      </c>
    </row>
    <row r="851" spans="1:18" x14ac:dyDescent="0.25">
      <c r="A851" s="170">
        <v>43255</v>
      </c>
      <c r="B851" s="116">
        <v>467.42701428179402</v>
      </c>
      <c r="C851" s="116">
        <v>465.24775191057302</v>
      </c>
      <c r="D851" s="116">
        <v>461.607393176828</v>
      </c>
      <c r="E851" s="116">
        <v>462.99419650396902</v>
      </c>
      <c r="F851" s="116">
        <v>939.35</v>
      </c>
      <c r="G851">
        <v>1868577</v>
      </c>
      <c r="H851" s="116"/>
      <c r="I851" s="116"/>
      <c r="L851" s="170">
        <v>43255</v>
      </c>
      <c r="M851" s="116">
        <v>466.00756057757297</v>
      </c>
      <c r="N851" s="116">
        <v>467.56777082981199</v>
      </c>
      <c r="O851" s="116">
        <v>460.90592070517198</v>
      </c>
      <c r="P851" s="116">
        <v>462.31753950481698</v>
      </c>
      <c r="Q851" s="116">
        <v>940.85</v>
      </c>
      <c r="R851">
        <v>5600357</v>
      </c>
    </row>
    <row r="852" spans="1:18" x14ac:dyDescent="0.25">
      <c r="A852" s="170">
        <v>43256</v>
      </c>
      <c r="B852" s="116">
        <v>472.99899193548401</v>
      </c>
      <c r="C852" s="116">
        <v>469.45769058225</v>
      </c>
      <c r="D852" s="116">
        <v>466.16403268029097</v>
      </c>
      <c r="E852" s="116">
        <v>466.18879702541801</v>
      </c>
      <c r="F852" s="116">
        <v>947.85</v>
      </c>
      <c r="G852">
        <v>289429</v>
      </c>
      <c r="H852" s="116"/>
      <c r="I852" s="116"/>
      <c r="L852" s="170">
        <v>43256</v>
      </c>
      <c r="M852" s="116">
        <v>469.37563350304202</v>
      </c>
      <c r="N852" s="116">
        <v>473.01612409159998</v>
      </c>
      <c r="O852" s="116">
        <v>466.08185630386998</v>
      </c>
      <c r="P852" s="116">
        <v>466.97340501943597</v>
      </c>
      <c r="Q852" s="116">
        <v>947.65</v>
      </c>
      <c r="R852">
        <v>7971524</v>
      </c>
    </row>
    <row r="853" spans="1:18" x14ac:dyDescent="0.25">
      <c r="A853" s="170">
        <v>43257</v>
      </c>
      <c r="B853" s="116">
        <v>473.19710669650402</v>
      </c>
      <c r="C853" s="116">
        <v>472.20653289140398</v>
      </c>
      <c r="D853" s="116">
        <v>466.83266999873302</v>
      </c>
      <c r="E853" s="116">
        <v>469.97774182992703</v>
      </c>
      <c r="F853" s="116">
        <v>953.4</v>
      </c>
      <c r="G853">
        <v>183682</v>
      </c>
      <c r="H853" s="116"/>
      <c r="I853" s="116"/>
      <c r="L853" s="170">
        <v>43257</v>
      </c>
      <c r="M853" s="116">
        <v>472.718941186412</v>
      </c>
      <c r="N853" s="116">
        <v>473.51142893358099</v>
      </c>
      <c r="O853" s="116">
        <v>466.899109293138</v>
      </c>
      <c r="P853" s="116">
        <v>469.05368535575502</v>
      </c>
      <c r="Q853" s="116">
        <v>954.4</v>
      </c>
      <c r="R853">
        <v>4189483</v>
      </c>
    </row>
    <row r="854" spans="1:18" x14ac:dyDescent="0.25">
      <c r="A854" s="170">
        <v>43258</v>
      </c>
      <c r="B854" s="116">
        <v>483.20190212801901</v>
      </c>
      <c r="C854" s="116">
        <v>481.12169713730799</v>
      </c>
      <c r="D854" s="116">
        <v>472.99899193548401</v>
      </c>
      <c r="E854" s="116">
        <v>472.99899193548401</v>
      </c>
      <c r="F854" s="116">
        <v>971.4</v>
      </c>
      <c r="G854">
        <v>329983</v>
      </c>
      <c r="H854" s="116"/>
      <c r="I854" s="116"/>
      <c r="L854" s="170">
        <v>43258</v>
      </c>
      <c r="M854" s="116">
        <v>481.11435825798497</v>
      </c>
      <c r="N854" s="116">
        <v>483.41752577319602</v>
      </c>
      <c r="O854" s="116">
        <v>472.74370642851102</v>
      </c>
      <c r="P854" s="116">
        <v>472.96659360740199</v>
      </c>
      <c r="Q854" s="116">
        <v>971.35</v>
      </c>
      <c r="R854">
        <v>6857300</v>
      </c>
    </row>
    <row r="855" spans="1:18" x14ac:dyDescent="0.25">
      <c r="A855" s="170">
        <v>43259</v>
      </c>
      <c r="B855" s="116">
        <v>488.60052936581701</v>
      </c>
      <c r="C855" s="116">
        <v>487.06513996791102</v>
      </c>
      <c r="D855" s="116">
        <v>475.747834244638</v>
      </c>
      <c r="E855" s="116">
        <v>479.88347988093199</v>
      </c>
      <c r="F855" s="116">
        <v>983.4</v>
      </c>
      <c r="G855">
        <v>266305</v>
      </c>
      <c r="H855" s="116"/>
      <c r="I855" s="116"/>
      <c r="L855" s="170">
        <v>43259</v>
      </c>
      <c r="M855" s="116">
        <v>487.55332120373498</v>
      </c>
      <c r="N855" s="116">
        <v>488.64299185609298</v>
      </c>
      <c r="O855" s="116">
        <v>475.78983120669301</v>
      </c>
      <c r="P855" s="116">
        <v>478.63783404808203</v>
      </c>
      <c r="Q855" s="116">
        <v>984.35</v>
      </c>
      <c r="R855">
        <v>6532599</v>
      </c>
    </row>
    <row r="856" spans="1:18" x14ac:dyDescent="0.25">
      <c r="A856" s="170">
        <v>43262</v>
      </c>
      <c r="B856" s="116">
        <v>495.03925909896998</v>
      </c>
      <c r="C856" s="116">
        <v>486.59461741048801</v>
      </c>
      <c r="D856" s="116">
        <v>484.48964807465001</v>
      </c>
      <c r="E856" s="116">
        <v>487.53566252533398</v>
      </c>
      <c r="F856" s="116">
        <v>982.45</v>
      </c>
      <c r="G856">
        <v>832408</v>
      </c>
      <c r="H856" s="116"/>
      <c r="I856" s="116"/>
      <c r="L856" s="170">
        <v>43262</v>
      </c>
      <c r="M856" s="116">
        <v>486.711302972368</v>
      </c>
      <c r="N856" s="116">
        <v>495.28007673863402</v>
      </c>
      <c r="O856" s="116">
        <v>484.92820554123699</v>
      </c>
      <c r="P856" s="116">
        <v>488.91540951918199</v>
      </c>
      <c r="Q856" s="116">
        <v>982.65</v>
      </c>
      <c r="R856">
        <v>6866053</v>
      </c>
    </row>
    <row r="857" spans="1:18" x14ac:dyDescent="0.25">
      <c r="A857" s="170">
        <v>43263</v>
      </c>
      <c r="B857" s="116">
        <v>494.29632874514402</v>
      </c>
      <c r="C857" s="116">
        <v>493.008582798514</v>
      </c>
      <c r="D857" s="116">
        <v>485.60404360538797</v>
      </c>
      <c r="E857" s="116">
        <v>486.470795684851</v>
      </c>
      <c r="F857" s="116">
        <v>995.4</v>
      </c>
      <c r="G857">
        <v>243324</v>
      </c>
      <c r="H857" s="116"/>
      <c r="I857" s="116"/>
      <c r="L857" s="170">
        <v>43263</v>
      </c>
      <c r="M857" s="116">
        <v>493.89322318108799</v>
      </c>
      <c r="N857" s="116">
        <v>495.30484198073401</v>
      </c>
      <c r="O857" s="116">
        <v>485.547336593713</v>
      </c>
      <c r="P857" s="116">
        <v>487.08278160385299</v>
      </c>
      <c r="Q857" s="116">
        <v>997.15</v>
      </c>
      <c r="R857">
        <v>7445221</v>
      </c>
    </row>
    <row r="858" spans="1:18" x14ac:dyDescent="0.25">
      <c r="A858" s="170">
        <v>43264</v>
      </c>
      <c r="B858" s="116">
        <v>497.71380837274103</v>
      </c>
      <c r="C858" s="116">
        <v>496.3270050456</v>
      </c>
      <c r="D858" s="116">
        <v>490.33403352474198</v>
      </c>
      <c r="E858" s="116">
        <v>494.79161564769498</v>
      </c>
      <c r="F858" s="116">
        <v>1002.1</v>
      </c>
      <c r="G858">
        <v>343686</v>
      </c>
      <c r="H858" s="116"/>
      <c r="I858" s="116"/>
      <c r="L858" s="170">
        <v>43264</v>
      </c>
      <c r="M858" s="116">
        <v>496.543104085685</v>
      </c>
      <c r="N858" s="116">
        <v>498.22714054841998</v>
      </c>
      <c r="O858" s="116">
        <v>490.10414113993602</v>
      </c>
      <c r="P858" s="116">
        <v>495.30484198073401</v>
      </c>
      <c r="Q858" s="116">
        <v>1002.5</v>
      </c>
      <c r="R858">
        <v>5926020</v>
      </c>
    </row>
    <row r="859" spans="1:18" x14ac:dyDescent="0.25">
      <c r="A859" s="170">
        <v>43265</v>
      </c>
      <c r="B859" s="116">
        <v>501.08175931008299</v>
      </c>
      <c r="C859" s="116">
        <v>499.00155431937202</v>
      </c>
      <c r="D859" s="116">
        <v>489.44251710015197</v>
      </c>
      <c r="E859" s="116">
        <v>493.40481232055402</v>
      </c>
      <c r="F859" s="116">
        <v>1007.5</v>
      </c>
      <c r="G859">
        <v>294056</v>
      </c>
      <c r="H859" s="116"/>
      <c r="I859" s="116"/>
      <c r="L859" s="170">
        <v>43265</v>
      </c>
      <c r="M859" s="116">
        <v>499.24251547448</v>
      </c>
      <c r="N859" s="116">
        <v>501.14943911610601</v>
      </c>
      <c r="O859" s="116">
        <v>489.06400097177601</v>
      </c>
      <c r="P859" s="116">
        <v>494.04181463368297</v>
      </c>
      <c r="Q859" s="116">
        <v>1007.95</v>
      </c>
      <c r="R859">
        <v>5484867</v>
      </c>
    </row>
    <row r="860" spans="1:18" x14ac:dyDescent="0.25">
      <c r="A860" s="170">
        <v>43266</v>
      </c>
      <c r="B860" s="116">
        <v>506.92614476017599</v>
      </c>
      <c r="C860" s="116">
        <v>502.14662615056602</v>
      </c>
      <c r="D860" s="116">
        <v>495.16308082460699</v>
      </c>
      <c r="E860" s="116">
        <v>499.00155431937202</v>
      </c>
      <c r="F860" s="116">
        <v>1013.85</v>
      </c>
      <c r="G860">
        <v>412936</v>
      </c>
      <c r="H860" s="116"/>
      <c r="I860" s="116"/>
      <c r="L860" s="170">
        <v>43266</v>
      </c>
      <c r="M860" s="116">
        <v>502.33817073685998</v>
      </c>
      <c r="N860" s="116">
        <v>506.94450576728099</v>
      </c>
      <c r="O860" s="116">
        <v>494.933363349248</v>
      </c>
      <c r="P860" s="116">
        <v>498.27667103261803</v>
      </c>
      <c r="Q860" s="116">
        <v>1014.2</v>
      </c>
      <c r="R860">
        <v>11294702</v>
      </c>
    </row>
    <row r="861" spans="1:18" x14ac:dyDescent="0.25">
      <c r="A861" s="170">
        <v>43269</v>
      </c>
      <c r="B861" s="116">
        <v>504.49923893767999</v>
      </c>
      <c r="C861" s="116">
        <v>502.71620608849901</v>
      </c>
      <c r="D861" s="116">
        <v>499.10061169988199</v>
      </c>
      <c r="E861" s="116">
        <v>500.63600109778798</v>
      </c>
      <c r="F861" s="116">
        <v>1015</v>
      </c>
      <c r="G861">
        <v>292408</v>
      </c>
      <c r="H861" s="116"/>
      <c r="I861" s="116"/>
      <c r="L861" s="170">
        <v>43269</v>
      </c>
      <c r="M861" s="116">
        <v>503.00683227353397</v>
      </c>
      <c r="N861" s="116">
        <v>505.43382599924001</v>
      </c>
      <c r="O861" s="116">
        <v>498.77197587459898</v>
      </c>
      <c r="P861" s="116">
        <v>499.663524590164</v>
      </c>
      <c r="Q861" s="116">
        <v>1015.55</v>
      </c>
      <c r="R861">
        <v>5652374</v>
      </c>
    </row>
    <row r="862" spans="1:18" x14ac:dyDescent="0.25">
      <c r="A862" s="170">
        <v>43270</v>
      </c>
      <c r="B862" s="116">
        <v>502.71620608849901</v>
      </c>
      <c r="C862" s="116">
        <v>493.13240452415101</v>
      </c>
      <c r="D862" s="116">
        <v>491.84465857752099</v>
      </c>
      <c r="E862" s="116">
        <v>502.71620608849901</v>
      </c>
      <c r="F862" s="116">
        <v>995.65</v>
      </c>
      <c r="G862">
        <v>236423</v>
      </c>
      <c r="H862" s="116"/>
      <c r="I862" s="116"/>
      <c r="L862" s="170">
        <v>43270</v>
      </c>
      <c r="M862" s="116">
        <v>493.34838785491002</v>
      </c>
      <c r="N862" s="116">
        <v>502.63535364204802</v>
      </c>
      <c r="O862" s="116">
        <v>492.15965623415599</v>
      </c>
      <c r="P862" s="116">
        <v>502.18957928426602</v>
      </c>
      <c r="Q862" s="116">
        <v>996.05</v>
      </c>
      <c r="R862">
        <v>6346101</v>
      </c>
    </row>
    <row r="863" spans="1:18" x14ac:dyDescent="0.25">
      <c r="A863" s="170">
        <v>43271</v>
      </c>
      <c r="B863" s="116">
        <v>506.05939268071302</v>
      </c>
      <c r="C863" s="116">
        <v>505.16787625612199</v>
      </c>
      <c r="D863" s="116">
        <v>493.30575494004398</v>
      </c>
      <c r="E863" s="116">
        <v>493.55339839131898</v>
      </c>
      <c r="F863" s="116">
        <v>1019.95</v>
      </c>
      <c r="G863">
        <v>340911</v>
      </c>
      <c r="H863" s="116"/>
      <c r="I863" s="116"/>
      <c r="L863" s="170">
        <v>43271</v>
      </c>
      <c r="M863" s="116">
        <v>504.83946018886297</v>
      </c>
      <c r="N863" s="116">
        <v>506.64732286209198</v>
      </c>
      <c r="O863" s="116">
        <v>492.75402204453297</v>
      </c>
      <c r="P863" s="116">
        <v>493.32362261281099</v>
      </c>
      <c r="Q863" s="116">
        <v>1019.25</v>
      </c>
      <c r="R863">
        <v>7193824</v>
      </c>
    </row>
    <row r="864" spans="1:18" x14ac:dyDescent="0.25">
      <c r="A864" s="170">
        <v>43272</v>
      </c>
      <c r="B864" s="116">
        <v>513.01817366154398</v>
      </c>
      <c r="C864" s="116">
        <v>511.30943384774503</v>
      </c>
      <c r="D864" s="116">
        <v>505.39075536227</v>
      </c>
      <c r="E864" s="116">
        <v>506.67850130890099</v>
      </c>
      <c r="F864" s="116">
        <v>1032.3499999999999</v>
      </c>
      <c r="G864">
        <v>444333</v>
      </c>
      <c r="H864" s="116"/>
      <c r="I864" s="116"/>
      <c r="L864" s="170">
        <v>43272</v>
      </c>
      <c r="M864" s="116">
        <v>511.12983168201799</v>
      </c>
      <c r="N864" s="116">
        <v>513.13581629203998</v>
      </c>
      <c r="O864" s="116">
        <v>505.85483511492299</v>
      </c>
      <c r="P864" s="116">
        <v>506.91974052518202</v>
      </c>
      <c r="Q864" s="116">
        <v>1031.95</v>
      </c>
      <c r="R864">
        <v>10509756</v>
      </c>
    </row>
    <row r="865" spans="1:18" x14ac:dyDescent="0.25">
      <c r="A865" s="170">
        <v>43273</v>
      </c>
      <c r="B865" s="116">
        <v>510.14550962675202</v>
      </c>
      <c r="C865" s="116">
        <v>501.37893145161303</v>
      </c>
      <c r="D865" s="116">
        <v>499.546369912177</v>
      </c>
      <c r="E865" s="116">
        <v>510.14550962675202</v>
      </c>
      <c r="F865" s="116">
        <v>1012.3</v>
      </c>
      <c r="G865">
        <v>6655065</v>
      </c>
      <c r="H865" s="116"/>
      <c r="I865" s="116"/>
      <c r="L865" s="170">
        <v>43273</v>
      </c>
      <c r="M865" s="116">
        <v>501.496152505493</v>
      </c>
      <c r="N865" s="116">
        <v>509.76774336657098</v>
      </c>
      <c r="O865" s="116">
        <v>499.49016789547102</v>
      </c>
      <c r="P865" s="116">
        <v>509.371499492986</v>
      </c>
      <c r="Q865" s="116">
        <v>1012.5</v>
      </c>
      <c r="R865">
        <v>16169978</v>
      </c>
    </row>
    <row r="866" spans="1:18" x14ac:dyDescent="0.25">
      <c r="A866" s="170">
        <v>43276</v>
      </c>
      <c r="B866" s="116">
        <v>503.70677989359899</v>
      </c>
      <c r="C866" s="116">
        <v>497.04517105429801</v>
      </c>
      <c r="D866" s="116">
        <v>496.25271201021798</v>
      </c>
      <c r="E866" s="116">
        <v>503.70677989359899</v>
      </c>
      <c r="F866" s="116">
        <v>1003.55</v>
      </c>
      <c r="G866">
        <v>210904</v>
      </c>
      <c r="H866" s="116"/>
      <c r="I866" s="116"/>
      <c r="L866" s="170">
        <v>43276</v>
      </c>
      <c r="M866" s="116">
        <v>497.508948527548</v>
      </c>
      <c r="N866" s="116">
        <v>503.47737187341602</v>
      </c>
      <c r="O866" s="116">
        <v>496.44404311728903</v>
      </c>
      <c r="P866" s="116">
        <v>500.951317179314</v>
      </c>
      <c r="Q866" s="116">
        <v>1004.45</v>
      </c>
      <c r="R866">
        <v>5197694</v>
      </c>
    </row>
    <row r="867" spans="1:18" x14ac:dyDescent="0.25">
      <c r="A867" s="170">
        <v>43277</v>
      </c>
      <c r="B867" s="116">
        <v>497.78810140812402</v>
      </c>
      <c r="C867" s="116">
        <v>484.737291525925</v>
      </c>
      <c r="D867" s="116">
        <v>483.15237343776403</v>
      </c>
      <c r="E867" s="116">
        <v>497.06993539942602</v>
      </c>
      <c r="F867" s="116">
        <v>978.7</v>
      </c>
      <c r="G867">
        <v>368880</v>
      </c>
      <c r="H867" s="116"/>
      <c r="I867" s="116"/>
      <c r="L867" s="170">
        <v>43277</v>
      </c>
      <c r="M867" s="116">
        <v>484.878675057039</v>
      </c>
      <c r="N867" s="116">
        <v>498.27667103261803</v>
      </c>
      <c r="O867" s="116">
        <v>483.04604714171001</v>
      </c>
      <c r="P867" s="116">
        <v>498.27667103261803</v>
      </c>
      <c r="Q867" s="116">
        <v>978.95</v>
      </c>
      <c r="R867">
        <v>8068585</v>
      </c>
    </row>
    <row r="868" spans="1:18" x14ac:dyDescent="0.25">
      <c r="A868" s="170">
        <v>43278</v>
      </c>
      <c r="B868" s="116">
        <v>488.22906418890398</v>
      </c>
      <c r="C868" s="116">
        <v>478.100447031751</v>
      </c>
      <c r="D868" s="116">
        <v>475.72306989950999</v>
      </c>
      <c r="E868" s="116">
        <v>485.38116449924001</v>
      </c>
      <c r="F868" s="116">
        <v>965.3</v>
      </c>
      <c r="G868">
        <v>354116</v>
      </c>
      <c r="H868" s="116"/>
      <c r="I868" s="116"/>
      <c r="L868" s="170">
        <v>43278</v>
      </c>
      <c r="M868" s="116">
        <v>478.39018162709101</v>
      </c>
      <c r="N868" s="116">
        <v>488.07339128781501</v>
      </c>
      <c r="O868" s="116">
        <v>476.82997137485199</v>
      </c>
      <c r="P868" s="116">
        <v>484.65578787814798</v>
      </c>
      <c r="Q868" s="116">
        <v>965.85</v>
      </c>
      <c r="R868">
        <v>8958555</v>
      </c>
    </row>
    <row r="869" spans="1:18" x14ac:dyDescent="0.25">
      <c r="A869" s="170">
        <v>43279</v>
      </c>
      <c r="B869" s="116">
        <v>479.93300857118697</v>
      </c>
      <c r="C869" s="116">
        <v>467.897536839216</v>
      </c>
      <c r="D869" s="116">
        <v>466.238325715673</v>
      </c>
      <c r="E869" s="116">
        <v>477.97662530611399</v>
      </c>
      <c r="F869" s="116">
        <v>944.7</v>
      </c>
      <c r="G869">
        <v>284818</v>
      </c>
      <c r="H869" s="116"/>
      <c r="I869" s="116"/>
      <c r="L869" s="170">
        <v>43279</v>
      </c>
      <c r="M869" s="116">
        <v>468.03831042969398</v>
      </c>
      <c r="N869" s="116">
        <v>479.70273945833998</v>
      </c>
      <c r="O869" s="116">
        <v>465.73514291448402</v>
      </c>
      <c r="P869" s="116">
        <v>476.48325798546603</v>
      </c>
      <c r="Q869" s="116">
        <v>944.95</v>
      </c>
      <c r="R869">
        <v>8581234</v>
      </c>
    </row>
    <row r="870" spans="1:18" x14ac:dyDescent="0.25">
      <c r="A870" s="170">
        <v>43280</v>
      </c>
      <c r="B870" s="116">
        <v>484.26676896850199</v>
      </c>
      <c r="C870" s="116">
        <v>481.88939183626098</v>
      </c>
      <c r="D870" s="116">
        <v>470.37397135196801</v>
      </c>
      <c r="E870" s="116">
        <v>471.51313122783301</v>
      </c>
      <c r="F870" s="116">
        <v>972.95</v>
      </c>
      <c r="G870">
        <v>325103</v>
      </c>
      <c r="H870" s="116"/>
      <c r="I870" s="116"/>
      <c r="L870" s="170">
        <v>43280</v>
      </c>
      <c r="M870" s="116">
        <v>481.65919358416397</v>
      </c>
      <c r="N870" s="116">
        <v>483.16987335220603</v>
      </c>
      <c r="O870" s="116">
        <v>470.04429503971602</v>
      </c>
      <c r="P870" s="116">
        <v>470.09382552391401</v>
      </c>
      <c r="Q870" s="116">
        <v>972.45</v>
      </c>
      <c r="R870">
        <v>7966401</v>
      </c>
    </row>
    <row r="871" spans="1:18" x14ac:dyDescent="0.25">
      <c r="A871" s="170">
        <v>43283</v>
      </c>
      <c r="B871" s="116">
        <v>482.16179963266302</v>
      </c>
      <c r="C871" s="116">
        <v>475.995477695913</v>
      </c>
      <c r="D871" s="116">
        <v>474.261973536987</v>
      </c>
      <c r="E871" s="116">
        <v>481.91415618138802</v>
      </c>
      <c r="F871" s="116">
        <v>961.05</v>
      </c>
      <c r="G871">
        <v>208435</v>
      </c>
      <c r="H871" s="116"/>
      <c r="I871" s="116"/>
      <c r="L871" s="170">
        <v>43283</v>
      </c>
      <c r="M871" s="116">
        <v>475.78983120669301</v>
      </c>
      <c r="N871" s="116">
        <v>481.60966309996599</v>
      </c>
      <c r="O871" s="116">
        <v>474.006733775562</v>
      </c>
      <c r="P871" s="116">
        <v>481.60966309996599</v>
      </c>
      <c r="Q871" s="116">
        <v>960.6</v>
      </c>
      <c r="R871">
        <v>6660916</v>
      </c>
    </row>
    <row r="872" spans="1:18" x14ac:dyDescent="0.25">
      <c r="A872" s="170">
        <v>43284</v>
      </c>
      <c r="B872" s="116">
        <v>484.51441241977699</v>
      </c>
      <c r="C872" s="116">
        <v>481.22075451781802</v>
      </c>
      <c r="D872" s="116">
        <v>475.97071335078499</v>
      </c>
      <c r="E872" s="116">
        <v>477.45657405843599</v>
      </c>
      <c r="F872" s="116">
        <v>971.6</v>
      </c>
      <c r="G872">
        <v>224859</v>
      </c>
      <c r="H872" s="116"/>
      <c r="I872" s="116"/>
      <c r="L872" s="170">
        <v>43284</v>
      </c>
      <c r="M872" s="116">
        <v>481.08959301588601</v>
      </c>
      <c r="N872" s="116">
        <v>484.63102263604901</v>
      </c>
      <c r="O872" s="116">
        <v>475.66600499619699</v>
      </c>
      <c r="P872" s="116">
        <v>477.96917251140798</v>
      </c>
      <c r="Q872" s="116">
        <v>971.3</v>
      </c>
      <c r="R872">
        <v>5067261</v>
      </c>
    </row>
    <row r="873" spans="1:18" x14ac:dyDescent="0.25">
      <c r="A873" s="170">
        <v>43285</v>
      </c>
      <c r="B873" s="116">
        <v>491.32460732984299</v>
      </c>
      <c r="C873" s="116">
        <v>490.35879786986999</v>
      </c>
      <c r="D873" s="116">
        <v>481.41886927883797</v>
      </c>
      <c r="E873" s="116">
        <v>482.805672605979</v>
      </c>
      <c r="F873" s="116">
        <v>990.05</v>
      </c>
      <c r="G873">
        <v>337151</v>
      </c>
      <c r="H873" s="116"/>
      <c r="I873" s="116"/>
      <c r="L873" s="170">
        <v>43285</v>
      </c>
      <c r="M873" s="116">
        <v>490.401324045124</v>
      </c>
      <c r="N873" s="116">
        <v>491.34240324488798</v>
      </c>
      <c r="O873" s="116">
        <v>480.94100156329199</v>
      </c>
      <c r="P873" s="116">
        <v>481.33724543687703</v>
      </c>
      <c r="Q873" s="116">
        <v>990.1</v>
      </c>
      <c r="R873">
        <v>5000724</v>
      </c>
    </row>
    <row r="874" spans="1:18" x14ac:dyDescent="0.25">
      <c r="A874" s="170">
        <v>43286</v>
      </c>
      <c r="B874" s="116">
        <v>499.49684122192201</v>
      </c>
      <c r="C874" s="116">
        <v>477.95186096098598</v>
      </c>
      <c r="D874" s="116">
        <v>475.52495513848999</v>
      </c>
      <c r="E874" s="116">
        <v>494.64302957693002</v>
      </c>
      <c r="F874" s="116">
        <v>965</v>
      </c>
      <c r="G874">
        <v>1290356</v>
      </c>
      <c r="H874" s="116"/>
      <c r="I874" s="116"/>
      <c r="L874" s="170">
        <v>43286</v>
      </c>
      <c r="M874" s="116">
        <v>477.72152009041702</v>
      </c>
      <c r="N874" s="116">
        <v>499.465402653372</v>
      </c>
      <c r="O874" s="116">
        <v>474.79922152273099</v>
      </c>
      <c r="P874" s="116">
        <v>493.81892745479098</v>
      </c>
      <c r="Q874" s="116">
        <v>964.5</v>
      </c>
      <c r="R874">
        <v>18719353</v>
      </c>
    </row>
    <row r="875" spans="1:18" x14ac:dyDescent="0.25">
      <c r="A875" s="170">
        <v>43287</v>
      </c>
      <c r="B875" s="116">
        <v>486.59461741048801</v>
      </c>
      <c r="C875" s="116">
        <v>483.64766034031402</v>
      </c>
      <c r="D875" s="116">
        <v>477.85280358047601</v>
      </c>
      <c r="E875" s="116">
        <v>478.39761917328201</v>
      </c>
      <c r="F875" s="116">
        <v>976.5</v>
      </c>
      <c r="G875">
        <v>336533</v>
      </c>
      <c r="H875" s="116"/>
      <c r="I875" s="116"/>
      <c r="L875" s="170">
        <v>43287</v>
      </c>
      <c r="M875" s="116">
        <v>484.18524827826599</v>
      </c>
      <c r="N875" s="116">
        <v>486.88465966706099</v>
      </c>
      <c r="O875" s="116">
        <v>477.72152009041702</v>
      </c>
      <c r="P875" s="116">
        <v>477.84534630091298</v>
      </c>
      <c r="Q875" s="116">
        <v>977.55</v>
      </c>
      <c r="R875">
        <v>9161266</v>
      </c>
    </row>
    <row r="876" spans="1:18" x14ac:dyDescent="0.25">
      <c r="A876" s="170">
        <v>43290</v>
      </c>
      <c r="B876" s="116">
        <v>494.64302957693002</v>
      </c>
      <c r="C876" s="116">
        <v>493.13240452415101</v>
      </c>
      <c r="D876" s="116">
        <v>487.01561127765598</v>
      </c>
      <c r="E876" s="116">
        <v>488.10524246326599</v>
      </c>
      <c r="F876" s="116">
        <v>995.65</v>
      </c>
      <c r="G876">
        <v>288087</v>
      </c>
      <c r="H876" s="116"/>
      <c r="I876" s="116"/>
      <c r="L876" s="170">
        <v>43290</v>
      </c>
      <c r="M876" s="116">
        <v>493.86845793898902</v>
      </c>
      <c r="N876" s="116">
        <v>495.30484198073401</v>
      </c>
      <c r="O876" s="116">
        <v>487.13231208805098</v>
      </c>
      <c r="P876" s="116">
        <v>488.91540951918199</v>
      </c>
      <c r="Q876" s="116">
        <v>997.1</v>
      </c>
      <c r="R876">
        <v>5170189</v>
      </c>
    </row>
    <row r="877" spans="1:18" x14ac:dyDescent="0.25">
      <c r="A877" s="170">
        <v>43291</v>
      </c>
      <c r="B877" s="116">
        <v>509.40257927292703</v>
      </c>
      <c r="C877" s="116">
        <v>508.04054029091401</v>
      </c>
      <c r="D877" s="116">
        <v>496.02983290407002</v>
      </c>
      <c r="E877" s="116">
        <v>496.02983290407002</v>
      </c>
      <c r="F877" s="116">
        <v>1025.75</v>
      </c>
      <c r="G877">
        <v>610926</v>
      </c>
      <c r="H877" s="116"/>
      <c r="I877" s="116"/>
      <c r="L877" s="170">
        <v>43291</v>
      </c>
      <c r="M877" s="116">
        <v>508.03417641963802</v>
      </c>
      <c r="N877" s="116">
        <v>509.42102997718399</v>
      </c>
      <c r="O877" s="116">
        <v>495.30484198073401</v>
      </c>
      <c r="P877" s="116">
        <v>496.66693029618102</v>
      </c>
      <c r="Q877" s="116">
        <v>1025.7</v>
      </c>
      <c r="R877">
        <v>10444513</v>
      </c>
    </row>
    <row r="878" spans="1:18" x14ac:dyDescent="0.25">
      <c r="A878" s="170">
        <v>43292</v>
      </c>
      <c r="B878" s="116">
        <v>514.45450567893897</v>
      </c>
      <c r="C878" s="116">
        <v>513.29058145794602</v>
      </c>
      <c r="D878" s="116">
        <v>503.70677989359899</v>
      </c>
      <c r="E878" s="116">
        <v>507.66907511400098</v>
      </c>
      <c r="F878" s="116">
        <v>1036.3499999999999</v>
      </c>
      <c r="G878">
        <v>405557</v>
      </c>
      <c r="H878" s="116"/>
      <c r="I878" s="116"/>
      <c r="L878" s="170">
        <v>43292</v>
      </c>
      <c r="M878" s="116">
        <v>514.52266984958601</v>
      </c>
      <c r="N878" s="116">
        <v>515.56281001774596</v>
      </c>
      <c r="O878" s="116">
        <v>504.14603341009001</v>
      </c>
      <c r="P878" s="116">
        <v>507.68746303025199</v>
      </c>
      <c r="Q878" s="116">
        <v>1038.8</v>
      </c>
      <c r="R878">
        <v>8665072</v>
      </c>
    </row>
    <row r="879" spans="1:18" x14ac:dyDescent="0.25">
      <c r="A879" s="170">
        <v>43293</v>
      </c>
      <c r="B879" s="116">
        <v>544.22124852220895</v>
      </c>
      <c r="C879" s="116">
        <v>535.99948593987494</v>
      </c>
      <c r="D879" s="116">
        <v>516.65853239528803</v>
      </c>
      <c r="E879" s="116">
        <v>516.65853239528803</v>
      </c>
      <c r="F879" s="116">
        <v>1082.2</v>
      </c>
      <c r="G879">
        <v>1370508</v>
      </c>
      <c r="H879" s="116"/>
      <c r="I879" s="116"/>
      <c r="L879" s="170">
        <v>43293</v>
      </c>
      <c r="M879" s="116">
        <v>536.09319571784704</v>
      </c>
      <c r="N879" s="116">
        <v>544.340021336826</v>
      </c>
      <c r="O879" s="116">
        <v>516.40482824911305</v>
      </c>
      <c r="P879" s="116">
        <v>517.271611722579</v>
      </c>
      <c r="Q879" s="116">
        <v>1082.3499999999999</v>
      </c>
      <c r="R879">
        <v>24109297</v>
      </c>
    </row>
    <row r="880" spans="1:18" x14ac:dyDescent="0.25">
      <c r="A880" s="170">
        <v>43294</v>
      </c>
      <c r="B880" s="116">
        <v>548.40642284875901</v>
      </c>
      <c r="C880" s="116">
        <v>543.20591037198096</v>
      </c>
      <c r="D880" s="116">
        <v>535.35561296655999</v>
      </c>
      <c r="E880" s="116">
        <v>536.34618677165997</v>
      </c>
      <c r="F880" s="116">
        <v>1096.75</v>
      </c>
      <c r="G880">
        <v>874481</v>
      </c>
      <c r="H880" s="116"/>
      <c r="I880" s="116"/>
      <c r="L880" s="170">
        <v>43294</v>
      </c>
      <c r="M880" s="116">
        <v>544.73626521041103</v>
      </c>
      <c r="N880" s="116">
        <v>549.29306975663303</v>
      </c>
      <c r="O880" s="116">
        <v>534.92922933919203</v>
      </c>
      <c r="P880" s="116">
        <v>535.17688176018305</v>
      </c>
      <c r="Q880" s="116">
        <v>1099.8</v>
      </c>
      <c r="R880">
        <v>17967282</v>
      </c>
    </row>
    <row r="881" spans="1:18" x14ac:dyDescent="0.25">
      <c r="A881" s="170">
        <v>43297</v>
      </c>
      <c r="B881" s="116">
        <v>549.02553147694698</v>
      </c>
      <c r="C881" s="116">
        <v>533.00300017944596</v>
      </c>
      <c r="D881" s="116">
        <v>531.44284643641299</v>
      </c>
      <c r="E881" s="116">
        <v>543.84978334529603</v>
      </c>
      <c r="F881" s="116">
        <v>1076.1500000000001</v>
      </c>
      <c r="G881">
        <v>446819</v>
      </c>
      <c r="H881" s="116"/>
      <c r="I881" s="116"/>
      <c r="L881" s="170">
        <v>43297</v>
      </c>
      <c r="M881" s="116">
        <v>533.04707093966499</v>
      </c>
      <c r="N881" s="116">
        <v>549.24353927243499</v>
      </c>
      <c r="O881" s="116">
        <v>531.48686068742597</v>
      </c>
      <c r="P881" s="116">
        <v>544.73626521041103</v>
      </c>
      <c r="Q881" s="116">
        <v>1076.2</v>
      </c>
      <c r="R881">
        <v>6595781</v>
      </c>
    </row>
    <row r="882" spans="1:18" x14ac:dyDescent="0.25">
      <c r="A882" s="170">
        <v>43298</v>
      </c>
      <c r="B882" s="116">
        <v>542.33915829251805</v>
      </c>
      <c r="C882" s="116">
        <v>540.70471151410197</v>
      </c>
      <c r="D882" s="116">
        <v>529.53599186159397</v>
      </c>
      <c r="E882" s="116">
        <v>534.41456785171397</v>
      </c>
      <c r="F882" s="116">
        <v>1091.7</v>
      </c>
      <c r="G882">
        <v>287860</v>
      </c>
      <c r="H882" s="116"/>
      <c r="I882" s="116"/>
      <c r="L882" s="170">
        <v>43298</v>
      </c>
      <c r="M882" s="116">
        <v>541.04624413765396</v>
      </c>
      <c r="N882" s="116">
        <v>542.82934156878503</v>
      </c>
      <c r="O882" s="116">
        <v>529.77805898259203</v>
      </c>
      <c r="P882" s="116">
        <v>534.08721110782506</v>
      </c>
      <c r="Q882" s="116">
        <v>1092.3499999999999</v>
      </c>
      <c r="R882">
        <v>6469256</v>
      </c>
    </row>
    <row r="883" spans="1:18" x14ac:dyDescent="0.25">
      <c r="A883" s="170">
        <v>43299</v>
      </c>
      <c r="B883" s="116">
        <v>547.04438386674599</v>
      </c>
      <c r="C883" s="116">
        <v>540.13513157617001</v>
      </c>
      <c r="D883" s="116">
        <v>534.41456785171397</v>
      </c>
      <c r="E883" s="116">
        <v>543.77549030991395</v>
      </c>
      <c r="F883" s="116">
        <v>1090.55</v>
      </c>
      <c r="G883">
        <v>278593</v>
      </c>
      <c r="H883" s="116"/>
      <c r="I883" s="116"/>
      <c r="L883" s="170">
        <v>43299</v>
      </c>
      <c r="M883" s="116">
        <v>541.14530510605005</v>
      </c>
      <c r="N883" s="116">
        <v>547.11372845191795</v>
      </c>
      <c r="O883" s="116">
        <v>533.59190626584405</v>
      </c>
      <c r="P883" s="116">
        <v>544.04283843163796</v>
      </c>
      <c r="Q883" s="116">
        <v>1092.55</v>
      </c>
      <c r="R883">
        <v>4682099</v>
      </c>
    </row>
    <row r="884" spans="1:18" x14ac:dyDescent="0.25">
      <c r="A884" s="170">
        <v>43300</v>
      </c>
      <c r="B884" s="116">
        <v>551.74960944097302</v>
      </c>
      <c r="C884" s="116">
        <v>546.74721172521504</v>
      </c>
      <c r="D884" s="116">
        <v>538.27780569160598</v>
      </c>
      <c r="E884" s="116">
        <v>542.33915829251805</v>
      </c>
      <c r="F884" s="116">
        <v>1103.9000000000001</v>
      </c>
      <c r="G884">
        <v>778552</v>
      </c>
      <c r="H884" s="116"/>
      <c r="I884" s="116"/>
      <c r="L884" s="170">
        <v>43300</v>
      </c>
      <c r="M884" s="116">
        <v>547.237554662413</v>
      </c>
      <c r="N884" s="116">
        <v>552.26489880851796</v>
      </c>
      <c r="O884" s="116">
        <v>538.07441508577006</v>
      </c>
      <c r="P884" s="116">
        <v>541.516783737536</v>
      </c>
      <c r="Q884" s="116">
        <v>1104.8499999999999</v>
      </c>
      <c r="R884">
        <v>5433617</v>
      </c>
    </row>
    <row r="885" spans="1:18" x14ac:dyDescent="0.25">
      <c r="A885" s="170">
        <v>43301</v>
      </c>
      <c r="B885" s="116">
        <v>563.76031682781604</v>
      </c>
      <c r="C885" s="116">
        <v>558.95603387307904</v>
      </c>
      <c r="D885" s="116">
        <v>550.01610528204696</v>
      </c>
      <c r="E885" s="116">
        <v>550.01610528204696</v>
      </c>
      <c r="F885" s="116">
        <v>1128.55</v>
      </c>
      <c r="G885">
        <v>446801</v>
      </c>
      <c r="H885" s="116"/>
      <c r="I885" s="116"/>
      <c r="L885" s="170">
        <v>43301</v>
      </c>
      <c r="M885" s="116">
        <v>559.02580990155502</v>
      </c>
      <c r="N885" s="116">
        <v>563.90456259506504</v>
      </c>
      <c r="O885" s="116">
        <v>550.72945379837802</v>
      </c>
      <c r="P885" s="116">
        <v>551.47241106134902</v>
      </c>
      <c r="Q885" s="116">
        <v>1128.6500000000001</v>
      </c>
      <c r="R885">
        <v>8018150</v>
      </c>
    </row>
    <row r="886" spans="1:18" x14ac:dyDescent="0.25">
      <c r="A886" s="170">
        <v>43304</v>
      </c>
      <c r="B886" s="116">
        <v>559.67419988177699</v>
      </c>
      <c r="C886" s="116">
        <v>554.79562389165699</v>
      </c>
      <c r="D886" s="116">
        <v>551.74960944097302</v>
      </c>
      <c r="E886" s="116">
        <v>559.52561381101202</v>
      </c>
      <c r="F886" s="116">
        <v>1120.1500000000001</v>
      </c>
      <c r="G886">
        <v>205750</v>
      </c>
      <c r="H886" s="116"/>
      <c r="I886" s="116"/>
      <c r="L886" s="170">
        <v>43304</v>
      </c>
      <c r="M886" s="116">
        <v>554.890014471016</v>
      </c>
      <c r="N886" s="116">
        <v>559.59541046983304</v>
      </c>
      <c r="O886" s="116">
        <v>551.32381960875398</v>
      </c>
      <c r="P886" s="116">
        <v>559.59541046983304</v>
      </c>
      <c r="Q886" s="116">
        <v>1120.3</v>
      </c>
      <c r="R886">
        <v>5842496</v>
      </c>
    </row>
    <row r="887" spans="1:18" x14ac:dyDescent="0.25">
      <c r="A887" s="170">
        <v>43305</v>
      </c>
      <c r="B887" s="116">
        <v>557.74258096183098</v>
      </c>
      <c r="C887" s="116">
        <v>550.04086962717497</v>
      </c>
      <c r="D887" s="116">
        <v>548.60453760977896</v>
      </c>
      <c r="E887" s="116">
        <v>555.711904661375</v>
      </c>
      <c r="F887" s="116">
        <v>1110.55</v>
      </c>
      <c r="G887">
        <v>305391</v>
      </c>
      <c r="H887" s="116"/>
      <c r="I887" s="116"/>
      <c r="L887" s="170">
        <v>43305</v>
      </c>
      <c r="M887" s="116">
        <v>550.25891419849597</v>
      </c>
      <c r="N887" s="116">
        <v>558.08473070179195</v>
      </c>
      <c r="O887" s="116">
        <v>548.50058200946398</v>
      </c>
      <c r="P887" s="116">
        <v>555.73203270238298</v>
      </c>
      <c r="Q887" s="116">
        <v>1110.95</v>
      </c>
      <c r="R887">
        <v>4469144</v>
      </c>
    </row>
    <row r="888" spans="1:18" x14ac:dyDescent="0.25">
      <c r="A888" s="170">
        <v>43306</v>
      </c>
      <c r="B888" s="116">
        <v>555.86049073213997</v>
      </c>
      <c r="C888" s="116">
        <v>551.7743737861</v>
      </c>
      <c r="D888" s="116">
        <v>547.06914821187297</v>
      </c>
      <c r="E888" s="116">
        <v>550.88285736150999</v>
      </c>
      <c r="F888" s="116">
        <v>1114.05</v>
      </c>
      <c r="G888">
        <v>265010</v>
      </c>
      <c r="H888" s="116"/>
      <c r="I888" s="116"/>
      <c r="L888" s="170">
        <v>43306</v>
      </c>
      <c r="M888" s="116">
        <v>552.33919453481496</v>
      </c>
      <c r="N888" s="116">
        <v>556.22733754436399</v>
      </c>
      <c r="O888" s="116">
        <v>546.915606515126</v>
      </c>
      <c r="P888" s="116">
        <v>549.78837459861404</v>
      </c>
      <c r="Q888" s="116">
        <v>1115.1500000000001</v>
      </c>
      <c r="R888">
        <v>5949680</v>
      </c>
    </row>
    <row r="889" spans="1:18" x14ac:dyDescent="0.25">
      <c r="A889" s="170">
        <v>43307</v>
      </c>
      <c r="B889" s="116">
        <v>555.21661775882501</v>
      </c>
      <c r="C889" s="116">
        <v>549.94181224666397</v>
      </c>
      <c r="D889" s="116">
        <v>548.62930195490605</v>
      </c>
      <c r="E889" s="116">
        <v>551.25432253842303</v>
      </c>
      <c r="F889" s="116">
        <v>1110.3499999999999</v>
      </c>
      <c r="G889">
        <v>154028</v>
      </c>
      <c r="H889" s="116"/>
      <c r="I889" s="116"/>
      <c r="L889" s="170">
        <v>43307</v>
      </c>
      <c r="M889" s="116">
        <v>550.11032274590195</v>
      </c>
      <c r="N889" s="116">
        <v>555.48438028139299</v>
      </c>
      <c r="O889" s="116">
        <v>548.69870394625696</v>
      </c>
      <c r="P889" s="116">
        <v>549.83790508281197</v>
      </c>
      <c r="Q889" s="116">
        <v>1110.6500000000001</v>
      </c>
      <c r="R889">
        <v>6424867</v>
      </c>
    </row>
    <row r="890" spans="1:18" x14ac:dyDescent="0.25">
      <c r="A890" s="170">
        <v>43308</v>
      </c>
      <c r="B890" s="116">
        <v>563.14120819962898</v>
      </c>
      <c r="C890" s="116">
        <v>559.47608512075703</v>
      </c>
      <c r="D890" s="116">
        <v>551.15526515791305</v>
      </c>
      <c r="E890" s="116">
        <v>553.33452752913399</v>
      </c>
      <c r="F890" s="116">
        <v>1129.5999999999999</v>
      </c>
      <c r="G890">
        <v>447361</v>
      </c>
      <c r="H890" s="116"/>
      <c r="I890" s="116"/>
      <c r="L890" s="170">
        <v>43308</v>
      </c>
      <c r="M890" s="116">
        <v>559.62017571193201</v>
      </c>
      <c r="N890" s="116">
        <v>563.35972726888599</v>
      </c>
      <c r="O890" s="116">
        <v>550.85328000887296</v>
      </c>
      <c r="P890" s="116">
        <v>554.49377059743097</v>
      </c>
      <c r="Q890" s="116">
        <v>1129.8499999999999</v>
      </c>
      <c r="R890">
        <v>6679468</v>
      </c>
    </row>
    <row r="891" spans="1:18" x14ac:dyDescent="0.25">
      <c r="A891" s="170">
        <v>43311</v>
      </c>
      <c r="B891" s="116">
        <v>573.31935404703597</v>
      </c>
      <c r="C891" s="116">
        <v>569.43135186201698</v>
      </c>
      <c r="D891" s="116">
        <v>557.99022441310603</v>
      </c>
      <c r="E891" s="116">
        <v>562.64592129707796</v>
      </c>
      <c r="F891" s="116">
        <v>1149.7</v>
      </c>
      <c r="G891">
        <v>713184</v>
      </c>
      <c r="H891" s="116"/>
      <c r="I891" s="116"/>
      <c r="L891" s="170">
        <v>43311</v>
      </c>
      <c r="M891" s="116">
        <v>570.29399505661695</v>
      </c>
      <c r="N891" s="116">
        <v>573.21629362430303</v>
      </c>
      <c r="O891" s="116">
        <v>558.703861754267</v>
      </c>
      <c r="P891" s="116">
        <v>559.69447143822902</v>
      </c>
      <c r="Q891" s="116">
        <v>1151.4000000000001</v>
      </c>
      <c r="R891">
        <v>13872467</v>
      </c>
    </row>
    <row r="892" spans="1:18" x14ac:dyDescent="0.25">
      <c r="A892" s="170">
        <v>43312</v>
      </c>
      <c r="B892" s="116">
        <v>589.39141403479198</v>
      </c>
      <c r="C892" s="116">
        <v>587.33597338920799</v>
      </c>
      <c r="D892" s="116">
        <v>567.10350342003096</v>
      </c>
      <c r="E892" s="116">
        <v>569.57993793278195</v>
      </c>
      <c r="F892" s="116">
        <v>1185.8499999999999</v>
      </c>
      <c r="G892">
        <v>1165189</v>
      </c>
      <c r="H892" s="116"/>
      <c r="I892" s="116"/>
      <c r="L892" s="170">
        <v>43312</v>
      </c>
      <c r="M892" s="116">
        <v>587.43154258915001</v>
      </c>
      <c r="N892" s="116">
        <v>589.61088389386498</v>
      </c>
      <c r="O892" s="116">
        <v>568.18894947819797</v>
      </c>
      <c r="P892" s="116">
        <v>570.09587311982398</v>
      </c>
      <c r="Q892" s="116">
        <v>1186</v>
      </c>
      <c r="R892">
        <v>13875377</v>
      </c>
    </row>
    <row r="893" spans="1:18" x14ac:dyDescent="0.25">
      <c r="A893" s="170">
        <v>43313</v>
      </c>
      <c r="B893" s="116">
        <v>595.80537942281705</v>
      </c>
      <c r="C893" s="116">
        <v>589.96099397272405</v>
      </c>
      <c r="D893" s="116">
        <v>587.38550207946298</v>
      </c>
      <c r="E893" s="116">
        <v>591.86784854754296</v>
      </c>
      <c r="F893" s="116">
        <v>1191.1500000000001</v>
      </c>
      <c r="G893">
        <v>510625</v>
      </c>
      <c r="H893" s="116"/>
      <c r="I893" s="116"/>
      <c r="L893" s="170">
        <v>43313</v>
      </c>
      <c r="M893" s="116">
        <v>590.57672833572803</v>
      </c>
      <c r="N893" s="116">
        <v>595.80219441862403</v>
      </c>
      <c r="O893" s="116">
        <v>587.13435968396197</v>
      </c>
      <c r="P893" s="116">
        <v>589.61088389386498</v>
      </c>
      <c r="Q893" s="116">
        <v>1192.3499999999999</v>
      </c>
      <c r="R893">
        <v>9704295</v>
      </c>
    </row>
    <row r="894" spans="1:18" x14ac:dyDescent="0.25">
      <c r="A894" s="170">
        <v>43314</v>
      </c>
      <c r="B894" s="116">
        <v>591.62020509626802</v>
      </c>
      <c r="C894" s="116">
        <v>578.66845259457898</v>
      </c>
      <c r="D894" s="116">
        <v>577.50452837358603</v>
      </c>
      <c r="E894" s="116">
        <v>590.55533825578402</v>
      </c>
      <c r="F894" s="116">
        <v>1168.3499999999999</v>
      </c>
      <c r="G894">
        <v>280942</v>
      </c>
      <c r="H894" s="116"/>
      <c r="I894" s="116"/>
      <c r="L894" s="170">
        <v>43314</v>
      </c>
      <c r="M894" s="116">
        <v>578.68941212819004</v>
      </c>
      <c r="N894" s="116">
        <v>590.15571922004403</v>
      </c>
      <c r="O894" s="116">
        <v>577.50068050743596</v>
      </c>
      <c r="P894" s="116">
        <v>590.15571922004403</v>
      </c>
      <c r="Q894" s="116">
        <v>1168.3499999999999</v>
      </c>
      <c r="R894">
        <v>6248975</v>
      </c>
    </row>
    <row r="895" spans="1:18" x14ac:dyDescent="0.25">
      <c r="A895" s="170">
        <v>43315</v>
      </c>
      <c r="B895" s="116">
        <v>586.34539958410699</v>
      </c>
      <c r="C895" s="116">
        <v>582.82886257600103</v>
      </c>
      <c r="D895" s="116">
        <v>579.23803253251197</v>
      </c>
      <c r="E895" s="116">
        <v>581.962110496538</v>
      </c>
      <c r="F895" s="116">
        <v>1176.75</v>
      </c>
      <c r="G895">
        <v>278816</v>
      </c>
      <c r="H895" s="116"/>
      <c r="I895" s="116"/>
      <c r="L895" s="170">
        <v>43315</v>
      </c>
      <c r="M895" s="116">
        <v>582.949033769224</v>
      </c>
      <c r="N895" s="116">
        <v>586.193280484198</v>
      </c>
      <c r="O895" s="116">
        <v>579.28377793856703</v>
      </c>
      <c r="P895" s="116">
        <v>581.98318932736197</v>
      </c>
      <c r="Q895" s="116">
        <v>1176.95</v>
      </c>
      <c r="R895">
        <v>6645397</v>
      </c>
    </row>
    <row r="896" spans="1:18" x14ac:dyDescent="0.25">
      <c r="A896" s="170">
        <v>43318</v>
      </c>
      <c r="B896" s="116">
        <v>592.36313545009295</v>
      </c>
      <c r="C896" s="116">
        <v>590.13434438861702</v>
      </c>
      <c r="D896" s="116">
        <v>581.88781746115501</v>
      </c>
      <c r="E896" s="116">
        <v>584.43854500928899</v>
      </c>
      <c r="F896" s="116">
        <v>1191.5</v>
      </c>
      <c r="G896">
        <v>267933</v>
      </c>
      <c r="H896" s="116"/>
      <c r="I896" s="116"/>
      <c r="L896" s="170">
        <v>43318</v>
      </c>
      <c r="M896" s="116">
        <v>590.70055454622297</v>
      </c>
      <c r="N896" s="116">
        <v>592.38459100895705</v>
      </c>
      <c r="O896" s="116">
        <v>582.15654602205495</v>
      </c>
      <c r="P896" s="116">
        <v>582.82520755872895</v>
      </c>
      <c r="Q896" s="116">
        <v>1192.5999999999999</v>
      </c>
      <c r="R896">
        <v>4016418</v>
      </c>
    </row>
    <row r="897" spans="1:18" x14ac:dyDescent="0.25">
      <c r="A897" s="170">
        <v>43319</v>
      </c>
      <c r="B897" s="116">
        <v>594.34428306029395</v>
      </c>
      <c r="C897" s="116">
        <v>586.19681351334202</v>
      </c>
      <c r="D897" s="116">
        <v>583.59655727495397</v>
      </c>
      <c r="E897" s="116">
        <v>592.36313545009295</v>
      </c>
      <c r="F897" s="116">
        <v>1183.55</v>
      </c>
      <c r="G897">
        <v>210322</v>
      </c>
      <c r="H897" s="116"/>
      <c r="I897" s="116"/>
      <c r="L897" s="170">
        <v>43319</v>
      </c>
      <c r="M897" s="116">
        <v>586.53999387358499</v>
      </c>
      <c r="N897" s="116">
        <v>595.05923715565302</v>
      </c>
      <c r="O897" s="116">
        <v>582.97379901132297</v>
      </c>
      <c r="P897" s="116">
        <v>591.83975568277799</v>
      </c>
      <c r="Q897" s="116">
        <v>1184.2</v>
      </c>
      <c r="R897">
        <v>4059460</v>
      </c>
    </row>
    <row r="898" spans="1:18" x14ac:dyDescent="0.25">
      <c r="A898" s="170">
        <v>43320</v>
      </c>
      <c r="B898" s="116">
        <v>605.240594916399</v>
      </c>
      <c r="C898" s="116">
        <v>602.887982129286</v>
      </c>
      <c r="D898" s="116">
        <v>587.41026642459099</v>
      </c>
      <c r="E898" s="116">
        <v>588.59895499071104</v>
      </c>
      <c r="F898" s="116">
        <v>1217.25</v>
      </c>
      <c r="G898">
        <v>477703</v>
      </c>
      <c r="H898" s="116"/>
      <c r="I898" s="116"/>
      <c r="L898" s="170">
        <v>43320</v>
      </c>
      <c r="M898" s="116">
        <v>603.132706079939</v>
      </c>
      <c r="N898" s="116">
        <v>605.51016932144705</v>
      </c>
      <c r="O898" s="116">
        <v>586.936237747169</v>
      </c>
      <c r="P898" s="116">
        <v>586.936237747169</v>
      </c>
      <c r="Q898" s="116">
        <v>1217.7</v>
      </c>
      <c r="R898">
        <v>7912437</v>
      </c>
    </row>
    <row r="899" spans="1:18" x14ac:dyDescent="0.25">
      <c r="A899" s="170">
        <v>43321</v>
      </c>
      <c r="B899" s="116">
        <v>609.94582049062706</v>
      </c>
      <c r="C899" s="116">
        <v>603.23468296107103</v>
      </c>
      <c r="D899" s="116">
        <v>600.28772589089704</v>
      </c>
      <c r="E899" s="116">
        <v>604.25002111129902</v>
      </c>
      <c r="F899" s="116">
        <v>1217.95</v>
      </c>
      <c r="G899">
        <v>528555</v>
      </c>
      <c r="H899" s="116"/>
      <c r="I899" s="116"/>
      <c r="L899" s="170">
        <v>43321</v>
      </c>
      <c r="M899" s="116">
        <v>603.25653229043405</v>
      </c>
      <c r="N899" s="116">
        <v>610.06697386766996</v>
      </c>
      <c r="O899" s="116">
        <v>600.309468480649</v>
      </c>
      <c r="P899" s="116">
        <v>605.01486447946604</v>
      </c>
      <c r="Q899" s="116">
        <v>1217.95</v>
      </c>
      <c r="R899">
        <v>6846928</v>
      </c>
    </row>
    <row r="900" spans="1:18" x14ac:dyDescent="0.25">
      <c r="A900" s="170">
        <v>43322</v>
      </c>
      <c r="B900" s="116">
        <v>601.922172669313</v>
      </c>
      <c r="C900" s="116">
        <v>596.32543067049505</v>
      </c>
      <c r="D900" s="116">
        <v>595.31009252026695</v>
      </c>
      <c r="E900" s="116">
        <v>601.77358659854804</v>
      </c>
      <c r="F900" s="116">
        <v>1204</v>
      </c>
      <c r="G900">
        <v>171098</v>
      </c>
      <c r="H900" s="116"/>
      <c r="I900" s="116"/>
      <c r="L900" s="170">
        <v>43322</v>
      </c>
      <c r="M900" s="116">
        <v>596.44609071319906</v>
      </c>
      <c r="N900" s="116">
        <v>601.79538300659101</v>
      </c>
      <c r="O900" s="116">
        <v>595.50501151343599</v>
      </c>
      <c r="P900" s="116">
        <v>599.81416363866799</v>
      </c>
      <c r="Q900" s="116">
        <v>1204.2</v>
      </c>
      <c r="R900">
        <v>3581210</v>
      </c>
    </row>
    <row r="901" spans="1:18" x14ac:dyDescent="0.25">
      <c r="A901" s="170">
        <v>43325</v>
      </c>
      <c r="B901" s="116">
        <v>595.83014376794495</v>
      </c>
      <c r="C901" s="116">
        <v>587.97984636252295</v>
      </c>
      <c r="D901" s="116">
        <v>585.94917006206697</v>
      </c>
      <c r="E901" s="116">
        <v>595.83014376794495</v>
      </c>
      <c r="F901" s="116">
        <v>1187.1500000000001</v>
      </c>
      <c r="G901">
        <v>223453</v>
      </c>
      <c r="H901" s="116"/>
      <c r="I901" s="116"/>
      <c r="L901" s="170">
        <v>43325</v>
      </c>
      <c r="M901" s="116">
        <v>588.27356082051699</v>
      </c>
      <c r="N901" s="116">
        <v>594.34104513478098</v>
      </c>
      <c r="O901" s="116">
        <v>585.79703661061399</v>
      </c>
      <c r="P901" s="116">
        <v>593.15231351402701</v>
      </c>
      <c r="Q901" s="116">
        <v>1187.7</v>
      </c>
      <c r="R901">
        <v>4668159</v>
      </c>
    </row>
    <row r="902" spans="1:18" x14ac:dyDescent="0.25">
      <c r="A902" s="170">
        <v>43326</v>
      </c>
      <c r="B902" s="116">
        <v>602.46698826211798</v>
      </c>
      <c r="C902" s="116">
        <v>599.76767464321904</v>
      </c>
      <c r="D902" s="116">
        <v>587.03880124767795</v>
      </c>
      <c r="E902" s="116">
        <v>588.00461070765095</v>
      </c>
      <c r="F902" s="116">
        <v>1210.95</v>
      </c>
      <c r="G902">
        <v>313057</v>
      </c>
      <c r="H902" s="116"/>
      <c r="I902" s="116"/>
      <c r="L902" s="170">
        <v>43326</v>
      </c>
      <c r="M902" s="116">
        <v>599.61604170187604</v>
      </c>
      <c r="N902" s="116">
        <v>602.885053658949</v>
      </c>
      <c r="O902" s="116">
        <v>586.58952435778303</v>
      </c>
      <c r="P902" s="116">
        <v>589.41276195707303</v>
      </c>
      <c r="Q902" s="116">
        <v>1210.5999999999999</v>
      </c>
      <c r="R902">
        <v>5299536</v>
      </c>
    </row>
    <row r="903" spans="1:18" x14ac:dyDescent="0.25">
      <c r="A903" s="170">
        <v>43328</v>
      </c>
      <c r="B903" s="116">
        <v>602.12028743033295</v>
      </c>
      <c r="C903" s="116">
        <v>594.44334044080404</v>
      </c>
      <c r="D903" s="116">
        <v>592.48695717573003</v>
      </c>
      <c r="E903" s="116">
        <v>597.51411923661601</v>
      </c>
      <c r="F903" s="116">
        <v>1200.2</v>
      </c>
      <c r="G903">
        <v>323707</v>
      </c>
      <c r="H903" s="116"/>
      <c r="I903" s="116"/>
      <c r="L903" s="170">
        <v>43328</v>
      </c>
      <c r="M903" s="116">
        <v>594.76205425046498</v>
      </c>
      <c r="N903" s="116">
        <v>602.29068784857202</v>
      </c>
      <c r="O903" s="116">
        <v>592.13693858796705</v>
      </c>
      <c r="P903" s="116">
        <v>595.97555111331803</v>
      </c>
      <c r="Q903" s="116">
        <v>1200.8</v>
      </c>
      <c r="R903">
        <v>5982490</v>
      </c>
    </row>
    <row r="904" spans="1:18" x14ac:dyDescent="0.25">
      <c r="A904" s="170">
        <v>43329</v>
      </c>
      <c r="B904" s="116">
        <v>601.77358659854804</v>
      </c>
      <c r="C904" s="116">
        <v>596.05302287409199</v>
      </c>
      <c r="D904" s="116">
        <v>594.46810478593102</v>
      </c>
      <c r="E904" s="116">
        <v>597.31600447559504</v>
      </c>
      <c r="F904" s="116">
        <v>1203.45</v>
      </c>
      <c r="G904">
        <v>190969</v>
      </c>
      <c r="H904" s="116"/>
      <c r="I904" s="116"/>
      <c r="L904" s="170">
        <v>43329</v>
      </c>
      <c r="M904" s="116">
        <v>596.22320353430803</v>
      </c>
      <c r="N904" s="116">
        <v>601.99350494338398</v>
      </c>
      <c r="O904" s="116">
        <v>594.39057561897903</v>
      </c>
      <c r="P904" s="116">
        <v>598.82355395470699</v>
      </c>
      <c r="Q904" s="116">
        <v>1203.75</v>
      </c>
      <c r="R904">
        <v>3830992</v>
      </c>
    </row>
    <row r="905" spans="1:18" x14ac:dyDescent="0.25">
      <c r="A905" s="170">
        <v>43332</v>
      </c>
      <c r="B905" s="116">
        <v>613.18994970233098</v>
      </c>
      <c r="C905" s="116">
        <v>611.62979595929801</v>
      </c>
      <c r="D905" s="116">
        <v>597.563647926871</v>
      </c>
      <c r="E905" s="116">
        <v>597.563647926871</v>
      </c>
      <c r="F905" s="116">
        <v>1234.9000000000001</v>
      </c>
      <c r="G905">
        <v>561333</v>
      </c>
      <c r="H905" s="116"/>
      <c r="I905" s="116"/>
      <c r="L905" s="170">
        <v>43332</v>
      </c>
      <c r="M905" s="116">
        <v>611.65194936200805</v>
      </c>
      <c r="N905" s="116">
        <v>612.59302856177101</v>
      </c>
      <c r="O905" s="116">
        <v>598.154892418033</v>
      </c>
      <c r="P905" s="116">
        <v>598.27871862852805</v>
      </c>
      <c r="Q905" s="116">
        <v>1234.9000000000001</v>
      </c>
      <c r="R905">
        <v>7607036</v>
      </c>
    </row>
    <row r="906" spans="1:18" x14ac:dyDescent="0.25">
      <c r="A906" s="170">
        <v>43333</v>
      </c>
      <c r="B906" s="116">
        <v>619.60391509035605</v>
      </c>
      <c r="C906" s="116">
        <v>617.37512402888001</v>
      </c>
      <c r="D906" s="116">
        <v>607.79132246453298</v>
      </c>
      <c r="E906" s="116">
        <v>612.17461155210299</v>
      </c>
      <c r="F906" s="116">
        <v>1246.5</v>
      </c>
      <c r="G906">
        <v>427978</v>
      </c>
      <c r="H906" s="116"/>
      <c r="I906" s="116"/>
      <c r="L906" s="170">
        <v>43333</v>
      </c>
      <c r="M906" s="116">
        <v>617.74419891837101</v>
      </c>
      <c r="N906" s="116">
        <v>619.87400973888805</v>
      </c>
      <c r="O906" s="116">
        <v>607.73904111035995</v>
      </c>
      <c r="P906" s="116">
        <v>612.81591574066204</v>
      </c>
      <c r="Q906" s="116">
        <v>1247.2</v>
      </c>
      <c r="R906">
        <v>7279641</v>
      </c>
    </row>
    <row r="907" spans="1:18" x14ac:dyDescent="0.25">
      <c r="A907" s="170">
        <v>43335</v>
      </c>
      <c r="B907" s="116">
        <v>630.77263474286406</v>
      </c>
      <c r="C907" s="116">
        <v>628.86578016804594</v>
      </c>
      <c r="D907" s="116">
        <v>613.46235749873301</v>
      </c>
      <c r="E907" s="116">
        <v>616.13690677250497</v>
      </c>
      <c r="F907" s="116">
        <v>1269.7</v>
      </c>
      <c r="G907">
        <v>364123</v>
      </c>
      <c r="H907" s="116"/>
      <c r="I907" s="116"/>
      <c r="L907" s="170">
        <v>43335</v>
      </c>
      <c r="M907" s="116">
        <v>628.76473165244204</v>
      </c>
      <c r="N907" s="116">
        <v>631.01836868345401</v>
      </c>
      <c r="O907" s="116">
        <v>613.38551630894005</v>
      </c>
      <c r="P907" s="116">
        <v>617.29842456058805</v>
      </c>
      <c r="Q907" s="116">
        <v>1269.45</v>
      </c>
      <c r="R907">
        <v>7968123</v>
      </c>
    </row>
    <row r="908" spans="1:18" x14ac:dyDescent="0.25">
      <c r="A908" s="170">
        <v>43336</v>
      </c>
      <c r="B908" s="116">
        <v>633.96723526431401</v>
      </c>
      <c r="C908" s="116">
        <v>633.00142580434101</v>
      </c>
      <c r="D908" s="116">
        <v>624.50725542560394</v>
      </c>
      <c r="E908" s="116">
        <v>626.53793172606004</v>
      </c>
      <c r="F908" s="116">
        <v>1278.05</v>
      </c>
      <c r="G908">
        <v>378371</v>
      </c>
      <c r="H908" s="116"/>
      <c r="I908" s="116"/>
      <c r="L908" s="170">
        <v>43336</v>
      </c>
      <c r="M908" s="116">
        <v>632.75193563038704</v>
      </c>
      <c r="N908" s="116">
        <v>633.96543249323997</v>
      </c>
      <c r="O908" s="116">
        <v>624.10886613782304</v>
      </c>
      <c r="P908" s="116">
        <v>626.68445131612305</v>
      </c>
      <c r="Q908" s="116">
        <v>1277.5</v>
      </c>
      <c r="R908">
        <v>6652005</v>
      </c>
    </row>
    <row r="909" spans="1:18" x14ac:dyDescent="0.25">
      <c r="A909" s="170">
        <v>43339</v>
      </c>
      <c r="B909" s="116">
        <v>641.99088308562796</v>
      </c>
      <c r="C909" s="116">
        <v>639.71256333389601</v>
      </c>
      <c r="D909" s="116">
        <v>633.96723526431401</v>
      </c>
      <c r="E909" s="116">
        <v>633.991999609441</v>
      </c>
      <c r="F909" s="116">
        <v>1291.5999999999999</v>
      </c>
      <c r="G909">
        <v>288953</v>
      </c>
      <c r="H909" s="116"/>
      <c r="I909" s="116"/>
      <c r="L909" s="170">
        <v>43339</v>
      </c>
      <c r="M909" s="116">
        <v>639.68620341811697</v>
      </c>
      <c r="N909" s="116">
        <v>641.84077948073298</v>
      </c>
      <c r="O909" s="116">
        <v>633.37106668286299</v>
      </c>
      <c r="P909" s="116">
        <v>633.69301483014999</v>
      </c>
      <c r="Q909" s="116">
        <v>1291.5</v>
      </c>
      <c r="R909">
        <v>5572177</v>
      </c>
    </row>
    <row r="910" spans="1:18" x14ac:dyDescent="0.25">
      <c r="A910" s="170">
        <v>43340</v>
      </c>
      <c r="B910" s="116">
        <v>655.26457207397402</v>
      </c>
      <c r="C910" s="116">
        <v>652.88719494173301</v>
      </c>
      <c r="D910" s="116">
        <v>641.64418225384202</v>
      </c>
      <c r="E910" s="116">
        <v>643.253864687131</v>
      </c>
      <c r="F910" s="116">
        <v>1318.2</v>
      </c>
      <c r="G910">
        <v>484736</v>
      </c>
      <c r="H910" s="116"/>
      <c r="I910" s="116"/>
      <c r="L910" s="170">
        <v>43340</v>
      </c>
      <c r="M910" s="116">
        <v>653.30708657258697</v>
      </c>
      <c r="N910" s="116">
        <v>655.28830594050999</v>
      </c>
      <c r="O910" s="116">
        <v>641.41977036505</v>
      </c>
      <c r="P910" s="116">
        <v>641.91507520703101</v>
      </c>
      <c r="Q910" s="116">
        <v>1319</v>
      </c>
      <c r="R910">
        <v>8694751</v>
      </c>
    </row>
    <row r="911" spans="1:18" x14ac:dyDescent="0.25">
      <c r="A911" s="170">
        <v>43341</v>
      </c>
      <c r="B911" s="116">
        <v>658.11247176363804</v>
      </c>
      <c r="C911" s="116">
        <v>641.12413100616504</v>
      </c>
      <c r="D911" s="116">
        <v>639.06869036058094</v>
      </c>
      <c r="E911" s="116">
        <v>653.28342446377303</v>
      </c>
      <c r="F911" s="116">
        <v>1294.45</v>
      </c>
      <c r="G911">
        <v>570571</v>
      </c>
      <c r="H911" s="116"/>
      <c r="I911" s="116"/>
      <c r="L911" s="170">
        <v>43341</v>
      </c>
      <c r="M911" s="116">
        <v>641.02352649146496</v>
      </c>
      <c r="N911" s="116">
        <v>658.26013499239502</v>
      </c>
      <c r="O911" s="116">
        <v>639.04230712354195</v>
      </c>
      <c r="P911" s="116">
        <v>651.96976349923898</v>
      </c>
      <c r="Q911" s="116">
        <v>1294.2</v>
      </c>
      <c r="R911">
        <v>11077203</v>
      </c>
    </row>
    <row r="912" spans="1:18" x14ac:dyDescent="0.25">
      <c r="A912" s="170">
        <v>43342</v>
      </c>
      <c r="B912" s="116">
        <v>643.87297331531795</v>
      </c>
      <c r="C912" s="116">
        <v>631.045042539267</v>
      </c>
      <c r="D912" s="116">
        <v>629.23724534495898</v>
      </c>
      <c r="E912" s="116">
        <v>643.87297331531795</v>
      </c>
      <c r="F912" s="116">
        <v>1274.0999999999999</v>
      </c>
      <c r="G912">
        <v>1802595</v>
      </c>
      <c r="H912" s="116"/>
      <c r="I912" s="116"/>
      <c r="L912" s="170">
        <v>43342</v>
      </c>
      <c r="M912" s="116">
        <v>631.24125586234595</v>
      </c>
      <c r="N912" s="116">
        <v>642.48467577530801</v>
      </c>
      <c r="O912" s="116">
        <v>629.26003649442305</v>
      </c>
      <c r="P912" s="116">
        <v>640.72634358627704</v>
      </c>
      <c r="Q912" s="116">
        <v>1274.45</v>
      </c>
      <c r="R912">
        <v>9850042</v>
      </c>
    </row>
    <row r="913" spans="1:18" x14ac:dyDescent="0.25">
      <c r="A913" s="170">
        <v>43343</v>
      </c>
      <c r="B913" s="116">
        <v>630.89645646850204</v>
      </c>
      <c r="C913" s="116">
        <v>614.62628171972699</v>
      </c>
      <c r="D913" s="116">
        <v>612.69466279978099</v>
      </c>
      <c r="E913" s="116">
        <v>630.89645646850204</v>
      </c>
      <c r="F913" s="116">
        <v>1240.95</v>
      </c>
      <c r="G913">
        <v>1284024</v>
      </c>
      <c r="H913" s="116"/>
      <c r="I913" s="116"/>
      <c r="L913" s="170">
        <v>43343</v>
      </c>
      <c r="M913" s="116">
        <v>614.99525704537803</v>
      </c>
      <c r="N913" s="116">
        <v>629.03714931553202</v>
      </c>
      <c r="O913" s="116">
        <v>612.49396759337503</v>
      </c>
      <c r="P913" s="116">
        <v>629.03714931553202</v>
      </c>
      <c r="Q913" s="116">
        <v>1241.6500000000001</v>
      </c>
      <c r="R913">
        <v>15305857</v>
      </c>
    </row>
    <row r="914" spans="1:18" x14ac:dyDescent="0.25">
      <c r="A914" s="170">
        <v>43346</v>
      </c>
      <c r="B914" s="116">
        <v>623.07092340820805</v>
      </c>
      <c r="C914" s="116">
        <v>609.40100489782105</v>
      </c>
      <c r="D914" s="116">
        <v>607.96467288042595</v>
      </c>
      <c r="E914" s="116">
        <v>618.61334128525596</v>
      </c>
      <c r="F914" s="116">
        <v>1230.4000000000001</v>
      </c>
      <c r="G914">
        <v>1220847</v>
      </c>
      <c r="H914" s="116"/>
      <c r="I914" s="116"/>
      <c r="L914" s="170">
        <v>43346</v>
      </c>
      <c r="M914" s="116">
        <v>608.80394652061898</v>
      </c>
      <c r="N914" s="116">
        <v>623.04396072756504</v>
      </c>
      <c r="O914" s="116">
        <v>607.26850151047802</v>
      </c>
      <c r="P914" s="116">
        <v>616.65452826601302</v>
      </c>
      <c r="Q914" s="116">
        <v>1229.1500000000001</v>
      </c>
      <c r="R914">
        <v>12200022</v>
      </c>
    </row>
    <row r="915" spans="1:18" x14ac:dyDescent="0.25">
      <c r="A915" s="170">
        <v>43347</v>
      </c>
      <c r="B915" s="116">
        <v>621.46124097491997</v>
      </c>
      <c r="C915" s="116">
        <v>615.31968338329705</v>
      </c>
      <c r="D915" s="116">
        <v>609.20289013680099</v>
      </c>
      <c r="E915" s="116">
        <v>611.679324649553</v>
      </c>
      <c r="F915" s="116">
        <v>1242.3499999999999</v>
      </c>
      <c r="G915">
        <v>433632</v>
      </c>
      <c r="H915" s="116"/>
      <c r="I915" s="116"/>
      <c r="L915" s="170">
        <v>43347</v>
      </c>
      <c r="M915" s="116">
        <v>615.14384849797204</v>
      </c>
      <c r="N915" s="116">
        <v>621.50851571742396</v>
      </c>
      <c r="O915" s="116">
        <v>608.72965079432197</v>
      </c>
      <c r="P915" s="116">
        <v>611.77577557250299</v>
      </c>
      <c r="Q915" s="116">
        <v>1241.95</v>
      </c>
      <c r="R915">
        <v>8838770</v>
      </c>
    </row>
    <row r="916" spans="1:18" x14ac:dyDescent="0.25">
      <c r="A916" s="170">
        <v>43348</v>
      </c>
      <c r="B916" s="116">
        <v>620.322081099054</v>
      </c>
      <c r="C916" s="116">
        <v>607.12268514609002</v>
      </c>
      <c r="D916" s="116">
        <v>599.29715208579603</v>
      </c>
      <c r="E916" s="116">
        <v>616.63219367505496</v>
      </c>
      <c r="F916" s="116">
        <v>1225.8</v>
      </c>
      <c r="G916">
        <v>1203980</v>
      </c>
      <c r="H916" s="116"/>
      <c r="I916" s="116"/>
      <c r="L916" s="170">
        <v>43348</v>
      </c>
      <c r="M916" s="116">
        <v>607.73904111035995</v>
      </c>
      <c r="N916" s="116">
        <v>620.44361030716595</v>
      </c>
      <c r="O916" s="116">
        <v>598.57590153371598</v>
      </c>
      <c r="P916" s="116">
        <v>615.416266161061</v>
      </c>
      <c r="Q916" s="116">
        <v>1227</v>
      </c>
      <c r="R916">
        <v>10324923</v>
      </c>
    </row>
    <row r="917" spans="1:18" x14ac:dyDescent="0.25">
      <c r="A917" s="170">
        <v>43349</v>
      </c>
      <c r="B917" s="116">
        <v>625.94358744299996</v>
      </c>
      <c r="C917" s="116">
        <v>624.13579024869102</v>
      </c>
      <c r="D917" s="116">
        <v>607.2217425266</v>
      </c>
      <c r="E917" s="116">
        <v>609.20289013680099</v>
      </c>
      <c r="F917" s="116">
        <v>1260.1500000000001</v>
      </c>
      <c r="G917">
        <v>558949</v>
      </c>
      <c r="H917" s="116"/>
      <c r="I917" s="116"/>
      <c r="L917" s="170">
        <v>43349</v>
      </c>
      <c r="M917" s="116">
        <v>624.77752767449704</v>
      </c>
      <c r="N917" s="116">
        <v>626.90733849501396</v>
      </c>
      <c r="O917" s="116">
        <v>606.92178812109205</v>
      </c>
      <c r="P917" s="116">
        <v>609.29925136259897</v>
      </c>
      <c r="Q917" s="116">
        <v>1261.4000000000001</v>
      </c>
      <c r="R917">
        <v>11195043</v>
      </c>
    </row>
    <row r="918" spans="1:18" x14ac:dyDescent="0.25">
      <c r="A918" s="170">
        <v>43350</v>
      </c>
      <c r="B918" s="116">
        <v>633.91770657405903</v>
      </c>
      <c r="C918" s="116">
        <v>632.35755283102503</v>
      </c>
      <c r="D918" s="116">
        <v>621.51076966517496</v>
      </c>
      <c r="E918" s="116">
        <v>627.87520636294596</v>
      </c>
      <c r="F918" s="116">
        <v>1276.75</v>
      </c>
      <c r="G918">
        <v>430464</v>
      </c>
      <c r="H918" s="116"/>
      <c r="I918" s="116"/>
      <c r="L918" s="170">
        <v>43350</v>
      </c>
      <c r="M918" s="116">
        <v>633.29677095656598</v>
      </c>
      <c r="N918" s="116">
        <v>634.65885927201305</v>
      </c>
      <c r="O918" s="116">
        <v>621.35992426483006</v>
      </c>
      <c r="P918" s="116">
        <v>626.51109462142995</v>
      </c>
      <c r="Q918" s="116">
        <v>1278.5999999999999</v>
      </c>
      <c r="R918">
        <v>10692787</v>
      </c>
    </row>
    <row r="919" spans="1:18" x14ac:dyDescent="0.25">
      <c r="A919" s="170">
        <v>43353</v>
      </c>
      <c r="B919" s="116">
        <v>632.35755283102503</v>
      </c>
      <c r="C919" s="116">
        <v>622.64992954104002</v>
      </c>
      <c r="D919" s="116">
        <v>619.876322886759</v>
      </c>
      <c r="E919" s="116">
        <v>631.49080075156201</v>
      </c>
      <c r="F919" s="116">
        <v>1257.1500000000001</v>
      </c>
      <c r="G919">
        <v>343489</v>
      </c>
      <c r="H919" s="116"/>
      <c r="I919" s="116"/>
      <c r="L919" s="170">
        <v>43353</v>
      </c>
      <c r="M919" s="116">
        <v>622.02858580150405</v>
      </c>
      <c r="N919" s="116">
        <v>632.50428320939704</v>
      </c>
      <c r="O919" s="116">
        <v>619.18058296011498</v>
      </c>
      <c r="P919" s="116">
        <v>631.51367352543502</v>
      </c>
      <c r="Q919" s="116">
        <v>1255.8499999999999</v>
      </c>
      <c r="R919">
        <v>7059008</v>
      </c>
    </row>
    <row r="920" spans="1:18" x14ac:dyDescent="0.25">
      <c r="A920" s="170">
        <v>43354</v>
      </c>
      <c r="B920" s="116">
        <v>627.89997070807306</v>
      </c>
      <c r="C920" s="116">
        <v>613.38806446335104</v>
      </c>
      <c r="D920" s="116">
        <v>611.679324649553</v>
      </c>
      <c r="E920" s="116">
        <v>624.06149721330905</v>
      </c>
      <c r="F920" s="116">
        <v>1238.45</v>
      </c>
      <c r="G920">
        <v>366025</v>
      </c>
      <c r="H920" s="116"/>
      <c r="I920" s="116"/>
      <c r="L920" s="170">
        <v>43354</v>
      </c>
      <c r="M920" s="116">
        <v>613.03880291955397</v>
      </c>
      <c r="N920" s="116">
        <v>628.24466156836195</v>
      </c>
      <c r="O920" s="116">
        <v>611.33000121472003</v>
      </c>
      <c r="P920" s="116">
        <v>623.58879605374398</v>
      </c>
      <c r="Q920" s="116">
        <v>1237.7</v>
      </c>
      <c r="R920">
        <v>10874768</v>
      </c>
    </row>
    <row r="921" spans="1:18" x14ac:dyDescent="0.25">
      <c r="A921" s="170">
        <v>43355</v>
      </c>
      <c r="B921" s="116">
        <v>622.89757299231599</v>
      </c>
      <c r="C921" s="116">
        <v>620.44590282469198</v>
      </c>
      <c r="D921" s="116">
        <v>609.12859710141902</v>
      </c>
      <c r="E921" s="116">
        <v>616.35978587865202</v>
      </c>
      <c r="F921" s="116">
        <v>1252.7</v>
      </c>
      <c r="G921">
        <v>459285</v>
      </c>
      <c r="H921" s="116"/>
      <c r="I921" s="116"/>
      <c r="L921" s="170">
        <v>43355</v>
      </c>
      <c r="M921" s="116">
        <v>620.36931458086895</v>
      </c>
      <c r="N921" s="116">
        <v>623.44020460114905</v>
      </c>
      <c r="O921" s="116">
        <v>608.65535506802405</v>
      </c>
      <c r="P921" s="116">
        <v>620.02260119148195</v>
      </c>
      <c r="Q921" s="116">
        <v>1252.5</v>
      </c>
      <c r="R921">
        <v>8065553</v>
      </c>
    </row>
    <row r="922" spans="1:18" x14ac:dyDescent="0.25">
      <c r="A922" s="170">
        <v>43357</v>
      </c>
      <c r="B922" s="116">
        <v>631.49080075156201</v>
      </c>
      <c r="C922" s="116">
        <v>620.49543151494697</v>
      </c>
      <c r="D922" s="116">
        <v>618.390462179108</v>
      </c>
      <c r="E922" s="116">
        <v>624.55678411585905</v>
      </c>
      <c r="F922" s="116">
        <v>1252.8</v>
      </c>
      <c r="G922">
        <v>294230</v>
      </c>
      <c r="H922" s="116"/>
      <c r="I922" s="116"/>
      <c r="L922" s="170">
        <v>43357</v>
      </c>
      <c r="M922" s="116">
        <v>620.69126272815595</v>
      </c>
      <c r="N922" s="116">
        <v>631.81085643062397</v>
      </c>
      <c r="O922" s="116">
        <v>617.96708609726204</v>
      </c>
      <c r="P922" s="116">
        <v>623.78691799053604</v>
      </c>
      <c r="Q922" s="116">
        <v>1253.1500000000001</v>
      </c>
      <c r="R922">
        <v>7878583</v>
      </c>
    </row>
    <row r="923" spans="1:18" x14ac:dyDescent="0.25">
      <c r="A923" s="170">
        <v>43360</v>
      </c>
      <c r="B923" s="116">
        <v>620.04967330265197</v>
      </c>
      <c r="C923" s="116">
        <v>607.34556425223798</v>
      </c>
      <c r="D923" s="116">
        <v>604.49766456257396</v>
      </c>
      <c r="E923" s="116">
        <v>620.04967330265197</v>
      </c>
      <c r="F923" s="116">
        <v>1226.25</v>
      </c>
      <c r="G923">
        <v>371950</v>
      </c>
      <c r="H923" s="116"/>
      <c r="I923" s="116"/>
      <c r="L923" s="170">
        <v>43360</v>
      </c>
      <c r="M923" s="116">
        <v>607.19420578418101</v>
      </c>
      <c r="N923" s="116">
        <v>619.50253110740198</v>
      </c>
      <c r="O923" s="116">
        <v>605.06439496366397</v>
      </c>
      <c r="P923" s="116">
        <v>619.50253110740198</v>
      </c>
      <c r="Q923" s="116">
        <v>1225.9000000000001</v>
      </c>
      <c r="R923">
        <v>6754086</v>
      </c>
    </row>
    <row r="924" spans="1:18" x14ac:dyDescent="0.25">
      <c r="A924" s="170">
        <v>43361</v>
      </c>
      <c r="B924" s="116">
        <v>613.610943569499</v>
      </c>
      <c r="C924" s="116">
        <v>602.863217784158</v>
      </c>
      <c r="D924" s="116">
        <v>601.402121421635</v>
      </c>
      <c r="E924" s="116">
        <v>606.23116872150001</v>
      </c>
      <c r="F924" s="116">
        <v>1217.2</v>
      </c>
      <c r="G924">
        <v>314415</v>
      </c>
      <c r="H924" s="116"/>
      <c r="I924" s="116"/>
      <c r="L924" s="170">
        <v>43361</v>
      </c>
      <c r="M924" s="116">
        <v>602.86028841685004</v>
      </c>
      <c r="N924" s="116">
        <v>613.88082115092095</v>
      </c>
      <c r="O924" s="116">
        <v>601.47343485930401</v>
      </c>
      <c r="P924" s="116">
        <v>607.24373626837905</v>
      </c>
      <c r="Q924" s="116">
        <v>1217.1500000000001</v>
      </c>
      <c r="R924">
        <v>7616412</v>
      </c>
    </row>
    <row r="925" spans="1:18" x14ac:dyDescent="0.25">
      <c r="A925" s="170">
        <v>43362</v>
      </c>
      <c r="B925" s="116">
        <v>607.71702942915101</v>
      </c>
      <c r="C925" s="116">
        <v>599.44573815656099</v>
      </c>
      <c r="D925" s="116">
        <v>594.93862734335403</v>
      </c>
      <c r="E925" s="116">
        <v>606.72645562405</v>
      </c>
      <c r="F925" s="116">
        <v>1210.3</v>
      </c>
      <c r="G925">
        <v>861320</v>
      </c>
      <c r="H925" s="116"/>
      <c r="I925" s="116"/>
      <c r="L925" s="170">
        <v>43362</v>
      </c>
      <c r="M925" s="116">
        <v>599.69033742817305</v>
      </c>
      <c r="N925" s="116">
        <v>606.25312658441806</v>
      </c>
      <c r="O925" s="116">
        <v>594.86111521886096</v>
      </c>
      <c r="P925" s="116">
        <v>606.25312658441806</v>
      </c>
      <c r="Q925" s="116">
        <v>1210.75</v>
      </c>
      <c r="R925">
        <v>11265786</v>
      </c>
    </row>
    <row r="926" spans="1:18" x14ac:dyDescent="0.25">
      <c r="A926" s="170">
        <v>43364</v>
      </c>
      <c r="B926" s="116">
        <v>612.71942714490797</v>
      </c>
      <c r="C926" s="116">
        <v>602.68986736826503</v>
      </c>
      <c r="D926" s="116">
        <v>586.02346309744996</v>
      </c>
      <c r="E926" s="116">
        <v>604.274785456426</v>
      </c>
      <c r="F926" s="116">
        <v>1216.8499999999999</v>
      </c>
      <c r="G926">
        <v>566364</v>
      </c>
      <c r="H926" s="116"/>
      <c r="I926" s="116"/>
      <c r="L926" s="170">
        <v>43364</v>
      </c>
      <c r="M926" s="116">
        <v>603.03364511154302</v>
      </c>
      <c r="N926" s="116">
        <v>612.89021146695995</v>
      </c>
      <c r="O926" s="116">
        <v>586.193280484198</v>
      </c>
      <c r="P926" s="116">
        <v>603.77660237451403</v>
      </c>
      <c r="Q926" s="116">
        <v>1217.5</v>
      </c>
      <c r="R926">
        <v>19070172</v>
      </c>
    </row>
    <row r="927" spans="1:18" x14ac:dyDescent="0.25">
      <c r="A927" s="170">
        <v>43367</v>
      </c>
      <c r="B927" s="116">
        <v>614.10623047204899</v>
      </c>
      <c r="C927" s="116">
        <v>610.34205001266696</v>
      </c>
      <c r="D927" s="116">
        <v>596.44925239613201</v>
      </c>
      <c r="E927" s="116">
        <v>602.26887350109803</v>
      </c>
      <c r="F927" s="116">
        <v>1232.3</v>
      </c>
      <c r="G927">
        <v>451884</v>
      </c>
      <c r="H927" s="116"/>
      <c r="I927" s="116"/>
      <c r="L927" s="170">
        <v>43367</v>
      </c>
      <c r="M927" s="116">
        <v>610.24033056236306</v>
      </c>
      <c r="N927" s="116">
        <v>614.12847357191197</v>
      </c>
      <c r="O927" s="116">
        <v>596.59468216579398</v>
      </c>
      <c r="P927" s="116">
        <v>601.52296534350205</v>
      </c>
      <c r="Q927" s="116">
        <v>1232.05</v>
      </c>
      <c r="R927">
        <v>10102589</v>
      </c>
    </row>
    <row r="928" spans="1:18" x14ac:dyDescent="0.25">
      <c r="A928" s="170">
        <v>43368</v>
      </c>
      <c r="B928" s="116">
        <v>616.58266498479998</v>
      </c>
      <c r="C928" s="116">
        <v>609.50006227833103</v>
      </c>
      <c r="D928" s="116">
        <v>592.23931372445497</v>
      </c>
      <c r="E928" s="116">
        <v>610.83733691521695</v>
      </c>
      <c r="F928" s="116">
        <v>1230.5999999999999</v>
      </c>
      <c r="G928">
        <v>396784</v>
      </c>
      <c r="H928" s="116"/>
      <c r="I928" s="116"/>
      <c r="L928" s="170">
        <v>43368</v>
      </c>
      <c r="M928" s="116">
        <v>609.52213854149102</v>
      </c>
      <c r="N928" s="116">
        <v>616.65452826601302</v>
      </c>
      <c r="O928" s="116">
        <v>591.88928616697604</v>
      </c>
      <c r="P928" s="116">
        <v>611.94913226719598</v>
      </c>
      <c r="Q928" s="116">
        <v>1230.5999999999999</v>
      </c>
      <c r="R928">
        <v>9715020</v>
      </c>
    </row>
    <row r="929" spans="1:18" x14ac:dyDescent="0.25">
      <c r="A929" s="170">
        <v>43369</v>
      </c>
      <c r="B929" s="116">
        <v>621.13930448826204</v>
      </c>
      <c r="C929" s="116">
        <v>619.97538026726897</v>
      </c>
      <c r="D929" s="116">
        <v>607.61797204864001</v>
      </c>
      <c r="E929" s="116">
        <v>611.77838203006297</v>
      </c>
      <c r="F929" s="116">
        <v>1251.75</v>
      </c>
      <c r="G929">
        <v>337685</v>
      </c>
      <c r="H929" s="116"/>
      <c r="I929" s="116"/>
      <c r="L929" s="170">
        <v>43369</v>
      </c>
      <c r="M929" s="116">
        <v>619.82447925469</v>
      </c>
      <c r="N929" s="116">
        <v>621.08750660174098</v>
      </c>
      <c r="O929" s="116">
        <v>607.81333683665696</v>
      </c>
      <c r="P929" s="116">
        <v>613.682699214129</v>
      </c>
      <c r="Q929" s="116">
        <v>1251.4000000000001</v>
      </c>
      <c r="R929">
        <v>6396828</v>
      </c>
    </row>
    <row r="930" spans="1:18" x14ac:dyDescent="0.25">
      <c r="A930" s="170">
        <v>43370</v>
      </c>
      <c r="B930" s="116">
        <v>625.67117964659701</v>
      </c>
      <c r="C930" s="116">
        <v>620.54496020520196</v>
      </c>
      <c r="D930" s="116">
        <v>613.46235749873301</v>
      </c>
      <c r="E930" s="116">
        <v>623.96243983279896</v>
      </c>
      <c r="F930" s="116">
        <v>1252.9000000000001</v>
      </c>
      <c r="G930">
        <v>389427</v>
      </c>
      <c r="H930" s="116"/>
      <c r="I930" s="116"/>
      <c r="L930" s="170">
        <v>43370</v>
      </c>
      <c r="M930" s="116">
        <v>620.98844563334501</v>
      </c>
      <c r="N930" s="116">
        <v>625.57001542166597</v>
      </c>
      <c r="O930" s="116">
        <v>612.939741951158</v>
      </c>
      <c r="P930" s="116">
        <v>621.60757668582096</v>
      </c>
      <c r="Q930" s="116">
        <v>1253.75</v>
      </c>
      <c r="R930">
        <v>10808749</v>
      </c>
    </row>
    <row r="931" spans="1:18" x14ac:dyDescent="0.25">
      <c r="A931" s="170">
        <v>43371</v>
      </c>
      <c r="B931" s="116">
        <v>629.559181831616</v>
      </c>
      <c r="C931" s="116">
        <v>623.16998078871802</v>
      </c>
      <c r="D931" s="116">
        <v>617.94470396681299</v>
      </c>
      <c r="E931" s="116">
        <v>624.06149721330905</v>
      </c>
      <c r="F931" s="116">
        <v>1258.2</v>
      </c>
      <c r="G931">
        <v>648062</v>
      </c>
      <c r="H931" s="116"/>
      <c r="I931" s="116"/>
      <c r="L931" s="170">
        <v>43371</v>
      </c>
      <c r="M931" s="116">
        <v>623.068725969664</v>
      </c>
      <c r="N931" s="116">
        <v>629.879167546899</v>
      </c>
      <c r="O931" s="116">
        <v>617.79372940256906</v>
      </c>
      <c r="P931" s="116">
        <v>624.03457041152603</v>
      </c>
      <c r="Q931" s="116">
        <v>1257.95</v>
      </c>
      <c r="R931">
        <v>11073023</v>
      </c>
    </row>
    <row r="932" spans="1:18" x14ac:dyDescent="0.25">
      <c r="A932" s="170">
        <v>43374</v>
      </c>
      <c r="B932" s="116">
        <v>624.06149721330905</v>
      </c>
      <c r="C932" s="116">
        <v>609.97058483575404</v>
      </c>
      <c r="D932" s="116">
        <v>596.47401674126002</v>
      </c>
      <c r="E932" s="116">
        <v>623.16998078871802</v>
      </c>
      <c r="F932" s="116">
        <v>1231.55</v>
      </c>
      <c r="G932">
        <v>366797</v>
      </c>
      <c r="H932" s="116"/>
      <c r="I932" s="116"/>
      <c r="L932" s="170">
        <v>43374</v>
      </c>
      <c r="M932" s="116">
        <v>610.06697386766996</v>
      </c>
      <c r="N932" s="116">
        <v>622.94489975916804</v>
      </c>
      <c r="O932" s="116">
        <v>596.34702974480297</v>
      </c>
      <c r="P932" s="116">
        <v>622.94489975916804</v>
      </c>
      <c r="Q932" s="116">
        <v>1231.7</v>
      </c>
      <c r="R932">
        <v>7332693</v>
      </c>
    </row>
    <row r="933" spans="1:18" x14ac:dyDescent="0.25">
      <c r="A933" s="170">
        <v>43376</v>
      </c>
      <c r="B933" s="116">
        <v>614.031937436666</v>
      </c>
      <c r="C933" s="116">
        <v>596.96930364381001</v>
      </c>
      <c r="D933" s="116">
        <v>593.70041008697899</v>
      </c>
      <c r="E933" s="116">
        <v>610.73827953470698</v>
      </c>
      <c r="F933" s="116">
        <v>1205.3</v>
      </c>
      <c r="G933">
        <v>430421</v>
      </c>
      <c r="H933" s="116"/>
      <c r="I933" s="116"/>
      <c r="L933" s="170">
        <v>43376</v>
      </c>
      <c r="M933" s="116">
        <v>596.89186507098202</v>
      </c>
      <c r="N933" s="116">
        <v>613.97988211931704</v>
      </c>
      <c r="O933" s="116">
        <v>594.39057561897903</v>
      </c>
      <c r="P933" s="116">
        <v>608.97730321531196</v>
      </c>
      <c r="Q933" s="116">
        <v>1205.0999999999999</v>
      </c>
      <c r="R933">
        <v>7376575</v>
      </c>
    </row>
    <row r="934" spans="1:18" x14ac:dyDescent="0.25">
      <c r="A934" s="170">
        <v>43377</v>
      </c>
      <c r="B934" s="116">
        <v>593.84899615774395</v>
      </c>
      <c r="C934" s="116">
        <v>554.99373865267705</v>
      </c>
      <c r="D934" s="116">
        <v>547.31679166314802</v>
      </c>
      <c r="E934" s="116">
        <v>593.84899615774395</v>
      </c>
      <c r="F934" s="116">
        <v>1120.55</v>
      </c>
      <c r="G934">
        <v>1482416</v>
      </c>
      <c r="H934" s="116"/>
      <c r="I934" s="116"/>
      <c r="L934" s="170">
        <v>43377</v>
      </c>
      <c r="M934" s="116">
        <v>555.85585891287803</v>
      </c>
      <c r="N934" s="116">
        <v>589.61088389386498</v>
      </c>
      <c r="O934" s="116">
        <v>547.80715523069102</v>
      </c>
      <c r="P934" s="116">
        <v>589.16510953608201</v>
      </c>
      <c r="Q934" s="116">
        <v>1122.25</v>
      </c>
      <c r="R934">
        <v>23212443</v>
      </c>
    </row>
    <row r="935" spans="1:18" x14ac:dyDescent="0.25">
      <c r="A935" s="170">
        <v>43378</v>
      </c>
      <c r="B935" s="116">
        <v>552.51730413992595</v>
      </c>
      <c r="C935" s="116">
        <v>519.97695464237495</v>
      </c>
      <c r="D935" s="116">
        <v>514.87549954610699</v>
      </c>
      <c r="E935" s="116">
        <v>546.10333875189997</v>
      </c>
      <c r="F935" s="116">
        <v>1049.8499999999999</v>
      </c>
      <c r="G935">
        <v>1164483</v>
      </c>
      <c r="H935" s="116"/>
      <c r="I935" s="116"/>
      <c r="L935" s="170">
        <v>43378</v>
      </c>
      <c r="M935" s="116">
        <v>519.50048351149201</v>
      </c>
      <c r="N935" s="116">
        <v>552.41349026111197</v>
      </c>
      <c r="O935" s="116">
        <v>514.20072170229901</v>
      </c>
      <c r="P935" s="116">
        <v>544.58767375781599</v>
      </c>
      <c r="Q935" s="116">
        <v>1048.8499999999999</v>
      </c>
      <c r="R935">
        <v>21943190</v>
      </c>
    </row>
    <row r="936" spans="1:18" x14ac:dyDescent="0.25">
      <c r="A936" s="170">
        <v>43381</v>
      </c>
      <c r="B936" s="116">
        <v>552.41824675941598</v>
      </c>
      <c r="C936" s="116">
        <v>548.75312368054404</v>
      </c>
      <c r="D936" s="116">
        <v>507.76813249451101</v>
      </c>
      <c r="E936" s="116">
        <v>519.48166773982405</v>
      </c>
      <c r="F936" s="116">
        <v>1107.95</v>
      </c>
      <c r="G936">
        <v>1330634</v>
      </c>
      <c r="H936" s="116"/>
      <c r="I936" s="116"/>
      <c r="L936" s="170">
        <v>43381</v>
      </c>
      <c r="M936" s="116">
        <v>549.491191693426</v>
      </c>
      <c r="N936" s="116">
        <v>553.25550849247895</v>
      </c>
      <c r="O936" s="116">
        <v>507.95988069334101</v>
      </c>
      <c r="P936" s="116">
        <v>520.07008407977003</v>
      </c>
      <c r="Q936" s="116">
        <v>1109.4000000000001</v>
      </c>
      <c r="R936">
        <v>24679428</v>
      </c>
    </row>
    <row r="937" spans="1:18" x14ac:dyDescent="0.25">
      <c r="A937" s="170">
        <v>43382</v>
      </c>
      <c r="B937" s="116">
        <v>556.45483501520005</v>
      </c>
      <c r="C937" s="116">
        <v>540.06083854078702</v>
      </c>
      <c r="D937" s="116">
        <v>535.28131993117699</v>
      </c>
      <c r="E937" s="116">
        <v>555.26614644908</v>
      </c>
      <c r="F937" s="116">
        <v>1090.4000000000001</v>
      </c>
      <c r="G937">
        <v>620130</v>
      </c>
      <c r="H937" s="116"/>
      <c r="I937" s="116"/>
      <c r="L937" s="170">
        <v>43382</v>
      </c>
      <c r="M937" s="116">
        <v>539.90704300109803</v>
      </c>
      <c r="N937" s="116">
        <v>556.37592899695801</v>
      </c>
      <c r="O937" s="116">
        <v>535.52359514956902</v>
      </c>
      <c r="P937" s="116">
        <v>555.55867600769</v>
      </c>
      <c r="Q937" s="116">
        <v>1090.05</v>
      </c>
      <c r="R937">
        <v>10991196</v>
      </c>
    </row>
    <row r="938" spans="1:18" x14ac:dyDescent="0.25">
      <c r="A938" s="170">
        <v>43383</v>
      </c>
      <c r="B938" s="116">
        <v>552.09631027275805</v>
      </c>
      <c r="C938" s="116">
        <v>545.97951702626199</v>
      </c>
      <c r="D938" s="116">
        <v>537.43581795727096</v>
      </c>
      <c r="E938" s="116">
        <v>542.33915829251805</v>
      </c>
      <c r="F938" s="116">
        <v>1102.3499999999999</v>
      </c>
      <c r="G938">
        <v>404719</v>
      </c>
      <c r="H938" s="116"/>
      <c r="I938" s="116"/>
      <c r="L938" s="170">
        <v>43383</v>
      </c>
      <c r="M938" s="116">
        <v>545.87546634696605</v>
      </c>
      <c r="N938" s="116">
        <v>552.68590792420105</v>
      </c>
      <c r="O938" s="116">
        <v>537.05904015970896</v>
      </c>
      <c r="P938" s="116">
        <v>541.81396664272404</v>
      </c>
      <c r="Q938" s="116">
        <v>1102.0999999999999</v>
      </c>
      <c r="R938">
        <v>9502176</v>
      </c>
    </row>
    <row r="939" spans="1:18" x14ac:dyDescent="0.25">
      <c r="A939" s="170">
        <v>43384</v>
      </c>
      <c r="B939" s="116">
        <v>551.94772420199297</v>
      </c>
      <c r="C939" s="116">
        <v>539.46649425772705</v>
      </c>
      <c r="D939" s="116">
        <v>516.60900370503305</v>
      </c>
      <c r="E939" s="116">
        <v>528.86735454315203</v>
      </c>
      <c r="F939" s="116">
        <v>1089.2</v>
      </c>
      <c r="G939">
        <v>765397</v>
      </c>
      <c r="H939" s="116"/>
      <c r="I939" s="116"/>
      <c r="L939" s="170">
        <v>43384</v>
      </c>
      <c r="M939" s="116">
        <v>538.79260710664198</v>
      </c>
      <c r="N939" s="116">
        <v>552.14107259802302</v>
      </c>
      <c r="O939" s="116">
        <v>516.602950185905</v>
      </c>
      <c r="P939" s="116">
        <v>527.00435186749996</v>
      </c>
      <c r="Q939" s="116">
        <v>1087.8</v>
      </c>
      <c r="R939">
        <v>13224172</v>
      </c>
    </row>
    <row r="940" spans="1:18" x14ac:dyDescent="0.25">
      <c r="A940" s="170">
        <v>43385</v>
      </c>
      <c r="B940" s="116">
        <v>559.17891297922699</v>
      </c>
      <c r="C940" s="116">
        <v>557.89116703259594</v>
      </c>
      <c r="D940" s="116">
        <v>545.80616661037004</v>
      </c>
      <c r="E940" s="116">
        <v>546.05381006164498</v>
      </c>
      <c r="F940" s="116">
        <v>1126.4000000000001</v>
      </c>
      <c r="G940">
        <v>446104</v>
      </c>
      <c r="H940" s="116"/>
      <c r="I940" s="116"/>
      <c r="L940" s="170">
        <v>43385</v>
      </c>
      <c r="M940" s="116">
        <v>557.98566973339496</v>
      </c>
      <c r="N940" s="116">
        <v>559.19916659624801</v>
      </c>
      <c r="O940" s="116">
        <v>545.77640537856996</v>
      </c>
      <c r="P940" s="116">
        <v>547.28708514661196</v>
      </c>
      <c r="Q940" s="116">
        <v>1126.55</v>
      </c>
      <c r="R940">
        <v>9058536</v>
      </c>
    </row>
    <row r="941" spans="1:18" x14ac:dyDescent="0.25">
      <c r="A941" s="170">
        <v>43388</v>
      </c>
      <c r="B941" s="116">
        <v>567.77214073847301</v>
      </c>
      <c r="C941" s="116">
        <v>564.52801152676898</v>
      </c>
      <c r="D941" s="116">
        <v>554.34986567936198</v>
      </c>
      <c r="E941" s="116">
        <v>561.30864666019295</v>
      </c>
      <c r="F941" s="116">
        <v>1139.8</v>
      </c>
      <c r="G941">
        <v>397762</v>
      </c>
      <c r="H941" s="116"/>
      <c r="I941" s="116"/>
      <c r="L941" s="170">
        <v>43388</v>
      </c>
      <c r="M941" s="116">
        <v>564.52369364754099</v>
      </c>
      <c r="N941" s="116">
        <v>568.06512326770303</v>
      </c>
      <c r="O941" s="116">
        <v>553.82510906075697</v>
      </c>
      <c r="P941" s="116">
        <v>559.64494095403097</v>
      </c>
      <c r="Q941" s="116">
        <v>1139.75</v>
      </c>
      <c r="R941">
        <v>8871776</v>
      </c>
    </row>
    <row r="942" spans="1:18" x14ac:dyDescent="0.25">
      <c r="A942" s="170">
        <v>43389</v>
      </c>
      <c r="B942" s="116">
        <v>578.49510217868601</v>
      </c>
      <c r="C942" s="116">
        <v>576.34060415259296</v>
      </c>
      <c r="D942" s="116">
        <v>565.02329842931897</v>
      </c>
      <c r="E942" s="116">
        <v>567.67308335796304</v>
      </c>
      <c r="F942" s="116">
        <v>1163.6500000000001</v>
      </c>
      <c r="G942">
        <v>464449</v>
      </c>
      <c r="H942" s="116"/>
      <c r="I942" s="116"/>
      <c r="L942" s="170">
        <v>43389</v>
      </c>
      <c r="M942" s="116">
        <v>576.43577509717795</v>
      </c>
      <c r="N942" s="116">
        <v>578.218872528308</v>
      </c>
      <c r="O942" s="116">
        <v>564.64751985803605</v>
      </c>
      <c r="P942" s="116">
        <v>567.61934890992097</v>
      </c>
      <c r="Q942" s="116">
        <v>1163.8</v>
      </c>
      <c r="R942">
        <v>7478601</v>
      </c>
    </row>
    <row r="943" spans="1:18" x14ac:dyDescent="0.25">
      <c r="A943" s="170">
        <v>43390</v>
      </c>
      <c r="B943" s="116">
        <v>584.909067566712</v>
      </c>
      <c r="C943" s="116">
        <v>569.03512233997697</v>
      </c>
      <c r="D943" s="116">
        <v>565.12235580982997</v>
      </c>
      <c r="E943" s="116">
        <v>584.43854500928899</v>
      </c>
      <c r="F943" s="116">
        <v>1148.9000000000001</v>
      </c>
      <c r="G943">
        <v>1452993</v>
      </c>
      <c r="H943" s="116"/>
      <c r="I943" s="116"/>
      <c r="L943" s="170">
        <v>43390</v>
      </c>
      <c r="M943" s="116">
        <v>570.244464572418</v>
      </c>
      <c r="N943" s="116">
        <v>584.13776538997797</v>
      </c>
      <c r="O943" s="116">
        <v>564.64751985803605</v>
      </c>
      <c r="P943" s="116">
        <v>583.96440869528499</v>
      </c>
      <c r="Q943" s="116">
        <v>1151.3</v>
      </c>
      <c r="R943">
        <v>12785646</v>
      </c>
    </row>
    <row r="944" spans="1:18" x14ac:dyDescent="0.25">
      <c r="A944" s="170">
        <v>43392</v>
      </c>
      <c r="B944" s="116">
        <v>549.76846183077203</v>
      </c>
      <c r="C944" s="116">
        <v>545.63281619447696</v>
      </c>
      <c r="D944" s="116">
        <v>531.51713947179496</v>
      </c>
      <c r="E944" s="116">
        <v>546.74721172521504</v>
      </c>
      <c r="F944" s="116">
        <v>1101.6500000000001</v>
      </c>
      <c r="G944">
        <v>1461537</v>
      </c>
      <c r="H944" s="116"/>
      <c r="I944" s="116"/>
      <c r="L944" s="170">
        <v>43392</v>
      </c>
      <c r="M944" s="116">
        <v>545.47922247338204</v>
      </c>
      <c r="N944" s="116">
        <v>550.28367944059505</v>
      </c>
      <c r="O944" s="116">
        <v>530.10000712988005</v>
      </c>
      <c r="P944" s="116">
        <v>544.83532617880701</v>
      </c>
      <c r="Q944" s="116">
        <v>1101.3</v>
      </c>
      <c r="R944">
        <v>25421229</v>
      </c>
    </row>
    <row r="945" spans="1:18" x14ac:dyDescent="0.25">
      <c r="A945" s="170">
        <v>43395</v>
      </c>
      <c r="B945" s="116">
        <v>552.14583896301303</v>
      </c>
      <c r="C945" s="116">
        <v>526.21756961450797</v>
      </c>
      <c r="D945" s="116">
        <v>523.69160641150097</v>
      </c>
      <c r="E945" s="116">
        <v>550.26374873332202</v>
      </c>
      <c r="F945" s="116">
        <v>1062.45</v>
      </c>
      <c r="G945">
        <v>646574</v>
      </c>
      <c r="H945" s="116"/>
      <c r="I945" s="116"/>
      <c r="L945" s="170">
        <v>43395</v>
      </c>
      <c r="M945" s="116">
        <v>526.33569033082699</v>
      </c>
      <c r="N945" s="116">
        <v>552.16583784012198</v>
      </c>
      <c r="O945" s="116">
        <v>523.71057466832804</v>
      </c>
      <c r="P945" s="116">
        <v>549.78837459861404</v>
      </c>
      <c r="Q945" s="116">
        <v>1062.6500000000001</v>
      </c>
      <c r="R945">
        <v>13165542</v>
      </c>
    </row>
    <row r="946" spans="1:18" x14ac:dyDescent="0.25">
      <c r="A946" s="170">
        <v>43396</v>
      </c>
      <c r="B946" s="116">
        <v>527.23290776473596</v>
      </c>
      <c r="C946" s="116">
        <v>521.33899362438797</v>
      </c>
      <c r="D946" s="116">
        <v>516.93094019169098</v>
      </c>
      <c r="E946" s="116">
        <v>521.53710838540803</v>
      </c>
      <c r="F946" s="116">
        <v>1052.5999999999999</v>
      </c>
      <c r="G946">
        <v>527427</v>
      </c>
      <c r="H946" s="116"/>
      <c r="I946" s="116"/>
      <c r="L946" s="170">
        <v>43396</v>
      </c>
      <c r="M946" s="116">
        <v>522.39801683708004</v>
      </c>
      <c r="N946" s="116">
        <v>527.35106525688695</v>
      </c>
      <c r="O946" s="116">
        <v>516.92489833319303</v>
      </c>
      <c r="P946" s="116">
        <v>521.43217239521698</v>
      </c>
      <c r="Q946" s="116">
        <v>1054.7</v>
      </c>
      <c r="R946">
        <v>10573730</v>
      </c>
    </row>
    <row r="947" spans="1:18" x14ac:dyDescent="0.25">
      <c r="A947" s="170">
        <v>43397</v>
      </c>
      <c r="B947" s="116">
        <v>532.40865589638599</v>
      </c>
      <c r="C947" s="116">
        <v>518.36727220908597</v>
      </c>
      <c r="D947" s="116">
        <v>510.64079652930297</v>
      </c>
      <c r="E947" s="116">
        <v>531.93813333896298</v>
      </c>
      <c r="F947" s="116">
        <v>1046.5999999999999</v>
      </c>
      <c r="G947">
        <v>584557</v>
      </c>
      <c r="H947" s="116"/>
      <c r="I947" s="116"/>
      <c r="L947" s="170">
        <v>43397</v>
      </c>
      <c r="M947" s="116">
        <v>517.96503850135196</v>
      </c>
      <c r="N947" s="116">
        <v>532.92324472917005</v>
      </c>
      <c r="O947" s="116">
        <v>510.85741401892898</v>
      </c>
      <c r="P947" s="116">
        <v>532.40317464509098</v>
      </c>
      <c r="Q947" s="116">
        <v>1045.75</v>
      </c>
      <c r="R947">
        <v>13655337</v>
      </c>
    </row>
    <row r="948" spans="1:18" x14ac:dyDescent="0.25">
      <c r="A948" s="170">
        <v>43398</v>
      </c>
      <c r="B948" s="116">
        <v>515.12314299738205</v>
      </c>
      <c r="C948" s="116">
        <v>510.24456700726199</v>
      </c>
      <c r="D948" s="116">
        <v>503.70677989359899</v>
      </c>
      <c r="E948" s="116">
        <v>513.11723104205396</v>
      </c>
      <c r="F948" s="116">
        <v>1030.2</v>
      </c>
      <c r="G948">
        <v>704437</v>
      </c>
      <c r="H948" s="116"/>
      <c r="I948" s="116"/>
      <c r="L948" s="170">
        <v>43398</v>
      </c>
      <c r="M948" s="116">
        <v>510.56023111373997</v>
      </c>
      <c r="N948" s="116">
        <v>515.43898380725</v>
      </c>
      <c r="O948" s="116">
        <v>503.42784138921797</v>
      </c>
      <c r="P948" s="116">
        <v>513.13581629203998</v>
      </c>
      <c r="Q948" s="116">
        <v>1030.8</v>
      </c>
      <c r="R948">
        <v>14096237</v>
      </c>
    </row>
    <row r="949" spans="1:18" x14ac:dyDescent="0.25">
      <c r="A949" s="170">
        <v>43399</v>
      </c>
      <c r="B949" s="116">
        <v>523.39443426997104</v>
      </c>
      <c r="C949" s="116">
        <v>517.42622709424097</v>
      </c>
      <c r="D949" s="116">
        <v>506.25750744173303</v>
      </c>
      <c r="E949" s="116">
        <v>515.09837865225495</v>
      </c>
      <c r="F949" s="116">
        <v>1044.7</v>
      </c>
      <c r="G949">
        <v>647855</v>
      </c>
      <c r="H949" s="116"/>
      <c r="I949" s="116"/>
      <c r="L949" s="170">
        <v>43399</v>
      </c>
      <c r="M949" s="116">
        <v>517.54402938566898</v>
      </c>
      <c r="N949" s="116">
        <v>523.53721797363505</v>
      </c>
      <c r="O949" s="116">
        <v>506.20154850430998</v>
      </c>
      <c r="P949" s="116">
        <v>511.60037128189998</v>
      </c>
      <c r="Q949" s="116">
        <v>1044.9000000000001</v>
      </c>
      <c r="R949">
        <v>9182613</v>
      </c>
    </row>
    <row r="950" spans="1:18" x14ac:dyDescent="0.25">
      <c r="A950" s="170">
        <v>43402</v>
      </c>
      <c r="B950" s="116">
        <v>541.42287752280004</v>
      </c>
      <c r="C950" s="116">
        <v>538.87214997466697</v>
      </c>
      <c r="D950" s="116">
        <v>518.56538697010603</v>
      </c>
      <c r="E950" s="116">
        <v>518.91208780189197</v>
      </c>
      <c r="F950" s="116">
        <v>1088</v>
      </c>
      <c r="G950">
        <v>535561</v>
      </c>
      <c r="H950" s="116"/>
      <c r="I950" s="116"/>
      <c r="L950" s="170">
        <v>43402</v>
      </c>
      <c r="M950" s="116">
        <v>538.79260710664198</v>
      </c>
      <c r="N950" s="116">
        <v>541.78920140062496</v>
      </c>
      <c r="O950" s="116">
        <v>518.08886471184701</v>
      </c>
      <c r="P950" s="116">
        <v>518.08886471184701</v>
      </c>
      <c r="Q950" s="116">
        <v>1087.8</v>
      </c>
      <c r="R950">
        <v>7671807</v>
      </c>
    </row>
    <row r="951" spans="1:18" x14ac:dyDescent="0.25">
      <c r="A951" s="170">
        <v>43403</v>
      </c>
      <c r="B951" s="116">
        <v>538.59974217826402</v>
      </c>
      <c r="C951" s="116">
        <v>523.59254903099099</v>
      </c>
      <c r="D951" s="116">
        <v>521.04182148285804</v>
      </c>
      <c r="E951" s="116">
        <v>538.59974217826402</v>
      </c>
      <c r="F951" s="116">
        <v>1057.1500000000001</v>
      </c>
      <c r="G951">
        <v>558189</v>
      </c>
      <c r="H951" s="116"/>
      <c r="I951" s="116"/>
      <c r="L951" s="170">
        <v>43403</v>
      </c>
      <c r="M951" s="116">
        <v>523.53721797363505</v>
      </c>
      <c r="N951" s="116">
        <v>537.65340597008606</v>
      </c>
      <c r="O951" s="116">
        <v>521.11022424792998</v>
      </c>
      <c r="P951" s="116">
        <v>537.65340597008606</v>
      </c>
      <c r="Q951" s="116">
        <v>1057</v>
      </c>
      <c r="R951">
        <v>8806701</v>
      </c>
    </row>
    <row r="952" spans="1:18" x14ac:dyDescent="0.25">
      <c r="A952" s="170">
        <v>43404</v>
      </c>
      <c r="B952" s="116">
        <v>527.82725204779604</v>
      </c>
      <c r="C952" s="116">
        <v>525.69751836682997</v>
      </c>
      <c r="D952" s="116">
        <v>518.88732345676397</v>
      </c>
      <c r="E952" s="116">
        <v>527.33196514524604</v>
      </c>
      <c r="F952" s="116">
        <v>1061.4000000000001</v>
      </c>
      <c r="G952">
        <v>3153168</v>
      </c>
      <c r="H952" s="116"/>
      <c r="I952" s="116"/>
      <c r="L952" s="170">
        <v>43404</v>
      </c>
      <c r="M952" s="116">
        <v>525.64226355205301</v>
      </c>
      <c r="N952" s="116">
        <v>527.92066582516497</v>
      </c>
      <c r="O952" s="116">
        <v>518.58416955382802</v>
      </c>
      <c r="P952" s="116">
        <v>524.52782765759696</v>
      </c>
      <c r="Q952" s="116">
        <v>1061.25</v>
      </c>
      <c r="R952">
        <v>16457691</v>
      </c>
    </row>
    <row r="953" spans="1:18" x14ac:dyDescent="0.25">
      <c r="A953" s="170">
        <v>43405</v>
      </c>
      <c r="B953" s="116">
        <v>529.36264144570202</v>
      </c>
      <c r="C953" s="116">
        <v>523.46872730535404</v>
      </c>
      <c r="D953" s="116">
        <v>520.199833748522</v>
      </c>
      <c r="E953" s="116">
        <v>528.17395287958095</v>
      </c>
      <c r="F953" s="116">
        <v>1056.9000000000001</v>
      </c>
      <c r="G953">
        <v>393976</v>
      </c>
      <c r="H953" s="116"/>
      <c r="I953" s="116"/>
      <c r="L953" s="170">
        <v>43405</v>
      </c>
      <c r="M953" s="116">
        <v>523.16573934215</v>
      </c>
      <c r="N953" s="116">
        <v>528.93604075122505</v>
      </c>
      <c r="O953" s="116">
        <v>520.07008407977003</v>
      </c>
      <c r="P953" s="116">
        <v>528.93604075122505</v>
      </c>
      <c r="Q953" s="116">
        <v>1056.25</v>
      </c>
      <c r="R953">
        <v>9396027</v>
      </c>
    </row>
    <row r="954" spans="1:18" x14ac:dyDescent="0.25">
      <c r="A954" s="170">
        <v>43406</v>
      </c>
      <c r="B954" s="116">
        <v>535.40514165681498</v>
      </c>
      <c r="C954" s="116">
        <v>532.06195506460097</v>
      </c>
      <c r="D954" s="116">
        <v>526.48997741091</v>
      </c>
      <c r="E954" s="116">
        <v>528.86735454315203</v>
      </c>
      <c r="F954" s="116">
        <v>1074.25</v>
      </c>
      <c r="G954">
        <v>4308094</v>
      </c>
      <c r="H954" s="116"/>
      <c r="I954" s="116"/>
      <c r="L954" s="170">
        <v>43406</v>
      </c>
      <c r="M954" s="116">
        <v>532.40317464509098</v>
      </c>
      <c r="N954" s="116">
        <v>535.42453418117304</v>
      </c>
      <c r="O954" s="116">
        <v>526.58334275181699</v>
      </c>
      <c r="P954" s="116">
        <v>528.49026639344299</v>
      </c>
      <c r="Q954" s="116">
        <v>1074.9000000000001</v>
      </c>
      <c r="R954">
        <v>16796200</v>
      </c>
    </row>
    <row r="955" spans="1:18" x14ac:dyDescent="0.25">
      <c r="A955" s="170">
        <v>43409</v>
      </c>
      <c r="B955" s="116">
        <v>541.596227938693</v>
      </c>
      <c r="C955" s="116">
        <v>539.144557771069</v>
      </c>
      <c r="D955" s="116">
        <v>527.23290776473596</v>
      </c>
      <c r="E955" s="116">
        <v>531.93813333896298</v>
      </c>
      <c r="F955" s="116">
        <v>1088.55</v>
      </c>
      <c r="G955">
        <v>5052059</v>
      </c>
      <c r="H955" s="116"/>
      <c r="I955" s="116"/>
      <c r="L955" s="170">
        <v>43409</v>
      </c>
      <c r="M955" s="116">
        <v>540.03086921159399</v>
      </c>
      <c r="N955" s="116">
        <v>541.21960083234796</v>
      </c>
      <c r="O955" s="116">
        <v>527.49965670948097</v>
      </c>
      <c r="P955" s="116">
        <v>531.68498262421804</v>
      </c>
      <c r="Q955" s="116">
        <v>1090.3</v>
      </c>
      <c r="R955">
        <v>7582518</v>
      </c>
    </row>
    <row r="956" spans="1:18" x14ac:dyDescent="0.25">
      <c r="A956" s="170">
        <v>43410</v>
      </c>
      <c r="B956" s="116">
        <v>550.73427129074503</v>
      </c>
      <c r="C956" s="116">
        <v>546.52433261906799</v>
      </c>
      <c r="D956" s="116">
        <v>541.37334883254505</v>
      </c>
      <c r="E956" s="116">
        <v>541.99245746073302</v>
      </c>
      <c r="F956" s="116">
        <v>1103.45</v>
      </c>
      <c r="G956">
        <v>661149</v>
      </c>
      <c r="H956" s="116"/>
      <c r="I956" s="116"/>
      <c r="L956" s="170">
        <v>43410</v>
      </c>
      <c r="M956" s="116">
        <v>546.86607603092796</v>
      </c>
      <c r="N956" s="116">
        <v>550.77898428257595</v>
      </c>
      <c r="O956" s="116">
        <v>540.67476550616902</v>
      </c>
      <c r="P956" s="116">
        <v>541.86349712692197</v>
      </c>
      <c r="Q956" s="116">
        <v>1104.0999999999999</v>
      </c>
      <c r="R956">
        <v>8634266</v>
      </c>
    </row>
    <row r="957" spans="1:18" x14ac:dyDescent="0.25">
      <c r="A957" s="170">
        <v>43411</v>
      </c>
      <c r="B957" s="116">
        <v>553.23547014862402</v>
      </c>
      <c r="C957" s="116">
        <v>550.04086962717497</v>
      </c>
      <c r="D957" s="116">
        <v>548.08448636210096</v>
      </c>
      <c r="E957" s="116">
        <v>553.13641276811404</v>
      </c>
      <c r="F957" s="116">
        <v>1110.55</v>
      </c>
      <c r="G957">
        <v>99786</v>
      </c>
      <c r="H957" s="116"/>
      <c r="I957" s="116"/>
      <c r="L957" s="170">
        <v>43411</v>
      </c>
      <c r="M957" s="116">
        <v>550.13508798800103</v>
      </c>
      <c r="N957" s="116">
        <v>552.26489880851796</v>
      </c>
      <c r="O957" s="116">
        <v>548.15386862007801</v>
      </c>
      <c r="P957" s="116">
        <v>552.26489880851796</v>
      </c>
      <c r="Q957" s="116">
        <v>1110.7</v>
      </c>
      <c r="R957">
        <v>1283997</v>
      </c>
    </row>
    <row r="958" spans="1:18" x14ac:dyDescent="0.25">
      <c r="A958" s="170">
        <v>43413</v>
      </c>
      <c r="B958" s="116">
        <v>551.40290860918799</v>
      </c>
      <c r="C958" s="116">
        <v>541.52193490331001</v>
      </c>
      <c r="D958" s="116">
        <v>537.88157616956596</v>
      </c>
      <c r="E958" s="116">
        <v>547.78731422057103</v>
      </c>
      <c r="F958" s="116">
        <v>1093.3499999999999</v>
      </c>
      <c r="G958">
        <v>379720</v>
      </c>
      <c r="H958" s="116"/>
      <c r="I958" s="116"/>
      <c r="L958" s="170">
        <v>43413</v>
      </c>
      <c r="M958" s="116">
        <v>541.59107946383301</v>
      </c>
      <c r="N958" s="116">
        <v>551.67053299814097</v>
      </c>
      <c r="O958" s="116">
        <v>537.40575354909595</v>
      </c>
      <c r="P958" s="116">
        <v>547.93098144118596</v>
      </c>
      <c r="Q958" s="116">
        <v>1093.45</v>
      </c>
      <c r="R958">
        <v>10840462</v>
      </c>
    </row>
    <row r="959" spans="1:18" x14ac:dyDescent="0.25">
      <c r="A959" s="170">
        <v>43416</v>
      </c>
      <c r="B959" s="116">
        <v>544.84035715039704</v>
      </c>
      <c r="C959" s="116">
        <v>534.29074612607701</v>
      </c>
      <c r="D959" s="116">
        <v>532.08671940972795</v>
      </c>
      <c r="E959" s="116">
        <v>544.07266245144399</v>
      </c>
      <c r="F959" s="116">
        <v>1078.75</v>
      </c>
      <c r="G959">
        <v>259275</v>
      </c>
      <c r="H959" s="116"/>
      <c r="I959" s="116"/>
      <c r="L959" s="170">
        <v>43416</v>
      </c>
      <c r="M959" s="116">
        <v>534.92922933919203</v>
      </c>
      <c r="N959" s="116">
        <v>544.24096036843002</v>
      </c>
      <c r="O959" s="116">
        <v>532.22981795039698</v>
      </c>
      <c r="P959" s="116">
        <v>543.69612504225097</v>
      </c>
      <c r="Q959" s="116">
        <v>1080</v>
      </c>
      <c r="R959">
        <v>5801720</v>
      </c>
    </row>
    <row r="960" spans="1:18" x14ac:dyDescent="0.25">
      <c r="A960" s="170">
        <v>43417</v>
      </c>
      <c r="B960" s="116">
        <v>546.20239613240994</v>
      </c>
      <c r="C960" s="116">
        <v>544.59271369912199</v>
      </c>
      <c r="D960" s="116">
        <v>530.45227263131198</v>
      </c>
      <c r="E960" s="116">
        <v>532.879178453809</v>
      </c>
      <c r="F960" s="116">
        <v>1099.55</v>
      </c>
      <c r="G960">
        <v>363436</v>
      </c>
      <c r="H960" s="116"/>
      <c r="I960" s="116"/>
      <c r="L960" s="170">
        <v>43417</v>
      </c>
      <c r="M960" s="116">
        <v>544.56290851571703</v>
      </c>
      <c r="N960" s="116">
        <v>546.32124070474902</v>
      </c>
      <c r="O960" s="116">
        <v>530.00094616148397</v>
      </c>
      <c r="P960" s="116">
        <v>531.95740028730802</v>
      </c>
      <c r="Q960" s="116">
        <v>1099.45</v>
      </c>
      <c r="R960">
        <v>6811598</v>
      </c>
    </row>
    <row r="961" spans="1:18" x14ac:dyDescent="0.25">
      <c r="A961" s="170">
        <v>43418</v>
      </c>
      <c r="B961" s="116">
        <v>551.18002950304003</v>
      </c>
      <c r="C961" s="116">
        <v>542.88397388532303</v>
      </c>
      <c r="D961" s="116">
        <v>538.37686307211595</v>
      </c>
      <c r="E961" s="116">
        <v>547.29202731802104</v>
      </c>
      <c r="F961" s="116">
        <v>1096.0999999999999</v>
      </c>
      <c r="G961">
        <v>420083</v>
      </c>
      <c r="H961" s="116"/>
      <c r="I961" s="116"/>
      <c r="L961" s="170">
        <v>43418</v>
      </c>
      <c r="M961" s="116">
        <v>543.81995125274602</v>
      </c>
      <c r="N961" s="116">
        <v>551.10093242986295</v>
      </c>
      <c r="O961" s="116">
        <v>537.65340597008606</v>
      </c>
      <c r="P961" s="116">
        <v>547.33661563081</v>
      </c>
      <c r="Q961" s="116">
        <v>1097.95</v>
      </c>
      <c r="R961">
        <v>7787530</v>
      </c>
    </row>
    <row r="962" spans="1:18" x14ac:dyDescent="0.25">
      <c r="A962" s="170">
        <v>43419</v>
      </c>
      <c r="B962" s="116">
        <v>546.22716047753795</v>
      </c>
      <c r="C962" s="116">
        <v>543.28020340736396</v>
      </c>
      <c r="D962" s="116">
        <v>538.42639176237105</v>
      </c>
      <c r="E962" s="116">
        <v>542.83444519506895</v>
      </c>
      <c r="F962" s="116">
        <v>1096.9000000000001</v>
      </c>
      <c r="G962">
        <v>286257</v>
      </c>
      <c r="H962" s="116"/>
      <c r="I962" s="116"/>
      <c r="L962" s="170">
        <v>43419</v>
      </c>
      <c r="M962" s="116">
        <v>543.27511592656799</v>
      </c>
      <c r="N962" s="116">
        <v>546.32124070474902</v>
      </c>
      <c r="O962" s="116">
        <v>538.14871081206695</v>
      </c>
      <c r="P962" s="116">
        <v>543.32464641076604</v>
      </c>
      <c r="Q962" s="116">
        <v>1096.8499999999999</v>
      </c>
      <c r="R962">
        <v>6831740</v>
      </c>
    </row>
    <row r="963" spans="1:18" x14ac:dyDescent="0.25">
      <c r="A963" s="170">
        <v>43420</v>
      </c>
      <c r="B963" s="116">
        <v>559.32749904999196</v>
      </c>
      <c r="C963" s="116">
        <v>558.43598262540104</v>
      </c>
      <c r="D963" s="116">
        <v>542.88397388532303</v>
      </c>
      <c r="E963" s="116">
        <v>542.88397388532303</v>
      </c>
      <c r="F963" s="116">
        <v>1127.5</v>
      </c>
      <c r="G963">
        <v>702952</v>
      </c>
      <c r="H963" s="116"/>
      <c r="I963" s="116"/>
      <c r="L963" s="170">
        <v>43420</v>
      </c>
      <c r="M963" s="116">
        <v>558.40667884907896</v>
      </c>
      <c r="N963" s="116">
        <v>559.66970619613005</v>
      </c>
      <c r="O963" s="116">
        <v>543.39894213706305</v>
      </c>
      <c r="P963" s="116">
        <v>543.81995125274602</v>
      </c>
      <c r="Q963" s="116">
        <v>1127.4000000000001</v>
      </c>
      <c r="R963">
        <v>11031889</v>
      </c>
    </row>
    <row r="964" spans="1:18" x14ac:dyDescent="0.25">
      <c r="A964" s="170">
        <v>43423</v>
      </c>
      <c r="B964" s="116">
        <v>570.273339596352</v>
      </c>
      <c r="C964" s="116">
        <v>569.38182317176199</v>
      </c>
      <c r="D964" s="116">
        <v>560.26854416483695</v>
      </c>
      <c r="E964" s="116">
        <v>560.66477368687697</v>
      </c>
      <c r="F964" s="116">
        <v>1149.5999999999999</v>
      </c>
      <c r="G964">
        <v>514395</v>
      </c>
      <c r="H964" s="116"/>
      <c r="I964" s="116"/>
      <c r="L964" s="170">
        <v>43423</v>
      </c>
      <c r="M964" s="116">
        <v>569.60056827784399</v>
      </c>
      <c r="N964" s="116">
        <v>570.44258650921097</v>
      </c>
      <c r="O964" s="116">
        <v>560.18977628021003</v>
      </c>
      <c r="P964" s="116">
        <v>561.13085547997298</v>
      </c>
      <c r="Q964" s="116">
        <v>1150</v>
      </c>
      <c r="R964">
        <v>7308981</v>
      </c>
    </row>
    <row r="965" spans="1:18" x14ac:dyDescent="0.25">
      <c r="A965" s="170">
        <v>43424</v>
      </c>
      <c r="B965" s="116">
        <v>572.279251551681</v>
      </c>
      <c r="C965" s="116">
        <v>563.95843158883599</v>
      </c>
      <c r="D965" s="116">
        <v>559.87231464279705</v>
      </c>
      <c r="E965" s="116">
        <v>567.59879032258095</v>
      </c>
      <c r="F965" s="116">
        <v>1138.6500000000001</v>
      </c>
      <c r="G965">
        <v>472247</v>
      </c>
      <c r="H965" s="116"/>
      <c r="I965" s="116"/>
      <c r="L965" s="170">
        <v>43424</v>
      </c>
      <c r="M965" s="116">
        <v>563.35972726888599</v>
      </c>
      <c r="N965" s="116">
        <v>572.52286684552996</v>
      </c>
      <c r="O965" s="116">
        <v>559.69447143822902</v>
      </c>
      <c r="P965" s="116">
        <v>567.12404406793996</v>
      </c>
      <c r="Q965" s="116">
        <v>1137.4000000000001</v>
      </c>
      <c r="R965">
        <v>5719901</v>
      </c>
    </row>
    <row r="966" spans="1:18" x14ac:dyDescent="0.25">
      <c r="A966" s="170">
        <v>43425</v>
      </c>
      <c r="B966" s="116">
        <v>567.30161818105103</v>
      </c>
      <c r="C966" s="116">
        <v>550.90762170663697</v>
      </c>
      <c r="D966" s="116">
        <v>548.30736546824903</v>
      </c>
      <c r="E966" s="116">
        <v>563.14120819962898</v>
      </c>
      <c r="F966" s="116">
        <v>1112.3</v>
      </c>
      <c r="G966">
        <v>499461</v>
      </c>
      <c r="H966" s="116"/>
      <c r="I966" s="116"/>
      <c r="L966" s="170">
        <v>43425</v>
      </c>
      <c r="M966" s="116">
        <v>551.224758640358</v>
      </c>
      <c r="N966" s="116">
        <v>567.37169648892996</v>
      </c>
      <c r="O966" s="116">
        <v>548.327225314771</v>
      </c>
      <c r="P966" s="116">
        <v>563.40925775308403</v>
      </c>
      <c r="Q966" s="116">
        <v>1112.9000000000001</v>
      </c>
      <c r="R966">
        <v>7507812</v>
      </c>
    </row>
    <row r="967" spans="1:18" x14ac:dyDescent="0.25">
      <c r="A967" s="170">
        <v>43426</v>
      </c>
      <c r="B967" s="116">
        <v>557.24729405928099</v>
      </c>
      <c r="C967" s="116">
        <v>546.22716047753795</v>
      </c>
      <c r="D967" s="116">
        <v>544.81559280526903</v>
      </c>
      <c r="E967" s="116">
        <v>552.09631027275805</v>
      </c>
      <c r="F967" s="116">
        <v>1102.8499999999999</v>
      </c>
      <c r="G967">
        <v>360992</v>
      </c>
      <c r="H967" s="116"/>
      <c r="I967" s="116"/>
      <c r="L967" s="170">
        <v>43426</v>
      </c>
      <c r="M967" s="116">
        <v>546.24694497845201</v>
      </c>
      <c r="N967" s="116">
        <v>557.39130392301797</v>
      </c>
      <c r="O967" s="116">
        <v>544.88485666300505</v>
      </c>
      <c r="P967" s="116">
        <v>552.01724638752796</v>
      </c>
      <c r="Q967" s="116">
        <v>1102.8499999999999</v>
      </c>
      <c r="R967">
        <v>5792568</v>
      </c>
    </row>
    <row r="968" spans="1:18" x14ac:dyDescent="0.25">
      <c r="A968" s="170">
        <v>43430</v>
      </c>
      <c r="B968" s="116">
        <v>553.35929187426098</v>
      </c>
      <c r="C968" s="116">
        <v>549.57034706975196</v>
      </c>
      <c r="D968" s="116">
        <v>543.84978334529603</v>
      </c>
      <c r="E968" s="116">
        <v>549.74369748564402</v>
      </c>
      <c r="F968" s="116">
        <v>1109.5999999999999</v>
      </c>
      <c r="G968">
        <v>279608</v>
      </c>
      <c r="H968" s="116"/>
      <c r="I968" s="116"/>
      <c r="L968" s="170">
        <v>43430</v>
      </c>
      <c r="M968" s="116">
        <v>549.66454838811899</v>
      </c>
      <c r="N968" s="116">
        <v>553.50316091346997</v>
      </c>
      <c r="O968" s="116">
        <v>543.54753358965695</v>
      </c>
      <c r="P968" s="116">
        <v>549.29306975663303</v>
      </c>
      <c r="Q968" s="116">
        <v>1109.75</v>
      </c>
      <c r="R968">
        <v>6386556</v>
      </c>
    </row>
    <row r="969" spans="1:18" x14ac:dyDescent="0.25">
      <c r="A969" s="170">
        <v>43431</v>
      </c>
      <c r="B969" s="116">
        <v>559.37702774024694</v>
      </c>
      <c r="C969" s="116">
        <v>558.43598262540104</v>
      </c>
      <c r="D969" s="116">
        <v>545.65758053960496</v>
      </c>
      <c r="E969" s="116">
        <v>549.52081837949697</v>
      </c>
      <c r="F969" s="116">
        <v>1127.5</v>
      </c>
      <c r="G969">
        <v>264152</v>
      </c>
      <c r="H969" s="116"/>
      <c r="I969" s="116"/>
      <c r="L969" s="170">
        <v>43431</v>
      </c>
      <c r="M969" s="116">
        <v>558.80292272266399</v>
      </c>
      <c r="N969" s="116">
        <v>559.69447143822902</v>
      </c>
      <c r="O969" s="116">
        <v>547.53473756760195</v>
      </c>
      <c r="P969" s="116">
        <v>548.748234430455</v>
      </c>
      <c r="Q969" s="116">
        <v>1128.2</v>
      </c>
      <c r="R969">
        <v>6810228</v>
      </c>
    </row>
    <row r="970" spans="1:18" x14ac:dyDescent="0.25">
      <c r="A970" s="170">
        <v>43432</v>
      </c>
      <c r="B970" s="116">
        <v>573.39364708241897</v>
      </c>
      <c r="C970" s="116">
        <v>567.72261204821802</v>
      </c>
      <c r="D970" s="116">
        <v>557.94069572285105</v>
      </c>
      <c r="E970" s="116">
        <v>560.81335975764205</v>
      </c>
      <c r="F970" s="116">
        <v>1146.25</v>
      </c>
      <c r="G970">
        <v>1098006</v>
      </c>
      <c r="H970" s="116"/>
      <c r="I970" s="116"/>
      <c r="L970" s="170">
        <v>43432</v>
      </c>
      <c r="M970" s="116">
        <v>570.91312610909301</v>
      </c>
      <c r="N970" s="116">
        <v>573.43918080319395</v>
      </c>
      <c r="O970" s="116">
        <v>557.86184352290002</v>
      </c>
      <c r="P970" s="116">
        <v>560.90796830108195</v>
      </c>
      <c r="Q970" s="116">
        <v>1152.6500000000001</v>
      </c>
      <c r="R970">
        <v>8003964</v>
      </c>
    </row>
    <row r="971" spans="1:18" x14ac:dyDescent="0.25">
      <c r="A971" s="170">
        <v>43433</v>
      </c>
      <c r="B971" s="116">
        <v>584.389016319034</v>
      </c>
      <c r="C971" s="116">
        <v>579.48567598378702</v>
      </c>
      <c r="D971" s="116">
        <v>573.93846267522395</v>
      </c>
      <c r="E971" s="116">
        <v>574.03752005573403</v>
      </c>
      <c r="F971" s="116">
        <v>1170</v>
      </c>
      <c r="G971">
        <v>413830</v>
      </c>
      <c r="H971" s="116"/>
      <c r="I971" s="116"/>
      <c r="L971" s="170">
        <v>43433</v>
      </c>
      <c r="M971" s="116">
        <v>578.76370785448705</v>
      </c>
      <c r="N971" s="116">
        <v>584.41018305306795</v>
      </c>
      <c r="O971" s="116">
        <v>574.55361669765102</v>
      </c>
      <c r="P971" s="116">
        <v>575.04892153963203</v>
      </c>
      <c r="Q971" s="116">
        <v>1168.5</v>
      </c>
      <c r="R971">
        <v>12636169</v>
      </c>
    </row>
    <row r="972" spans="1:18" x14ac:dyDescent="0.25">
      <c r="A972" s="170">
        <v>43434</v>
      </c>
      <c r="B972" s="116">
        <v>587.41026642459099</v>
      </c>
      <c r="C972" s="116">
        <v>578.59415955919599</v>
      </c>
      <c r="D972" s="116">
        <v>575.99390332080702</v>
      </c>
      <c r="E972" s="116">
        <v>580.476249788887</v>
      </c>
      <c r="F972" s="116">
        <v>1168.2</v>
      </c>
      <c r="G972">
        <v>454515</v>
      </c>
      <c r="H972" s="116"/>
      <c r="I972" s="116"/>
      <c r="L972" s="170">
        <v>43434</v>
      </c>
      <c r="M972" s="116">
        <v>578.29316825460501</v>
      </c>
      <c r="N972" s="116">
        <v>587.43154258915001</v>
      </c>
      <c r="O972" s="116">
        <v>575.69281783420604</v>
      </c>
      <c r="P972" s="116">
        <v>580.64586625401398</v>
      </c>
      <c r="Q972" s="116">
        <v>1167.55</v>
      </c>
      <c r="R972">
        <v>10717448</v>
      </c>
    </row>
    <row r="973" spans="1:18" x14ac:dyDescent="0.25">
      <c r="A973" s="170">
        <v>43437</v>
      </c>
      <c r="B973" s="116">
        <v>581.46682359398801</v>
      </c>
      <c r="C973" s="116">
        <v>572.700245418848</v>
      </c>
      <c r="D973" s="116">
        <v>568.91130061433898</v>
      </c>
      <c r="E973" s="116">
        <v>580.50101413401501</v>
      </c>
      <c r="F973" s="116">
        <v>1156.3</v>
      </c>
      <c r="G973">
        <v>292260</v>
      </c>
      <c r="H973" s="116"/>
      <c r="I973" s="116"/>
      <c r="L973" s="170">
        <v>43437</v>
      </c>
      <c r="M973" s="116">
        <v>572.79528450861903</v>
      </c>
      <c r="N973" s="116">
        <v>581.93365884316404</v>
      </c>
      <c r="O973" s="116">
        <v>568.85761101487196</v>
      </c>
      <c r="P973" s="116">
        <v>581.93365884316404</v>
      </c>
      <c r="Q973" s="116">
        <v>1156.45</v>
      </c>
      <c r="R973">
        <v>5569578</v>
      </c>
    </row>
    <row r="974" spans="1:18" x14ac:dyDescent="0.25">
      <c r="A974" s="170">
        <v>43438</v>
      </c>
      <c r="B974" s="116">
        <v>573.245061011654</v>
      </c>
      <c r="C974" s="116">
        <v>570.347632631735</v>
      </c>
      <c r="D974" s="116">
        <v>566.08816526980297</v>
      </c>
      <c r="E974" s="116">
        <v>573.04694625063303</v>
      </c>
      <c r="F974" s="116">
        <v>1151.55</v>
      </c>
      <c r="G974">
        <v>206600</v>
      </c>
      <c r="H974" s="116"/>
      <c r="I974" s="116"/>
      <c r="L974" s="170">
        <v>43438</v>
      </c>
      <c r="M974" s="116">
        <v>570.73976941439901</v>
      </c>
      <c r="N974" s="116">
        <v>573.563007013689</v>
      </c>
      <c r="O974" s="116">
        <v>565.73719051039404</v>
      </c>
      <c r="P974" s="116">
        <v>573.563007013689</v>
      </c>
      <c r="Q974" s="116">
        <v>1152.3</v>
      </c>
      <c r="R974">
        <v>5192825</v>
      </c>
    </row>
    <row r="975" spans="1:18" x14ac:dyDescent="0.25">
      <c r="A975" s="170">
        <v>43439</v>
      </c>
      <c r="B975" s="116">
        <v>574.03752005573403</v>
      </c>
      <c r="C975" s="116">
        <v>571.98207941015005</v>
      </c>
      <c r="D975" s="116">
        <v>564.428954146259</v>
      </c>
      <c r="E975" s="116">
        <v>566.95491734926497</v>
      </c>
      <c r="F975" s="116">
        <v>1154.8499999999999</v>
      </c>
      <c r="G975">
        <v>268318</v>
      </c>
      <c r="H975" s="116"/>
      <c r="I975" s="116"/>
      <c r="L975" s="170">
        <v>43439</v>
      </c>
      <c r="M975" s="116">
        <v>572.151388214044</v>
      </c>
      <c r="N975" s="116">
        <v>573.95925088727404</v>
      </c>
      <c r="O975" s="116">
        <v>564.30080646864997</v>
      </c>
      <c r="P975" s="116">
        <v>566.50491301546401</v>
      </c>
      <c r="Q975" s="116">
        <v>1155.1500000000001</v>
      </c>
      <c r="R975">
        <v>5819618</v>
      </c>
    </row>
    <row r="976" spans="1:18" x14ac:dyDescent="0.25">
      <c r="A976" s="170">
        <v>43440</v>
      </c>
      <c r="B976" s="116">
        <v>568.51507109229897</v>
      </c>
      <c r="C976" s="116">
        <v>556.43007067007295</v>
      </c>
      <c r="D976" s="116">
        <v>553.85457877681097</v>
      </c>
      <c r="E976" s="116">
        <v>568.341720676406</v>
      </c>
      <c r="F976" s="116">
        <v>1123.45</v>
      </c>
      <c r="G976">
        <v>249128</v>
      </c>
      <c r="H976" s="116"/>
      <c r="I976" s="116"/>
      <c r="L976" s="170">
        <v>43440</v>
      </c>
      <c r="M976" s="116">
        <v>556.54928569165099</v>
      </c>
      <c r="N976" s="116">
        <v>569.10526343586298</v>
      </c>
      <c r="O976" s="116">
        <v>553.87463954495502</v>
      </c>
      <c r="P976" s="116">
        <v>569.10526343586298</v>
      </c>
      <c r="Q976" s="116">
        <v>1123.6500000000001</v>
      </c>
      <c r="R976">
        <v>5866108</v>
      </c>
    </row>
    <row r="977" spans="1:18" x14ac:dyDescent="0.25">
      <c r="A977" s="170">
        <v>43441</v>
      </c>
      <c r="B977" s="116">
        <v>562.24969177503795</v>
      </c>
      <c r="C977" s="116">
        <v>561.28388231506494</v>
      </c>
      <c r="D977" s="116">
        <v>549.32270361847702</v>
      </c>
      <c r="E977" s="116">
        <v>561.06100320891699</v>
      </c>
      <c r="F977" s="116">
        <v>1133.25</v>
      </c>
      <c r="G977">
        <v>256042</v>
      </c>
      <c r="H977" s="116"/>
      <c r="I977" s="116"/>
      <c r="L977" s="170">
        <v>43441</v>
      </c>
      <c r="M977" s="116">
        <v>561.57662983775595</v>
      </c>
      <c r="N977" s="116">
        <v>563.13684008999496</v>
      </c>
      <c r="O977" s="116">
        <v>548.97112160934603</v>
      </c>
      <c r="P977" s="116">
        <v>559.42205377513903</v>
      </c>
      <c r="Q977" s="116">
        <v>1133.8</v>
      </c>
      <c r="R977">
        <v>7214078</v>
      </c>
    </row>
    <row r="978" spans="1:18" x14ac:dyDescent="0.25">
      <c r="A978" s="170">
        <v>43444</v>
      </c>
      <c r="B978" s="116">
        <v>551.13050081278504</v>
      </c>
      <c r="C978" s="116">
        <v>539.11979342594202</v>
      </c>
      <c r="D978" s="116">
        <v>536.89100236446598</v>
      </c>
      <c r="E978" s="116">
        <v>551.08097212253006</v>
      </c>
      <c r="F978" s="116">
        <v>1088.5</v>
      </c>
      <c r="G978">
        <v>1104729</v>
      </c>
      <c r="H978" s="116"/>
      <c r="I978" s="116"/>
      <c r="L978" s="170">
        <v>43444</v>
      </c>
      <c r="M978" s="116">
        <v>540.00610396949503</v>
      </c>
      <c r="N978" s="116">
        <v>551.91818541913096</v>
      </c>
      <c r="O978" s="116">
        <v>536.46467434933197</v>
      </c>
      <c r="P978" s="116">
        <v>549.78837459861404</v>
      </c>
      <c r="Q978" s="116">
        <v>1090.25</v>
      </c>
      <c r="R978">
        <v>9381544</v>
      </c>
    </row>
    <row r="979" spans="1:18" x14ac:dyDescent="0.25">
      <c r="A979" s="170">
        <v>43445</v>
      </c>
      <c r="B979" s="116">
        <v>544.91465018577901</v>
      </c>
      <c r="C979" s="116">
        <v>542.93350257557904</v>
      </c>
      <c r="D979" s="116">
        <v>522.70103260640099</v>
      </c>
      <c r="E979" s="116">
        <v>528.02536680881599</v>
      </c>
      <c r="F979" s="116">
        <v>1096.2</v>
      </c>
      <c r="G979">
        <v>957115</v>
      </c>
      <c r="H979" s="116"/>
      <c r="I979" s="116"/>
      <c r="L979" s="170">
        <v>43445</v>
      </c>
      <c r="M979" s="116">
        <v>543.62182931595396</v>
      </c>
      <c r="N979" s="116">
        <v>545.87546634696605</v>
      </c>
      <c r="O979" s="116">
        <v>522.54660828967405</v>
      </c>
      <c r="P979" s="116">
        <v>527.99496155146198</v>
      </c>
      <c r="Q979" s="116">
        <v>1097.55</v>
      </c>
      <c r="R979">
        <v>13494665</v>
      </c>
    </row>
    <row r="980" spans="1:18" x14ac:dyDescent="0.25">
      <c r="A980" s="170">
        <v>43446</v>
      </c>
      <c r="B980" s="116">
        <v>551.42767295431497</v>
      </c>
      <c r="C980" s="116">
        <v>550.01610528204696</v>
      </c>
      <c r="D980" s="116">
        <v>538.92167866492196</v>
      </c>
      <c r="E980" s="116">
        <v>544.81559280526903</v>
      </c>
      <c r="F980" s="116">
        <v>1110.5</v>
      </c>
      <c r="G980">
        <v>1035909</v>
      </c>
      <c r="H980" s="116"/>
      <c r="I980" s="116"/>
      <c r="L980" s="170">
        <v>43446</v>
      </c>
      <c r="M980" s="116">
        <v>550.03602701960403</v>
      </c>
      <c r="N980" s="116">
        <v>551.52194154554695</v>
      </c>
      <c r="O980" s="116">
        <v>538.76784186454302</v>
      </c>
      <c r="P980" s="116">
        <v>544.340021336826</v>
      </c>
      <c r="Q980" s="116">
        <v>1110.5</v>
      </c>
      <c r="R980">
        <v>12605431</v>
      </c>
    </row>
    <row r="981" spans="1:18" x14ac:dyDescent="0.25">
      <c r="A981" s="170">
        <v>43447</v>
      </c>
      <c r="B981" s="116">
        <v>557.86640268746805</v>
      </c>
      <c r="C981" s="116">
        <v>548.18354374261105</v>
      </c>
      <c r="D981" s="116">
        <v>543.10685299147099</v>
      </c>
      <c r="E981" s="116">
        <v>557.49493751055604</v>
      </c>
      <c r="F981" s="116">
        <v>1106.8</v>
      </c>
      <c r="G981">
        <v>632140</v>
      </c>
      <c r="H981" s="116"/>
      <c r="I981" s="116"/>
      <c r="L981" s="170">
        <v>43447</v>
      </c>
      <c r="M981" s="116">
        <v>548.327225314771</v>
      </c>
      <c r="N981" s="116">
        <v>558.703861754267</v>
      </c>
      <c r="O981" s="116">
        <v>542.38356721100195</v>
      </c>
      <c r="P981" s="116">
        <v>558.703861754267</v>
      </c>
      <c r="Q981" s="116">
        <v>1107.05</v>
      </c>
      <c r="R981">
        <v>9297518</v>
      </c>
    </row>
    <row r="982" spans="1:18" x14ac:dyDescent="0.25">
      <c r="A982" s="170">
        <v>43448</v>
      </c>
      <c r="B982" s="116">
        <v>552.24489634352301</v>
      </c>
      <c r="C982" s="116">
        <v>550.63521391023505</v>
      </c>
      <c r="D982" s="116">
        <v>541.150469726398</v>
      </c>
      <c r="E982" s="116">
        <v>546.74721172521504</v>
      </c>
      <c r="F982" s="116">
        <v>1111.75</v>
      </c>
      <c r="G982">
        <v>384977</v>
      </c>
      <c r="H982" s="116"/>
      <c r="I982" s="116"/>
      <c r="L982" s="170">
        <v>43448</v>
      </c>
      <c r="M982" s="116">
        <v>550.87804525097204</v>
      </c>
      <c r="N982" s="116">
        <v>552.21536832432002</v>
      </c>
      <c r="O982" s="116">
        <v>540.773826474565</v>
      </c>
      <c r="P982" s="116">
        <v>546.37077118894695</v>
      </c>
      <c r="Q982" s="116">
        <v>1112.2</v>
      </c>
      <c r="R982">
        <v>7221324</v>
      </c>
    </row>
    <row r="983" spans="1:18" x14ac:dyDescent="0.25">
      <c r="A983" s="170">
        <v>43451</v>
      </c>
      <c r="B983" s="116">
        <v>561.556290111468</v>
      </c>
      <c r="C983" s="116">
        <v>559.97137202330703</v>
      </c>
      <c r="D983" s="116">
        <v>549.91704790153699</v>
      </c>
      <c r="E983" s="116">
        <v>552.09631027275805</v>
      </c>
      <c r="F983" s="116">
        <v>1130.5999999999999</v>
      </c>
      <c r="G983">
        <v>374864</v>
      </c>
      <c r="H983" s="116"/>
      <c r="I983" s="116"/>
      <c r="L983" s="170">
        <v>43451</v>
      </c>
      <c r="M983" s="116">
        <v>559.64494095403097</v>
      </c>
      <c r="N983" s="116">
        <v>561.18038596417102</v>
      </c>
      <c r="O983" s="116">
        <v>550.53133186158504</v>
      </c>
      <c r="P983" s="116">
        <v>552.7354384084</v>
      </c>
      <c r="Q983" s="116">
        <v>1129.9000000000001</v>
      </c>
      <c r="R983">
        <v>5064357</v>
      </c>
    </row>
    <row r="984" spans="1:18" x14ac:dyDescent="0.25">
      <c r="A984" s="170">
        <v>43452</v>
      </c>
      <c r="B984" s="116">
        <v>564.37942545600401</v>
      </c>
      <c r="C984" s="116">
        <v>562.86880040322603</v>
      </c>
      <c r="D984" s="116">
        <v>555.11756037831401</v>
      </c>
      <c r="E984" s="116">
        <v>555.711904661375</v>
      </c>
      <c r="F984" s="116">
        <v>1136.45</v>
      </c>
      <c r="G984">
        <v>300671</v>
      </c>
      <c r="H984" s="116"/>
      <c r="I984" s="116"/>
      <c r="L984" s="170">
        <v>43452</v>
      </c>
      <c r="M984" s="116">
        <v>562.864422426906</v>
      </c>
      <c r="N984" s="116">
        <v>564.15221501605504</v>
      </c>
      <c r="O984" s="116">
        <v>554.98907543941198</v>
      </c>
      <c r="P984" s="116">
        <v>556.37592899695801</v>
      </c>
      <c r="Q984" s="116">
        <v>1136.4000000000001</v>
      </c>
      <c r="R984">
        <v>5870928</v>
      </c>
    </row>
    <row r="985" spans="1:18" x14ac:dyDescent="0.25">
      <c r="A985" s="170">
        <v>43453</v>
      </c>
      <c r="B985" s="116">
        <v>567.87119811898299</v>
      </c>
      <c r="C985" s="116">
        <v>563.19073688988396</v>
      </c>
      <c r="D985" s="116">
        <v>560.36760154534704</v>
      </c>
      <c r="E985" s="116">
        <v>563.95843158883599</v>
      </c>
      <c r="F985" s="116">
        <v>1137.0999999999999</v>
      </c>
      <c r="G985">
        <v>1116276</v>
      </c>
      <c r="H985" s="116"/>
      <c r="I985" s="116"/>
      <c r="L985" s="170">
        <v>43453</v>
      </c>
      <c r="M985" s="116">
        <v>563.06254436369795</v>
      </c>
      <c r="N985" s="116">
        <v>568.263245204496</v>
      </c>
      <c r="O985" s="116">
        <v>561.279446932567</v>
      </c>
      <c r="P985" s="116">
        <v>565.39047712100705</v>
      </c>
      <c r="Q985" s="116">
        <v>1136.8</v>
      </c>
      <c r="R985">
        <v>7368799</v>
      </c>
    </row>
    <row r="986" spans="1:18" x14ac:dyDescent="0.25">
      <c r="A986" s="170">
        <v>43454</v>
      </c>
      <c r="B986" s="116">
        <v>560.64000934174999</v>
      </c>
      <c r="C986" s="116">
        <v>558.31216089976397</v>
      </c>
      <c r="D986" s="116">
        <v>552.98782669734896</v>
      </c>
      <c r="E986" s="116">
        <v>556.70247846647499</v>
      </c>
      <c r="F986" s="116">
        <v>1127.25</v>
      </c>
      <c r="G986">
        <v>306576</v>
      </c>
      <c r="H986" s="116"/>
      <c r="I986" s="116"/>
      <c r="L986" s="170">
        <v>43454</v>
      </c>
      <c r="M986" s="116">
        <v>558.92674893315905</v>
      </c>
      <c r="N986" s="116">
        <v>560.93273354318103</v>
      </c>
      <c r="O986" s="116">
        <v>552.83449937679597</v>
      </c>
      <c r="P986" s="116">
        <v>555.23672786040197</v>
      </c>
      <c r="Q986" s="116">
        <v>1128.45</v>
      </c>
      <c r="R986">
        <v>5764731</v>
      </c>
    </row>
    <row r="987" spans="1:18" x14ac:dyDescent="0.25">
      <c r="A987" s="170">
        <v>43455</v>
      </c>
      <c r="B987" s="116">
        <v>560.36760154534704</v>
      </c>
      <c r="C987" s="116">
        <v>543.998369416061</v>
      </c>
      <c r="D987" s="116">
        <v>542.33915829251805</v>
      </c>
      <c r="E987" s="116">
        <v>558.83221214744106</v>
      </c>
      <c r="F987" s="116">
        <v>1098.3499999999999</v>
      </c>
      <c r="G987">
        <v>835175</v>
      </c>
      <c r="H987" s="116"/>
      <c r="I987" s="116"/>
      <c r="L987" s="170">
        <v>43455</v>
      </c>
      <c r="M987" s="116">
        <v>544.93438714720298</v>
      </c>
      <c r="N987" s="116">
        <v>560.31360249070497</v>
      </c>
      <c r="O987" s="116">
        <v>542.85410681088399</v>
      </c>
      <c r="P987" s="116">
        <v>557.21794722832499</v>
      </c>
      <c r="Q987" s="116">
        <v>1100.2</v>
      </c>
      <c r="R987">
        <v>8281941</v>
      </c>
    </row>
    <row r="988" spans="1:18" x14ac:dyDescent="0.25">
      <c r="A988" s="170">
        <v>43458</v>
      </c>
      <c r="B988" s="116">
        <v>546.30145351292003</v>
      </c>
      <c r="C988" s="116">
        <v>539.88748812489496</v>
      </c>
      <c r="D988" s="116">
        <v>538.12921962084101</v>
      </c>
      <c r="E988" s="116">
        <v>545.70710922985995</v>
      </c>
      <c r="F988" s="116">
        <v>1090.05</v>
      </c>
      <c r="G988">
        <v>270421</v>
      </c>
      <c r="H988" s="116"/>
      <c r="I988" s="116"/>
      <c r="L988" s="170">
        <v>43458</v>
      </c>
      <c r="M988" s="116">
        <v>539.46126864331598</v>
      </c>
      <c r="N988" s="116">
        <v>546.42030167314499</v>
      </c>
      <c r="O988" s="116">
        <v>538.17347605416603</v>
      </c>
      <c r="P988" s="116">
        <v>545.28110053658997</v>
      </c>
      <c r="Q988" s="116">
        <v>1089.1500000000001</v>
      </c>
      <c r="R988">
        <v>4144535</v>
      </c>
    </row>
    <row r="989" spans="1:18" x14ac:dyDescent="0.25">
      <c r="A989" s="170">
        <v>43460</v>
      </c>
      <c r="B989" s="116">
        <v>545.13752929192697</v>
      </c>
      <c r="C989" s="116">
        <v>543.30496775249105</v>
      </c>
      <c r="D989" s="116">
        <v>528.24824591496395</v>
      </c>
      <c r="E989" s="116">
        <v>538.37686307211595</v>
      </c>
      <c r="F989" s="116">
        <v>1096.95</v>
      </c>
      <c r="G989">
        <v>474923</v>
      </c>
      <c r="H989" s="116"/>
      <c r="I989" s="116"/>
      <c r="L989" s="170">
        <v>43460</v>
      </c>
      <c r="M989" s="116">
        <v>544.018073189539</v>
      </c>
      <c r="N989" s="116">
        <v>544.83532617880701</v>
      </c>
      <c r="O989" s="116">
        <v>527.821604856769</v>
      </c>
      <c r="P989" s="116">
        <v>537.80199742267996</v>
      </c>
      <c r="Q989" s="116">
        <v>1098.3499999999999</v>
      </c>
      <c r="R989">
        <v>7210059</v>
      </c>
    </row>
    <row r="990" spans="1:18" x14ac:dyDescent="0.25">
      <c r="A990" s="170">
        <v>43461</v>
      </c>
      <c r="B990" s="116">
        <v>557.64352358132101</v>
      </c>
      <c r="C990" s="116">
        <v>554.72133085627399</v>
      </c>
      <c r="D990" s="116">
        <v>547.01961952161798</v>
      </c>
      <c r="E990" s="116">
        <v>547.29202731802104</v>
      </c>
      <c r="F990" s="116">
        <v>1120</v>
      </c>
      <c r="G990">
        <v>454773</v>
      </c>
      <c r="H990" s="116"/>
      <c r="I990" s="116"/>
      <c r="L990" s="170">
        <v>43461</v>
      </c>
      <c r="M990" s="116">
        <v>554.84048398681796</v>
      </c>
      <c r="N990" s="116">
        <v>558.20855691228701</v>
      </c>
      <c r="O990" s="116">
        <v>546.81654554673003</v>
      </c>
      <c r="P990" s="116">
        <v>548.40152104106801</v>
      </c>
      <c r="Q990" s="116">
        <v>1120.2</v>
      </c>
      <c r="R990">
        <v>12478000</v>
      </c>
    </row>
    <row r="991" spans="1:18" x14ac:dyDescent="0.25">
      <c r="A991" s="170">
        <v>43462</v>
      </c>
      <c r="B991" s="116">
        <v>562.59639260682297</v>
      </c>
      <c r="C991" s="116">
        <v>557.59399489106602</v>
      </c>
      <c r="D991" s="116">
        <v>555.711904661375</v>
      </c>
      <c r="E991" s="116">
        <v>556.35577763468996</v>
      </c>
      <c r="F991" s="116">
        <v>1125.8</v>
      </c>
      <c r="G991">
        <v>343132</v>
      </c>
      <c r="H991" s="116"/>
      <c r="I991" s="116"/>
      <c r="L991" s="170">
        <v>43462</v>
      </c>
      <c r="M991" s="116">
        <v>557.49036489141497</v>
      </c>
      <c r="N991" s="116">
        <v>562.29482185862798</v>
      </c>
      <c r="O991" s="116">
        <v>555.33578882879794</v>
      </c>
      <c r="P991" s="116">
        <v>557.465599649316</v>
      </c>
      <c r="Q991" s="116">
        <v>1125.55</v>
      </c>
      <c r="R991">
        <v>7666016</v>
      </c>
    </row>
    <row r="992" spans="1:18" x14ac:dyDescent="0.25">
      <c r="A992" s="170">
        <v>43465</v>
      </c>
      <c r="B992" s="116">
        <v>561.35817535044805</v>
      </c>
      <c r="C992" s="116">
        <v>555.24138210395199</v>
      </c>
      <c r="D992" s="116">
        <v>553.03735538760395</v>
      </c>
      <c r="E992" s="116">
        <v>558.26263220950898</v>
      </c>
      <c r="F992" s="116">
        <v>1121.05</v>
      </c>
      <c r="G992">
        <v>264252</v>
      </c>
      <c r="H992" s="116"/>
      <c r="I992" s="116"/>
      <c r="L992" s="170">
        <v>43465</v>
      </c>
      <c r="M992" s="116">
        <v>555.36055407089702</v>
      </c>
      <c r="N992" s="116">
        <v>561.60139507985502</v>
      </c>
      <c r="O992" s="116">
        <v>552.85926461889505</v>
      </c>
      <c r="P992" s="116">
        <v>560.16501103811095</v>
      </c>
      <c r="Q992" s="116">
        <v>1121.25</v>
      </c>
      <c r="R992">
        <v>7222817</v>
      </c>
    </row>
    <row r="993" spans="1:18" x14ac:dyDescent="0.25">
      <c r="A993" s="170">
        <v>43466</v>
      </c>
      <c r="B993" s="116">
        <v>559.67419988177699</v>
      </c>
      <c r="C993" s="116">
        <v>555.38996817471696</v>
      </c>
      <c r="D993" s="116">
        <v>550.53615652972496</v>
      </c>
      <c r="E993" s="116">
        <v>557.69305227157599</v>
      </c>
      <c r="F993" s="116">
        <v>1121.3499999999999</v>
      </c>
      <c r="G993">
        <v>264741</v>
      </c>
      <c r="H993" s="116"/>
      <c r="I993" s="116"/>
      <c r="L993" s="170">
        <v>43466</v>
      </c>
      <c r="M993" s="116">
        <v>555.23672786040197</v>
      </c>
      <c r="N993" s="116">
        <v>558.35714836488103</v>
      </c>
      <c r="O993" s="116">
        <v>549.83790508281197</v>
      </c>
      <c r="P993" s="116">
        <v>557.34177343882004</v>
      </c>
      <c r="Q993" s="116">
        <v>1121</v>
      </c>
      <c r="R993">
        <v>4455850</v>
      </c>
    </row>
    <row r="994" spans="1:18" x14ac:dyDescent="0.25">
      <c r="A994" s="170">
        <v>43467</v>
      </c>
      <c r="B994" s="116">
        <v>558.064517448488</v>
      </c>
      <c r="C994" s="116">
        <v>547.935900291336</v>
      </c>
      <c r="D994" s="116">
        <v>545.53375881396698</v>
      </c>
      <c r="E994" s="116">
        <v>552.740183246073</v>
      </c>
      <c r="F994" s="116">
        <v>1106.3</v>
      </c>
      <c r="G994">
        <v>322660</v>
      </c>
      <c r="H994" s="116"/>
      <c r="I994" s="116"/>
      <c r="L994" s="170">
        <v>43467</v>
      </c>
      <c r="M994" s="116">
        <v>548.005277167484</v>
      </c>
      <c r="N994" s="116">
        <v>558.20855691228701</v>
      </c>
      <c r="O994" s="116">
        <v>545.33063102078802</v>
      </c>
      <c r="P994" s="116">
        <v>552.01724638752796</v>
      </c>
      <c r="Q994" s="116">
        <v>1106.4000000000001</v>
      </c>
      <c r="R994">
        <v>7144970</v>
      </c>
    </row>
    <row r="995" spans="1:18" x14ac:dyDescent="0.25">
      <c r="A995" s="170">
        <v>43468</v>
      </c>
      <c r="B995" s="116">
        <v>551.97248854712097</v>
      </c>
      <c r="C995" s="116">
        <v>540.72947585922998</v>
      </c>
      <c r="D995" s="116">
        <v>539.68937336387398</v>
      </c>
      <c r="E995" s="116">
        <v>548.80265237079902</v>
      </c>
      <c r="F995" s="116">
        <v>1091.75</v>
      </c>
      <c r="G995">
        <v>357046</v>
      </c>
      <c r="H995" s="116"/>
      <c r="I995" s="116"/>
      <c r="L995" s="170">
        <v>43468</v>
      </c>
      <c r="M995" s="116">
        <v>541.24436607444602</v>
      </c>
      <c r="N995" s="116">
        <v>552.06677687172601</v>
      </c>
      <c r="O995" s="116">
        <v>539.93180824319802</v>
      </c>
      <c r="P995" s="116">
        <v>548.55011249366203</v>
      </c>
      <c r="Q995" s="116">
        <v>1092.75</v>
      </c>
      <c r="R995">
        <v>7446457</v>
      </c>
    </row>
    <row r="996" spans="1:18" x14ac:dyDescent="0.25">
      <c r="A996" s="170">
        <v>43469</v>
      </c>
      <c r="B996" s="116">
        <v>546.970090831363</v>
      </c>
      <c r="C996" s="116">
        <v>544.34507024784705</v>
      </c>
      <c r="D996" s="116">
        <v>535.52896338245205</v>
      </c>
      <c r="E996" s="116">
        <v>543.82501900016905</v>
      </c>
      <c r="F996" s="116">
        <v>1099.05</v>
      </c>
      <c r="G996">
        <v>397992</v>
      </c>
      <c r="H996" s="116"/>
      <c r="I996" s="116"/>
      <c r="L996" s="170">
        <v>43469</v>
      </c>
      <c r="M996" s="116">
        <v>544.16666464213301</v>
      </c>
      <c r="N996" s="116">
        <v>547.03943272562105</v>
      </c>
      <c r="O996" s="116">
        <v>535.47406466537097</v>
      </c>
      <c r="P996" s="116">
        <v>543.54753358965695</v>
      </c>
      <c r="Q996" s="116">
        <v>1098.6500000000001</v>
      </c>
      <c r="R996">
        <v>8465141</v>
      </c>
    </row>
    <row r="997" spans="1:18" x14ac:dyDescent="0.25">
      <c r="A997" s="170">
        <v>43472</v>
      </c>
      <c r="B997" s="116">
        <v>553.705992706046</v>
      </c>
      <c r="C997" s="116">
        <v>546.52433261906799</v>
      </c>
      <c r="D997" s="116">
        <v>545.31087970782005</v>
      </c>
      <c r="E997" s="116">
        <v>547.36632035340301</v>
      </c>
      <c r="F997" s="116">
        <v>1103.45</v>
      </c>
      <c r="G997">
        <v>303180</v>
      </c>
      <c r="H997" s="116"/>
      <c r="I997" s="116"/>
      <c r="L997" s="170">
        <v>43472</v>
      </c>
      <c r="M997" s="116">
        <v>547.18802417821496</v>
      </c>
      <c r="N997" s="116">
        <v>553.97370051335099</v>
      </c>
      <c r="O997" s="116">
        <v>545.33063102078802</v>
      </c>
      <c r="P997" s="116">
        <v>548.30246007267203</v>
      </c>
      <c r="Q997" s="116">
        <v>1104.75</v>
      </c>
      <c r="R997">
        <v>5513559</v>
      </c>
    </row>
    <row r="998" spans="1:18" x14ac:dyDescent="0.25">
      <c r="A998" s="170">
        <v>43473</v>
      </c>
      <c r="B998" s="116">
        <v>549.71893314051704</v>
      </c>
      <c r="C998" s="116">
        <v>546.77197607034304</v>
      </c>
      <c r="D998" s="116">
        <v>542.88397388532303</v>
      </c>
      <c r="E998" s="116">
        <v>547.96066463646298</v>
      </c>
      <c r="F998" s="116">
        <v>1103.95</v>
      </c>
      <c r="G998">
        <v>513616</v>
      </c>
      <c r="H998" s="116"/>
      <c r="I998" s="116"/>
      <c r="L998" s="170">
        <v>43473</v>
      </c>
      <c r="M998" s="116">
        <v>547.13849369401703</v>
      </c>
      <c r="N998" s="116">
        <v>549.76360935651496</v>
      </c>
      <c r="O998" s="116">
        <v>542.85410681088399</v>
      </c>
      <c r="P998" s="116">
        <v>547.36138087290897</v>
      </c>
      <c r="Q998" s="116">
        <v>1104.6500000000001</v>
      </c>
      <c r="R998">
        <v>5625153</v>
      </c>
    </row>
    <row r="999" spans="1:18" x14ac:dyDescent="0.25">
      <c r="A999" s="170">
        <v>43474</v>
      </c>
      <c r="B999" s="116">
        <v>552.740183246073</v>
      </c>
      <c r="C999" s="116">
        <v>548.97600278669199</v>
      </c>
      <c r="D999" s="116">
        <v>544.07266245144399</v>
      </c>
      <c r="E999" s="116">
        <v>550.70950694561702</v>
      </c>
      <c r="F999" s="116">
        <v>1108.4000000000001</v>
      </c>
      <c r="G999">
        <v>338370</v>
      </c>
      <c r="H999" s="116"/>
      <c r="I999" s="116"/>
      <c r="L999" s="170">
        <v>43474</v>
      </c>
      <c r="M999" s="116">
        <v>550.1598532301</v>
      </c>
      <c r="N999" s="116">
        <v>553.25550849247895</v>
      </c>
      <c r="O999" s="116">
        <v>544.19142988423198</v>
      </c>
      <c r="P999" s="116">
        <v>550.77898428257595</v>
      </c>
      <c r="Q999" s="116">
        <v>1110.75</v>
      </c>
      <c r="R999">
        <v>5766805</v>
      </c>
    </row>
    <row r="1000" spans="1:18" x14ac:dyDescent="0.25">
      <c r="A1000" s="170">
        <v>43475</v>
      </c>
      <c r="B1000" s="116">
        <v>550.09039831742996</v>
      </c>
      <c r="C1000" s="116">
        <v>547.61396380467795</v>
      </c>
      <c r="D1000" s="116">
        <v>545.85569530062503</v>
      </c>
      <c r="E1000" s="116">
        <v>548.97600278669199</v>
      </c>
      <c r="F1000" s="116">
        <v>1105.6500000000001</v>
      </c>
      <c r="G1000">
        <v>203576</v>
      </c>
      <c r="H1000" s="116"/>
      <c r="I1000" s="116"/>
      <c r="L1000" s="170">
        <v>43475</v>
      </c>
      <c r="M1000" s="116">
        <v>548.55011249366203</v>
      </c>
      <c r="N1000" s="116">
        <v>550.28367944059505</v>
      </c>
      <c r="O1000" s="116">
        <v>546.32124070474902</v>
      </c>
      <c r="P1000" s="116">
        <v>548.67393870415799</v>
      </c>
      <c r="Q1000" s="116">
        <v>1107.5</v>
      </c>
      <c r="R1000">
        <v>4080283</v>
      </c>
    </row>
    <row r="1001" spans="1:18" x14ac:dyDescent="0.25">
      <c r="A1001" s="170">
        <v>43476</v>
      </c>
      <c r="B1001" s="116">
        <v>551.74960944097302</v>
      </c>
      <c r="C1001" s="116">
        <v>543.77549030991395</v>
      </c>
      <c r="D1001" s="116">
        <v>539.61508032849201</v>
      </c>
      <c r="E1001" s="116">
        <v>549.421760998987</v>
      </c>
      <c r="F1001" s="116">
        <v>1097.9000000000001</v>
      </c>
      <c r="G1001">
        <v>477873</v>
      </c>
      <c r="H1001" s="116"/>
      <c r="I1001" s="116"/>
      <c r="L1001" s="170">
        <v>43476</v>
      </c>
      <c r="M1001" s="116">
        <v>543.86948173694395</v>
      </c>
      <c r="N1001" s="116">
        <v>551.67053299814097</v>
      </c>
      <c r="O1001" s="116">
        <v>539.18885098022599</v>
      </c>
      <c r="P1001" s="116">
        <v>548.59964297785996</v>
      </c>
      <c r="Q1001" s="116">
        <v>1098.05</v>
      </c>
      <c r="R1001">
        <v>6463903</v>
      </c>
    </row>
    <row r="1002" spans="1:18" x14ac:dyDescent="0.25">
      <c r="A1002" s="170">
        <v>43479</v>
      </c>
      <c r="B1002" s="116">
        <v>545.80616661037004</v>
      </c>
      <c r="C1002" s="116">
        <v>543.057324301216</v>
      </c>
      <c r="D1002" s="116">
        <v>538.00539789520406</v>
      </c>
      <c r="E1002" s="116">
        <v>543.18114602685398</v>
      </c>
      <c r="F1002" s="116">
        <v>1096.45</v>
      </c>
      <c r="G1002">
        <v>258020</v>
      </c>
      <c r="H1002" s="116"/>
      <c r="I1002" s="116"/>
      <c r="L1002" s="170">
        <v>43479</v>
      </c>
      <c r="M1002" s="116">
        <v>543.250350684468</v>
      </c>
      <c r="N1002" s="116">
        <v>545.082978599797</v>
      </c>
      <c r="O1002" s="116">
        <v>538.09918032786902</v>
      </c>
      <c r="P1002" s="116">
        <v>542.35880196890298</v>
      </c>
      <c r="Q1002" s="116">
        <v>1096.8</v>
      </c>
      <c r="R1002">
        <v>4111782</v>
      </c>
    </row>
    <row r="1003" spans="1:18" x14ac:dyDescent="0.25">
      <c r="A1003" s="170">
        <v>43480</v>
      </c>
      <c r="B1003" s="116">
        <v>560.81335975764205</v>
      </c>
      <c r="C1003" s="116">
        <v>559.45132077562903</v>
      </c>
      <c r="D1003" s="116">
        <v>546.40051089343001</v>
      </c>
      <c r="E1003" s="116">
        <v>546.40051089343001</v>
      </c>
      <c r="F1003" s="116">
        <v>1129.55</v>
      </c>
      <c r="G1003">
        <v>661895</v>
      </c>
      <c r="H1003" s="116"/>
      <c r="I1003" s="116"/>
      <c r="L1003" s="170">
        <v>43480</v>
      </c>
      <c r="M1003" s="116">
        <v>559.52111474353603</v>
      </c>
      <c r="N1003" s="116">
        <v>560.68508112219001</v>
      </c>
      <c r="O1003" s="116">
        <v>547.31185038871001</v>
      </c>
      <c r="P1003" s="116">
        <v>547.31185038871001</v>
      </c>
      <c r="Q1003" s="116">
        <v>1129.6500000000001</v>
      </c>
      <c r="R1003">
        <v>10062875</v>
      </c>
    </row>
    <row r="1004" spans="1:18" x14ac:dyDescent="0.25">
      <c r="A1004" s="170">
        <v>43481</v>
      </c>
      <c r="B1004" s="116">
        <v>566.93015300413799</v>
      </c>
      <c r="C1004" s="116">
        <v>561.68011183710496</v>
      </c>
      <c r="D1004" s="116">
        <v>559.79802160741394</v>
      </c>
      <c r="E1004" s="116">
        <v>562.00204832376301</v>
      </c>
      <c r="F1004" s="116">
        <v>1134.05</v>
      </c>
      <c r="G1004">
        <v>465380</v>
      </c>
      <c r="H1004" s="116"/>
      <c r="I1004" s="116"/>
      <c r="L1004" s="170">
        <v>43481</v>
      </c>
      <c r="M1004" s="116">
        <v>562.61677000591499</v>
      </c>
      <c r="N1004" s="116">
        <v>567.12404406793996</v>
      </c>
      <c r="O1004" s="116">
        <v>559.867828132922</v>
      </c>
      <c r="P1004" s="116">
        <v>562.17099564813202</v>
      </c>
      <c r="Q1004" s="116">
        <v>1135.9000000000001</v>
      </c>
      <c r="R1004">
        <v>6382777</v>
      </c>
    </row>
    <row r="1005" spans="1:18" x14ac:dyDescent="0.25">
      <c r="A1005" s="170">
        <v>43482</v>
      </c>
      <c r="B1005" s="116">
        <v>568.49030674717096</v>
      </c>
      <c r="C1005" s="116">
        <v>561.53152576634</v>
      </c>
      <c r="D1005" s="116">
        <v>559.22844166948198</v>
      </c>
      <c r="E1005" s="116">
        <v>565.12235580982997</v>
      </c>
      <c r="F1005" s="116">
        <v>1133.75</v>
      </c>
      <c r="G1005">
        <v>776161</v>
      </c>
      <c r="H1005" s="116"/>
      <c r="I1005" s="116"/>
      <c r="L1005" s="170">
        <v>43482</v>
      </c>
      <c r="M1005" s="116">
        <v>561.89857798504295</v>
      </c>
      <c r="N1005" s="116">
        <v>568.56042810968404</v>
      </c>
      <c r="O1005" s="116">
        <v>559.69447143822902</v>
      </c>
      <c r="P1005" s="116">
        <v>566.85162640484998</v>
      </c>
      <c r="Q1005" s="116">
        <v>1134.45</v>
      </c>
      <c r="R1005">
        <v>7487963</v>
      </c>
    </row>
    <row r="1006" spans="1:18" x14ac:dyDescent="0.25">
      <c r="A1006" s="170">
        <v>43483</v>
      </c>
      <c r="B1006" s="116">
        <v>589.01994885787894</v>
      </c>
      <c r="C1006" s="116">
        <v>585.89964137181198</v>
      </c>
      <c r="D1006" s="116">
        <v>562.39827784580302</v>
      </c>
      <c r="E1006" s="116">
        <v>569.43135186201698</v>
      </c>
      <c r="F1006" s="116">
        <v>1182.95</v>
      </c>
      <c r="G1006">
        <v>1808806</v>
      </c>
      <c r="H1006" s="116"/>
      <c r="I1006" s="116"/>
      <c r="L1006" s="170">
        <v>43483</v>
      </c>
      <c r="M1006" s="116">
        <v>586.614289599882</v>
      </c>
      <c r="N1006" s="116">
        <v>589.36323147287499</v>
      </c>
      <c r="O1006" s="116">
        <v>562.29482185862798</v>
      </c>
      <c r="P1006" s="116">
        <v>569.00620246746701</v>
      </c>
      <c r="Q1006" s="116">
        <v>1184.3499999999999</v>
      </c>
      <c r="R1006">
        <v>25684142</v>
      </c>
    </row>
    <row r="1007" spans="1:18" x14ac:dyDescent="0.25">
      <c r="A1007" s="170">
        <v>43486</v>
      </c>
      <c r="B1007" s="116">
        <v>612.86801321567305</v>
      </c>
      <c r="C1007" s="116">
        <v>611.43168119827703</v>
      </c>
      <c r="D1007" s="116">
        <v>589.267592309154</v>
      </c>
      <c r="E1007" s="116">
        <v>591.32303295473798</v>
      </c>
      <c r="F1007" s="116">
        <v>1234.5</v>
      </c>
      <c r="G1007">
        <v>1461187</v>
      </c>
      <c r="H1007" s="116"/>
      <c r="I1007" s="116"/>
      <c r="L1007" s="170">
        <v>43486</v>
      </c>
      <c r="M1007" s="116">
        <v>613.03880291955397</v>
      </c>
      <c r="N1007" s="116">
        <v>614.15323881401002</v>
      </c>
      <c r="O1007" s="116">
        <v>588.74410042039904</v>
      </c>
      <c r="P1007" s="116">
        <v>591.39398132499605</v>
      </c>
      <c r="Q1007" s="116">
        <v>1237.7</v>
      </c>
      <c r="R1007">
        <v>22038534</v>
      </c>
    </row>
    <row r="1008" spans="1:18" x14ac:dyDescent="0.25">
      <c r="A1008" s="170">
        <v>43487</v>
      </c>
      <c r="B1008" s="116">
        <v>617.25130230324305</v>
      </c>
      <c r="C1008" s="116">
        <v>611.55550292391501</v>
      </c>
      <c r="D1008" s="116">
        <v>603.95284896976898</v>
      </c>
      <c r="E1008" s="116">
        <v>611.18403774700198</v>
      </c>
      <c r="F1008" s="116">
        <v>1234.75</v>
      </c>
      <c r="G1008">
        <v>1241159</v>
      </c>
      <c r="H1008" s="116"/>
      <c r="I1008" s="116"/>
      <c r="L1008" s="170">
        <v>43487</v>
      </c>
      <c r="M1008" s="116">
        <v>611.77577557250299</v>
      </c>
      <c r="N1008" s="116">
        <v>617.62037270787596</v>
      </c>
      <c r="O1008" s="116">
        <v>604.07378527970297</v>
      </c>
      <c r="P1008" s="116">
        <v>610.63657443594695</v>
      </c>
      <c r="Q1008" s="116">
        <v>1235.1500000000001</v>
      </c>
      <c r="R1008">
        <v>16552819</v>
      </c>
    </row>
    <row r="1009" spans="1:18" x14ac:dyDescent="0.25">
      <c r="A1009" s="170">
        <v>43488</v>
      </c>
      <c r="B1009" s="116">
        <v>616.13690677250497</v>
      </c>
      <c r="C1009" s="116">
        <v>607.07315645583503</v>
      </c>
      <c r="D1009" s="116">
        <v>605.48823836767394</v>
      </c>
      <c r="E1009" s="116">
        <v>610.88686560547205</v>
      </c>
      <c r="F1009" s="116">
        <v>1225.7</v>
      </c>
      <c r="G1009">
        <v>419632</v>
      </c>
      <c r="H1009" s="116"/>
      <c r="I1009" s="116"/>
      <c r="L1009" s="170">
        <v>43488</v>
      </c>
      <c r="M1009" s="116">
        <v>607.39232772097296</v>
      </c>
      <c r="N1009" s="116">
        <v>616.258284392429</v>
      </c>
      <c r="O1009" s="116">
        <v>605.26251690045603</v>
      </c>
      <c r="P1009" s="116">
        <v>610.85946161483901</v>
      </c>
      <c r="Q1009" s="116">
        <v>1226.3</v>
      </c>
      <c r="R1009">
        <v>8829502</v>
      </c>
    </row>
    <row r="1010" spans="1:18" x14ac:dyDescent="0.25">
      <c r="A1010" s="170">
        <v>43489</v>
      </c>
      <c r="B1010" s="116">
        <v>619.97538026726897</v>
      </c>
      <c r="C1010" s="116">
        <v>616.83030843607503</v>
      </c>
      <c r="D1010" s="116">
        <v>604.29954980155401</v>
      </c>
      <c r="E1010" s="116">
        <v>606.75121996917801</v>
      </c>
      <c r="F1010" s="116">
        <v>1245.4000000000001</v>
      </c>
      <c r="G1010">
        <v>946733</v>
      </c>
      <c r="H1010" s="116"/>
      <c r="I1010" s="116"/>
      <c r="L1010" s="170">
        <v>43489</v>
      </c>
      <c r="M1010" s="116">
        <v>617.86802512886595</v>
      </c>
      <c r="N1010" s="116">
        <v>620.71602797025503</v>
      </c>
      <c r="O1010" s="116">
        <v>604.32143770069297</v>
      </c>
      <c r="P1010" s="116">
        <v>606.74843142639895</v>
      </c>
      <c r="Q1010" s="116">
        <v>1247.45</v>
      </c>
      <c r="R1010">
        <v>13155185</v>
      </c>
    </row>
    <row r="1011" spans="1:18" x14ac:dyDescent="0.25">
      <c r="A1011" s="170">
        <v>43490</v>
      </c>
      <c r="B1011" s="116">
        <v>625.54735792095903</v>
      </c>
      <c r="C1011" s="116">
        <v>617.25130230324305</v>
      </c>
      <c r="D1011" s="116">
        <v>612.44701934850502</v>
      </c>
      <c r="E1011" s="116">
        <v>619.15815687806105</v>
      </c>
      <c r="F1011" s="116">
        <v>1246.25</v>
      </c>
      <c r="G1011">
        <v>516086</v>
      </c>
      <c r="H1011" s="116"/>
      <c r="I1011" s="116"/>
      <c r="L1011" s="170">
        <v>43490</v>
      </c>
      <c r="M1011" s="116">
        <v>617.14983310799403</v>
      </c>
      <c r="N1011" s="116">
        <v>626.41203365303397</v>
      </c>
      <c r="O1011" s="116">
        <v>611.89960178299805</v>
      </c>
      <c r="P1011" s="116">
        <v>619.35393965480796</v>
      </c>
      <c r="Q1011" s="116">
        <v>1246</v>
      </c>
      <c r="R1011">
        <v>8550836</v>
      </c>
    </row>
    <row r="1012" spans="1:18" x14ac:dyDescent="0.25">
      <c r="A1012" s="170">
        <v>43493</v>
      </c>
      <c r="B1012" s="116">
        <v>621.807941806705</v>
      </c>
      <c r="C1012" s="116">
        <v>609.00477537578104</v>
      </c>
      <c r="D1012" s="116">
        <v>605.11677319076205</v>
      </c>
      <c r="E1012" s="116">
        <v>620.59448889545695</v>
      </c>
      <c r="F1012" s="116">
        <v>1229.5999999999999</v>
      </c>
      <c r="G1012">
        <v>787401</v>
      </c>
      <c r="H1012" s="116"/>
      <c r="I1012" s="116"/>
      <c r="L1012" s="170">
        <v>43493</v>
      </c>
      <c r="M1012" s="116">
        <v>609.00206845741104</v>
      </c>
      <c r="N1012" s="116">
        <v>622.07811628570198</v>
      </c>
      <c r="O1012" s="116">
        <v>605.46063883724901</v>
      </c>
      <c r="P1012" s="116">
        <v>619.37870489690704</v>
      </c>
      <c r="Q1012" s="116">
        <v>1229.55</v>
      </c>
      <c r="R1012">
        <v>8569265</v>
      </c>
    </row>
    <row r="1013" spans="1:18" x14ac:dyDescent="0.25">
      <c r="A1013" s="170">
        <v>43494</v>
      </c>
      <c r="B1013" s="116">
        <v>610.14393525164701</v>
      </c>
      <c r="C1013" s="116">
        <v>599.74291029809206</v>
      </c>
      <c r="D1013" s="116">
        <v>595.13674210437398</v>
      </c>
      <c r="E1013" s="116">
        <v>609.20289013680099</v>
      </c>
      <c r="F1013" s="116">
        <v>1210.9000000000001</v>
      </c>
      <c r="G1013">
        <v>578115</v>
      </c>
      <c r="H1013" s="116"/>
      <c r="I1013" s="116"/>
      <c r="L1013" s="170">
        <v>43494</v>
      </c>
      <c r="M1013" s="116">
        <v>599.64080694397501</v>
      </c>
      <c r="N1013" s="116">
        <v>610.04220862556997</v>
      </c>
      <c r="O1013" s="116">
        <v>595.03447191355394</v>
      </c>
      <c r="P1013" s="116">
        <v>609.72026047828297</v>
      </c>
      <c r="Q1013" s="116">
        <v>1210.6500000000001</v>
      </c>
      <c r="R1013">
        <v>9328866</v>
      </c>
    </row>
    <row r="1014" spans="1:18" x14ac:dyDescent="0.25">
      <c r="A1014" s="170">
        <v>43495</v>
      </c>
      <c r="B1014" s="116">
        <v>606.67692693379502</v>
      </c>
      <c r="C1014" s="116">
        <v>591.76879116703299</v>
      </c>
      <c r="D1014" s="116">
        <v>589.66382183119401</v>
      </c>
      <c r="E1014" s="116">
        <v>601.77358659854804</v>
      </c>
      <c r="F1014" s="116">
        <v>1194.8</v>
      </c>
      <c r="G1014">
        <v>450085</v>
      </c>
      <c r="H1014" s="116"/>
      <c r="I1014" s="116"/>
      <c r="L1014" s="170">
        <v>43495</v>
      </c>
      <c r="M1014" s="116">
        <v>592.23599955636303</v>
      </c>
      <c r="N1014" s="116">
        <v>606.74843142639895</v>
      </c>
      <c r="O1014" s="116">
        <v>589.95759728325197</v>
      </c>
      <c r="P1014" s="116">
        <v>601.79538300659101</v>
      </c>
      <c r="Q1014" s="116">
        <v>1195.7</v>
      </c>
      <c r="R1014">
        <v>7846940</v>
      </c>
    </row>
    <row r="1015" spans="1:18" x14ac:dyDescent="0.25">
      <c r="A1015" s="170">
        <v>43496</v>
      </c>
      <c r="B1015" s="116">
        <v>609.10383275629101</v>
      </c>
      <c r="C1015" s="116">
        <v>607.766558119406</v>
      </c>
      <c r="D1015" s="116">
        <v>594.83956996284405</v>
      </c>
      <c r="E1015" s="116">
        <v>594.83956996284405</v>
      </c>
      <c r="F1015" s="116">
        <v>1227.0999999999999</v>
      </c>
      <c r="G1015">
        <v>620899</v>
      </c>
      <c r="H1015" s="116"/>
      <c r="I1015" s="116"/>
      <c r="L1015" s="170">
        <v>43496</v>
      </c>
      <c r="M1015" s="116">
        <v>607.81333683665696</v>
      </c>
      <c r="N1015" s="116">
        <v>609.07636418370805</v>
      </c>
      <c r="O1015" s="116">
        <v>594.86111521886096</v>
      </c>
      <c r="P1015" s="116">
        <v>595.35642006084197</v>
      </c>
      <c r="Q1015" s="116">
        <v>1227.1500000000001</v>
      </c>
      <c r="R1015">
        <v>10185347</v>
      </c>
    </row>
    <row r="1016" spans="1:18" x14ac:dyDescent="0.25">
      <c r="A1016" s="170">
        <v>43497</v>
      </c>
      <c r="B1016" s="116">
        <v>620.59448889545695</v>
      </c>
      <c r="C1016" s="116">
        <v>617.77135355092003</v>
      </c>
      <c r="D1016" s="116">
        <v>607.09792080096304</v>
      </c>
      <c r="E1016" s="116">
        <v>611.18403774700198</v>
      </c>
      <c r="F1016" s="116">
        <v>1247.3</v>
      </c>
      <c r="G1016">
        <v>927747</v>
      </c>
      <c r="H1016" s="116"/>
      <c r="I1016" s="116"/>
      <c r="L1016" s="170">
        <v>43497</v>
      </c>
      <c r="M1016" s="116">
        <v>619.10628723381797</v>
      </c>
      <c r="N1016" s="116">
        <v>621.60757668582096</v>
      </c>
      <c r="O1016" s="116">
        <v>607.76380635245903</v>
      </c>
      <c r="P1016" s="116">
        <v>611.20617500422497</v>
      </c>
      <c r="Q1016" s="116">
        <v>1249.95</v>
      </c>
      <c r="R1016">
        <v>9228965</v>
      </c>
    </row>
    <row r="1017" spans="1:18" x14ac:dyDescent="0.25">
      <c r="A1017" s="170">
        <v>43500</v>
      </c>
      <c r="B1017" s="116">
        <v>642.38711260766797</v>
      </c>
      <c r="C1017" s="116">
        <v>639.48968422774897</v>
      </c>
      <c r="D1017" s="116">
        <v>616.63219367505496</v>
      </c>
      <c r="E1017" s="116">
        <v>616.90460147145802</v>
      </c>
      <c r="F1017" s="116">
        <v>1291.1500000000001</v>
      </c>
      <c r="G1017">
        <v>1105463</v>
      </c>
      <c r="H1017" s="116"/>
      <c r="I1017" s="116"/>
      <c r="L1017" s="170">
        <v>43500</v>
      </c>
      <c r="M1017" s="116">
        <v>639.38902051292905</v>
      </c>
      <c r="N1017" s="116">
        <v>642.38561480691203</v>
      </c>
      <c r="O1017" s="116">
        <v>615.19337898216997</v>
      </c>
      <c r="P1017" s="116">
        <v>617.64513794997504</v>
      </c>
      <c r="Q1017" s="116">
        <v>1290.9000000000001</v>
      </c>
      <c r="R1017">
        <v>11670570</v>
      </c>
    </row>
    <row r="1018" spans="1:18" x14ac:dyDescent="0.25">
      <c r="A1018" s="170">
        <v>43501</v>
      </c>
      <c r="B1018" s="116">
        <v>645.97794265115704</v>
      </c>
      <c r="C1018" s="116">
        <v>639.06869036058094</v>
      </c>
      <c r="D1018" s="116">
        <v>633.27383360074305</v>
      </c>
      <c r="E1018" s="116">
        <v>639.91067809491597</v>
      </c>
      <c r="F1018" s="116">
        <v>1290.3</v>
      </c>
      <c r="G1018">
        <v>945879</v>
      </c>
      <c r="H1018" s="116"/>
      <c r="I1018" s="116"/>
      <c r="L1018" s="170">
        <v>43501</v>
      </c>
      <c r="M1018" s="116">
        <v>639.71096866021605</v>
      </c>
      <c r="N1018" s="116">
        <v>646.07563587966899</v>
      </c>
      <c r="O1018" s="116">
        <v>633.29677095656598</v>
      </c>
      <c r="P1018" s="116">
        <v>639.93385583910799</v>
      </c>
      <c r="Q1018" s="116">
        <v>1291.55</v>
      </c>
      <c r="R1018">
        <v>9362406</v>
      </c>
    </row>
    <row r="1019" spans="1:18" x14ac:dyDescent="0.25">
      <c r="A1019" s="170">
        <v>43502</v>
      </c>
      <c r="B1019" s="116">
        <v>652.04520720739697</v>
      </c>
      <c r="C1019" s="116">
        <v>648.75154930543795</v>
      </c>
      <c r="D1019" s="116">
        <v>639.91067809491597</v>
      </c>
      <c r="E1019" s="116">
        <v>642.88239951021797</v>
      </c>
      <c r="F1019" s="116">
        <v>1309.8499999999999</v>
      </c>
      <c r="G1019">
        <v>1086608</v>
      </c>
      <c r="H1019" s="116"/>
      <c r="I1019" s="116"/>
      <c r="L1019" s="170">
        <v>43502</v>
      </c>
      <c r="M1019" s="116">
        <v>648.973169205256</v>
      </c>
      <c r="N1019" s="116">
        <v>652.638425035914</v>
      </c>
      <c r="O1019" s="116">
        <v>641.04829173356404</v>
      </c>
      <c r="P1019" s="116">
        <v>642.03890141752595</v>
      </c>
      <c r="Q1019" s="116">
        <v>1310.25</v>
      </c>
      <c r="R1019">
        <v>9411585</v>
      </c>
    </row>
    <row r="1020" spans="1:18" x14ac:dyDescent="0.25">
      <c r="A1020" s="170">
        <v>43503</v>
      </c>
      <c r="B1020" s="116">
        <v>654.19970523349104</v>
      </c>
      <c r="C1020" s="116">
        <v>639.01916167032596</v>
      </c>
      <c r="D1020" s="116">
        <v>636.83989929910501</v>
      </c>
      <c r="E1020" s="116">
        <v>649.29636489824395</v>
      </c>
      <c r="F1020" s="116">
        <v>1290.2</v>
      </c>
      <c r="G1020">
        <v>739962</v>
      </c>
      <c r="H1020" s="116"/>
      <c r="I1020" s="116"/>
      <c r="L1020" s="170">
        <v>43503</v>
      </c>
      <c r="M1020" s="116">
        <v>639.14136809193803</v>
      </c>
      <c r="N1020" s="116">
        <v>654.39675722494496</v>
      </c>
      <c r="O1020" s="116">
        <v>637.011557271421</v>
      </c>
      <c r="P1020" s="116">
        <v>648.973169205256</v>
      </c>
      <c r="Q1020" s="116">
        <v>1290.4000000000001</v>
      </c>
      <c r="R1020">
        <v>9212227</v>
      </c>
    </row>
    <row r="1021" spans="1:18" x14ac:dyDescent="0.25">
      <c r="A1021" s="170">
        <v>43504</v>
      </c>
      <c r="B1021" s="116">
        <v>643.22910034200299</v>
      </c>
      <c r="C1021" s="116">
        <v>632.65472497255496</v>
      </c>
      <c r="D1021" s="116">
        <v>630.12876176954899</v>
      </c>
      <c r="E1021" s="116">
        <v>637.43424358216498</v>
      </c>
      <c r="F1021" s="116">
        <v>1277.3499999999999</v>
      </c>
      <c r="G1021">
        <v>872003</v>
      </c>
      <c r="H1021" s="116"/>
      <c r="I1021" s="116"/>
      <c r="L1021" s="170">
        <v>43504</v>
      </c>
      <c r="M1021" s="116">
        <v>632.85099659878301</v>
      </c>
      <c r="N1021" s="116">
        <v>644.14394699594402</v>
      </c>
      <c r="O1021" s="116">
        <v>630.15158520998796</v>
      </c>
      <c r="P1021" s="116">
        <v>636.36766097684597</v>
      </c>
      <c r="Q1021" s="116">
        <v>1277.7</v>
      </c>
      <c r="R1021">
        <v>6505502</v>
      </c>
    </row>
    <row r="1022" spans="1:18" x14ac:dyDescent="0.25">
      <c r="A1022" s="170">
        <v>43507</v>
      </c>
      <c r="B1022" s="116">
        <v>632.48137455666301</v>
      </c>
      <c r="C1022" s="116">
        <v>620.81736800160502</v>
      </c>
      <c r="D1022" s="116">
        <v>619.60391509035605</v>
      </c>
      <c r="E1022" s="116">
        <v>632.48137455666301</v>
      </c>
      <c r="F1022" s="116">
        <v>1253.45</v>
      </c>
      <c r="G1022">
        <v>330991</v>
      </c>
      <c r="H1022" s="116"/>
      <c r="I1022" s="116"/>
      <c r="L1022" s="170">
        <v>43507</v>
      </c>
      <c r="M1022" s="116">
        <v>620.74079321235399</v>
      </c>
      <c r="N1022" s="116">
        <v>632.00897836741603</v>
      </c>
      <c r="O1022" s="116">
        <v>619.62635731789806</v>
      </c>
      <c r="P1022" s="116">
        <v>631.95944788321799</v>
      </c>
      <c r="Q1022" s="116">
        <v>1253.25</v>
      </c>
      <c r="R1022">
        <v>7523999</v>
      </c>
    </row>
    <row r="1023" spans="1:18" x14ac:dyDescent="0.25">
      <c r="A1023" s="170">
        <v>43508</v>
      </c>
      <c r="B1023" s="116">
        <v>630.00494004391203</v>
      </c>
      <c r="C1023" s="116">
        <v>622.42705043489298</v>
      </c>
      <c r="D1023" s="116">
        <v>620.04967330265197</v>
      </c>
      <c r="E1023" s="116">
        <v>620.59448889545695</v>
      </c>
      <c r="F1023" s="116">
        <v>1256.7</v>
      </c>
      <c r="G1023">
        <v>435053</v>
      </c>
      <c r="H1023" s="116"/>
      <c r="I1023" s="116"/>
      <c r="L1023" s="170">
        <v>43508</v>
      </c>
      <c r="M1023" s="116">
        <v>622.30100346459403</v>
      </c>
      <c r="N1023" s="116">
        <v>630.201115694186</v>
      </c>
      <c r="O1023" s="116">
        <v>619.87400973888805</v>
      </c>
      <c r="P1023" s="116">
        <v>619.87400973888805</v>
      </c>
      <c r="Q1023" s="116">
        <v>1256.4000000000001</v>
      </c>
      <c r="R1023">
        <v>6399485</v>
      </c>
    </row>
    <row r="1024" spans="1:18" x14ac:dyDescent="0.25">
      <c r="A1024" s="170">
        <v>43509</v>
      </c>
      <c r="B1024" s="116">
        <v>630.45069825620703</v>
      </c>
      <c r="C1024" s="116">
        <v>616.33502153352504</v>
      </c>
      <c r="D1024" s="116">
        <v>611.679324649553</v>
      </c>
      <c r="E1024" s="116">
        <v>624.55678411585905</v>
      </c>
      <c r="F1024" s="116">
        <v>1244.4000000000001</v>
      </c>
      <c r="G1024">
        <v>712025</v>
      </c>
      <c r="H1024" s="116"/>
      <c r="I1024" s="116"/>
      <c r="L1024" s="170">
        <v>43509</v>
      </c>
      <c r="M1024" s="116">
        <v>617.12506786589495</v>
      </c>
      <c r="N1024" s="116">
        <v>630.99360344135596</v>
      </c>
      <c r="O1024" s="116">
        <v>612.07295847769103</v>
      </c>
      <c r="P1024" s="116">
        <v>624.57940573770497</v>
      </c>
      <c r="Q1024" s="116">
        <v>1245.95</v>
      </c>
      <c r="R1024">
        <v>6964042</v>
      </c>
    </row>
    <row r="1025" spans="1:18" x14ac:dyDescent="0.25">
      <c r="A1025" s="170">
        <v>43510</v>
      </c>
      <c r="B1025" s="116">
        <v>615.49303379918899</v>
      </c>
      <c r="C1025" s="116">
        <v>606.97409907532494</v>
      </c>
      <c r="D1025" s="116">
        <v>603.308975996453</v>
      </c>
      <c r="E1025" s="116">
        <v>614.27958088794105</v>
      </c>
      <c r="F1025" s="116">
        <v>1225.5</v>
      </c>
      <c r="G1025">
        <v>378130</v>
      </c>
      <c r="H1025" s="116"/>
      <c r="I1025" s="116"/>
      <c r="L1025" s="170">
        <v>43510</v>
      </c>
      <c r="M1025" s="116">
        <v>606.35218755281403</v>
      </c>
      <c r="N1025" s="116">
        <v>614.67330889809</v>
      </c>
      <c r="O1025" s="116">
        <v>603.28129753253302</v>
      </c>
      <c r="P1025" s="116">
        <v>614.67330889809</v>
      </c>
      <c r="Q1025" s="116">
        <v>1224.2</v>
      </c>
      <c r="R1025">
        <v>6627360</v>
      </c>
    </row>
    <row r="1026" spans="1:18" x14ac:dyDescent="0.25">
      <c r="A1026" s="170">
        <v>43511</v>
      </c>
      <c r="B1026" s="116">
        <v>618.36569783398102</v>
      </c>
      <c r="C1026" s="116">
        <v>615.88926332123003</v>
      </c>
      <c r="D1026" s="116">
        <v>601.77358659854804</v>
      </c>
      <c r="E1026" s="116">
        <v>606.72645562405</v>
      </c>
      <c r="F1026" s="116">
        <v>1243.5</v>
      </c>
      <c r="G1026">
        <v>641322</v>
      </c>
      <c r="H1026" s="116"/>
      <c r="I1026" s="116"/>
      <c r="L1026" s="170">
        <v>43511</v>
      </c>
      <c r="M1026" s="116">
        <v>616.38211060292394</v>
      </c>
      <c r="N1026" s="116">
        <v>619.081521991719</v>
      </c>
      <c r="O1026" s="116">
        <v>601.30007816461</v>
      </c>
      <c r="P1026" s="116">
        <v>609.10112942580702</v>
      </c>
      <c r="Q1026" s="116">
        <v>1244.45</v>
      </c>
      <c r="R1026">
        <v>9597961</v>
      </c>
    </row>
    <row r="1027" spans="1:18" x14ac:dyDescent="0.25">
      <c r="A1027" s="170">
        <v>43514</v>
      </c>
      <c r="B1027" s="116">
        <v>619.80202985137703</v>
      </c>
      <c r="C1027" s="116">
        <v>604.12619938566104</v>
      </c>
      <c r="D1027" s="116">
        <v>602.24410915597002</v>
      </c>
      <c r="E1027" s="116">
        <v>616.78077974582004</v>
      </c>
      <c r="F1027" s="116">
        <v>1219.75</v>
      </c>
      <c r="G1027">
        <v>796789</v>
      </c>
      <c r="H1027" s="116"/>
      <c r="I1027" s="116"/>
      <c r="L1027" s="170">
        <v>43514</v>
      </c>
      <c r="M1027" s="116">
        <v>604.32143770069297</v>
      </c>
      <c r="N1027" s="116">
        <v>620.36931458086895</v>
      </c>
      <c r="O1027" s="116">
        <v>601.79538300659101</v>
      </c>
      <c r="P1027" s="116">
        <v>619.13105247591704</v>
      </c>
      <c r="Q1027" s="116">
        <v>1220.0999999999999</v>
      </c>
      <c r="R1027">
        <v>9649017</v>
      </c>
    </row>
    <row r="1028" spans="1:18" x14ac:dyDescent="0.25">
      <c r="A1028" s="170">
        <v>43515</v>
      </c>
      <c r="B1028" s="116">
        <v>614.00717309153902</v>
      </c>
      <c r="C1028" s="116">
        <v>602.44222391698997</v>
      </c>
      <c r="D1028" s="116">
        <v>599.94102505911201</v>
      </c>
      <c r="E1028" s="116">
        <v>603.853791589259</v>
      </c>
      <c r="F1028" s="116">
        <v>1216.3499999999999</v>
      </c>
      <c r="G1028">
        <v>403246</v>
      </c>
      <c r="H1028" s="116"/>
      <c r="I1028" s="116"/>
      <c r="L1028" s="170">
        <v>43515</v>
      </c>
      <c r="M1028" s="116">
        <v>602.34021833276995</v>
      </c>
      <c r="N1028" s="116">
        <v>614.02941260351497</v>
      </c>
      <c r="O1028" s="116">
        <v>599.91322460706397</v>
      </c>
      <c r="P1028" s="116">
        <v>603.28129753253302</v>
      </c>
      <c r="Q1028" s="116">
        <v>1216.0999999999999</v>
      </c>
      <c r="R1028">
        <v>6244189</v>
      </c>
    </row>
    <row r="1029" spans="1:18" x14ac:dyDescent="0.25">
      <c r="A1029" s="170">
        <v>43516</v>
      </c>
      <c r="B1029" s="116">
        <v>613.78429398539095</v>
      </c>
      <c r="C1029" s="116">
        <v>611.35738816289495</v>
      </c>
      <c r="D1029" s="116">
        <v>603.63091248311105</v>
      </c>
      <c r="E1029" s="116">
        <v>607.27127121685498</v>
      </c>
      <c r="F1029" s="116">
        <v>1234.3499999999999</v>
      </c>
      <c r="G1029">
        <v>843803</v>
      </c>
      <c r="H1029" s="116"/>
      <c r="I1029" s="116"/>
      <c r="L1029" s="170">
        <v>43516</v>
      </c>
      <c r="M1029" s="116">
        <v>611.37953169891796</v>
      </c>
      <c r="N1029" s="116">
        <v>614.17800405611001</v>
      </c>
      <c r="O1029" s="116">
        <v>603.77660237451403</v>
      </c>
      <c r="P1029" s="116">
        <v>606.17883085812105</v>
      </c>
      <c r="Q1029" s="116">
        <v>1234.3499999999999</v>
      </c>
      <c r="R1029">
        <v>6298179</v>
      </c>
    </row>
    <row r="1030" spans="1:18" x14ac:dyDescent="0.25">
      <c r="A1030" s="170">
        <v>43517</v>
      </c>
      <c r="B1030" s="116">
        <v>622.42705043489298</v>
      </c>
      <c r="C1030" s="116">
        <v>617.35035968375303</v>
      </c>
      <c r="D1030" s="116">
        <v>609.30194751731096</v>
      </c>
      <c r="E1030" s="116">
        <v>612.17461155210299</v>
      </c>
      <c r="F1030" s="116">
        <v>1246.45</v>
      </c>
      <c r="G1030">
        <v>772710</v>
      </c>
      <c r="H1030" s="116"/>
      <c r="I1030" s="116"/>
      <c r="L1030" s="170">
        <v>43517</v>
      </c>
      <c r="M1030" s="116">
        <v>617.59560746577699</v>
      </c>
      <c r="N1030" s="116">
        <v>622.99443024336699</v>
      </c>
      <c r="O1030" s="116">
        <v>608.90300748901495</v>
      </c>
      <c r="P1030" s="116">
        <v>612.19678468818699</v>
      </c>
      <c r="Q1030" s="116">
        <v>1246.9000000000001</v>
      </c>
      <c r="R1030">
        <v>10580178</v>
      </c>
    </row>
    <row r="1031" spans="1:18" x14ac:dyDescent="0.25">
      <c r="A1031" s="170">
        <v>43518</v>
      </c>
      <c r="B1031" s="116">
        <v>617.07795188734997</v>
      </c>
      <c r="C1031" s="116">
        <v>610.49063608343204</v>
      </c>
      <c r="D1031" s="116">
        <v>607.27127121685498</v>
      </c>
      <c r="E1031" s="116">
        <v>614.77486779049195</v>
      </c>
      <c r="F1031" s="116">
        <v>1232.5999999999999</v>
      </c>
      <c r="G1031">
        <v>1034097</v>
      </c>
      <c r="H1031" s="116"/>
      <c r="I1031" s="116"/>
      <c r="L1031" s="170">
        <v>43518</v>
      </c>
      <c r="M1031" s="116">
        <v>610.38892201495696</v>
      </c>
      <c r="N1031" s="116">
        <v>616.80311971860704</v>
      </c>
      <c r="O1031" s="116">
        <v>607.24373626837905</v>
      </c>
      <c r="P1031" s="116">
        <v>616.45640632922095</v>
      </c>
      <c r="Q1031" s="116">
        <v>1232.3499999999999</v>
      </c>
      <c r="R1031">
        <v>8755865</v>
      </c>
    </row>
    <row r="1032" spans="1:18" x14ac:dyDescent="0.25">
      <c r="A1032" s="170">
        <v>43521</v>
      </c>
      <c r="B1032" s="116">
        <v>615.64161986995396</v>
      </c>
      <c r="C1032" s="116">
        <v>610.26775697728397</v>
      </c>
      <c r="D1032" s="116">
        <v>605.81017485433199</v>
      </c>
      <c r="E1032" s="116">
        <v>612.07555417159301</v>
      </c>
      <c r="F1032" s="116">
        <v>1232.1500000000001</v>
      </c>
      <c r="G1032">
        <v>367746</v>
      </c>
      <c r="H1032" s="116"/>
      <c r="I1032" s="116"/>
      <c r="L1032" s="170">
        <v>43521</v>
      </c>
      <c r="M1032" s="116">
        <v>610.364156772858</v>
      </c>
      <c r="N1032" s="116">
        <v>615.66391858205202</v>
      </c>
      <c r="O1032" s="116">
        <v>604.59385536378204</v>
      </c>
      <c r="P1032" s="116">
        <v>612.19678468818699</v>
      </c>
      <c r="Q1032" s="116">
        <v>1232.3</v>
      </c>
      <c r="R1032">
        <v>7852528</v>
      </c>
    </row>
    <row r="1033" spans="1:18" x14ac:dyDescent="0.25">
      <c r="A1033" s="170">
        <v>43522</v>
      </c>
      <c r="B1033" s="116">
        <v>610.98592298598203</v>
      </c>
      <c r="C1033" s="116">
        <v>604.10143504053406</v>
      </c>
      <c r="D1033" s="116">
        <v>597.39029751097803</v>
      </c>
      <c r="E1033" s="116">
        <v>601.476414457018</v>
      </c>
      <c r="F1033" s="116">
        <v>1219.7</v>
      </c>
      <c r="G1033">
        <v>520246</v>
      </c>
      <c r="H1033" s="116"/>
      <c r="I1033" s="116"/>
      <c r="L1033" s="170">
        <v>43522</v>
      </c>
      <c r="M1033" s="116">
        <v>604.39573342698998</v>
      </c>
      <c r="N1033" s="116">
        <v>611.60241887781001</v>
      </c>
      <c r="O1033" s="116">
        <v>597.33763942876499</v>
      </c>
      <c r="P1033" s="116">
        <v>599.07120637569699</v>
      </c>
      <c r="Q1033" s="116">
        <v>1220.25</v>
      </c>
      <c r="R1033">
        <v>10131050</v>
      </c>
    </row>
    <row r="1034" spans="1:18" x14ac:dyDescent="0.25">
      <c r="A1034" s="170">
        <v>43523</v>
      </c>
      <c r="B1034" s="116">
        <v>616.13690677250497</v>
      </c>
      <c r="C1034" s="116">
        <v>605.46347402254696</v>
      </c>
      <c r="D1034" s="116">
        <v>598.87615821862903</v>
      </c>
      <c r="E1034" s="116">
        <v>607.91514419017096</v>
      </c>
      <c r="F1034" s="116">
        <v>1222.45</v>
      </c>
      <c r="G1034">
        <v>575146</v>
      </c>
      <c r="H1034" s="116"/>
      <c r="I1034" s="116"/>
      <c r="L1034" s="170">
        <v>43523</v>
      </c>
      <c r="M1034" s="116">
        <v>606.00547416342704</v>
      </c>
      <c r="N1034" s="116">
        <v>616.60499778181497</v>
      </c>
      <c r="O1034" s="116">
        <v>598.82355395470699</v>
      </c>
      <c r="P1034" s="116">
        <v>608.25911119444004</v>
      </c>
      <c r="Q1034" s="116">
        <v>1223.5</v>
      </c>
      <c r="R1034">
        <v>11113182</v>
      </c>
    </row>
    <row r="1035" spans="1:18" x14ac:dyDescent="0.25">
      <c r="A1035" s="170">
        <v>43524</v>
      </c>
      <c r="B1035" s="116">
        <v>613.90811571102904</v>
      </c>
      <c r="C1035" s="116">
        <v>609.97058483575404</v>
      </c>
      <c r="D1035" s="116">
        <v>606.89980603994297</v>
      </c>
      <c r="E1035" s="116">
        <v>609.698177039352</v>
      </c>
      <c r="F1035" s="116">
        <v>1231.55</v>
      </c>
      <c r="G1035">
        <v>512236</v>
      </c>
      <c r="H1035" s="116"/>
      <c r="I1035" s="116"/>
      <c r="L1035" s="170">
        <v>43524</v>
      </c>
      <c r="M1035" s="116">
        <v>609.74502572038205</v>
      </c>
      <c r="N1035" s="116">
        <v>614.10370832981198</v>
      </c>
      <c r="O1035" s="116">
        <v>607.51615393146903</v>
      </c>
      <c r="P1035" s="116">
        <v>611.08234879373003</v>
      </c>
      <c r="Q1035" s="116">
        <v>1231.05</v>
      </c>
      <c r="R1035">
        <v>11286916</v>
      </c>
    </row>
    <row r="1036" spans="1:18" x14ac:dyDescent="0.25">
      <c r="A1036" s="170">
        <v>43525</v>
      </c>
      <c r="B1036" s="116">
        <v>615.39397641867902</v>
      </c>
      <c r="C1036" s="116">
        <v>607.56844335838503</v>
      </c>
      <c r="D1036" s="116">
        <v>605.46347402254696</v>
      </c>
      <c r="E1036" s="116">
        <v>611.679324649553</v>
      </c>
      <c r="F1036" s="116">
        <v>1226.7</v>
      </c>
      <c r="G1036">
        <v>507499</v>
      </c>
      <c r="H1036" s="116"/>
      <c r="I1036" s="116"/>
      <c r="L1036" s="170">
        <v>43525</v>
      </c>
      <c r="M1036" s="116">
        <v>607.26850151047802</v>
      </c>
      <c r="N1036" s="116">
        <v>615.34197043476399</v>
      </c>
      <c r="O1036" s="116">
        <v>605.386343110952</v>
      </c>
      <c r="P1036" s="116">
        <v>612.69208953016698</v>
      </c>
      <c r="Q1036" s="116">
        <v>1226.05</v>
      </c>
      <c r="R1036">
        <v>7922513</v>
      </c>
    </row>
    <row r="1037" spans="1:18" x14ac:dyDescent="0.25">
      <c r="A1037" s="170">
        <v>43529</v>
      </c>
      <c r="B1037" s="116">
        <v>613.85858702077405</v>
      </c>
      <c r="C1037" s="116">
        <v>612.645134109526</v>
      </c>
      <c r="D1037" s="116">
        <v>603.35850468670799</v>
      </c>
      <c r="E1037" s="116">
        <v>607.56844335838503</v>
      </c>
      <c r="F1037" s="116">
        <v>1236.95</v>
      </c>
      <c r="G1037">
        <v>586805</v>
      </c>
      <c r="H1037" s="116"/>
      <c r="I1037" s="116"/>
      <c r="L1037" s="170">
        <v>43529</v>
      </c>
      <c r="M1037" s="116">
        <v>613.01403767745501</v>
      </c>
      <c r="N1037" s="116">
        <v>614.07894308771301</v>
      </c>
      <c r="O1037" s="116">
        <v>603.57848043772196</v>
      </c>
      <c r="P1037" s="116">
        <v>605.95594367922899</v>
      </c>
      <c r="Q1037" s="116">
        <v>1237.6500000000001</v>
      </c>
      <c r="R1037">
        <v>7121509</v>
      </c>
    </row>
    <row r="1038" spans="1:18" x14ac:dyDescent="0.25">
      <c r="A1038" s="170">
        <v>43530</v>
      </c>
      <c r="B1038" s="116">
        <v>629.90588266340103</v>
      </c>
      <c r="C1038" s="116">
        <v>625.81976571736197</v>
      </c>
      <c r="D1038" s="116">
        <v>611.92696810082805</v>
      </c>
      <c r="E1038" s="116">
        <v>613.90811571102904</v>
      </c>
      <c r="F1038" s="116">
        <v>1263.55</v>
      </c>
      <c r="G1038">
        <v>736337</v>
      </c>
      <c r="H1038" s="116"/>
      <c r="I1038" s="116"/>
      <c r="L1038" s="170">
        <v>43530</v>
      </c>
      <c r="M1038" s="116">
        <v>626.46156413723202</v>
      </c>
      <c r="N1038" s="116">
        <v>630.57259432567196</v>
      </c>
      <c r="O1038" s="116">
        <v>611.75101033040403</v>
      </c>
      <c r="P1038" s="116">
        <v>614.07894308771301</v>
      </c>
      <c r="Q1038" s="116">
        <v>1264.8</v>
      </c>
      <c r="R1038">
        <v>12038231</v>
      </c>
    </row>
    <row r="1039" spans="1:18" x14ac:dyDescent="0.25">
      <c r="A1039" s="170">
        <v>43531</v>
      </c>
      <c r="B1039" s="116">
        <v>633.471948361763</v>
      </c>
      <c r="C1039" s="116">
        <v>628.94007320342803</v>
      </c>
      <c r="D1039" s="116">
        <v>623.51668162050305</v>
      </c>
      <c r="E1039" s="116">
        <v>625.39877185019395</v>
      </c>
      <c r="F1039" s="116">
        <v>1269.8499999999999</v>
      </c>
      <c r="G1039">
        <v>779193</v>
      </c>
      <c r="H1039" s="116"/>
      <c r="I1039" s="116"/>
      <c r="L1039" s="170">
        <v>43531</v>
      </c>
      <c r="M1039" s="116">
        <v>629.16097552602696</v>
      </c>
      <c r="N1039" s="116">
        <v>633.89113676694296</v>
      </c>
      <c r="O1039" s="116">
        <v>623.16778693805998</v>
      </c>
      <c r="P1039" s="116">
        <v>626.06532026364698</v>
      </c>
      <c r="Q1039" s="116">
        <v>1270.25</v>
      </c>
      <c r="R1039">
        <v>8109259</v>
      </c>
    </row>
    <row r="1040" spans="1:18" x14ac:dyDescent="0.25">
      <c r="A1040" s="170">
        <v>43532</v>
      </c>
      <c r="B1040" s="116">
        <v>630.99551384901201</v>
      </c>
      <c r="C1040" s="116">
        <v>627.33039077013996</v>
      </c>
      <c r="D1040" s="116">
        <v>624.80442756713398</v>
      </c>
      <c r="E1040" s="116">
        <v>626.56269607118702</v>
      </c>
      <c r="F1040" s="116">
        <v>1266.5999999999999</v>
      </c>
      <c r="G1040">
        <v>352593</v>
      </c>
      <c r="H1040" s="116"/>
      <c r="I1040" s="116"/>
      <c r="L1040" s="170">
        <v>43532</v>
      </c>
      <c r="M1040" s="116">
        <v>627.60076527378703</v>
      </c>
      <c r="N1040" s="116">
        <v>631.24125586234595</v>
      </c>
      <c r="O1040" s="116">
        <v>625.07471057968598</v>
      </c>
      <c r="P1040" s="116">
        <v>627.08069518970797</v>
      </c>
      <c r="Q1040" s="116">
        <v>1267.0999999999999</v>
      </c>
      <c r="R1040">
        <v>6040052</v>
      </c>
    </row>
    <row r="1041" spans="1:18" x14ac:dyDescent="0.25">
      <c r="A1041" s="170">
        <v>43535</v>
      </c>
      <c r="B1041" s="116">
        <v>650.31170304847205</v>
      </c>
      <c r="C1041" s="116">
        <v>644.36826021786896</v>
      </c>
      <c r="D1041" s="116">
        <v>628.07332112396602</v>
      </c>
      <c r="E1041" s="116">
        <v>629.41059576085104</v>
      </c>
      <c r="F1041" s="116">
        <v>1301</v>
      </c>
      <c r="G1041">
        <v>759441</v>
      </c>
      <c r="H1041" s="116"/>
      <c r="I1041" s="116"/>
      <c r="L1041" s="170">
        <v>43535</v>
      </c>
      <c r="M1041" s="116">
        <v>645.92704442707497</v>
      </c>
      <c r="N1041" s="116">
        <v>649.83995267872206</v>
      </c>
      <c r="O1041" s="116">
        <v>628.04653963157</v>
      </c>
      <c r="P1041" s="116">
        <v>629.06191455763098</v>
      </c>
      <c r="Q1041" s="116">
        <v>1304.0999999999999</v>
      </c>
      <c r="R1041">
        <v>9718840</v>
      </c>
    </row>
    <row r="1042" spans="1:18" x14ac:dyDescent="0.25">
      <c r="A1042" s="170">
        <v>43536</v>
      </c>
      <c r="B1042" s="116">
        <v>660.21744109947701</v>
      </c>
      <c r="C1042" s="116">
        <v>658.65728735644302</v>
      </c>
      <c r="D1042" s="116">
        <v>651.54992030484698</v>
      </c>
      <c r="E1042" s="116">
        <v>652.34237934892803</v>
      </c>
      <c r="F1042" s="116">
        <v>1329.85</v>
      </c>
      <c r="G1042">
        <v>1924635</v>
      </c>
      <c r="H1042" s="116"/>
      <c r="I1042" s="116"/>
      <c r="L1042" s="170">
        <v>43536</v>
      </c>
      <c r="M1042" s="116">
        <v>659.42410137104901</v>
      </c>
      <c r="N1042" s="116">
        <v>660.73665920229803</v>
      </c>
      <c r="O1042" s="116">
        <v>650.95438857317902</v>
      </c>
      <c r="P1042" s="116">
        <v>652.26694640442804</v>
      </c>
      <c r="Q1042" s="116">
        <v>1331.35</v>
      </c>
      <c r="R1042">
        <v>11228736</v>
      </c>
    </row>
    <row r="1043" spans="1:18" x14ac:dyDescent="0.25">
      <c r="A1043" s="170">
        <v>43537</v>
      </c>
      <c r="B1043" s="116">
        <v>668.63731844283097</v>
      </c>
      <c r="C1043" s="116">
        <v>667.02763600954199</v>
      </c>
      <c r="D1043" s="116">
        <v>657.61718486108805</v>
      </c>
      <c r="E1043" s="116">
        <v>660.96037145330195</v>
      </c>
      <c r="F1043" s="116">
        <v>1346.75</v>
      </c>
      <c r="G1043">
        <v>1028000</v>
      </c>
      <c r="H1043" s="116"/>
      <c r="I1043" s="116"/>
      <c r="L1043" s="170">
        <v>43537</v>
      </c>
      <c r="M1043" s="116">
        <v>667.324213600642</v>
      </c>
      <c r="N1043" s="116">
        <v>673.61458509379804</v>
      </c>
      <c r="O1043" s="116">
        <v>657.81436063461194</v>
      </c>
      <c r="P1043" s="116">
        <v>662.22257372824095</v>
      </c>
      <c r="Q1043" s="116">
        <v>1347.3</v>
      </c>
      <c r="R1043">
        <v>11236048</v>
      </c>
    </row>
    <row r="1044" spans="1:18" x14ac:dyDescent="0.25">
      <c r="A1044" s="170">
        <v>43538</v>
      </c>
      <c r="B1044" s="116">
        <v>674.30835347703101</v>
      </c>
      <c r="C1044" s="116">
        <v>664.27879370038897</v>
      </c>
      <c r="D1044" s="116">
        <v>660.71272800202701</v>
      </c>
      <c r="E1044" s="116">
        <v>668.63731844283097</v>
      </c>
      <c r="F1044" s="116">
        <v>1341.2</v>
      </c>
      <c r="G1044">
        <v>1336698</v>
      </c>
      <c r="H1044" s="116"/>
      <c r="I1044" s="116"/>
      <c r="L1044" s="170">
        <v>43538</v>
      </c>
      <c r="M1044" s="116">
        <v>664.47621075925304</v>
      </c>
      <c r="N1044" s="116">
        <v>674.60519477775904</v>
      </c>
      <c r="O1044" s="116">
        <v>661.77679937045798</v>
      </c>
      <c r="P1044" s="116">
        <v>668.53771046349505</v>
      </c>
      <c r="Q1044" s="116">
        <v>1341.55</v>
      </c>
      <c r="R1044">
        <v>10402048</v>
      </c>
    </row>
    <row r="1045" spans="1:18" x14ac:dyDescent="0.25">
      <c r="A1045" s="170">
        <v>43539</v>
      </c>
      <c r="B1045" s="116">
        <v>672.69867104374305</v>
      </c>
      <c r="C1045" s="116">
        <v>655.06645731295396</v>
      </c>
      <c r="D1045" s="116">
        <v>649.64306573002898</v>
      </c>
      <c r="E1045" s="116">
        <v>666.16088393007897</v>
      </c>
      <c r="F1045" s="116">
        <v>1322.6</v>
      </c>
      <c r="G1045">
        <v>874076</v>
      </c>
      <c r="H1045" s="116"/>
      <c r="I1045" s="116"/>
      <c r="L1045" s="170">
        <v>43539</v>
      </c>
      <c r="M1045" s="116">
        <v>654.61964440383599</v>
      </c>
      <c r="N1045" s="116">
        <v>673.02021928342106</v>
      </c>
      <c r="O1045" s="116">
        <v>649.44370880513804</v>
      </c>
      <c r="P1045" s="116">
        <v>666.18501246408698</v>
      </c>
      <c r="Q1045" s="116">
        <v>1321.65</v>
      </c>
      <c r="R1045">
        <v>15893093</v>
      </c>
    </row>
    <row r="1046" spans="1:18" x14ac:dyDescent="0.25">
      <c r="A1046" s="170">
        <v>43542</v>
      </c>
      <c r="B1046" s="116">
        <v>672.67390669861504</v>
      </c>
      <c r="C1046" s="116">
        <v>667.44862987671002</v>
      </c>
      <c r="D1046" s="116">
        <v>656.30467456933002</v>
      </c>
      <c r="E1046" s="116">
        <v>656.30467456933002</v>
      </c>
      <c r="F1046" s="116">
        <v>1347.6</v>
      </c>
      <c r="G1046">
        <v>761355</v>
      </c>
      <c r="H1046" s="116"/>
      <c r="I1046" s="116"/>
      <c r="L1046" s="170">
        <v>43542</v>
      </c>
      <c r="M1046" s="116">
        <v>668.68630191608895</v>
      </c>
      <c r="N1046" s="116">
        <v>672.59921016773706</v>
      </c>
      <c r="O1046" s="116">
        <v>658.26013499239502</v>
      </c>
      <c r="P1046" s="116">
        <v>659.25074467635602</v>
      </c>
      <c r="Q1046" s="116">
        <v>1350.05</v>
      </c>
      <c r="R1046">
        <v>10105234</v>
      </c>
    </row>
    <row r="1047" spans="1:18" x14ac:dyDescent="0.25">
      <c r="A1047" s="170">
        <v>43543</v>
      </c>
      <c r="B1047" s="116">
        <v>682.50535171423803</v>
      </c>
      <c r="C1047" s="116">
        <v>681.14331273222399</v>
      </c>
      <c r="D1047" s="116">
        <v>665.17031012497898</v>
      </c>
      <c r="E1047" s="116">
        <v>673.09490056578295</v>
      </c>
      <c r="F1047" s="116">
        <v>1375.25</v>
      </c>
      <c r="G1047">
        <v>938383</v>
      </c>
      <c r="H1047" s="116"/>
      <c r="I1047" s="116"/>
      <c r="L1047" s="170">
        <v>43543</v>
      </c>
      <c r="M1047" s="116">
        <v>681.81188022857896</v>
      </c>
      <c r="N1047" s="116">
        <v>683.52068193341199</v>
      </c>
      <c r="O1047" s="116">
        <v>665.243933264323</v>
      </c>
      <c r="P1047" s="116">
        <v>673.61458509379804</v>
      </c>
      <c r="Q1047" s="116">
        <v>1376.55</v>
      </c>
      <c r="R1047">
        <v>9805318</v>
      </c>
    </row>
    <row r="1048" spans="1:18" x14ac:dyDescent="0.25">
      <c r="A1048" s="170">
        <v>43544</v>
      </c>
      <c r="B1048" s="116">
        <v>686.76481907617006</v>
      </c>
      <c r="C1048" s="116">
        <v>681.31666314811696</v>
      </c>
      <c r="D1048" s="116">
        <v>675.37322031751398</v>
      </c>
      <c r="E1048" s="116">
        <v>683.00063861678802</v>
      </c>
      <c r="F1048" s="116">
        <v>1375.6</v>
      </c>
      <c r="G1048">
        <v>627417</v>
      </c>
      <c r="H1048" s="116"/>
      <c r="I1048" s="116"/>
      <c r="L1048" s="170">
        <v>43544</v>
      </c>
      <c r="M1048" s="116">
        <v>681.26704490240002</v>
      </c>
      <c r="N1048" s="116">
        <v>687.48312066925803</v>
      </c>
      <c r="O1048" s="116">
        <v>675.59580446172004</v>
      </c>
      <c r="P1048" s="116">
        <v>682.43101128105502</v>
      </c>
      <c r="Q1048" s="116">
        <v>1375.45</v>
      </c>
      <c r="R1048">
        <v>9892823</v>
      </c>
    </row>
    <row r="1049" spans="1:18" x14ac:dyDescent="0.25">
      <c r="A1049" s="170">
        <v>43546</v>
      </c>
      <c r="B1049" s="116">
        <v>683.619747244976</v>
      </c>
      <c r="C1049" s="116">
        <v>664.72455191268398</v>
      </c>
      <c r="D1049" s="116">
        <v>662.44623216095295</v>
      </c>
      <c r="E1049" s="116">
        <v>680.52420410403704</v>
      </c>
      <c r="F1049" s="116">
        <v>1342.1</v>
      </c>
      <c r="G1049">
        <v>593064</v>
      </c>
      <c r="H1049" s="116"/>
      <c r="I1049" s="116"/>
      <c r="L1049" s="170">
        <v>43546</v>
      </c>
      <c r="M1049" s="116">
        <v>664.57527172764901</v>
      </c>
      <c r="N1049" s="116">
        <v>683.96645629119496</v>
      </c>
      <c r="O1049" s="116">
        <v>662.07398227564602</v>
      </c>
      <c r="P1049" s="116">
        <v>679.80589561855697</v>
      </c>
      <c r="Q1049" s="116">
        <v>1341.75</v>
      </c>
      <c r="R1049">
        <v>11465112</v>
      </c>
    </row>
    <row r="1050" spans="1:18" x14ac:dyDescent="0.25">
      <c r="A1050" s="170">
        <v>43549</v>
      </c>
      <c r="B1050" s="116">
        <v>662.07476698404002</v>
      </c>
      <c r="C1050" s="116">
        <v>656.37896760471199</v>
      </c>
      <c r="D1050" s="116">
        <v>652.36714369405502</v>
      </c>
      <c r="E1050" s="116">
        <v>658.781109082081</v>
      </c>
      <c r="F1050" s="116">
        <v>1325.25</v>
      </c>
      <c r="G1050">
        <v>488850</v>
      </c>
      <c r="H1050" s="116"/>
      <c r="I1050" s="116"/>
      <c r="L1050" s="170">
        <v>43549</v>
      </c>
      <c r="M1050" s="116">
        <v>656.00649796138202</v>
      </c>
      <c r="N1050" s="116">
        <v>662.14827800194303</v>
      </c>
      <c r="O1050" s="116">
        <v>652.16788543603195</v>
      </c>
      <c r="P1050" s="116">
        <v>659.05262273956396</v>
      </c>
      <c r="Q1050" s="116">
        <v>1324.45</v>
      </c>
      <c r="R1050">
        <v>7951992</v>
      </c>
    </row>
    <row r="1051" spans="1:18" x14ac:dyDescent="0.25">
      <c r="A1051" s="170">
        <v>43550</v>
      </c>
      <c r="B1051" s="116">
        <v>678.51829214870804</v>
      </c>
      <c r="C1051" s="116">
        <v>677.13148882156702</v>
      </c>
      <c r="D1051" s="116">
        <v>658.73158039182601</v>
      </c>
      <c r="E1051" s="116">
        <v>658.73158039182601</v>
      </c>
      <c r="F1051" s="116">
        <v>1367.15</v>
      </c>
      <c r="G1051">
        <v>905101</v>
      </c>
      <c r="H1051" s="116"/>
      <c r="I1051" s="116"/>
      <c r="L1051" s="170">
        <v>43550</v>
      </c>
      <c r="M1051" s="116">
        <v>677.20554519815801</v>
      </c>
      <c r="N1051" s="116">
        <v>679.36012126077401</v>
      </c>
      <c r="O1051" s="116">
        <v>658.75543983437603</v>
      </c>
      <c r="P1051" s="116">
        <v>658.90403128697005</v>
      </c>
      <c r="Q1051" s="116">
        <v>1367.25</v>
      </c>
      <c r="R1051">
        <v>9479288</v>
      </c>
    </row>
    <row r="1052" spans="1:18" x14ac:dyDescent="0.25">
      <c r="A1052" s="170">
        <v>43551</v>
      </c>
      <c r="B1052" s="116">
        <v>682.01006481168702</v>
      </c>
      <c r="C1052" s="116">
        <v>668.68684713308596</v>
      </c>
      <c r="D1052" s="116">
        <v>666.11135523982398</v>
      </c>
      <c r="E1052" s="116">
        <v>682.01006481168702</v>
      </c>
      <c r="F1052" s="116">
        <v>1350.1</v>
      </c>
      <c r="G1052">
        <v>627415</v>
      </c>
      <c r="H1052" s="116"/>
      <c r="I1052" s="116"/>
      <c r="L1052" s="170">
        <v>43551</v>
      </c>
      <c r="M1052" s="116">
        <v>668.29005804250505</v>
      </c>
      <c r="N1052" s="116">
        <v>682.50530700735203</v>
      </c>
      <c r="O1052" s="116">
        <v>665.81353383260102</v>
      </c>
      <c r="P1052" s="116">
        <v>682.50530700735203</v>
      </c>
      <c r="Q1052" s="116">
        <v>1349.25</v>
      </c>
      <c r="R1052">
        <v>10094174</v>
      </c>
    </row>
    <row r="1053" spans="1:18" x14ac:dyDescent="0.25">
      <c r="A1053" s="170">
        <v>43552</v>
      </c>
      <c r="B1053" s="116">
        <v>678.49352780358095</v>
      </c>
      <c r="C1053" s="116">
        <v>673.862595264736</v>
      </c>
      <c r="D1053" s="116">
        <v>665.34366054087195</v>
      </c>
      <c r="E1053" s="116">
        <v>668.63731844283097</v>
      </c>
      <c r="F1053" s="116">
        <v>1360.55</v>
      </c>
      <c r="G1053">
        <v>519984</v>
      </c>
      <c r="H1053" s="116"/>
      <c r="I1053" s="116"/>
      <c r="L1053" s="170">
        <v>43552</v>
      </c>
      <c r="M1053" s="116">
        <v>673.61458509379804</v>
      </c>
      <c r="N1053" s="116">
        <v>678.46857254520899</v>
      </c>
      <c r="O1053" s="116">
        <v>665.09534181172899</v>
      </c>
      <c r="P1053" s="116">
        <v>668.78536288448504</v>
      </c>
      <c r="Q1053" s="116">
        <v>1360</v>
      </c>
      <c r="R1053">
        <v>10482938</v>
      </c>
    </row>
    <row r="1054" spans="1:18" x14ac:dyDescent="0.25">
      <c r="A1054" s="170">
        <v>43553</v>
      </c>
      <c r="B1054" s="116">
        <v>681.51477790913702</v>
      </c>
      <c r="C1054" s="116">
        <v>675.10081252111104</v>
      </c>
      <c r="D1054" s="116">
        <v>671.65856854838705</v>
      </c>
      <c r="E1054" s="116">
        <v>676.56190888363506</v>
      </c>
      <c r="F1054" s="116">
        <v>1363.05</v>
      </c>
      <c r="G1054">
        <v>401704</v>
      </c>
      <c r="H1054" s="116"/>
      <c r="I1054" s="116"/>
      <c r="L1054" s="170">
        <v>43553</v>
      </c>
      <c r="M1054" s="116">
        <v>675.22432583023499</v>
      </c>
      <c r="N1054" s="116">
        <v>681.96047168117298</v>
      </c>
      <c r="O1054" s="116">
        <v>671.18759136809194</v>
      </c>
      <c r="P1054" s="116">
        <v>678.59239875570404</v>
      </c>
      <c r="Q1054" s="116">
        <v>1363.25</v>
      </c>
      <c r="R1054">
        <v>7699271</v>
      </c>
    </row>
    <row r="1055" spans="1:18" x14ac:dyDescent="0.25">
      <c r="A1055" s="170">
        <v>43556</v>
      </c>
      <c r="B1055" s="116">
        <v>696.621028436919</v>
      </c>
      <c r="C1055" s="116">
        <v>689.21648924379303</v>
      </c>
      <c r="D1055" s="116">
        <v>675.00175514060095</v>
      </c>
      <c r="E1055" s="116">
        <v>677.82489048513798</v>
      </c>
      <c r="F1055" s="116">
        <v>1391.55</v>
      </c>
      <c r="G1055">
        <v>702586</v>
      </c>
      <c r="H1055" s="116"/>
      <c r="I1055" s="116"/>
      <c r="L1055" s="170">
        <v>43556</v>
      </c>
      <c r="M1055" s="116">
        <v>689.39004431088404</v>
      </c>
      <c r="N1055" s="116">
        <v>696.79485169849602</v>
      </c>
      <c r="O1055" s="116">
        <v>674.877612440848</v>
      </c>
      <c r="P1055" s="116">
        <v>678.56763351360496</v>
      </c>
      <c r="Q1055" s="116">
        <v>1391.85</v>
      </c>
      <c r="R1055">
        <v>10098281</v>
      </c>
    </row>
    <row r="1056" spans="1:18" x14ac:dyDescent="0.25">
      <c r="A1056" s="170">
        <v>43557</v>
      </c>
      <c r="B1056" s="116">
        <v>694.73893820722901</v>
      </c>
      <c r="C1056" s="116">
        <v>687.68109984588796</v>
      </c>
      <c r="D1056" s="116">
        <v>683.89215504137803</v>
      </c>
      <c r="E1056" s="116">
        <v>691.69292375654504</v>
      </c>
      <c r="F1056" s="116">
        <v>1388.45</v>
      </c>
      <c r="G1056">
        <v>498144</v>
      </c>
      <c r="H1056" s="116"/>
      <c r="I1056" s="116"/>
      <c r="L1056" s="170">
        <v>43557</v>
      </c>
      <c r="M1056" s="116">
        <v>688.32513890062501</v>
      </c>
      <c r="N1056" s="116">
        <v>694.96222378316702</v>
      </c>
      <c r="O1056" s="116">
        <v>683.57021241761004</v>
      </c>
      <c r="P1056" s="116">
        <v>692.43616908906495</v>
      </c>
      <c r="Q1056" s="116">
        <v>1389.7</v>
      </c>
      <c r="R1056">
        <v>8012636</v>
      </c>
    </row>
    <row r="1057" spans="1:18" x14ac:dyDescent="0.25">
      <c r="A1057" s="170">
        <v>43558</v>
      </c>
      <c r="B1057" s="116">
        <v>694.56558779133604</v>
      </c>
      <c r="C1057" s="116">
        <v>680.42514672352695</v>
      </c>
      <c r="D1057" s="116">
        <v>678.54305649383605</v>
      </c>
      <c r="E1057" s="116">
        <v>690.65282126118905</v>
      </c>
      <c r="F1057" s="116">
        <v>1373.8</v>
      </c>
      <c r="G1057">
        <v>713519</v>
      </c>
      <c r="H1057" s="116"/>
      <c r="I1057" s="116"/>
      <c r="L1057" s="170">
        <v>43558</v>
      </c>
      <c r="M1057" s="116">
        <v>681.14321869190496</v>
      </c>
      <c r="N1057" s="116">
        <v>694.91269329896897</v>
      </c>
      <c r="O1057" s="116">
        <v>679.55824319756596</v>
      </c>
      <c r="P1057" s="116">
        <v>689.835818668667</v>
      </c>
      <c r="Q1057" s="116">
        <v>1375.2</v>
      </c>
      <c r="R1057">
        <v>7849461</v>
      </c>
    </row>
    <row r="1058" spans="1:18" x14ac:dyDescent="0.25">
      <c r="A1058" s="170">
        <v>43559</v>
      </c>
      <c r="B1058" s="116">
        <v>685.35325140390103</v>
      </c>
      <c r="C1058" s="116">
        <v>670.17270784073605</v>
      </c>
      <c r="D1058" s="116">
        <v>667.17622208030696</v>
      </c>
      <c r="E1058" s="116">
        <v>683.00063861678802</v>
      </c>
      <c r="F1058" s="116">
        <v>1353.1</v>
      </c>
      <c r="G1058">
        <v>635792</v>
      </c>
      <c r="H1058" s="116"/>
      <c r="I1058" s="116"/>
      <c r="L1058" s="170">
        <v>43559</v>
      </c>
      <c r="M1058" s="116">
        <v>670.17221644203096</v>
      </c>
      <c r="N1058" s="116">
        <v>685.35330984874099</v>
      </c>
      <c r="O1058" s="116">
        <v>667.29944835854303</v>
      </c>
      <c r="P1058" s="116">
        <v>683.02537709143098</v>
      </c>
      <c r="Q1058" s="116">
        <v>1353.05</v>
      </c>
      <c r="R1058">
        <v>8375674</v>
      </c>
    </row>
    <row r="1059" spans="1:18" x14ac:dyDescent="0.25">
      <c r="A1059" s="170">
        <v>43560</v>
      </c>
      <c r="B1059" s="116">
        <v>675.49704204315196</v>
      </c>
      <c r="C1059" s="116">
        <v>671.16328164583695</v>
      </c>
      <c r="D1059" s="116">
        <v>665.46748226650902</v>
      </c>
      <c r="E1059" s="116">
        <v>673.63971615858804</v>
      </c>
      <c r="F1059" s="116">
        <v>1355.1</v>
      </c>
      <c r="G1059">
        <v>616827</v>
      </c>
      <c r="H1059" s="116"/>
      <c r="I1059" s="116"/>
      <c r="L1059" s="170">
        <v>43560</v>
      </c>
      <c r="M1059" s="116">
        <v>670.59322555771496</v>
      </c>
      <c r="N1059" s="116">
        <v>675.54627397752199</v>
      </c>
      <c r="O1059" s="116">
        <v>665.19440278012496</v>
      </c>
      <c r="P1059" s="116">
        <v>674.08512469367895</v>
      </c>
      <c r="Q1059" s="116">
        <v>1353.9</v>
      </c>
      <c r="R1059">
        <v>6728239</v>
      </c>
    </row>
    <row r="1060" spans="1:18" x14ac:dyDescent="0.25">
      <c r="A1060" s="170">
        <v>43563</v>
      </c>
      <c r="B1060" s="116">
        <v>671.65856854838705</v>
      </c>
      <c r="C1060" s="116">
        <v>658.43440825029597</v>
      </c>
      <c r="D1060" s="116">
        <v>655.75985897652401</v>
      </c>
      <c r="E1060" s="116">
        <v>670.91563819456201</v>
      </c>
      <c r="F1060" s="116">
        <v>1329.4</v>
      </c>
      <c r="G1060">
        <v>466058</v>
      </c>
      <c r="H1060" s="116"/>
      <c r="I1060" s="116"/>
      <c r="L1060" s="170">
        <v>43563</v>
      </c>
      <c r="M1060" s="116">
        <v>658.38396120288996</v>
      </c>
      <c r="N1060" s="116">
        <v>672.37632298884603</v>
      </c>
      <c r="O1060" s="116">
        <v>655.63501932989698</v>
      </c>
      <c r="P1060" s="116">
        <v>671.63336572587502</v>
      </c>
      <c r="Q1060" s="116">
        <v>1329.25</v>
      </c>
      <c r="R1060">
        <v>8723577</v>
      </c>
    </row>
    <row r="1061" spans="1:18" x14ac:dyDescent="0.25">
      <c r="A1061" s="170">
        <v>43564</v>
      </c>
      <c r="B1061" s="116">
        <v>663.68444941732798</v>
      </c>
      <c r="C1061" s="116">
        <v>661.38136532046997</v>
      </c>
      <c r="D1061" s="116">
        <v>654.57117041040397</v>
      </c>
      <c r="E1061" s="116">
        <v>659.17733860412102</v>
      </c>
      <c r="F1061" s="116">
        <v>1335.35</v>
      </c>
      <c r="G1061">
        <v>816181</v>
      </c>
      <c r="H1061" s="116"/>
      <c r="I1061" s="116"/>
      <c r="L1061" s="170">
        <v>43564</v>
      </c>
      <c r="M1061" s="116">
        <v>660.95954638118997</v>
      </c>
      <c r="N1061" s="116">
        <v>664.05520164356903</v>
      </c>
      <c r="O1061" s="116">
        <v>654.29769625654899</v>
      </c>
      <c r="P1061" s="116">
        <v>658.21060450819698</v>
      </c>
      <c r="Q1061" s="116">
        <v>1334.45</v>
      </c>
      <c r="R1061">
        <v>9497621</v>
      </c>
    </row>
    <row r="1062" spans="1:18" x14ac:dyDescent="0.25">
      <c r="A1062" s="170">
        <v>43565</v>
      </c>
      <c r="B1062" s="116">
        <v>667.47339422183802</v>
      </c>
      <c r="C1062" s="116">
        <v>658.21152914414802</v>
      </c>
      <c r="D1062" s="116">
        <v>656.75043278162502</v>
      </c>
      <c r="E1062" s="116">
        <v>663.68444941732798</v>
      </c>
      <c r="F1062" s="116">
        <v>1328.95</v>
      </c>
      <c r="G1062">
        <v>450636</v>
      </c>
      <c r="H1062" s="116"/>
      <c r="I1062" s="116"/>
      <c r="L1062" s="170">
        <v>43565</v>
      </c>
      <c r="M1062" s="116">
        <v>659.44886661314899</v>
      </c>
      <c r="N1062" s="116">
        <v>667.67092699002899</v>
      </c>
      <c r="O1062" s="116">
        <v>657.02187288744301</v>
      </c>
      <c r="P1062" s="116">
        <v>662.69311332812197</v>
      </c>
      <c r="Q1062" s="116">
        <v>1331.4</v>
      </c>
      <c r="R1062">
        <v>7612711</v>
      </c>
    </row>
    <row r="1063" spans="1:18" x14ac:dyDescent="0.25">
      <c r="A1063" s="170">
        <v>43566</v>
      </c>
      <c r="B1063" s="116">
        <v>669.47930617716599</v>
      </c>
      <c r="C1063" s="116">
        <v>666.73046386801195</v>
      </c>
      <c r="D1063" s="116">
        <v>658.08770741851004</v>
      </c>
      <c r="E1063" s="116">
        <v>660.11838371896602</v>
      </c>
      <c r="F1063" s="116">
        <v>1346.15</v>
      </c>
      <c r="G1063">
        <v>571692</v>
      </c>
      <c r="H1063" s="116"/>
      <c r="I1063" s="116"/>
      <c r="L1063" s="170">
        <v>43566</v>
      </c>
      <c r="M1063" s="116">
        <v>667.076561179652</v>
      </c>
      <c r="N1063" s="116">
        <v>670.14745119993199</v>
      </c>
      <c r="O1063" s="116">
        <v>658.26013499239502</v>
      </c>
      <c r="P1063" s="116">
        <v>660.21658911821896</v>
      </c>
      <c r="Q1063" s="116">
        <v>1346.8</v>
      </c>
      <c r="R1063">
        <v>5741333</v>
      </c>
    </row>
    <row r="1064" spans="1:18" x14ac:dyDescent="0.25">
      <c r="A1064" s="170">
        <v>43567</v>
      </c>
      <c r="B1064" s="116">
        <v>671.88144765453501</v>
      </c>
      <c r="C1064" s="116">
        <v>664.65025887730098</v>
      </c>
      <c r="D1064" s="116">
        <v>662.34717478044297</v>
      </c>
      <c r="E1064" s="116">
        <v>668.09250285002497</v>
      </c>
      <c r="F1064" s="116">
        <v>1341.95</v>
      </c>
      <c r="G1064">
        <v>497617</v>
      </c>
      <c r="H1064" s="116"/>
      <c r="I1064" s="116"/>
      <c r="L1064" s="170">
        <v>43567</v>
      </c>
      <c r="M1064" s="116">
        <v>665.243933264323</v>
      </c>
      <c r="N1064" s="116">
        <v>672.07914008365697</v>
      </c>
      <c r="O1064" s="116">
        <v>662.04921703354796</v>
      </c>
      <c r="P1064" s="116">
        <v>668.66153667398999</v>
      </c>
      <c r="Q1064" s="116">
        <v>1343.1</v>
      </c>
      <c r="R1064">
        <v>5919742</v>
      </c>
    </row>
    <row r="1065" spans="1:18" x14ac:dyDescent="0.25">
      <c r="A1065" s="170">
        <v>43570</v>
      </c>
      <c r="B1065" s="116">
        <v>668.04297415976998</v>
      </c>
      <c r="C1065" s="116">
        <v>663.56062769169102</v>
      </c>
      <c r="D1065" s="116">
        <v>660.687963656899</v>
      </c>
      <c r="E1065" s="116">
        <v>666.012297859314</v>
      </c>
      <c r="F1065" s="116">
        <v>1339.75</v>
      </c>
      <c r="G1065">
        <v>434076</v>
      </c>
      <c r="H1065" s="116"/>
      <c r="I1065" s="116"/>
      <c r="L1065" s="170">
        <v>43570</v>
      </c>
      <c r="M1065" s="116">
        <v>663.78278398047996</v>
      </c>
      <c r="N1065" s="116">
        <v>668.14146658991001</v>
      </c>
      <c r="O1065" s="116">
        <v>661.23196404427904</v>
      </c>
      <c r="P1065" s="116">
        <v>666.18501246408698</v>
      </c>
      <c r="Q1065" s="116">
        <v>1340.15</v>
      </c>
      <c r="R1065">
        <v>4245127</v>
      </c>
    </row>
    <row r="1066" spans="1:18" x14ac:dyDescent="0.25">
      <c r="A1066" s="170">
        <v>43571</v>
      </c>
      <c r="B1066" s="116">
        <v>673.44160139756798</v>
      </c>
      <c r="C1066" s="116">
        <v>666.30947000084495</v>
      </c>
      <c r="D1066" s="116">
        <v>663.80827114296596</v>
      </c>
      <c r="E1066" s="116">
        <v>666.16088393007897</v>
      </c>
      <c r="F1066" s="116">
        <v>1345.3</v>
      </c>
      <c r="G1066">
        <v>465453</v>
      </c>
      <c r="H1066" s="116"/>
      <c r="I1066" s="116"/>
      <c r="L1066" s="170">
        <v>43571</v>
      </c>
      <c r="M1066" s="116">
        <v>665.56588141161103</v>
      </c>
      <c r="N1066" s="116">
        <v>673.61458509379804</v>
      </c>
      <c r="O1066" s="116">
        <v>663.70848825418295</v>
      </c>
      <c r="P1066" s="116">
        <v>666.18501246408698</v>
      </c>
      <c r="Q1066" s="116">
        <v>1343.75</v>
      </c>
      <c r="R1066">
        <v>7936553</v>
      </c>
    </row>
    <row r="1067" spans="1:18" x14ac:dyDescent="0.25">
      <c r="A1067" s="170">
        <v>43573</v>
      </c>
      <c r="B1067" s="116">
        <v>686.96293383719001</v>
      </c>
      <c r="C1067" s="116">
        <v>684.93225753673403</v>
      </c>
      <c r="D1067" s="116">
        <v>676.06662198108404</v>
      </c>
      <c r="E1067" s="116">
        <v>676.289501087232</v>
      </c>
      <c r="F1067" s="116">
        <v>1382.9</v>
      </c>
      <c r="G1067">
        <v>923643</v>
      </c>
      <c r="H1067" s="116"/>
      <c r="I1067" s="116"/>
      <c r="L1067" s="170">
        <v>43573</v>
      </c>
      <c r="M1067" s="116">
        <v>686.46774574319795</v>
      </c>
      <c r="N1067" s="116">
        <v>688.34990414272397</v>
      </c>
      <c r="O1067" s="116">
        <v>676.09110930370105</v>
      </c>
      <c r="P1067" s="116">
        <v>681.04415772350899</v>
      </c>
      <c r="Q1067" s="116">
        <v>1385.95</v>
      </c>
      <c r="R1067">
        <v>17960482</v>
      </c>
    </row>
    <row r="1068" spans="1:18" x14ac:dyDescent="0.25">
      <c r="A1068" s="170">
        <v>43577</v>
      </c>
      <c r="B1068" s="116">
        <v>676.14091501646703</v>
      </c>
      <c r="C1068" s="116">
        <v>666.06182654956899</v>
      </c>
      <c r="D1068" s="116">
        <v>664.17973631987797</v>
      </c>
      <c r="E1068" s="116">
        <v>675.57133507853405</v>
      </c>
      <c r="F1068" s="116">
        <v>1344.8</v>
      </c>
      <c r="G1068">
        <v>505500</v>
      </c>
      <c r="H1068" s="116"/>
      <c r="I1068" s="116"/>
      <c r="L1068" s="170">
        <v>43577</v>
      </c>
      <c r="M1068" s="116">
        <v>666.35836915877996</v>
      </c>
      <c r="N1068" s="116">
        <v>677.08171898766295</v>
      </c>
      <c r="O1068" s="116">
        <v>664.35238454875798</v>
      </c>
      <c r="P1068" s="116">
        <v>673.61458509379804</v>
      </c>
      <c r="Q1068" s="116">
        <v>1345.35</v>
      </c>
      <c r="R1068">
        <v>10792748</v>
      </c>
    </row>
    <row r="1069" spans="1:18" x14ac:dyDescent="0.25">
      <c r="A1069" s="170">
        <v>43578</v>
      </c>
      <c r="B1069" s="116">
        <v>679.45933726355304</v>
      </c>
      <c r="C1069" s="116">
        <v>675.22463424674902</v>
      </c>
      <c r="D1069" s="116">
        <v>666.48282041673701</v>
      </c>
      <c r="E1069" s="116">
        <v>668.61255409770297</v>
      </c>
      <c r="F1069" s="116">
        <v>1363.3</v>
      </c>
      <c r="G1069">
        <v>494658</v>
      </c>
      <c r="H1069" s="116"/>
      <c r="I1069" s="116"/>
      <c r="L1069" s="170">
        <v>43578</v>
      </c>
      <c r="M1069" s="116">
        <v>675.52150873542303</v>
      </c>
      <c r="N1069" s="116">
        <v>680.05354803954697</v>
      </c>
      <c r="O1069" s="116">
        <v>666.68031730606697</v>
      </c>
      <c r="P1069" s="116">
        <v>667.67092699002899</v>
      </c>
      <c r="Q1069" s="116">
        <v>1363.85</v>
      </c>
      <c r="R1069">
        <v>9055300</v>
      </c>
    </row>
    <row r="1070" spans="1:18" x14ac:dyDescent="0.25">
      <c r="A1070" s="170">
        <v>43579</v>
      </c>
      <c r="B1070" s="116">
        <v>690.72711429657204</v>
      </c>
      <c r="C1070" s="116">
        <v>688.44879454483998</v>
      </c>
      <c r="D1070" s="116">
        <v>676.735259299527</v>
      </c>
      <c r="E1070" s="116">
        <v>678.54305649383605</v>
      </c>
      <c r="F1070" s="116">
        <v>1390</v>
      </c>
      <c r="G1070">
        <v>494553</v>
      </c>
      <c r="H1070" s="116"/>
      <c r="I1070" s="116"/>
      <c r="L1070" s="170">
        <v>43579</v>
      </c>
      <c r="M1070" s="116">
        <v>688.22607793222903</v>
      </c>
      <c r="N1070" s="116">
        <v>690.85119359472696</v>
      </c>
      <c r="O1070" s="116">
        <v>676.710240356177</v>
      </c>
      <c r="P1070" s="116">
        <v>678.71622496619898</v>
      </c>
      <c r="Q1070" s="116">
        <v>1389.5</v>
      </c>
      <c r="R1070">
        <v>7360887</v>
      </c>
    </row>
    <row r="1071" spans="1:18" x14ac:dyDescent="0.25">
      <c r="A1071" s="170">
        <v>43580</v>
      </c>
      <c r="B1071" s="116">
        <v>698.80029080814097</v>
      </c>
      <c r="C1071" s="116">
        <v>680.79661190043896</v>
      </c>
      <c r="D1071" s="116">
        <v>676.06662198108404</v>
      </c>
      <c r="E1071" s="116">
        <v>689.885126562236</v>
      </c>
      <c r="F1071" s="116">
        <v>1374.55</v>
      </c>
      <c r="G1071">
        <v>795686</v>
      </c>
      <c r="H1071" s="116"/>
      <c r="I1071" s="116"/>
      <c r="L1071" s="170">
        <v>43580</v>
      </c>
      <c r="M1071" s="116">
        <v>679.75636513435904</v>
      </c>
      <c r="N1071" s="116">
        <v>699.56855881358797</v>
      </c>
      <c r="O1071" s="116">
        <v>674.90237768294696</v>
      </c>
      <c r="P1071" s="116">
        <v>688.02795599543697</v>
      </c>
      <c r="Q1071" s="116">
        <v>1372.4</v>
      </c>
      <c r="R1071">
        <v>13929820</v>
      </c>
    </row>
    <row r="1072" spans="1:18" x14ac:dyDescent="0.25">
      <c r="A1072" s="170">
        <v>43581</v>
      </c>
      <c r="B1072" s="116">
        <v>690.92522905759199</v>
      </c>
      <c r="C1072" s="116">
        <v>689.16696055353805</v>
      </c>
      <c r="D1072" s="116">
        <v>678.76593559998298</v>
      </c>
      <c r="E1072" s="116">
        <v>682.35676564347295</v>
      </c>
      <c r="F1072" s="116">
        <v>1391.45</v>
      </c>
      <c r="G1072">
        <v>494466</v>
      </c>
      <c r="H1072" s="116"/>
      <c r="I1072" s="116"/>
      <c r="L1072" s="170">
        <v>43581</v>
      </c>
      <c r="M1072" s="116">
        <v>689.86058391076597</v>
      </c>
      <c r="N1072" s="116">
        <v>691.42079416300498</v>
      </c>
      <c r="O1072" s="116">
        <v>678.91434690299104</v>
      </c>
      <c r="P1072" s="116">
        <v>681.04415772350899</v>
      </c>
      <c r="Q1072" s="116">
        <v>1392.8</v>
      </c>
      <c r="R1072">
        <v>6889444</v>
      </c>
    </row>
    <row r="1073" spans="1:18" x14ac:dyDescent="0.25">
      <c r="A1073" s="170">
        <v>43585</v>
      </c>
      <c r="B1073" s="116">
        <v>690.92522905759199</v>
      </c>
      <c r="C1073" s="116">
        <v>689.34031096943102</v>
      </c>
      <c r="D1073" s="116">
        <v>677.05719578618505</v>
      </c>
      <c r="E1073" s="116">
        <v>690.92522905759199</v>
      </c>
      <c r="F1073" s="116">
        <v>1391.8</v>
      </c>
      <c r="G1073">
        <v>924687</v>
      </c>
      <c r="H1073" s="116"/>
      <c r="I1073" s="116"/>
      <c r="L1073" s="170">
        <v>43585</v>
      </c>
      <c r="M1073" s="116">
        <v>689.86058391076597</v>
      </c>
      <c r="N1073" s="116">
        <v>691.64368134189601</v>
      </c>
      <c r="O1073" s="116">
        <v>676.98265801926698</v>
      </c>
      <c r="P1073" s="116">
        <v>691.64368134189601</v>
      </c>
      <c r="Q1073" s="116">
        <v>1392.8</v>
      </c>
      <c r="R1073">
        <v>10217019</v>
      </c>
    </row>
    <row r="1074" spans="1:18" x14ac:dyDescent="0.25">
      <c r="A1074" s="170">
        <v>43587</v>
      </c>
      <c r="B1074" s="116">
        <v>700.21185848040898</v>
      </c>
      <c r="C1074" s="116">
        <v>695.92762677334895</v>
      </c>
      <c r="D1074" s="116">
        <v>684.48649932443902</v>
      </c>
      <c r="E1074" s="116">
        <v>690.42994215504098</v>
      </c>
      <c r="F1074" s="116">
        <v>1405.1</v>
      </c>
      <c r="G1074">
        <v>587675</v>
      </c>
      <c r="H1074" s="116"/>
      <c r="I1074" s="116"/>
      <c r="L1074" s="170">
        <v>43587</v>
      </c>
      <c r="M1074" s="116">
        <v>695.92806822502996</v>
      </c>
      <c r="N1074" s="116">
        <v>700.31151607655897</v>
      </c>
      <c r="O1074" s="116">
        <v>684.56082210157194</v>
      </c>
      <c r="P1074" s="116">
        <v>689.46434003718105</v>
      </c>
      <c r="Q1074" s="116">
        <v>1405.05</v>
      </c>
      <c r="R1074">
        <v>8682505</v>
      </c>
    </row>
    <row r="1075" spans="1:18" x14ac:dyDescent="0.25">
      <c r="A1075" s="170">
        <v>43588</v>
      </c>
      <c r="B1075" s="116">
        <v>701.82154091369705</v>
      </c>
      <c r="C1075" s="116">
        <v>696.89343623332195</v>
      </c>
      <c r="D1075" s="116">
        <v>694.09506523391303</v>
      </c>
      <c r="E1075" s="116">
        <v>696.86867188819497</v>
      </c>
      <c r="F1075" s="116">
        <v>1407.05</v>
      </c>
      <c r="G1075">
        <v>966982</v>
      </c>
      <c r="H1075" s="116"/>
      <c r="I1075" s="116"/>
      <c r="L1075" s="170">
        <v>43588</v>
      </c>
      <c r="M1075" s="116">
        <v>697.81022662455598</v>
      </c>
      <c r="N1075" s="116">
        <v>702.09461350769004</v>
      </c>
      <c r="O1075" s="116">
        <v>694.73933660427599</v>
      </c>
      <c r="P1075" s="116">
        <v>697.36445226677404</v>
      </c>
      <c r="Q1075" s="116">
        <v>1408.85</v>
      </c>
      <c r="R1075">
        <v>6510169</v>
      </c>
    </row>
    <row r="1076" spans="1:18" x14ac:dyDescent="0.25">
      <c r="A1076" s="170">
        <v>43591</v>
      </c>
      <c r="B1076" s="116">
        <v>694.39223737544296</v>
      </c>
      <c r="C1076" s="116">
        <v>685.89806699670703</v>
      </c>
      <c r="D1076" s="116">
        <v>682.77775951063995</v>
      </c>
      <c r="E1076" s="116">
        <v>692.90637666779298</v>
      </c>
      <c r="F1076" s="116">
        <v>1384.85</v>
      </c>
      <c r="G1076">
        <v>741073</v>
      </c>
      <c r="H1076" s="116"/>
      <c r="I1076" s="116"/>
      <c r="L1076" s="170">
        <v>43591</v>
      </c>
      <c r="M1076" s="116">
        <v>685.94767565911798</v>
      </c>
      <c r="N1076" s="116">
        <v>694.813632330573</v>
      </c>
      <c r="O1076" s="116">
        <v>682.57960273364904</v>
      </c>
      <c r="P1076" s="116">
        <v>692.43616908906495</v>
      </c>
      <c r="Q1076" s="116">
        <v>1384.9</v>
      </c>
      <c r="R1076">
        <v>7237910</v>
      </c>
    </row>
    <row r="1077" spans="1:18" x14ac:dyDescent="0.25">
      <c r="A1077" s="170">
        <v>43592</v>
      </c>
      <c r="B1077" s="116">
        <v>690.42994215504098</v>
      </c>
      <c r="C1077" s="116">
        <v>665.93800482393203</v>
      </c>
      <c r="D1077" s="116">
        <v>664.32832239064396</v>
      </c>
      <c r="E1077" s="116">
        <v>689.19172489866605</v>
      </c>
      <c r="F1077" s="116">
        <v>1344.55</v>
      </c>
      <c r="G1077">
        <v>1036844</v>
      </c>
      <c r="H1077" s="116"/>
      <c r="I1077" s="116"/>
      <c r="L1077" s="170">
        <v>43592</v>
      </c>
      <c r="M1077" s="116">
        <v>665.44205520111495</v>
      </c>
      <c r="N1077" s="116">
        <v>690.95025456312305</v>
      </c>
      <c r="O1077" s="116">
        <v>663.80754922257904</v>
      </c>
      <c r="P1077" s="116">
        <v>690.85119359472696</v>
      </c>
      <c r="Q1077" s="116">
        <v>1343.5</v>
      </c>
      <c r="R1077">
        <v>8877095</v>
      </c>
    </row>
    <row r="1078" spans="1:18" x14ac:dyDescent="0.25">
      <c r="A1078" s="170">
        <v>43593</v>
      </c>
      <c r="B1078" s="116">
        <v>663.68444941732798</v>
      </c>
      <c r="C1078" s="116">
        <v>643.60056551891603</v>
      </c>
      <c r="D1078" s="116">
        <v>639.44015553749398</v>
      </c>
      <c r="E1078" s="116">
        <v>663.68444941732798</v>
      </c>
      <c r="F1078" s="116">
        <v>1299.45</v>
      </c>
      <c r="G1078">
        <v>892233</v>
      </c>
      <c r="H1078" s="116"/>
      <c r="I1078" s="116"/>
      <c r="L1078" s="170">
        <v>43593</v>
      </c>
      <c r="M1078" s="116">
        <v>643.62387691186404</v>
      </c>
      <c r="N1078" s="116">
        <v>663.70848825418295</v>
      </c>
      <c r="O1078" s="116">
        <v>640.03291680750397</v>
      </c>
      <c r="P1078" s="116">
        <v>663.70848825418295</v>
      </c>
      <c r="Q1078" s="116">
        <v>1299.45</v>
      </c>
      <c r="R1078">
        <v>14610543</v>
      </c>
    </row>
    <row r="1079" spans="1:18" x14ac:dyDescent="0.25">
      <c r="A1079" s="170">
        <v>43594</v>
      </c>
      <c r="B1079" s="116">
        <v>639.762092024151</v>
      </c>
      <c r="C1079" s="116">
        <v>621.65935573594004</v>
      </c>
      <c r="D1079" s="116">
        <v>619.85155854163202</v>
      </c>
      <c r="E1079" s="116">
        <v>639.762092024151</v>
      </c>
      <c r="F1079" s="116">
        <v>1255.1500000000001</v>
      </c>
      <c r="G1079">
        <v>1026247</v>
      </c>
      <c r="H1079" s="116"/>
      <c r="I1079" s="116"/>
      <c r="L1079" s="170">
        <v>43594</v>
      </c>
      <c r="M1079" s="116">
        <v>622.325768706693</v>
      </c>
      <c r="N1079" s="116">
        <v>638.34888034476899</v>
      </c>
      <c r="O1079" s="116">
        <v>619.99783594938299</v>
      </c>
      <c r="P1079" s="116">
        <v>638.34888034476899</v>
      </c>
      <c r="Q1079" s="116">
        <v>1256.45</v>
      </c>
      <c r="R1079">
        <v>19507368</v>
      </c>
    </row>
    <row r="1080" spans="1:18" x14ac:dyDescent="0.25">
      <c r="A1080" s="170">
        <v>43595</v>
      </c>
      <c r="B1080" s="116">
        <v>632.92713276895802</v>
      </c>
      <c r="C1080" s="116">
        <v>619.356271639081</v>
      </c>
      <c r="D1080" s="116">
        <v>616.63219367505496</v>
      </c>
      <c r="E1080" s="116">
        <v>626.48840303580505</v>
      </c>
      <c r="F1080" s="116">
        <v>1250.5</v>
      </c>
      <c r="G1080">
        <v>1927846</v>
      </c>
      <c r="H1080" s="116"/>
      <c r="I1080" s="116"/>
      <c r="L1080" s="170">
        <v>43595</v>
      </c>
      <c r="M1080" s="116">
        <v>619.70065304419495</v>
      </c>
      <c r="N1080" s="116">
        <v>632.85099659878301</v>
      </c>
      <c r="O1080" s="116">
        <v>616.65452826601302</v>
      </c>
      <c r="P1080" s="116">
        <v>626.56062510562799</v>
      </c>
      <c r="Q1080" s="116">
        <v>1251.1500000000001</v>
      </c>
      <c r="R1080">
        <v>11226831</v>
      </c>
    </row>
    <row r="1081" spans="1:18" x14ac:dyDescent="0.25">
      <c r="A1081" s="170">
        <v>43598</v>
      </c>
      <c r="B1081" s="116">
        <v>624.234847629201</v>
      </c>
      <c r="C1081" s="116">
        <v>609.62388400396901</v>
      </c>
      <c r="D1081" s="116">
        <v>607.71702942915101</v>
      </c>
      <c r="E1081" s="116">
        <v>619.30674294882601</v>
      </c>
      <c r="F1081" s="116">
        <v>1230.8499999999999</v>
      </c>
      <c r="G1081">
        <v>655195</v>
      </c>
      <c r="H1081" s="116"/>
      <c r="I1081" s="116"/>
      <c r="L1081" s="170">
        <v>43598</v>
      </c>
      <c r="M1081" s="116">
        <v>610.24033056236306</v>
      </c>
      <c r="N1081" s="116">
        <v>624.480344769309</v>
      </c>
      <c r="O1081" s="116">
        <v>607.98669353135006</v>
      </c>
      <c r="P1081" s="116">
        <v>618.09091230775698</v>
      </c>
      <c r="Q1081" s="116">
        <v>1232.05</v>
      </c>
      <c r="R1081">
        <v>8047801</v>
      </c>
    </row>
    <row r="1082" spans="1:18" x14ac:dyDescent="0.25">
      <c r="A1082" s="170">
        <v>43599</v>
      </c>
      <c r="B1082" s="116">
        <v>628.76672278753597</v>
      </c>
      <c r="C1082" s="116">
        <v>623.813853762034</v>
      </c>
      <c r="D1082" s="116">
        <v>610.193463941902</v>
      </c>
      <c r="E1082" s="116">
        <v>611.77838203006297</v>
      </c>
      <c r="F1082" s="116">
        <v>1259.5</v>
      </c>
      <c r="G1082">
        <v>860411</v>
      </c>
      <c r="H1082" s="116"/>
      <c r="I1082" s="116"/>
      <c r="L1082" s="170">
        <v>43599</v>
      </c>
      <c r="M1082" s="116">
        <v>624.30698807461602</v>
      </c>
      <c r="N1082" s="116">
        <v>628.71520116824399</v>
      </c>
      <c r="O1082" s="116">
        <v>609.96791289927296</v>
      </c>
      <c r="P1082" s="116">
        <v>612.44443710917699</v>
      </c>
      <c r="Q1082" s="116">
        <v>1260.45</v>
      </c>
      <c r="R1082">
        <v>13001004</v>
      </c>
    </row>
    <row r="1083" spans="1:18" x14ac:dyDescent="0.25">
      <c r="A1083" s="170">
        <v>43600</v>
      </c>
      <c r="B1083" s="116">
        <v>632.92713276895802</v>
      </c>
      <c r="C1083" s="116">
        <v>622.69945823129501</v>
      </c>
      <c r="D1083" s="116">
        <v>619.65344378061104</v>
      </c>
      <c r="E1083" s="116">
        <v>631.39174337105203</v>
      </c>
      <c r="F1083" s="116">
        <v>1257.25</v>
      </c>
      <c r="G1083">
        <v>692013</v>
      </c>
      <c r="H1083" s="116"/>
      <c r="I1083" s="116"/>
      <c r="L1083" s="170">
        <v>43600</v>
      </c>
      <c r="M1083" s="116">
        <v>622.54865588558403</v>
      </c>
      <c r="N1083" s="116">
        <v>632.99958805137703</v>
      </c>
      <c r="O1083" s="116">
        <v>619.42823538110497</v>
      </c>
      <c r="P1083" s="116">
        <v>630.52306384147403</v>
      </c>
      <c r="Q1083" s="116">
        <v>1256.9000000000001</v>
      </c>
      <c r="R1083">
        <v>11163801</v>
      </c>
    </row>
    <row r="1084" spans="1:18" x14ac:dyDescent="0.25">
      <c r="A1084" s="170">
        <v>43601</v>
      </c>
      <c r="B1084" s="116">
        <v>629.18771665470399</v>
      </c>
      <c r="C1084" s="116">
        <v>626.06740916863703</v>
      </c>
      <c r="D1084" s="116">
        <v>622.94710168257097</v>
      </c>
      <c r="E1084" s="116">
        <v>624.55678411585905</v>
      </c>
      <c r="F1084" s="116">
        <v>1264.05</v>
      </c>
      <c r="G1084">
        <v>442115</v>
      </c>
      <c r="H1084" s="116"/>
      <c r="I1084" s="116"/>
      <c r="L1084" s="170">
        <v>43601</v>
      </c>
      <c r="M1084" s="116">
        <v>626.73398180032098</v>
      </c>
      <c r="N1084" s="116">
        <v>629.97822851529497</v>
      </c>
      <c r="O1084" s="116">
        <v>623.14302169596101</v>
      </c>
      <c r="P1084" s="116">
        <v>624.059335653625</v>
      </c>
      <c r="Q1084" s="116">
        <v>1265.3499999999999</v>
      </c>
      <c r="R1084">
        <v>6606652</v>
      </c>
    </row>
    <row r="1085" spans="1:18" x14ac:dyDescent="0.25">
      <c r="A1085" s="170">
        <v>43602</v>
      </c>
      <c r="B1085" s="116">
        <v>632.43184586640803</v>
      </c>
      <c r="C1085" s="116">
        <v>626.88463255784495</v>
      </c>
      <c r="D1085" s="116">
        <v>621.58506270055705</v>
      </c>
      <c r="E1085" s="116">
        <v>628.02379243371104</v>
      </c>
      <c r="F1085" s="116">
        <v>1265.7</v>
      </c>
      <c r="G1085">
        <v>538457</v>
      </c>
      <c r="H1085" s="116"/>
      <c r="I1085" s="116"/>
      <c r="L1085" s="170">
        <v>43602</v>
      </c>
      <c r="M1085" s="116">
        <v>627.74935672638196</v>
      </c>
      <c r="N1085" s="116">
        <v>632.47951796729797</v>
      </c>
      <c r="O1085" s="116">
        <v>620.12166215987804</v>
      </c>
      <c r="P1085" s="116">
        <v>627.55123478958899</v>
      </c>
      <c r="Q1085" s="116">
        <v>1267.4000000000001</v>
      </c>
      <c r="R1085">
        <v>7898440</v>
      </c>
    </row>
    <row r="1086" spans="1:18" x14ac:dyDescent="0.25">
      <c r="A1086" s="170">
        <v>43605</v>
      </c>
      <c r="B1086" s="116">
        <v>661.95094525840204</v>
      </c>
      <c r="C1086" s="116">
        <v>656.50278933034997</v>
      </c>
      <c r="D1086" s="116">
        <v>645.160719261949</v>
      </c>
      <c r="E1086" s="116">
        <v>650.75746126076695</v>
      </c>
      <c r="F1086" s="116">
        <v>1325.5</v>
      </c>
      <c r="G1086">
        <v>2132599</v>
      </c>
      <c r="H1086" s="116"/>
      <c r="I1086" s="116"/>
      <c r="L1086" s="170">
        <v>43605</v>
      </c>
      <c r="M1086" s="116">
        <v>656.72468998225497</v>
      </c>
      <c r="N1086" s="116">
        <v>662.56928711762703</v>
      </c>
      <c r="O1086" s="116">
        <v>645.62986152188603</v>
      </c>
      <c r="P1086" s="116">
        <v>650.63244042589099</v>
      </c>
      <c r="Q1086" s="116">
        <v>1325.9</v>
      </c>
      <c r="R1086">
        <v>12333937</v>
      </c>
    </row>
    <row r="1087" spans="1:18" x14ac:dyDescent="0.25">
      <c r="A1087" s="170">
        <v>43606</v>
      </c>
      <c r="B1087" s="116">
        <v>676.68573060927201</v>
      </c>
      <c r="C1087" s="116">
        <v>663.56062769169102</v>
      </c>
      <c r="D1087" s="116">
        <v>658.38487956004099</v>
      </c>
      <c r="E1087" s="116">
        <v>658.38487956004099</v>
      </c>
      <c r="F1087" s="116">
        <v>1339.75</v>
      </c>
      <c r="G1087">
        <v>1951774</v>
      </c>
      <c r="H1087" s="116"/>
      <c r="I1087" s="116"/>
      <c r="L1087" s="170">
        <v>43606</v>
      </c>
      <c r="M1087" s="116">
        <v>663.60942728578698</v>
      </c>
      <c r="N1087" s="116">
        <v>677.08171898766295</v>
      </c>
      <c r="O1087" s="116">
        <v>658.780205076475</v>
      </c>
      <c r="P1087" s="116">
        <v>659.84511048673301</v>
      </c>
      <c r="Q1087" s="116">
        <v>1339.8</v>
      </c>
      <c r="R1087">
        <v>13872055</v>
      </c>
    </row>
    <row r="1088" spans="1:18" x14ac:dyDescent="0.25">
      <c r="A1088" s="170">
        <v>43607</v>
      </c>
      <c r="B1088" s="116">
        <v>673.09490056578295</v>
      </c>
      <c r="C1088" s="116">
        <v>664.03115024911301</v>
      </c>
      <c r="D1088" s="116">
        <v>660.96037145330195</v>
      </c>
      <c r="E1088" s="116">
        <v>668.14203154027996</v>
      </c>
      <c r="F1088" s="116">
        <v>1340.7</v>
      </c>
      <c r="G1088">
        <v>636091</v>
      </c>
      <c r="H1088" s="116"/>
      <c r="I1088" s="116"/>
      <c r="L1088" s="170">
        <v>43607</v>
      </c>
      <c r="M1088" s="116">
        <v>663.90661019097502</v>
      </c>
      <c r="N1088" s="116">
        <v>673.465993641203</v>
      </c>
      <c r="O1088" s="116">
        <v>661.28149452847697</v>
      </c>
      <c r="P1088" s="116">
        <v>666.50696061137398</v>
      </c>
      <c r="Q1088" s="116">
        <v>1340.4</v>
      </c>
      <c r="R1088">
        <v>11287400</v>
      </c>
    </row>
    <row r="1089" spans="1:18" x14ac:dyDescent="0.25">
      <c r="A1089" s="170">
        <v>43608</v>
      </c>
      <c r="B1089" s="116">
        <v>689.43936834994099</v>
      </c>
      <c r="C1089" s="116">
        <v>661.60424442661702</v>
      </c>
      <c r="D1089" s="116">
        <v>655.98273808267197</v>
      </c>
      <c r="E1089" s="116">
        <v>678.54305649383605</v>
      </c>
      <c r="F1089" s="116">
        <v>1335.8</v>
      </c>
      <c r="G1089">
        <v>1231275</v>
      </c>
      <c r="H1089" s="116"/>
      <c r="I1089" s="116"/>
      <c r="L1089" s="170">
        <v>43608</v>
      </c>
      <c r="M1089" s="116">
        <v>660.68712871809998</v>
      </c>
      <c r="N1089" s="116">
        <v>689.46434003718105</v>
      </c>
      <c r="O1089" s="116">
        <v>656.27891562447201</v>
      </c>
      <c r="P1089" s="116">
        <v>679.55824319756596</v>
      </c>
      <c r="Q1089" s="116">
        <v>1333.9</v>
      </c>
      <c r="R1089">
        <v>17722514</v>
      </c>
    </row>
    <row r="1090" spans="1:18" x14ac:dyDescent="0.25">
      <c r="A1090" s="170">
        <v>43609</v>
      </c>
      <c r="B1090" s="116">
        <v>670.37082260175703</v>
      </c>
      <c r="C1090" s="116">
        <v>662.09953132916701</v>
      </c>
      <c r="D1090" s="116">
        <v>652.09473589765196</v>
      </c>
      <c r="E1090" s="116">
        <v>668.58778975257599</v>
      </c>
      <c r="F1090" s="116">
        <v>1336.8</v>
      </c>
      <c r="G1090">
        <v>877196</v>
      </c>
      <c r="H1090" s="116"/>
      <c r="I1090" s="116"/>
      <c r="L1090" s="170">
        <v>43609</v>
      </c>
      <c r="M1090" s="116">
        <v>662.14827800194303</v>
      </c>
      <c r="N1090" s="116">
        <v>670.54369507351703</v>
      </c>
      <c r="O1090" s="116">
        <v>652.06882446763598</v>
      </c>
      <c r="P1090" s="116">
        <v>667.67092699002899</v>
      </c>
      <c r="Q1090" s="116">
        <v>1336.85</v>
      </c>
      <c r="R1090">
        <v>10180759</v>
      </c>
    </row>
    <row r="1091" spans="1:18" x14ac:dyDescent="0.25">
      <c r="A1091" s="170">
        <v>43612</v>
      </c>
      <c r="B1091" s="116">
        <v>662.19858870967698</v>
      </c>
      <c r="C1091" s="116">
        <v>649.17254317260597</v>
      </c>
      <c r="D1091" s="116">
        <v>647.83526853572005</v>
      </c>
      <c r="E1091" s="116">
        <v>661.70330180712699</v>
      </c>
      <c r="F1091" s="116">
        <v>1310.7</v>
      </c>
      <c r="G1091">
        <v>606138</v>
      </c>
      <c r="H1091" s="116"/>
      <c r="I1091" s="116"/>
      <c r="L1091" s="170">
        <v>43612</v>
      </c>
      <c r="M1091" s="116">
        <v>649.17129114204795</v>
      </c>
      <c r="N1091" s="116">
        <v>662.47022614923105</v>
      </c>
      <c r="O1091" s="116">
        <v>647.36342846881905</v>
      </c>
      <c r="P1091" s="116">
        <v>662.27210421243899</v>
      </c>
      <c r="Q1091" s="116">
        <v>1310.6500000000001</v>
      </c>
      <c r="R1091">
        <v>7349720</v>
      </c>
    </row>
    <row r="1092" spans="1:18" x14ac:dyDescent="0.25">
      <c r="A1092" s="170">
        <v>43613</v>
      </c>
      <c r="B1092" s="116">
        <v>661.10895752406702</v>
      </c>
      <c r="C1092" s="116">
        <v>656.72566843649702</v>
      </c>
      <c r="D1092" s="116">
        <v>650.83175429614903</v>
      </c>
      <c r="E1092" s="116">
        <v>652.39190803918302</v>
      </c>
      <c r="F1092" s="116">
        <v>1325.95</v>
      </c>
      <c r="G1092">
        <v>563020</v>
      </c>
      <c r="H1092" s="116"/>
      <c r="I1092" s="116"/>
      <c r="L1092" s="170">
        <v>43613</v>
      </c>
      <c r="M1092" s="116">
        <v>655.65978457199606</v>
      </c>
      <c r="N1092" s="116">
        <v>661.13290307588295</v>
      </c>
      <c r="O1092" s="116">
        <v>650.50861421539605</v>
      </c>
      <c r="P1092" s="116">
        <v>653.703330446172</v>
      </c>
      <c r="Q1092" s="116">
        <v>1323.75</v>
      </c>
      <c r="R1092">
        <v>19472659</v>
      </c>
    </row>
    <row r="1093" spans="1:18" x14ac:dyDescent="0.25">
      <c r="A1093" s="170">
        <v>43614</v>
      </c>
      <c r="B1093" s="116">
        <v>660.29173413485898</v>
      </c>
      <c r="C1093" s="116">
        <v>650.43552477410901</v>
      </c>
      <c r="D1093" s="116">
        <v>646.10176437679502</v>
      </c>
      <c r="E1093" s="116">
        <v>654.89310689706099</v>
      </c>
      <c r="F1093" s="116">
        <v>1313.25</v>
      </c>
      <c r="G1093">
        <v>409985</v>
      </c>
      <c r="H1093" s="116"/>
      <c r="I1093" s="116"/>
      <c r="L1093" s="170">
        <v>43614</v>
      </c>
      <c r="M1093" s="116">
        <v>650.36002276280203</v>
      </c>
      <c r="N1093" s="116">
        <v>660.38994581291195</v>
      </c>
      <c r="O1093" s="116">
        <v>645.95180966917405</v>
      </c>
      <c r="P1093" s="116">
        <v>654.29769625654899</v>
      </c>
      <c r="Q1093" s="116">
        <v>1313.05</v>
      </c>
      <c r="R1093">
        <v>7112830</v>
      </c>
    </row>
    <row r="1094" spans="1:18" x14ac:dyDescent="0.25">
      <c r="A1094" s="170">
        <v>43615</v>
      </c>
      <c r="B1094" s="116">
        <v>663.90732852347605</v>
      </c>
      <c r="C1094" s="116">
        <v>659.02875253335606</v>
      </c>
      <c r="D1094" s="116">
        <v>651.79756375612203</v>
      </c>
      <c r="E1094" s="116">
        <v>651.99567851714198</v>
      </c>
      <c r="F1094" s="116">
        <v>1330.6</v>
      </c>
      <c r="G1094">
        <v>509268</v>
      </c>
      <c r="H1094" s="116"/>
      <c r="I1094" s="116"/>
      <c r="L1094" s="170">
        <v>43615</v>
      </c>
      <c r="M1094" s="116">
        <v>658.63161362387996</v>
      </c>
      <c r="N1094" s="116">
        <v>664.69909793814395</v>
      </c>
      <c r="O1094" s="116">
        <v>651.94499825714001</v>
      </c>
      <c r="P1094" s="116">
        <v>651.94499825714001</v>
      </c>
      <c r="Q1094" s="116">
        <v>1329.75</v>
      </c>
      <c r="R1094">
        <v>10740841</v>
      </c>
    </row>
    <row r="1095" spans="1:18" x14ac:dyDescent="0.25">
      <c r="A1095" s="170">
        <v>43616</v>
      </c>
      <c r="B1095" s="116">
        <v>664.13020762962299</v>
      </c>
      <c r="C1095" s="116">
        <v>658.60775866618803</v>
      </c>
      <c r="D1095" s="116">
        <v>654.397819994511</v>
      </c>
      <c r="E1095" s="116">
        <v>663.18916251477799</v>
      </c>
      <c r="F1095" s="116">
        <v>1329.75</v>
      </c>
      <c r="G1095">
        <v>446597</v>
      </c>
      <c r="H1095" s="116"/>
      <c r="I1095" s="116"/>
      <c r="L1095" s="170">
        <v>43616</v>
      </c>
      <c r="M1095" s="116">
        <v>658.82973556067304</v>
      </c>
      <c r="N1095" s="116">
        <v>664.64956745394602</v>
      </c>
      <c r="O1095" s="116">
        <v>653.90145238296395</v>
      </c>
      <c r="P1095" s="116">
        <v>662.668348086023</v>
      </c>
      <c r="Q1095" s="116">
        <v>1330.15</v>
      </c>
      <c r="R1095">
        <v>11760178</v>
      </c>
    </row>
    <row r="1096" spans="1:18" x14ac:dyDescent="0.25">
      <c r="A1096" s="170">
        <v>43619</v>
      </c>
      <c r="B1096" s="116">
        <v>676.06662198108404</v>
      </c>
      <c r="C1096" s="116">
        <v>672.74819973399804</v>
      </c>
      <c r="D1096" s="116">
        <v>654.81881386167902</v>
      </c>
      <c r="E1096" s="116">
        <v>661.208014904577</v>
      </c>
      <c r="F1096" s="116">
        <v>1358.3</v>
      </c>
      <c r="G1096">
        <v>511401</v>
      </c>
      <c r="H1096" s="116"/>
      <c r="I1096" s="116"/>
      <c r="L1096" s="170">
        <v>43619</v>
      </c>
      <c r="M1096" s="116">
        <v>673.71364606219402</v>
      </c>
      <c r="N1096" s="116">
        <v>677.20554519815801</v>
      </c>
      <c r="O1096" s="116">
        <v>654.39675722494496</v>
      </c>
      <c r="P1096" s="116">
        <v>661.23196404427904</v>
      </c>
      <c r="Q1096" s="116">
        <v>1360.2</v>
      </c>
      <c r="R1096">
        <v>8483610</v>
      </c>
    </row>
    <row r="1097" spans="1:18" x14ac:dyDescent="0.25">
      <c r="A1097" s="170">
        <v>43620</v>
      </c>
      <c r="B1097" s="116">
        <v>680.02891720148602</v>
      </c>
      <c r="C1097" s="116">
        <v>669.18213403563595</v>
      </c>
      <c r="D1097" s="116">
        <v>667.37433684132805</v>
      </c>
      <c r="E1097" s="116">
        <v>672.59961366323296</v>
      </c>
      <c r="F1097" s="116">
        <v>1351.1</v>
      </c>
      <c r="G1097">
        <v>340665</v>
      </c>
      <c r="H1097" s="116"/>
      <c r="I1097" s="116"/>
      <c r="L1097" s="170">
        <v>43620</v>
      </c>
      <c r="M1097" s="116">
        <v>669.478789663258</v>
      </c>
      <c r="N1097" s="116">
        <v>680.67267909202303</v>
      </c>
      <c r="O1097" s="116">
        <v>667.72045747422703</v>
      </c>
      <c r="P1097" s="116">
        <v>672.35155774674695</v>
      </c>
      <c r="Q1097" s="116">
        <v>1351.65</v>
      </c>
      <c r="R1097">
        <v>7059911</v>
      </c>
    </row>
    <row r="1098" spans="1:18" x14ac:dyDescent="0.25">
      <c r="A1098" s="170">
        <v>43622</v>
      </c>
      <c r="B1098" s="116">
        <v>673.09490056578295</v>
      </c>
      <c r="C1098" s="116">
        <v>657.27048402930302</v>
      </c>
      <c r="D1098" s="116">
        <v>654.59593475553095</v>
      </c>
      <c r="E1098" s="116">
        <v>670.71752343354206</v>
      </c>
      <c r="F1098" s="116">
        <v>1327.05</v>
      </c>
      <c r="G1098">
        <v>344675</v>
      </c>
      <c r="H1098" s="116"/>
      <c r="I1098" s="116"/>
      <c r="L1098" s="170">
        <v>43622</v>
      </c>
      <c r="M1098" s="116">
        <v>657.44288200312701</v>
      </c>
      <c r="N1098" s="116">
        <v>674.55566429356099</v>
      </c>
      <c r="O1098" s="116">
        <v>654.34722674074703</v>
      </c>
      <c r="P1098" s="116">
        <v>674.55566429356099</v>
      </c>
      <c r="Q1098" s="116">
        <v>1327.35</v>
      </c>
      <c r="R1098">
        <v>7664319</v>
      </c>
    </row>
    <row r="1099" spans="1:18" x14ac:dyDescent="0.25">
      <c r="A1099" s="170">
        <v>43623</v>
      </c>
      <c r="B1099" s="116">
        <v>658.08770741851004</v>
      </c>
      <c r="C1099" s="116">
        <v>651.450862924337</v>
      </c>
      <c r="D1099" s="116">
        <v>646.6465799696</v>
      </c>
      <c r="E1099" s="116">
        <v>657.59242051596004</v>
      </c>
      <c r="F1099" s="116">
        <v>1315.3</v>
      </c>
      <c r="G1099">
        <v>441793</v>
      </c>
      <c r="H1099" s="116"/>
      <c r="I1099" s="116"/>
      <c r="L1099" s="170">
        <v>43623</v>
      </c>
      <c r="M1099" s="116">
        <v>651.27633672046602</v>
      </c>
      <c r="N1099" s="116">
        <v>657.39335151892897</v>
      </c>
      <c r="O1099" s="116">
        <v>646.67000169004598</v>
      </c>
      <c r="P1099" s="116">
        <v>656.74945522435405</v>
      </c>
      <c r="Q1099" s="116">
        <v>1314.9</v>
      </c>
      <c r="R1099">
        <v>6730595</v>
      </c>
    </row>
    <row r="1100" spans="1:18" x14ac:dyDescent="0.25">
      <c r="A1100" s="170">
        <v>43626</v>
      </c>
      <c r="B1100" s="116">
        <v>657.24571968417501</v>
      </c>
      <c r="C1100" s="116">
        <v>653.20913142839004</v>
      </c>
      <c r="D1100" s="116">
        <v>649.12301448235098</v>
      </c>
      <c r="E1100" s="116">
        <v>653.72918267606804</v>
      </c>
      <c r="F1100" s="116">
        <v>1318.85</v>
      </c>
      <c r="G1100">
        <v>296443</v>
      </c>
      <c r="H1100" s="116"/>
      <c r="I1100" s="116"/>
      <c r="L1100" s="170">
        <v>43626</v>
      </c>
      <c r="M1100" s="116">
        <v>653.381382298885</v>
      </c>
      <c r="N1100" s="116">
        <v>657.269525308433</v>
      </c>
      <c r="O1100" s="116">
        <v>648.89887347895899</v>
      </c>
      <c r="P1100" s="116">
        <v>654.24816577235094</v>
      </c>
      <c r="Q1100" s="116">
        <v>1319.15</v>
      </c>
      <c r="R1100">
        <v>5380148</v>
      </c>
    </row>
    <row r="1101" spans="1:18" x14ac:dyDescent="0.25">
      <c r="A1101" s="170">
        <v>43627</v>
      </c>
      <c r="B1101" s="116">
        <v>661.10895752406702</v>
      </c>
      <c r="C1101" s="116">
        <v>658.01341438312795</v>
      </c>
      <c r="D1101" s="116">
        <v>652.39190803918302</v>
      </c>
      <c r="E1101" s="116">
        <v>654.34829130425601</v>
      </c>
      <c r="F1101" s="116">
        <v>1328.55</v>
      </c>
      <c r="G1101">
        <v>297974</v>
      </c>
      <c r="H1101" s="116"/>
      <c r="I1101" s="116"/>
      <c r="L1101" s="170">
        <v>43627</v>
      </c>
      <c r="M1101" s="116">
        <v>658.33443071869203</v>
      </c>
      <c r="N1101" s="116">
        <v>660.98431162328905</v>
      </c>
      <c r="O1101" s="116">
        <v>652.81178173060698</v>
      </c>
      <c r="P1101" s="116">
        <v>654.71870537223299</v>
      </c>
      <c r="Q1101" s="116">
        <v>1329.15</v>
      </c>
      <c r="R1101">
        <v>5253790</v>
      </c>
    </row>
    <row r="1102" spans="1:18" x14ac:dyDescent="0.25">
      <c r="A1102" s="170">
        <v>43628</v>
      </c>
      <c r="B1102" s="116">
        <v>662.99104775375804</v>
      </c>
      <c r="C1102" s="116">
        <v>659.27639598463099</v>
      </c>
      <c r="D1102" s="116">
        <v>656.57708236573205</v>
      </c>
      <c r="E1102" s="116">
        <v>661.30707228508697</v>
      </c>
      <c r="F1102" s="116">
        <v>1331.1</v>
      </c>
      <c r="G1102">
        <v>201151</v>
      </c>
      <c r="H1102" s="116"/>
      <c r="I1102" s="116"/>
      <c r="L1102" s="170">
        <v>43628</v>
      </c>
      <c r="M1102" s="116">
        <v>659.82034524463404</v>
      </c>
      <c r="N1102" s="116">
        <v>662.91600050701402</v>
      </c>
      <c r="O1102" s="116">
        <v>656.27891562447201</v>
      </c>
      <c r="P1102" s="116">
        <v>661.08337259168502</v>
      </c>
      <c r="Q1102" s="116">
        <v>1332.15</v>
      </c>
      <c r="R1102">
        <v>4707716</v>
      </c>
    </row>
    <row r="1103" spans="1:18" x14ac:dyDescent="0.25">
      <c r="A1103" s="170">
        <v>43629</v>
      </c>
      <c r="B1103" s="116">
        <v>660.88607841791895</v>
      </c>
      <c r="C1103" s="116">
        <v>655.90844504728898</v>
      </c>
      <c r="D1103" s="116">
        <v>648.82584234082105</v>
      </c>
      <c r="E1103" s="116">
        <v>659.20210294924902</v>
      </c>
      <c r="F1103" s="116">
        <v>1324.3</v>
      </c>
      <c r="G1103">
        <v>380891</v>
      </c>
      <c r="H1103" s="116"/>
      <c r="I1103" s="116"/>
      <c r="L1103" s="170">
        <v>43629</v>
      </c>
      <c r="M1103" s="116">
        <v>657.39335151892897</v>
      </c>
      <c r="N1103" s="116">
        <v>661.08337259168502</v>
      </c>
      <c r="O1103" s="116">
        <v>648.18068145808695</v>
      </c>
      <c r="P1103" s="116">
        <v>658.75543983437603</v>
      </c>
      <c r="Q1103" s="116">
        <v>1327.25</v>
      </c>
      <c r="R1103">
        <v>7171189</v>
      </c>
    </row>
    <row r="1104" spans="1:18" x14ac:dyDescent="0.25">
      <c r="A1104" s="170">
        <v>43630</v>
      </c>
      <c r="B1104" s="116">
        <v>656.30467456933002</v>
      </c>
      <c r="C1104" s="116">
        <v>652.26808631354504</v>
      </c>
      <c r="D1104" s="116">
        <v>648.578198889546</v>
      </c>
      <c r="E1104" s="116">
        <v>655.11598600320895</v>
      </c>
      <c r="F1104" s="116">
        <v>1316.95</v>
      </c>
      <c r="G1104">
        <v>434045</v>
      </c>
      <c r="H1104" s="116"/>
      <c r="I1104" s="116"/>
      <c r="L1104" s="170">
        <v>43630</v>
      </c>
      <c r="M1104" s="116">
        <v>652.58889455171504</v>
      </c>
      <c r="N1104" s="116">
        <v>656.27891562447201</v>
      </c>
      <c r="O1104" s="116">
        <v>648.552160089572</v>
      </c>
      <c r="P1104" s="116">
        <v>654.74347061433195</v>
      </c>
      <c r="Q1104" s="116">
        <v>1317.55</v>
      </c>
      <c r="R1104">
        <v>6831331</v>
      </c>
    </row>
    <row r="1105" spans="1:18" x14ac:dyDescent="0.25">
      <c r="A1105" s="170">
        <v>43633</v>
      </c>
      <c r="B1105" s="116">
        <v>654.52164172014898</v>
      </c>
      <c r="C1105" s="116">
        <v>634.71016561813894</v>
      </c>
      <c r="D1105" s="116">
        <v>632.72901800793795</v>
      </c>
      <c r="E1105" s="116">
        <v>654.37305564938401</v>
      </c>
      <c r="F1105" s="116">
        <v>1281.5</v>
      </c>
      <c r="G1105">
        <v>472822</v>
      </c>
      <c r="H1105" s="116"/>
      <c r="I1105" s="116"/>
      <c r="L1105" s="170">
        <v>43633</v>
      </c>
      <c r="M1105" s="116">
        <v>635.12939887189498</v>
      </c>
      <c r="N1105" s="116">
        <v>653.80239141456798</v>
      </c>
      <c r="O1105" s="116">
        <v>633.24724047236805</v>
      </c>
      <c r="P1105" s="116">
        <v>653.80239141456798</v>
      </c>
      <c r="Q1105" s="116">
        <v>1282.3</v>
      </c>
      <c r="R1105">
        <v>6815554</v>
      </c>
    </row>
    <row r="1106" spans="1:18" x14ac:dyDescent="0.25">
      <c r="A1106" s="170">
        <v>43634</v>
      </c>
      <c r="B1106" s="116">
        <v>637.73141572369502</v>
      </c>
      <c r="C1106" s="116">
        <v>635.23021686581706</v>
      </c>
      <c r="D1106" s="116">
        <v>628.66766540702599</v>
      </c>
      <c r="E1106" s="116">
        <v>634.46252216686401</v>
      </c>
      <c r="F1106" s="116">
        <v>1282.55</v>
      </c>
      <c r="G1106">
        <v>430918</v>
      </c>
      <c r="H1106" s="116"/>
      <c r="I1106" s="116"/>
      <c r="L1106" s="170">
        <v>43634</v>
      </c>
      <c r="M1106" s="116">
        <v>634.48550257731995</v>
      </c>
      <c r="N1106" s="116">
        <v>637.92787122908601</v>
      </c>
      <c r="O1106" s="116">
        <v>628.59137495774905</v>
      </c>
      <c r="P1106" s="116">
        <v>633.44536240916</v>
      </c>
      <c r="Q1106" s="116">
        <v>1281</v>
      </c>
      <c r="R1106">
        <v>7679193</v>
      </c>
    </row>
    <row r="1107" spans="1:18" x14ac:dyDescent="0.25">
      <c r="A1107" s="170">
        <v>43635</v>
      </c>
      <c r="B1107" s="116">
        <v>644.44255325325105</v>
      </c>
      <c r="C1107" s="116">
        <v>632.72901800793795</v>
      </c>
      <c r="D1107" s="116">
        <v>625.39877185019395</v>
      </c>
      <c r="E1107" s="116">
        <v>636.56749150270196</v>
      </c>
      <c r="F1107" s="116">
        <v>1277.5</v>
      </c>
      <c r="G1107">
        <v>449975</v>
      </c>
      <c r="H1107" s="116"/>
      <c r="I1107" s="116"/>
      <c r="L1107" s="170">
        <v>43635</v>
      </c>
      <c r="M1107" s="116">
        <v>632.67763990409003</v>
      </c>
      <c r="N1107" s="116">
        <v>644.88690425891502</v>
      </c>
      <c r="O1107" s="116">
        <v>625.37189348487402</v>
      </c>
      <c r="P1107" s="116">
        <v>637.40780114500603</v>
      </c>
      <c r="Q1107" s="116">
        <v>1277.3499999999999</v>
      </c>
      <c r="R1107">
        <v>6625604</v>
      </c>
    </row>
    <row r="1108" spans="1:18" x14ac:dyDescent="0.25">
      <c r="A1108" s="170">
        <v>43636</v>
      </c>
      <c r="B1108" s="116">
        <v>643.87297331531795</v>
      </c>
      <c r="C1108" s="116">
        <v>642.33758391741299</v>
      </c>
      <c r="D1108" s="116">
        <v>633.050954494596</v>
      </c>
      <c r="E1108" s="116">
        <v>633.471948361763</v>
      </c>
      <c r="F1108" s="116">
        <v>1296.9000000000001</v>
      </c>
      <c r="G1108">
        <v>302515</v>
      </c>
      <c r="H1108" s="116"/>
      <c r="I1108" s="116"/>
      <c r="L1108" s="170">
        <v>43636</v>
      </c>
      <c r="M1108" s="116">
        <v>642.28655383851606</v>
      </c>
      <c r="N1108" s="116">
        <v>643.89629457495403</v>
      </c>
      <c r="O1108" s="116">
        <v>632.99958805137703</v>
      </c>
      <c r="P1108" s="116">
        <v>633.99019773533905</v>
      </c>
      <c r="Q1108" s="116">
        <v>1296.75</v>
      </c>
      <c r="R1108">
        <v>4914012</v>
      </c>
    </row>
    <row r="1109" spans="1:18" x14ac:dyDescent="0.25">
      <c r="A1109" s="170">
        <v>43637</v>
      </c>
      <c r="B1109" s="116">
        <v>641.69371094409701</v>
      </c>
      <c r="C1109" s="116">
        <v>633.57100574227297</v>
      </c>
      <c r="D1109" s="116">
        <v>631.98608765411302</v>
      </c>
      <c r="E1109" s="116">
        <v>641.39653880256697</v>
      </c>
      <c r="F1109" s="116">
        <v>1279.2</v>
      </c>
      <c r="G1109">
        <v>338684</v>
      </c>
      <c r="H1109" s="116"/>
      <c r="I1109" s="116"/>
      <c r="L1109" s="170">
        <v>43637</v>
      </c>
      <c r="M1109" s="116">
        <v>633.74254531434804</v>
      </c>
      <c r="N1109" s="116">
        <v>641.91507520703101</v>
      </c>
      <c r="O1109" s="116">
        <v>631.78609118852501</v>
      </c>
      <c r="P1109" s="116">
        <v>641.89030996493204</v>
      </c>
      <c r="Q1109" s="116">
        <v>1279.5</v>
      </c>
      <c r="R1109">
        <v>10623098</v>
      </c>
    </row>
    <row r="1110" spans="1:18" x14ac:dyDescent="0.25">
      <c r="A1110" s="170">
        <v>43640</v>
      </c>
      <c r="B1110" s="116">
        <v>631.98608765411302</v>
      </c>
      <c r="C1110" s="116">
        <v>625.37400750506697</v>
      </c>
      <c r="D1110" s="116">
        <v>622.79851561180601</v>
      </c>
      <c r="E1110" s="116">
        <v>628.02379243371104</v>
      </c>
      <c r="F1110" s="116">
        <v>1262.6500000000001</v>
      </c>
      <c r="G1110">
        <v>346832</v>
      </c>
      <c r="H1110" s="116"/>
      <c r="I1110" s="116"/>
      <c r="L1110" s="170">
        <v>43640</v>
      </c>
      <c r="M1110" s="116">
        <v>625.27283251647805</v>
      </c>
      <c r="N1110" s="116">
        <v>632.23186554630695</v>
      </c>
      <c r="O1110" s="116">
        <v>622.64771685398</v>
      </c>
      <c r="P1110" s="116">
        <v>630.10205472579003</v>
      </c>
      <c r="Q1110" s="116">
        <v>1262.4000000000001</v>
      </c>
      <c r="R1110">
        <v>5150998</v>
      </c>
    </row>
    <row r="1111" spans="1:18" x14ac:dyDescent="0.25">
      <c r="A1111" s="170">
        <v>43641</v>
      </c>
      <c r="B1111" s="116">
        <v>642.78334212970799</v>
      </c>
      <c r="C1111" s="116">
        <v>641.79276832460698</v>
      </c>
      <c r="D1111" s="116">
        <v>621.26312621390002</v>
      </c>
      <c r="E1111" s="116">
        <v>625.05207101840904</v>
      </c>
      <c r="F1111" s="116">
        <v>1295.8</v>
      </c>
      <c r="G1111">
        <v>407274</v>
      </c>
      <c r="H1111" s="116"/>
      <c r="I1111" s="116"/>
      <c r="L1111" s="170">
        <v>43641</v>
      </c>
      <c r="M1111" s="116">
        <v>641.84077948073298</v>
      </c>
      <c r="N1111" s="116">
        <v>642.90568489099201</v>
      </c>
      <c r="O1111" s="116">
        <v>621.236098054335</v>
      </c>
      <c r="P1111" s="116">
        <v>623.53926556954502</v>
      </c>
      <c r="Q1111" s="116">
        <v>1295.8499999999999</v>
      </c>
      <c r="R1111">
        <v>6842363</v>
      </c>
    </row>
    <row r="1112" spans="1:18" x14ac:dyDescent="0.25">
      <c r="A1112" s="170">
        <v>43642</v>
      </c>
      <c r="B1112" s="116">
        <v>646.10176437679502</v>
      </c>
      <c r="C1112" s="116">
        <v>641.17365969642003</v>
      </c>
      <c r="D1112" s="116">
        <v>637.48377227241997</v>
      </c>
      <c r="E1112" s="116">
        <v>637.95429482984298</v>
      </c>
      <c r="F1112" s="116">
        <v>1294.55</v>
      </c>
      <c r="G1112">
        <v>320941</v>
      </c>
      <c r="H1112" s="116"/>
      <c r="I1112" s="116"/>
      <c r="L1112" s="170">
        <v>43642</v>
      </c>
      <c r="M1112" s="116">
        <v>640.998761249366</v>
      </c>
      <c r="N1112" s="116">
        <v>646.17469684806497</v>
      </c>
      <c r="O1112" s="116">
        <v>637.13538348191696</v>
      </c>
      <c r="P1112" s="116">
        <v>639.43855099712698</v>
      </c>
      <c r="Q1112" s="116">
        <v>1294.1500000000001</v>
      </c>
      <c r="R1112">
        <v>5299942</v>
      </c>
    </row>
    <row r="1113" spans="1:18" x14ac:dyDescent="0.25">
      <c r="A1113" s="170">
        <v>43643</v>
      </c>
      <c r="B1113" s="116">
        <v>642.213762191775</v>
      </c>
      <c r="C1113" s="116">
        <v>631.41650771618004</v>
      </c>
      <c r="D1113" s="116">
        <v>629.559181831616</v>
      </c>
      <c r="E1113" s="116">
        <v>641.17365969642003</v>
      </c>
      <c r="F1113" s="116">
        <v>1274.8499999999999</v>
      </c>
      <c r="G1113">
        <v>288623</v>
      </c>
      <c r="H1113" s="116"/>
      <c r="I1113" s="116"/>
      <c r="L1113" s="170">
        <v>43643</v>
      </c>
      <c r="M1113" s="116">
        <v>631.09266440975205</v>
      </c>
      <c r="N1113" s="116">
        <v>642.36084956481295</v>
      </c>
      <c r="O1113" s="116">
        <v>629.53245415751201</v>
      </c>
      <c r="P1113" s="116">
        <v>640.50345640738601</v>
      </c>
      <c r="Q1113" s="116">
        <v>1274.1500000000001</v>
      </c>
      <c r="R1113">
        <v>11385972</v>
      </c>
    </row>
    <row r="1114" spans="1:18" x14ac:dyDescent="0.25">
      <c r="A1114" s="170">
        <v>43644</v>
      </c>
      <c r="B1114" s="116">
        <v>635.35403859145401</v>
      </c>
      <c r="C1114" s="116">
        <v>620.09920199290696</v>
      </c>
      <c r="D1114" s="116">
        <v>618.14281872783295</v>
      </c>
      <c r="E1114" s="116">
        <v>633.471948361763</v>
      </c>
      <c r="F1114" s="116">
        <v>1252</v>
      </c>
      <c r="G1114">
        <v>440862</v>
      </c>
      <c r="H1114" s="116"/>
      <c r="I1114" s="116"/>
      <c r="L1114" s="170">
        <v>43644</v>
      </c>
      <c r="M1114" s="116">
        <v>620.66649748605698</v>
      </c>
      <c r="N1114" s="116">
        <v>635.40181653498405</v>
      </c>
      <c r="O1114" s="116">
        <v>618.46239093924305</v>
      </c>
      <c r="P1114" s="116">
        <v>632.55381369359498</v>
      </c>
      <c r="Q1114" s="116">
        <v>1253.0999999999999</v>
      </c>
      <c r="R1114">
        <v>8659721</v>
      </c>
    </row>
    <row r="1115" spans="1:18" x14ac:dyDescent="0.25">
      <c r="A1115" s="170">
        <v>43647</v>
      </c>
      <c r="B1115" s="116">
        <v>630.00494004391203</v>
      </c>
      <c r="C1115" s="116">
        <v>628.27143588498598</v>
      </c>
      <c r="D1115" s="116">
        <v>617.62276748015495</v>
      </c>
      <c r="E1115" s="116">
        <v>622.57563650565805</v>
      </c>
      <c r="F1115" s="116">
        <v>1268.5</v>
      </c>
      <c r="G1115">
        <v>384353</v>
      </c>
      <c r="H1115" s="116"/>
      <c r="I1115" s="116"/>
      <c r="L1115" s="170">
        <v>43647</v>
      </c>
      <c r="M1115" s="116">
        <v>628.467548747254</v>
      </c>
      <c r="N1115" s="116">
        <v>630.34970714678002</v>
      </c>
      <c r="O1115" s="116">
        <v>617.37272028688506</v>
      </c>
      <c r="P1115" s="116">
        <v>623.11825645386205</v>
      </c>
      <c r="Q1115" s="116">
        <v>1268.8499999999999</v>
      </c>
      <c r="R1115">
        <v>6162080</v>
      </c>
    </row>
    <row r="1116" spans="1:18" x14ac:dyDescent="0.25">
      <c r="A1116" s="170">
        <v>43648</v>
      </c>
      <c r="B1116" s="116">
        <v>634.46252216686401</v>
      </c>
      <c r="C1116" s="116">
        <v>633.00142580434101</v>
      </c>
      <c r="D1116" s="116">
        <v>625.86929440761696</v>
      </c>
      <c r="E1116" s="116">
        <v>631.51556509669001</v>
      </c>
      <c r="F1116" s="116">
        <v>1278.05</v>
      </c>
      <c r="G1116">
        <v>350865</v>
      </c>
      <c r="H1116" s="116"/>
      <c r="I1116" s="116"/>
      <c r="L1116" s="170">
        <v>43648</v>
      </c>
      <c r="M1116" s="116">
        <v>633.24724047236805</v>
      </c>
      <c r="N1116" s="116">
        <v>634.48550257731995</v>
      </c>
      <c r="O1116" s="116">
        <v>625.71860687426101</v>
      </c>
      <c r="P1116" s="116">
        <v>630.99360344135596</v>
      </c>
      <c r="Q1116" s="116">
        <v>1278.5</v>
      </c>
      <c r="R1116">
        <v>4638751</v>
      </c>
    </row>
    <row r="1117" spans="1:18" x14ac:dyDescent="0.25">
      <c r="A1117" s="170">
        <v>43649</v>
      </c>
      <c r="B1117" s="116">
        <v>637.13707144063505</v>
      </c>
      <c r="C1117" s="116">
        <v>635.08163079505198</v>
      </c>
      <c r="D1117" s="116">
        <v>631.98608765411302</v>
      </c>
      <c r="E1117" s="116">
        <v>634.73492996326604</v>
      </c>
      <c r="F1117" s="116">
        <v>1282.25</v>
      </c>
      <c r="G1117">
        <v>274520</v>
      </c>
      <c r="H1117" s="116"/>
      <c r="I1117" s="116"/>
      <c r="L1117" s="170">
        <v>43649</v>
      </c>
      <c r="M1117" s="116">
        <v>635.25322508239003</v>
      </c>
      <c r="N1117" s="116">
        <v>637.20967920821397</v>
      </c>
      <c r="O1117" s="116">
        <v>631.53843876753399</v>
      </c>
      <c r="P1117" s="116">
        <v>635.42658177708302</v>
      </c>
      <c r="Q1117" s="116">
        <v>1282.55</v>
      </c>
      <c r="R1117">
        <v>4026032</v>
      </c>
    </row>
    <row r="1118" spans="1:18" x14ac:dyDescent="0.25">
      <c r="A1118" s="170">
        <v>43650</v>
      </c>
      <c r="B1118" s="116">
        <v>639.53921291800395</v>
      </c>
      <c r="C1118" s="116">
        <v>635.45309597196399</v>
      </c>
      <c r="D1118" s="116">
        <v>634.33870044122602</v>
      </c>
      <c r="E1118" s="116">
        <v>634.957809069414</v>
      </c>
      <c r="F1118" s="116">
        <v>1283</v>
      </c>
      <c r="G1118">
        <v>319573</v>
      </c>
      <c r="H1118" s="116"/>
      <c r="I1118" s="116"/>
      <c r="L1118" s="170">
        <v>43650</v>
      </c>
      <c r="M1118" s="116">
        <v>635.97141710326196</v>
      </c>
      <c r="N1118" s="116">
        <v>639.43855099712698</v>
      </c>
      <c r="O1118" s="116">
        <v>633.99019773533905</v>
      </c>
      <c r="P1118" s="116">
        <v>634.68362451411201</v>
      </c>
      <c r="Q1118" s="116">
        <v>1284</v>
      </c>
      <c r="R1118">
        <v>4275148</v>
      </c>
    </row>
    <row r="1119" spans="1:18" x14ac:dyDescent="0.25">
      <c r="A1119" s="170">
        <v>43651</v>
      </c>
      <c r="B1119" s="116">
        <v>639.01916167032596</v>
      </c>
      <c r="C1119" s="116">
        <v>625.34924315993896</v>
      </c>
      <c r="D1119" s="116">
        <v>623.78908941690599</v>
      </c>
      <c r="E1119" s="116">
        <v>637.45900792729299</v>
      </c>
      <c r="F1119" s="116">
        <v>1262.5999999999999</v>
      </c>
      <c r="G1119">
        <v>350612</v>
      </c>
      <c r="H1119" s="116"/>
      <c r="I1119" s="116"/>
      <c r="L1119" s="170">
        <v>43651</v>
      </c>
      <c r="M1119" s="116">
        <v>625.74337211635998</v>
      </c>
      <c r="N1119" s="116">
        <v>639.19089857613699</v>
      </c>
      <c r="O1119" s="116">
        <v>624.08410089572396</v>
      </c>
      <c r="P1119" s="116">
        <v>636.51625242944101</v>
      </c>
      <c r="Q1119" s="116">
        <v>1263.3499999999999</v>
      </c>
      <c r="R1119">
        <v>4995344</v>
      </c>
    </row>
    <row r="1120" spans="1:18" x14ac:dyDescent="0.25">
      <c r="A1120" s="170">
        <v>43654</v>
      </c>
      <c r="B1120" s="116">
        <v>627.87520636294596</v>
      </c>
      <c r="C1120" s="116">
        <v>620.04967330265197</v>
      </c>
      <c r="D1120" s="116">
        <v>618.14281872783295</v>
      </c>
      <c r="E1120" s="116">
        <v>624.55678411585905</v>
      </c>
      <c r="F1120" s="116">
        <v>1251.9000000000001</v>
      </c>
      <c r="G1120">
        <v>348852</v>
      </c>
      <c r="H1120" s="116"/>
      <c r="I1120" s="116"/>
      <c r="L1120" s="170">
        <v>43654</v>
      </c>
      <c r="M1120" s="116">
        <v>620.14642740197701</v>
      </c>
      <c r="N1120" s="116">
        <v>628.09607011576804</v>
      </c>
      <c r="O1120" s="116">
        <v>618.23950376035202</v>
      </c>
      <c r="P1120" s="116">
        <v>623.09349121176297</v>
      </c>
      <c r="Q1120" s="116">
        <v>1252.05</v>
      </c>
      <c r="R1120">
        <v>6404544</v>
      </c>
    </row>
    <row r="1121" spans="1:18" x14ac:dyDescent="0.25">
      <c r="A1121" s="170">
        <v>43655</v>
      </c>
      <c r="B1121" s="116">
        <v>635.87408983913201</v>
      </c>
      <c r="C1121" s="116">
        <v>633.69482746791095</v>
      </c>
      <c r="D1121" s="116">
        <v>616.68172236530995</v>
      </c>
      <c r="E1121" s="116">
        <v>619.25721425857103</v>
      </c>
      <c r="F1121" s="116">
        <v>1279.45</v>
      </c>
      <c r="G1121">
        <v>528377</v>
      </c>
      <c r="H1121" s="116"/>
      <c r="I1121" s="116"/>
      <c r="L1121" s="170">
        <v>43655</v>
      </c>
      <c r="M1121" s="116">
        <v>634.03972821953698</v>
      </c>
      <c r="N1121" s="116">
        <v>635.72376468227105</v>
      </c>
      <c r="O1121" s="116">
        <v>616.90218068700403</v>
      </c>
      <c r="P1121" s="116">
        <v>618.61098239183696</v>
      </c>
      <c r="Q1121" s="116">
        <v>1280.0999999999999</v>
      </c>
      <c r="R1121">
        <v>8016757</v>
      </c>
    </row>
    <row r="1122" spans="1:18" x14ac:dyDescent="0.25">
      <c r="A1122" s="170">
        <v>43656</v>
      </c>
      <c r="B1122" s="116">
        <v>638.27623131650103</v>
      </c>
      <c r="C1122" s="116">
        <v>633.15001187510597</v>
      </c>
      <c r="D1122" s="116">
        <v>628.51907933626103</v>
      </c>
      <c r="E1122" s="116">
        <v>634.56157954737398</v>
      </c>
      <c r="F1122" s="116">
        <v>1278.3499999999999</v>
      </c>
      <c r="G1122">
        <v>384665</v>
      </c>
      <c r="H1122" s="116"/>
      <c r="I1122" s="116"/>
      <c r="L1122" s="170">
        <v>43656</v>
      </c>
      <c r="M1122" s="116">
        <v>633.42059716706103</v>
      </c>
      <c r="N1122" s="116">
        <v>638.62129800785897</v>
      </c>
      <c r="O1122" s="116">
        <v>628.39325302095699</v>
      </c>
      <c r="P1122" s="116">
        <v>634.01496297743802</v>
      </c>
      <c r="Q1122" s="116">
        <v>1278.8499999999999</v>
      </c>
      <c r="R1122">
        <v>5494315</v>
      </c>
    </row>
    <row r="1123" spans="1:18" x14ac:dyDescent="0.25">
      <c r="A1123" s="170">
        <v>43657</v>
      </c>
      <c r="B1123" s="116">
        <v>638.796282564178</v>
      </c>
      <c r="C1123" s="116">
        <v>634.61110823762897</v>
      </c>
      <c r="D1123" s="116">
        <v>633.76912050329304</v>
      </c>
      <c r="E1123" s="116">
        <v>635.97314721964199</v>
      </c>
      <c r="F1123" s="116">
        <v>1281.3</v>
      </c>
      <c r="G1123">
        <v>156332</v>
      </c>
      <c r="H1123" s="116"/>
      <c r="I1123" s="116"/>
      <c r="L1123" s="170">
        <v>43657</v>
      </c>
      <c r="M1123" s="116">
        <v>634.75792024040902</v>
      </c>
      <c r="N1123" s="116">
        <v>638.84418518675</v>
      </c>
      <c r="O1123" s="116">
        <v>633.64348434595195</v>
      </c>
      <c r="P1123" s="116">
        <v>637.45733162920396</v>
      </c>
      <c r="Q1123" s="116">
        <v>1281.55</v>
      </c>
      <c r="R1123">
        <v>3935460</v>
      </c>
    </row>
    <row r="1124" spans="1:18" x14ac:dyDescent="0.25">
      <c r="A1124" s="170">
        <v>43658</v>
      </c>
      <c r="B1124" s="116">
        <v>643.77391593480797</v>
      </c>
      <c r="C1124" s="116">
        <v>634.26440740584405</v>
      </c>
      <c r="D1124" s="116">
        <v>632.97666145921301</v>
      </c>
      <c r="E1124" s="116">
        <v>636.29508370630003</v>
      </c>
      <c r="F1124" s="116">
        <v>1280.5999999999999</v>
      </c>
      <c r="G1124">
        <v>321654</v>
      </c>
      <c r="H1124" s="116"/>
      <c r="I1124" s="116"/>
      <c r="L1124" s="170">
        <v>43658</v>
      </c>
      <c r="M1124" s="116">
        <v>634.23785015632905</v>
      </c>
      <c r="N1124" s="116">
        <v>643.89629457495403</v>
      </c>
      <c r="O1124" s="116">
        <v>633.024353293476</v>
      </c>
      <c r="P1124" s="116">
        <v>635.47611226128095</v>
      </c>
      <c r="Q1124" s="116">
        <v>1280.5</v>
      </c>
      <c r="R1124">
        <v>7174054</v>
      </c>
    </row>
    <row r="1125" spans="1:18" x14ac:dyDescent="0.25">
      <c r="A1125" s="170">
        <v>43661</v>
      </c>
      <c r="B1125" s="116">
        <v>638.42481738726599</v>
      </c>
      <c r="C1125" s="116">
        <v>631.93655896385803</v>
      </c>
      <c r="D1125" s="116">
        <v>629.50965314136101</v>
      </c>
      <c r="E1125" s="116">
        <v>636.443669777065</v>
      </c>
      <c r="F1125" s="116">
        <v>1275.9000000000001</v>
      </c>
      <c r="G1125">
        <v>245812</v>
      </c>
      <c r="H1125" s="116"/>
      <c r="I1125" s="116"/>
      <c r="L1125" s="170">
        <v>43661</v>
      </c>
      <c r="M1125" s="116">
        <v>632.05850885161396</v>
      </c>
      <c r="N1125" s="116">
        <v>638.69559373415598</v>
      </c>
      <c r="O1125" s="116">
        <v>629.210506010225</v>
      </c>
      <c r="P1125" s="116">
        <v>636.46672194524297</v>
      </c>
      <c r="Q1125" s="116">
        <v>1276.0999999999999</v>
      </c>
      <c r="R1125">
        <v>4873164</v>
      </c>
    </row>
    <row r="1126" spans="1:18" x14ac:dyDescent="0.25">
      <c r="A1126" s="170">
        <v>43662</v>
      </c>
      <c r="B1126" s="116">
        <v>641.39653880256697</v>
      </c>
      <c r="C1126" s="116">
        <v>640.45549368772197</v>
      </c>
      <c r="D1126" s="116">
        <v>628.56860802651602</v>
      </c>
      <c r="E1126" s="116">
        <v>633.471948361763</v>
      </c>
      <c r="F1126" s="116">
        <v>1293.0999999999999</v>
      </c>
      <c r="G1126">
        <v>583479</v>
      </c>
      <c r="H1126" s="116"/>
      <c r="I1126" s="116"/>
      <c r="L1126" s="170">
        <v>43662</v>
      </c>
      <c r="M1126" s="116">
        <v>640.42916068108798</v>
      </c>
      <c r="N1126" s="116">
        <v>641.37023988085195</v>
      </c>
      <c r="O1126" s="116">
        <v>632.52904845149601</v>
      </c>
      <c r="P1126" s="116">
        <v>633.96543249323997</v>
      </c>
      <c r="Q1126" s="116">
        <v>1293</v>
      </c>
      <c r="R1126">
        <v>4604019</v>
      </c>
    </row>
    <row r="1127" spans="1:18" x14ac:dyDescent="0.25">
      <c r="A1127" s="170">
        <v>43663</v>
      </c>
      <c r="B1127" s="116">
        <v>642.288055227158</v>
      </c>
      <c r="C1127" s="116">
        <v>634.73492996326604</v>
      </c>
      <c r="D1127" s="116">
        <v>633.96723526431401</v>
      </c>
      <c r="E1127" s="116">
        <v>642.288055227158</v>
      </c>
      <c r="F1127" s="116">
        <v>1281.55</v>
      </c>
      <c r="G1127">
        <v>159911</v>
      </c>
      <c r="H1127" s="116"/>
      <c r="I1127" s="116"/>
      <c r="L1127" s="170">
        <v>43663</v>
      </c>
      <c r="M1127" s="116">
        <v>634.90651169300304</v>
      </c>
      <c r="N1127" s="116">
        <v>642.410380049011</v>
      </c>
      <c r="O1127" s="116">
        <v>633.99019773533905</v>
      </c>
      <c r="P1127" s="116">
        <v>641.07305697566301</v>
      </c>
      <c r="Q1127" s="116">
        <v>1281.8499999999999</v>
      </c>
      <c r="R1127">
        <v>4334958</v>
      </c>
    </row>
    <row r="1128" spans="1:18" x14ac:dyDescent="0.25">
      <c r="A1128" s="170">
        <v>43664</v>
      </c>
      <c r="B1128" s="116">
        <v>637.03801406012496</v>
      </c>
      <c r="C1128" s="116">
        <v>624.95301363789895</v>
      </c>
      <c r="D1128" s="116">
        <v>623.07092340820805</v>
      </c>
      <c r="E1128" s="116">
        <v>634.90828037915901</v>
      </c>
      <c r="F1128" s="116">
        <v>1261.8</v>
      </c>
      <c r="G1128">
        <v>181908</v>
      </c>
      <c r="H1128" s="116"/>
      <c r="I1128" s="116"/>
      <c r="L1128" s="170">
        <v>43664</v>
      </c>
      <c r="M1128" s="116">
        <v>625.00041485338897</v>
      </c>
      <c r="N1128" s="116">
        <v>637.16014872401604</v>
      </c>
      <c r="O1128" s="116">
        <v>623.09349121176297</v>
      </c>
      <c r="P1128" s="116">
        <v>634.98080741930005</v>
      </c>
      <c r="Q1128" s="116">
        <v>1261.8499999999999</v>
      </c>
      <c r="R1128">
        <v>5459896</v>
      </c>
    </row>
    <row r="1129" spans="1:18" x14ac:dyDescent="0.25">
      <c r="A1129" s="170">
        <v>43665</v>
      </c>
      <c r="B1129" s="116">
        <v>629.50965314136101</v>
      </c>
      <c r="C1129" s="116">
        <v>618.61334128525596</v>
      </c>
      <c r="D1129" s="116">
        <v>615.64161986995396</v>
      </c>
      <c r="E1129" s="116">
        <v>628.147614159348</v>
      </c>
      <c r="F1129" s="116">
        <v>1249</v>
      </c>
      <c r="G1129">
        <v>322482</v>
      </c>
      <c r="H1129" s="116"/>
      <c r="I1129" s="116"/>
      <c r="L1129" s="170">
        <v>43665</v>
      </c>
      <c r="M1129" s="116">
        <v>618.63574763393603</v>
      </c>
      <c r="N1129" s="116">
        <v>630.49829859937495</v>
      </c>
      <c r="O1129" s="116">
        <v>615.515327129458</v>
      </c>
      <c r="P1129" s="116">
        <v>628.14560059996597</v>
      </c>
      <c r="Q1129" s="116">
        <v>1249</v>
      </c>
      <c r="R1129">
        <v>7468515</v>
      </c>
    </row>
    <row r="1130" spans="1:18" x14ac:dyDescent="0.25">
      <c r="A1130" s="170">
        <v>43668</v>
      </c>
      <c r="B1130" s="116">
        <v>636.22079067091704</v>
      </c>
      <c r="C1130" s="116">
        <v>634.21487871558895</v>
      </c>
      <c r="D1130" s="116">
        <v>608.01420157068105</v>
      </c>
      <c r="E1130" s="116">
        <v>622.55087216053005</v>
      </c>
      <c r="F1130" s="116">
        <v>1280.5</v>
      </c>
      <c r="G1130">
        <v>585651</v>
      </c>
      <c r="H1130" s="116"/>
      <c r="I1130" s="116"/>
      <c r="L1130" s="170">
        <v>43668</v>
      </c>
      <c r="M1130" s="116">
        <v>634.23785015632905</v>
      </c>
      <c r="N1130" s="116">
        <v>636.21906952425195</v>
      </c>
      <c r="O1130" s="116">
        <v>607.88763256295397</v>
      </c>
      <c r="P1130" s="116">
        <v>619.62635731789806</v>
      </c>
      <c r="Q1130" s="116">
        <v>1280.5</v>
      </c>
      <c r="R1130">
        <v>13300153</v>
      </c>
    </row>
    <row r="1131" spans="1:18" x14ac:dyDescent="0.25">
      <c r="A1131" s="170">
        <v>43669</v>
      </c>
      <c r="B1131" s="116">
        <v>640.90125190001697</v>
      </c>
      <c r="C1131" s="116">
        <v>630.42593391107903</v>
      </c>
      <c r="D1131" s="116">
        <v>624.70537018662401</v>
      </c>
      <c r="E1131" s="116">
        <v>636.79037060885003</v>
      </c>
      <c r="F1131" s="116">
        <v>1272.8499999999999</v>
      </c>
      <c r="G1131">
        <v>425680</v>
      </c>
      <c r="H1131" s="116"/>
      <c r="I1131" s="116"/>
      <c r="L1131" s="170">
        <v>43669</v>
      </c>
      <c r="M1131" s="116">
        <v>630.79548150456299</v>
      </c>
      <c r="N1131" s="116">
        <v>640.87493503887094</v>
      </c>
      <c r="O1131" s="116">
        <v>624.28222283251705</v>
      </c>
      <c r="P1131" s="116">
        <v>636.46672194524297</v>
      </c>
      <c r="Q1131" s="116">
        <v>1273.55</v>
      </c>
      <c r="R1131">
        <v>9287951</v>
      </c>
    </row>
    <row r="1132" spans="1:18" x14ac:dyDescent="0.25">
      <c r="A1132" s="170">
        <v>43670</v>
      </c>
      <c r="B1132" s="116">
        <v>633.496712706891</v>
      </c>
      <c r="C1132" s="116">
        <v>623.46715293024795</v>
      </c>
      <c r="D1132" s="116">
        <v>621.28789055902701</v>
      </c>
      <c r="E1132" s="116">
        <v>630.99551384901201</v>
      </c>
      <c r="F1132" s="116">
        <v>1258.8</v>
      </c>
      <c r="G1132">
        <v>494832</v>
      </c>
      <c r="H1132" s="116"/>
      <c r="I1132" s="116"/>
      <c r="L1132" s="170">
        <v>43670</v>
      </c>
      <c r="M1132" s="116">
        <v>623.638326537941</v>
      </c>
      <c r="N1132" s="116">
        <v>633.39583192496195</v>
      </c>
      <c r="O1132" s="116">
        <v>620.88938466494801</v>
      </c>
      <c r="P1132" s="116">
        <v>630.77071626246402</v>
      </c>
      <c r="Q1132" s="116">
        <v>1259.0999999999999</v>
      </c>
      <c r="R1132">
        <v>6943982</v>
      </c>
    </row>
    <row r="1133" spans="1:18" x14ac:dyDescent="0.25">
      <c r="A1133" s="170">
        <v>43671</v>
      </c>
      <c r="B1133" s="116">
        <v>628.42002195575105</v>
      </c>
      <c r="C1133" s="116">
        <v>610.34205001266696</v>
      </c>
      <c r="D1133" s="116">
        <v>607.79132246453298</v>
      </c>
      <c r="E1133" s="116">
        <v>627.99902808858303</v>
      </c>
      <c r="F1133" s="116">
        <v>1232.3</v>
      </c>
      <c r="G1133">
        <v>382454</v>
      </c>
      <c r="H1133" s="116"/>
      <c r="I1133" s="116"/>
      <c r="L1133" s="170">
        <v>43671</v>
      </c>
      <c r="M1133" s="116">
        <v>609.96791289927296</v>
      </c>
      <c r="N1133" s="116">
        <v>628.56660971564997</v>
      </c>
      <c r="O1133" s="116">
        <v>607.73904111035995</v>
      </c>
      <c r="P1133" s="116">
        <v>626.06532026364698</v>
      </c>
      <c r="Q1133" s="116">
        <v>1231.5</v>
      </c>
      <c r="R1133">
        <v>9968545</v>
      </c>
    </row>
    <row r="1134" spans="1:18" x14ac:dyDescent="0.25">
      <c r="A1134" s="170">
        <v>43672</v>
      </c>
      <c r="B1134" s="116">
        <v>615.14633296740396</v>
      </c>
      <c r="C1134" s="116">
        <v>601.32782838625201</v>
      </c>
      <c r="D1134" s="116">
        <v>599.32191643092403</v>
      </c>
      <c r="E1134" s="116">
        <v>610.91162995059995</v>
      </c>
      <c r="F1134" s="116">
        <v>1214.0999999999999</v>
      </c>
      <c r="G1134">
        <v>552475</v>
      </c>
      <c r="H1134" s="116"/>
      <c r="I1134" s="116"/>
      <c r="L1134" s="170">
        <v>43672</v>
      </c>
      <c r="M1134" s="116">
        <v>601.20101719621402</v>
      </c>
      <c r="N1134" s="116">
        <v>615.416266161061</v>
      </c>
      <c r="O1134" s="116">
        <v>599.318858796688</v>
      </c>
      <c r="P1134" s="116">
        <v>609.96791289927296</v>
      </c>
      <c r="Q1134" s="116">
        <v>1213.8</v>
      </c>
      <c r="R1134">
        <v>9320481</v>
      </c>
    </row>
    <row r="1135" spans="1:18" x14ac:dyDescent="0.25">
      <c r="A1135" s="170">
        <v>43675</v>
      </c>
      <c r="B1135" s="116">
        <v>604.99295146512395</v>
      </c>
      <c r="C1135" s="116">
        <v>599.86673202372901</v>
      </c>
      <c r="D1135" s="116">
        <v>596.87024626330003</v>
      </c>
      <c r="E1135" s="116">
        <v>603.95284896976898</v>
      </c>
      <c r="F1135" s="116">
        <v>1211.1500000000001</v>
      </c>
      <c r="G1135">
        <v>416379</v>
      </c>
      <c r="H1135" s="116"/>
      <c r="I1135" s="116"/>
      <c r="L1135" s="170">
        <v>43675</v>
      </c>
      <c r="M1135" s="116">
        <v>599.78939839656903</v>
      </c>
      <c r="N1135" s="116">
        <v>605.26251690045603</v>
      </c>
      <c r="O1135" s="116">
        <v>596.89186507098202</v>
      </c>
      <c r="P1135" s="116">
        <v>602.73646220635499</v>
      </c>
      <c r="Q1135" s="116">
        <v>1210.95</v>
      </c>
      <c r="R1135">
        <v>8058035</v>
      </c>
    </row>
    <row r="1136" spans="1:18" x14ac:dyDescent="0.25">
      <c r="A1136" s="170">
        <v>43676</v>
      </c>
      <c r="B1136" s="116">
        <v>604.20049242104403</v>
      </c>
      <c r="C1136" s="116">
        <v>584.71095280569205</v>
      </c>
      <c r="D1136" s="116">
        <v>582.35834001857802</v>
      </c>
      <c r="E1136" s="116">
        <v>599.916260713984</v>
      </c>
      <c r="F1136" s="116">
        <v>1180.55</v>
      </c>
      <c r="G1136">
        <v>413976</v>
      </c>
      <c r="H1136" s="116"/>
      <c r="I1136" s="116"/>
      <c r="L1136" s="170">
        <v>43676</v>
      </c>
      <c r="M1136" s="116">
        <v>584.90548789504805</v>
      </c>
      <c r="N1136" s="116">
        <v>604.27190721649504</v>
      </c>
      <c r="O1136" s="116">
        <v>582.45372892724401</v>
      </c>
      <c r="P1136" s="116">
        <v>601.27531292251103</v>
      </c>
      <c r="Q1136" s="116">
        <v>1180.9000000000001</v>
      </c>
      <c r="R1136">
        <v>9533344</v>
      </c>
    </row>
    <row r="1137" spans="1:18" x14ac:dyDescent="0.25">
      <c r="A1137" s="170">
        <v>43677</v>
      </c>
      <c r="B1137" s="116">
        <v>586.840686486658</v>
      </c>
      <c r="C1137" s="116">
        <v>577.50452837358603</v>
      </c>
      <c r="D1137" s="116">
        <v>576.01866766593503</v>
      </c>
      <c r="E1137" s="116">
        <v>583.423206859061</v>
      </c>
      <c r="F1137" s="116">
        <v>1166</v>
      </c>
      <c r="G1137">
        <v>363098</v>
      </c>
      <c r="H1137" s="116"/>
      <c r="I1137" s="116"/>
      <c r="L1137" s="170">
        <v>43677</v>
      </c>
      <c r="M1137" s="116">
        <v>577.64927196002998</v>
      </c>
      <c r="N1137" s="116">
        <v>586.936237747169</v>
      </c>
      <c r="O1137" s="116">
        <v>575.74234831840499</v>
      </c>
      <c r="P1137" s="116">
        <v>582.35466795884702</v>
      </c>
      <c r="Q1137" s="116">
        <v>1166.25</v>
      </c>
      <c r="R1137">
        <v>9705619</v>
      </c>
    </row>
    <row r="1138" spans="1:18" x14ac:dyDescent="0.25">
      <c r="A1138" s="170">
        <v>43678</v>
      </c>
      <c r="B1138" s="116">
        <v>588.54942630045605</v>
      </c>
      <c r="C1138" s="116">
        <v>584.71095280569205</v>
      </c>
      <c r="D1138" s="116">
        <v>569.67899531329203</v>
      </c>
      <c r="E1138" s="116">
        <v>579.38661860327602</v>
      </c>
      <c r="F1138" s="116">
        <v>1180.55</v>
      </c>
      <c r="G1138">
        <v>430950</v>
      </c>
      <c r="H1138" s="116"/>
      <c r="I1138" s="116"/>
      <c r="L1138" s="170">
        <v>43678</v>
      </c>
      <c r="M1138" s="116">
        <v>584.58353974776105</v>
      </c>
      <c r="N1138" s="116">
        <v>588.52121324150801</v>
      </c>
      <c r="O1138" s="116">
        <v>569.77392497253697</v>
      </c>
      <c r="P1138" s="116">
        <v>576.23765316038498</v>
      </c>
      <c r="Q1138" s="116">
        <v>1180.25</v>
      </c>
      <c r="R1138">
        <v>10344862</v>
      </c>
    </row>
    <row r="1139" spans="1:18" x14ac:dyDescent="0.25">
      <c r="A1139" s="170">
        <v>43679</v>
      </c>
      <c r="B1139" s="116">
        <v>593.35370925519305</v>
      </c>
      <c r="C1139" s="116">
        <v>586.51874999999995</v>
      </c>
      <c r="D1139" s="116">
        <v>575.69673117927698</v>
      </c>
      <c r="E1139" s="116">
        <v>582.20975394781306</v>
      </c>
      <c r="F1139" s="116">
        <v>1184.2</v>
      </c>
      <c r="G1139">
        <v>523278</v>
      </c>
      <c r="H1139" s="116"/>
      <c r="I1139" s="116"/>
      <c r="L1139" s="170">
        <v>43679</v>
      </c>
      <c r="M1139" s="116">
        <v>586.614289599882</v>
      </c>
      <c r="N1139" s="116">
        <v>593.49902690341401</v>
      </c>
      <c r="O1139" s="116">
        <v>575.59375686580995</v>
      </c>
      <c r="P1139" s="116">
        <v>582.32990271674805</v>
      </c>
      <c r="Q1139" s="116">
        <v>1184.3499999999999</v>
      </c>
      <c r="R1139">
        <v>10865385</v>
      </c>
    </row>
    <row r="1140" spans="1:18" x14ac:dyDescent="0.25">
      <c r="A1140" s="170">
        <v>43682</v>
      </c>
      <c r="B1140" s="116">
        <v>583.20032775291304</v>
      </c>
      <c r="C1140" s="116">
        <v>566.11292961492995</v>
      </c>
      <c r="D1140" s="116">
        <v>559.17891297922699</v>
      </c>
      <c r="E1140" s="116">
        <v>583.20032775291304</v>
      </c>
      <c r="F1140" s="116">
        <v>1143</v>
      </c>
      <c r="G1140">
        <v>607913</v>
      </c>
      <c r="H1140" s="116"/>
      <c r="I1140" s="116"/>
      <c r="L1140" s="170">
        <v>43682</v>
      </c>
      <c r="M1140" s="116">
        <v>566.30679107867195</v>
      </c>
      <c r="N1140" s="116">
        <v>578.02075059151605</v>
      </c>
      <c r="O1140" s="116">
        <v>558.703861754267</v>
      </c>
      <c r="P1140" s="116">
        <v>578.02075059151605</v>
      </c>
      <c r="Q1140" s="116">
        <v>1143.3499999999999</v>
      </c>
      <c r="R1140">
        <v>13897461</v>
      </c>
    </row>
    <row r="1141" spans="1:18" x14ac:dyDescent="0.25">
      <c r="A1141" s="170">
        <v>43683</v>
      </c>
      <c r="B1141" s="116">
        <v>569.53040924252696</v>
      </c>
      <c r="C1141" s="116">
        <v>558.68362607667598</v>
      </c>
      <c r="D1141" s="116">
        <v>555.687140316247</v>
      </c>
      <c r="E1141" s="116">
        <v>563.04215081911798</v>
      </c>
      <c r="F1141" s="116">
        <v>1128</v>
      </c>
      <c r="G1141">
        <v>433717</v>
      </c>
      <c r="H1141" s="116"/>
      <c r="I1141" s="116"/>
      <c r="L1141" s="170">
        <v>43683</v>
      </c>
      <c r="M1141" s="116">
        <v>558.85245320686204</v>
      </c>
      <c r="N1141" s="116">
        <v>569.40244634105102</v>
      </c>
      <c r="O1141" s="116">
        <v>555.73203270238298</v>
      </c>
      <c r="P1141" s="116">
        <v>562.04716943763697</v>
      </c>
      <c r="Q1141" s="116">
        <v>1128.3</v>
      </c>
      <c r="R1141">
        <v>13288909</v>
      </c>
    </row>
    <row r="1142" spans="1:18" x14ac:dyDescent="0.25">
      <c r="A1142" s="170">
        <v>43684</v>
      </c>
      <c r="B1142" s="116">
        <v>563.83460986319903</v>
      </c>
      <c r="C1142" s="116">
        <v>549.27317492822203</v>
      </c>
      <c r="D1142" s="116">
        <v>546.30145351292003</v>
      </c>
      <c r="E1142" s="116">
        <v>558.584568696166</v>
      </c>
      <c r="F1142" s="116">
        <v>1109</v>
      </c>
      <c r="G1142">
        <v>546804</v>
      </c>
      <c r="H1142" s="116"/>
      <c r="I1142" s="116"/>
      <c r="L1142" s="170">
        <v>43684</v>
      </c>
      <c r="M1142" s="116">
        <v>549.491191693426</v>
      </c>
      <c r="N1142" s="116">
        <v>563.92932783716401</v>
      </c>
      <c r="O1142" s="116">
        <v>546.37077118894695</v>
      </c>
      <c r="P1142" s="116">
        <v>557.96090449129599</v>
      </c>
      <c r="Q1142" s="116">
        <v>1109.4000000000001</v>
      </c>
      <c r="R1142">
        <v>11588879</v>
      </c>
    </row>
    <row r="1143" spans="1:18" x14ac:dyDescent="0.25">
      <c r="A1143" s="170">
        <v>43685</v>
      </c>
      <c r="B1143" s="116">
        <v>573.54223315318404</v>
      </c>
      <c r="C1143" s="116">
        <v>570.54574739275495</v>
      </c>
      <c r="D1143" s="116">
        <v>542.66109477917598</v>
      </c>
      <c r="E1143" s="116">
        <v>549.27317492822203</v>
      </c>
      <c r="F1143" s="116">
        <v>1151.95</v>
      </c>
      <c r="G1143">
        <v>861938</v>
      </c>
      <c r="H1143" s="116"/>
      <c r="I1143" s="116"/>
      <c r="L1143" s="170">
        <v>43685</v>
      </c>
      <c r="M1143" s="116">
        <v>570.76453465649797</v>
      </c>
      <c r="N1143" s="116">
        <v>573.563007013689</v>
      </c>
      <c r="O1143" s="116">
        <v>542.507393421497</v>
      </c>
      <c r="P1143" s="116">
        <v>548.97112160934603</v>
      </c>
      <c r="Q1143" s="116">
        <v>1152.3499999999999</v>
      </c>
      <c r="R1143">
        <v>14262936</v>
      </c>
    </row>
    <row r="1144" spans="1:18" x14ac:dyDescent="0.25">
      <c r="A1144" s="170">
        <v>43686</v>
      </c>
      <c r="B1144" s="116">
        <v>581.962110496538</v>
      </c>
      <c r="C1144" s="116">
        <v>575.52338076338503</v>
      </c>
      <c r="D1144" s="116">
        <v>570.91721256966696</v>
      </c>
      <c r="E1144" s="116">
        <v>574.03752005573403</v>
      </c>
      <c r="F1144" s="116">
        <v>1162</v>
      </c>
      <c r="G1144">
        <v>528918</v>
      </c>
      <c r="H1144" s="116"/>
      <c r="I1144" s="116"/>
      <c r="L1144" s="170">
        <v>43686</v>
      </c>
      <c r="M1144" s="116">
        <v>575.59375686580995</v>
      </c>
      <c r="N1144" s="116">
        <v>582.23084174835196</v>
      </c>
      <c r="O1144" s="116">
        <v>570.73976941439901</v>
      </c>
      <c r="P1144" s="116">
        <v>575.46993065531501</v>
      </c>
      <c r="Q1144" s="116">
        <v>1162.0999999999999</v>
      </c>
      <c r="R1144">
        <v>10043949</v>
      </c>
    </row>
    <row r="1145" spans="1:18" x14ac:dyDescent="0.25">
      <c r="A1145" s="170">
        <v>43690</v>
      </c>
      <c r="B1145" s="116">
        <v>645.11119057169401</v>
      </c>
      <c r="C1145" s="116">
        <v>631.49080075156201</v>
      </c>
      <c r="D1145" s="116">
        <v>606.87504169481497</v>
      </c>
      <c r="E1145" s="116">
        <v>614.15575916230398</v>
      </c>
      <c r="F1145" s="116">
        <v>1275</v>
      </c>
      <c r="G1145">
        <v>2092112</v>
      </c>
      <c r="H1145" s="116"/>
      <c r="I1145" s="116"/>
      <c r="L1145" s="170">
        <v>43690</v>
      </c>
      <c r="M1145" s="116">
        <v>631.38984731493997</v>
      </c>
      <c r="N1145" s="116">
        <v>645.28314813249995</v>
      </c>
      <c r="O1145" s="116">
        <v>607.24373626837905</v>
      </c>
      <c r="P1145" s="116">
        <v>610.785165888542</v>
      </c>
      <c r="Q1145" s="116">
        <v>1274.75</v>
      </c>
      <c r="R1145">
        <v>47923444</v>
      </c>
    </row>
    <row r="1146" spans="1:18" x14ac:dyDescent="0.25">
      <c r="A1146" s="170">
        <v>43691</v>
      </c>
      <c r="B1146" s="116">
        <v>645.85412092551906</v>
      </c>
      <c r="C1146" s="116">
        <v>638.07811655548096</v>
      </c>
      <c r="D1146" s="116">
        <v>634.016763954569</v>
      </c>
      <c r="E1146" s="116">
        <v>642.88239951021797</v>
      </c>
      <c r="F1146" s="116">
        <v>1288.3</v>
      </c>
      <c r="G1146">
        <v>785411</v>
      </c>
      <c r="H1146" s="116"/>
      <c r="I1146" s="116"/>
      <c r="L1146" s="170">
        <v>43691</v>
      </c>
      <c r="M1146" s="116">
        <v>638.07646268168003</v>
      </c>
      <c r="N1146" s="116">
        <v>646.10040112176796</v>
      </c>
      <c r="O1146" s="116">
        <v>634.16355443003204</v>
      </c>
      <c r="P1146" s="116">
        <v>645.87751394287602</v>
      </c>
      <c r="Q1146" s="116">
        <v>1288.25</v>
      </c>
      <c r="R1146">
        <v>14487137</v>
      </c>
    </row>
    <row r="1147" spans="1:18" x14ac:dyDescent="0.25">
      <c r="A1147" s="170">
        <v>43693</v>
      </c>
      <c r="B1147" s="116">
        <v>639.41539119236597</v>
      </c>
      <c r="C1147" s="116">
        <v>632.67948931768296</v>
      </c>
      <c r="D1147" s="116">
        <v>630.599284326972</v>
      </c>
      <c r="E1147" s="116">
        <v>639.19251208621904</v>
      </c>
      <c r="F1147" s="116">
        <v>1277.4000000000001</v>
      </c>
      <c r="G1147">
        <v>339588</v>
      </c>
      <c r="H1147" s="116"/>
      <c r="I1147" s="116"/>
      <c r="L1147" s="170">
        <v>43693</v>
      </c>
      <c r="M1147" s="116">
        <v>632.99958805137703</v>
      </c>
      <c r="N1147" s="116">
        <v>639.83479487071099</v>
      </c>
      <c r="O1147" s="116">
        <v>630.52306384147403</v>
      </c>
      <c r="P1147" s="116">
        <v>639.53761196552296</v>
      </c>
      <c r="Q1147" s="116">
        <v>1278</v>
      </c>
      <c r="R1147">
        <v>10047496</v>
      </c>
    </row>
    <row r="1148" spans="1:18" x14ac:dyDescent="0.25">
      <c r="A1148" s="170">
        <v>43696</v>
      </c>
      <c r="B1148" s="116">
        <v>642.213762191775</v>
      </c>
      <c r="C1148" s="116">
        <v>639.96020678517095</v>
      </c>
      <c r="D1148" s="116">
        <v>634.23964306071605</v>
      </c>
      <c r="E1148" s="116">
        <v>634.36346478635403</v>
      </c>
      <c r="F1148" s="116">
        <v>1292.0999999999999</v>
      </c>
      <c r="G1148">
        <v>463484</v>
      </c>
      <c r="H1148" s="116"/>
      <c r="I1148" s="116"/>
      <c r="L1148" s="170">
        <v>43696</v>
      </c>
      <c r="M1148" s="116">
        <v>640.23103874429603</v>
      </c>
      <c r="N1148" s="116">
        <v>642.31131908061502</v>
      </c>
      <c r="O1148" s="116">
        <v>633.99019773533905</v>
      </c>
      <c r="P1148" s="116">
        <v>634.51026781941903</v>
      </c>
      <c r="Q1148" s="116">
        <v>1292.5999999999999</v>
      </c>
      <c r="R1148">
        <v>7459859</v>
      </c>
    </row>
    <row r="1149" spans="1:18" x14ac:dyDescent="0.25">
      <c r="A1149" s="170">
        <v>43697</v>
      </c>
      <c r="B1149" s="116">
        <v>640.90125190001697</v>
      </c>
      <c r="C1149" s="116">
        <v>631.98608765411302</v>
      </c>
      <c r="D1149" s="116">
        <v>630.42593391107903</v>
      </c>
      <c r="E1149" s="116">
        <v>640.90125190001697</v>
      </c>
      <c r="F1149" s="116">
        <v>1276</v>
      </c>
      <c r="G1149">
        <v>291530</v>
      </c>
      <c r="H1149" s="116"/>
      <c r="I1149" s="116"/>
      <c r="L1149" s="170">
        <v>43697</v>
      </c>
      <c r="M1149" s="116">
        <v>631.98421312531696</v>
      </c>
      <c r="N1149" s="116">
        <v>640.23103874429603</v>
      </c>
      <c r="O1149" s="116">
        <v>630.32494190468105</v>
      </c>
      <c r="P1149" s="116">
        <v>638.84418518675</v>
      </c>
      <c r="Q1149" s="116">
        <v>1275.95</v>
      </c>
      <c r="R1149">
        <v>6843460</v>
      </c>
    </row>
    <row r="1150" spans="1:18" x14ac:dyDescent="0.25">
      <c r="A1150" s="170">
        <v>43698</v>
      </c>
      <c r="B1150" s="116">
        <v>633.17477622023296</v>
      </c>
      <c r="C1150" s="116">
        <v>629.41059576085104</v>
      </c>
      <c r="D1150" s="116">
        <v>627.35515511526796</v>
      </c>
      <c r="E1150" s="116">
        <v>632.67948931768296</v>
      </c>
      <c r="F1150" s="116">
        <v>1270.8</v>
      </c>
      <c r="G1150">
        <v>233087</v>
      </c>
      <c r="H1150" s="116"/>
      <c r="I1150" s="116"/>
      <c r="L1150" s="170">
        <v>43698</v>
      </c>
      <c r="M1150" s="116">
        <v>629.50768891541304</v>
      </c>
      <c r="N1150" s="116">
        <v>633.32153619866494</v>
      </c>
      <c r="O1150" s="116">
        <v>627.303582368599</v>
      </c>
      <c r="P1150" s="116">
        <v>631.83562167272305</v>
      </c>
      <c r="Q1150" s="116">
        <v>1270.95</v>
      </c>
      <c r="R1150">
        <v>4881553</v>
      </c>
    </row>
    <row r="1151" spans="1:18" x14ac:dyDescent="0.25">
      <c r="A1151" s="170">
        <v>43699</v>
      </c>
      <c r="B1151" s="116">
        <v>629.53441748648902</v>
      </c>
      <c r="C1151" s="116">
        <v>617.37512402888001</v>
      </c>
      <c r="D1151" s="116">
        <v>613.68523660488097</v>
      </c>
      <c r="E1151" s="116">
        <v>629.50965314136101</v>
      </c>
      <c r="F1151" s="116">
        <v>1246.5</v>
      </c>
      <c r="G1151">
        <v>403122</v>
      </c>
      <c r="H1151" s="116"/>
      <c r="I1151" s="116"/>
      <c r="L1151" s="170">
        <v>43699</v>
      </c>
      <c r="M1151" s="116">
        <v>617.52131173947998</v>
      </c>
      <c r="N1151" s="116">
        <v>629.53245415751201</v>
      </c>
      <c r="O1151" s="116">
        <v>613.63316872993096</v>
      </c>
      <c r="P1151" s="116">
        <v>629.50768891541304</v>
      </c>
      <c r="Q1151" s="116">
        <v>1246.75</v>
      </c>
      <c r="R1151">
        <v>6414937</v>
      </c>
    </row>
    <row r="1152" spans="1:18" x14ac:dyDescent="0.25">
      <c r="A1152" s="170">
        <v>43700</v>
      </c>
      <c r="B1152" s="116">
        <v>635.89885418426002</v>
      </c>
      <c r="C1152" s="116">
        <v>631.96132330898502</v>
      </c>
      <c r="D1152" s="116">
        <v>607.61797204864001</v>
      </c>
      <c r="E1152" s="116">
        <v>615.64161986995396</v>
      </c>
      <c r="F1152" s="116">
        <v>1275.95</v>
      </c>
      <c r="G1152">
        <v>513210</v>
      </c>
      <c r="H1152" s="116"/>
      <c r="I1152" s="116"/>
      <c r="L1152" s="170">
        <v>43700</v>
      </c>
      <c r="M1152" s="116">
        <v>631.93468264111902</v>
      </c>
      <c r="N1152" s="116">
        <v>635.97141710326196</v>
      </c>
      <c r="O1152" s="116">
        <v>607.49138868936996</v>
      </c>
      <c r="P1152" s="116">
        <v>613.682699214129</v>
      </c>
      <c r="Q1152" s="116">
        <v>1275.8499999999999</v>
      </c>
      <c r="R1152">
        <v>9741262</v>
      </c>
    </row>
    <row r="1153" spans="1:18" x14ac:dyDescent="0.25">
      <c r="A1153" s="170">
        <v>43703</v>
      </c>
      <c r="B1153" s="116">
        <v>640.90125190001697</v>
      </c>
      <c r="C1153" s="116">
        <v>626.98368993835504</v>
      </c>
      <c r="D1153" s="116">
        <v>623.91291114254398</v>
      </c>
      <c r="E1153" s="116">
        <v>640.90125190001697</v>
      </c>
      <c r="F1153" s="116">
        <v>1265.9000000000001</v>
      </c>
      <c r="G1153">
        <v>323755</v>
      </c>
      <c r="H1153" s="116"/>
      <c r="I1153" s="116"/>
      <c r="L1153" s="170">
        <v>43703</v>
      </c>
      <c r="M1153" s="116">
        <v>627.45217382119301</v>
      </c>
      <c r="N1153" s="116">
        <v>640.92446552306899</v>
      </c>
      <c r="O1153" s="116">
        <v>623.58879605374398</v>
      </c>
      <c r="P1153" s="116">
        <v>640.92446552306899</v>
      </c>
      <c r="Q1153" s="116">
        <v>1266.8</v>
      </c>
      <c r="R1153">
        <v>8778739</v>
      </c>
    </row>
    <row r="1154" spans="1:18" x14ac:dyDescent="0.25">
      <c r="A1154" s="170">
        <v>43704</v>
      </c>
      <c r="B1154" s="116">
        <v>635.89885418426002</v>
      </c>
      <c r="C1154" s="116">
        <v>631.54032944181699</v>
      </c>
      <c r="D1154" s="116">
        <v>624.95301363789895</v>
      </c>
      <c r="E1154" s="116">
        <v>635.45309597196399</v>
      </c>
      <c r="F1154" s="116">
        <v>1275.0999999999999</v>
      </c>
      <c r="G1154">
        <v>350824</v>
      </c>
      <c r="H1154" s="116"/>
      <c r="I1154" s="116"/>
      <c r="L1154" s="170">
        <v>43704</v>
      </c>
      <c r="M1154" s="116">
        <v>631.43937779913801</v>
      </c>
      <c r="N1154" s="116">
        <v>636.46672194524297</v>
      </c>
      <c r="O1154" s="116">
        <v>624.67846670610095</v>
      </c>
      <c r="P1154" s="116">
        <v>636.46672194524297</v>
      </c>
      <c r="Q1154" s="116">
        <v>1274.8499999999999</v>
      </c>
      <c r="R1154">
        <v>12984396</v>
      </c>
    </row>
    <row r="1155" spans="1:18" x14ac:dyDescent="0.25">
      <c r="A1155" s="170">
        <v>43705</v>
      </c>
      <c r="B1155" s="116">
        <v>634.21487871558895</v>
      </c>
      <c r="C1155" s="116">
        <v>625.57212226608704</v>
      </c>
      <c r="D1155" s="116">
        <v>622.50134347027495</v>
      </c>
      <c r="E1155" s="116">
        <v>631.98608765411302</v>
      </c>
      <c r="F1155" s="116">
        <v>1263.05</v>
      </c>
      <c r="G1155">
        <v>260137</v>
      </c>
      <c r="H1155" s="116"/>
      <c r="I1155" s="116"/>
      <c r="L1155" s="170">
        <v>43705</v>
      </c>
      <c r="M1155" s="116">
        <v>625.71860687426101</v>
      </c>
      <c r="N1155" s="116">
        <v>634.48550257731995</v>
      </c>
      <c r="O1155" s="116">
        <v>622.12764676990002</v>
      </c>
      <c r="P1155" s="116">
        <v>630.89454247295896</v>
      </c>
      <c r="Q1155" s="116">
        <v>1263.3</v>
      </c>
      <c r="R1155">
        <v>5305639</v>
      </c>
    </row>
    <row r="1156" spans="1:18" x14ac:dyDescent="0.25">
      <c r="A1156" s="170">
        <v>43706</v>
      </c>
      <c r="B1156" s="116">
        <v>624.06149721330905</v>
      </c>
      <c r="C1156" s="116">
        <v>615.24539034791405</v>
      </c>
      <c r="D1156" s="116">
        <v>611.92696810082805</v>
      </c>
      <c r="E1156" s="116">
        <v>623.04615906308095</v>
      </c>
      <c r="F1156" s="116">
        <v>1242.2</v>
      </c>
      <c r="G1156">
        <v>397297</v>
      </c>
      <c r="H1156" s="116"/>
      <c r="I1156" s="116"/>
      <c r="L1156" s="170">
        <v>43706</v>
      </c>
      <c r="M1156" s="116">
        <v>615.04478752957596</v>
      </c>
      <c r="N1156" s="116">
        <v>624.20792710621902</v>
      </c>
      <c r="O1156" s="116">
        <v>611.8500712988</v>
      </c>
      <c r="P1156" s="116">
        <v>622.325768706693</v>
      </c>
      <c r="Q1156" s="116">
        <v>1241.75</v>
      </c>
      <c r="R1156">
        <v>8635974</v>
      </c>
    </row>
    <row r="1157" spans="1:18" x14ac:dyDescent="0.25">
      <c r="A1157" s="170">
        <v>43707</v>
      </c>
      <c r="B1157" s="116">
        <v>621.08977579800705</v>
      </c>
      <c r="C1157" s="116">
        <v>618.29140479859802</v>
      </c>
      <c r="D1157" s="116">
        <v>604.67101497846602</v>
      </c>
      <c r="E1157" s="116">
        <v>617.62276748015495</v>
      </c>
      <c r="F1157" s="116">
        <v>1248.3499999999999</v>
      </c>
      <c r="G1157">
        <v>680248</v>
      </c>
      <c r="H1157" s="116"/>
      <c r="I1157" s="116"/>
      <c r="L1157" s="170">
        <v>43707</v>
      </c>
      <c r="M1157" s="116">
        <v>618.41286045504501</v>
      </c>
      <c r="N1157" s="116">
        <v>621.31039378063201</v>
      </c>
      <c r="O1157" s="116">
        <v>604.76721205847605</v>
      </c>
      <c r="P1157" s="116">
        <v>616.90218068700403</v>
      </c>
      <c r="Q1157" s="116">
        <v>1248.55</v>
      </c>
      <c r="R1157">
        <v>11308120</v>
      </c>
    </row>
    <row r="1158" spans="1:18" x14ac:dyDescent="0.25">
      <c r="A1158" s="170">
        <v>43711</v>
      </c>
      <c r="B1158" s="116">
        <v>615.66638421508196</v>
      </c>
      <c r="C1158" s="116">
        <v>597.26647578534005</v>
      </c>
      <c r="D1158" s="116">
        <v>594.34428306029395</v>
      </c>
      <c r="E1158" s="116">
        <v>614.15575916230398</v>
      </c>
      <c r="F1158" s="116">
        <v>1205.9000000000001</v>
      </c>
      <c r="G1158">
        <v>328171</v>
      </c>
      <c r="H1158" s="116"/>
      <c r="I1158" s="116"/>
      <c r="L1158" s="170">
        <v>43711</v>
      </c>
      <c r="M1158" s="116">
        <v>597.53576136555705</v>
      </c>
      <c r="N1158" s="116">
        <v>615.66391858205202</v>
      </c>
      <c r="O1158" s="116">
        <v>594.36581037687995</v>
      </c>
      <c r="P1158" s="116">
        <v>615.29243995056595</v>
      </c>
      <c r="Q1158" s="116">
        <v>1206.4000000000001</v>
      </c>
      <c r="R1158">
        <v>8563009</v>
      </c>
    </row>
    <row r="1159" spans="1:18" x14ac:dyDescent="0.25">
      <c r="A1159" s="170">
        <v>43712</v>
      </c>
      <c r="B1159" s="116">
        <v>596.77118888279006</v>
      </c>
      <c r="C1159" s="116">
        <v>595.111977759247</v>
      </c>
      <c r="D1159" s="116">
        <v>587.16262297331502</v>
      </c>
      <c r="E1159" s="116">
        <v>594.34428306029395</v>
      </c>
      <c r="F1159" s="116">
        <v>1201.55</v>
      </c>
      <c r="G1159">
        <v>517321</v>
      </c>
      <c r="H1159" s="116"/>
      <c r="I1159" s="116"/>
      <c r="L1159" s="170">
        <v>43712</v>
      </c>
      <c r="M1159" s="116">
        <v>594.93541094515797</v>
      </c>
      <c r="N1159" s="116">
        <v>596.96616079727903</v>
      </c>
      <c r="O1159" s="116">
        <v>587.45630783124898</v>
      </c>
      <c r="P1159" s="116">
        <v>594.63822803997004</v>
      </c>
      <c r="Q1159" s="116">
        <v>1201.1500000000001</v>
      </c>
      <c r="R1159">
        <v>15063355</v>
      </c>
    </row>
    <row r="1160" spans="1:18" x14ac:dyDescent="0.25">
      <c r="A1160" s="170">
        <v>43713</v>
      </c>
      <c r="B1160" s="116">
        <v>601.15447797035995</v>
      </c>
      <c r="C1160" s="116">
        <v>593.50229532595802</v>
      </c>
      <c r="D1160" s="116">
        <v>590.97633212295204</v>
      </c>
      <c r="E1160" s="116">
        <v>598.30657828069604</v>
      </c>
      <c r="F1160" s="116">
        <v>1198.3</v>
      </c>
      <c r="G1160">
        <v>503380</v>
      </c>
      <c r="H1160" s="116"/>
      <c r="I1160" s="116"/>
      <c r="L1160" s="170">
        <v>43713</v>
      </c>
      <c r="M1160" s="116">
        <v>593.67238359810699</v>
      </c>
      <c r="N1160" s="116">
        <v>600.90383429102599</v>
      </c>
      <c r="O1160" s="116">
        <v>591.04726793560906</v>
      </c>
      <c r="P1160" s="116">
        <v>597.733883302349</v>
      </c>
      <c r="Q1160" s="116">
        <v>1198.5999999999999</v>
      </c>
      <c r="R1160">
        <v>10512763</v>
      </c>
    </row>
    <row r="1161" spans="1:18" x14ac:dyDescent="0.25">
      <c r="A1161" s="170">
        <v>43714</v>
      </c>
      <c r="B1161" s="116">
        <v>608.707603234251</v>
      </c>
      <c r="C1161" s="116">
        <v>605.48823836767394</v>
      </c>
      <c r="D1161" s="116">
        <v>592.48695717573003</v>
      </c>
      <c r="E1161" s="116">
        <v>596.82071757304504</v>
      </c>
      <c r="F1161" s="116">
        <v>1222.5</v>
      </c>
      <c r="G1161">
        <v>519895</v>
      </c>
      <c r="H1161" s="116"/>
      <c r="I1161" s="116"/>
      <c r="L1161" s="170">
        <v>43714</v>
      </c>
      <c r="M1161" s="116">
        <v>605.51016932144705</v>
      </c>
      <c r="N1161" s="116">
        <v>608.72965079432197</v>
      </c>
      <c r="O1161" s="116">
        <v>592.013112377472</v>
      </c>
      <c r="P1161" s="116">
        <v>595.85172490282196</v>
      </c>
      <c r="Q1161" s="116">
        <v>1222.5</v>
      </c>
      <c r="R1161">
        <v>10600234</v>
      </c>
    </row>
    <row r="1162" spans="1:18" x14ac:dyDescent="0.25">
      <c r="A1162" s="170">
        <v>43717</v>
      </c>
      <c r="B1162" s="116">
        <v>610.56492911881401</v>
      </c>
      <c r="C1162" s="116">
        <v>605.29012360665399</v>
      </c>
      <c r="D1162" s="116">
        <v>600.882070173957</v>
      </c>
      <c r="E1162" s="116">
        <v>605.240594916399</v>
      </c>
      <c r="F1162" s="116">
        <v>1222.0999999999999</v>
      </c>
      <c r="G1162">
        <v>278530</v>
      </c>
      <c r="H1162" s="116"/>
      <c r="I1162" s="116"/>
      <c r="L1162" s="170">
        <v>43717</v>
      </c>
      <c r="M1162" s="116">
        <v>605.36157786885201</v>
      </c>
      <c r="N1162" s="116">
        <v>610.71087016224396</v>
      </c>
      <c r="O1162" s="116">
        <v>600.87906904892702</v>
      </c>
      <c r="P1162" s="116">
        <v>604.59385536378204</v>
      </c>
      <c r="Q1162" s="116">
        <v>1222.2</v>
      </c>
      <c r="R1162">
        <v>5370758</v>
      </c>
    </row>
    <row r="1163" spans="1:18" x14ac:dyDescent="0.25">
      <c r="A1163" s="170">
        <v>43719</v>
      </c>
      <c r="B1163" s="116">
        <v>614.13099481717597</v>
      </c>
      <c r="C1163" s="116">
        <v>611.23356643725697</v>
      </c>
      <c r="D1163" s="116">
        <v>605.58729574818403</v>
      </c>
      <c r="E1163" s="116">
        <v>605.58729574818403</v>
      </c>
      <c r="F1163" s="116">
        <v>1234.0999999999999</v>
      </c>
      <c r="G1163">
        <v>206849</v>
      </c>
      <c r="H1163" s="116"/>
      <c r="I1163" s="116"/>
      <c r="L1163" s="170">
        <v>43719</v>
      </c>
      <c r="M1163" s="116">
        <v>611.40429694101704</v>
      </c>
      <c r="N1163" s="116">
        <v>614.17800405611001</v>
      </c>
      <c r="O1163" s="116">
        <v>605.51016932144705</v>
      </c>
      <c r="P1163" s="116">
        <v>605.51016932144705</v>
      </c>
      <c r="Q1163" s="116">
        <v>1234.4000000000001</v>
      </c>
      <c r="R1163">
        <v>5544468</v>
      </c>
    </row>
    <row r="1164" spans="1:18" x14ac:dyDescent="0.25">
      <c r="A1164" s="170">
        <v>43720</v>
      </c>
      <c r="B1164" s="116">
        <v>613.95764440128403</v>
      </c>
      <c r="C1164" s="116">
        <v>599.470502501689</v>
      </c>
      <c r="D1164" s="116">
        <v>597.48935489148801</v>
      </c>
      <c r="E1164" s="116">
        <v>613.16518535720297</v>
      </c>
      <c r="F1164" s="116">
        <v>1210.3499999999999</v>
      </c>
      <c r="G1164">
        <v>251041</v>
      </c>
      <c r="H1164" s="116"/>
      <c r="I1164" s="116"/>
      <c r="L1164" s="170">
        <v>43720</v>
      </c>
      <c r="M1164" s="116">
        <v>599.49221549138099</v>
      </c>
      <c r="N1164" s="116">
        <v>614.40089123500104</v>
      </c>
      <c r="O1164" s="116">
        <v>597.18904797616995</v>
      </c>
      <c r="P1164" s="116">
        <v>611.70147984620598</v>
      </c>
      <c r="Q1164" s="116">
        <v>1210.3499999999999</v>
      </c>
      <c r="R1164">
        <v>5431139</v>
      </c>
    </row>
    <row r="1165" spans="1:18" x14ac:dyDescent="0.25">
      <c r="A1165" s="170">
        <v>43721</v>
      </c>
      <c r="B1165" s="116">
        <v>608.33613805733796</v>
      </c>
      <c r="C1165" s="116">
        <v>606.99886342045295</v>
      </c>
      <c r="D1165" s="116">
        <v>597.83605572327303</v>
      </c>
      <c r="E1165" s="116">
        <v>601.62500052778296</v>
      </c>
      <c r="F1165" s="116">
        <v>1225.55</v>
      </c>
      <c r="G1165">
        <v>547909</v>
      </c>
      <c r="H1165" s="116"/>
      <c r="I1165" s="116"/>
      <c r="L1165" s="170">
        <v>43721</v>
      </c>
      <c r="M1165" s="116">
        <v>607.04561433158699</v>
      </c>
      <c r="N1165" s="116">
        <v>608.48199837333095</v>
      </c>
      <c r="O1165" s="116">
        <v>597.78341378654704</v>
      </c>
      <c r="P1165" s="116">
        <v>600.309468480649</v>
      </c>
      <c r="Q1165" s="116">
        <v>1225.5999999999999</v>
      </c>
      <c r="R1165">
        <v>5919260</v>
      </c>
    </row>
    <row r="1166" spans="1:18" x14ac:dyDescent="0.25">
      <c r="A1166" s="170">
        <v>43724</v>
      </c>
      <c r="B1166" s="116">
        <v>603.33374034158101</v>
      </c>
      <c r="C1166" s="116">
        <v>599.69338160783695</v>
      </c>
      <c r="D1166" s="116">
        <v>588.64848368096602</v>
      </c>
      <c r="E1166" s="116">
        <v>589.88670093734197</v>
      </c>
      <c r="F1166" s="116">
        <v>1210.8</v>
      </c>
      <c r="G1166">
        <v>366945</v>
      </c>
      <c r="H1166" s="116"/>
      <c r="I1166" s="116"/>
      <c r="L1166" s="170">
        <v>43724</v>
      </c>
      <c r="M1166" s="116">
        <v>599.69033742817305</v>
      </c>
      <c r="N1166" s="116">
        <v>603.82613285871196</v>
      </c>
      <c r="O1166" s="116">
        <v>587.48107307334806</v>
      </c>
      <c r="P1166" s="116">
        <v>588.91745711509202</v>
      </c>
      <c r="Q1166" s="116">
        <v>1210.75</v>
      </c>
      <c r="R1166">
        <v>9393731</v>
      </c>
    </row>
    <row r="1167" spans="1:18" x14ac:dyDescent="0.25">
      <c r="A1167" s="170">
        <v>43725</v>
      </c>
      <c r="B1167" s="116">
        <v>601.67452921803704</v>
      </c>
      <c r="C1167" s="116">
        <v>592.95747973315304</v>
      </c>
      <c r="D1167" s="116">
        <v>591.22397557422698</v>
      </c>
      <c r="E1167" s="116">
        <v>601.67452921803704</v>
      </c>
      <c r="F1167" s="116">
        <v>1197.2</v>
      </c>
      <c r="G1167">
        <v>234035</v>
      </c>
      <c r="H1167" s="116"/>
      <c r="I1167" s="116"/>
      <c r="L1167" s="170">
        <v>43725</v>
      </c>
      <c r="M1167" s="116">
        <v>593.10278302982897</v>
      </c>
      <c r="N1167" s="116">
        <v>599.81416363866799</v>
      </c>
      <c r="O1167" s="116">
        <v>591.14632890400503</v>
      </c>
      <c r="P1167" s="116">
        <v>599.81416363866799</v>
      </c>
      <c r="Q1167" s="116">
        <v>1197.45</v>
      </c>
      <c r="R1167">
        <v>7150435</v>
      </c>
    </row>
    <row r="1168" spans="1:18" x14ac:dyDescent="0.25">
      <c r="A1168" s="170">
        <v>43726</v>
      </c>
      <c r="B1168" s="116">
        <v>602.31840219135302</v>
      </c>
      <c r="C1168" s="116">
        <v>597.16741840482996</v>
      </c>
      <c r="D1168" s="116">
        <v>593.15559449417299</v>
      </c>
      <c r="E1168" s="116">
        <v>596.74642453766296</v>
      </c>
      <c r="F1168" s="116">
        <v>1205.7</v>
      </c>
      <c r="G1168">
        <v>298269</v>
      </c>
      <c r="H1168" s="116"/>
      <c r="I1168" s="116"/>
      <c r="L1168" s="170">
        <v>43726</v>
      </c>
      <c r="M1168" s="116">
        <v>597.18904797616995</v>
      </c>
      <c r="N1168" s="116">
        <v>602.43927930116604</v>
      </c>
      <c r="O1168" s="116">
        <v>592.97895681933403</v>
      </c>
      <c r="P1168" s="116">
        <v>596.81756934468501</v>
      </c>
      <c r="Q1168" s="116">
        <v>1205.7</v>
      </c>
      <c r="R1168">
        <v>6827281</v>
      </c>
    </row>
    <row r="1169" spans="1:18" x14ac:dyDescent="0.25">
      <c r="A1169" s="170">
        <v>43727</v>
      </c>
      <c r="B1169" s="116">
        <v>598.97521559913901</v>
      </c>
      <c r="C1169" s="116">
        <v>583.79467203597403</v>
      </c>
      <c r="D1169" s="116">
        <v>581.09535841707498</v>
      </c>
      <c r="E1169" s="116">
        <v>597.81129137814605</v>
      </c>
      <c r="F1169" s="116">
        <v>1178.7</v>
      </c>
      <c r="G1169">
        <v>349304</v>
      </c>
      <c r="H1169" s="116"/>
      <c r="I1169" s="116"/>
      <c r="L1169" s="170">
        <v>43727</v>
      </c>
      <c r="M1169" s="116">
        <v>583.98917393738395</v>
      </c>
      <c r="N1169" s="116">
        <v>599.17026734409296</v>
      </c>
      <c r="O1169" s="116">
        <v>580.81922294870697</v>
      </c>
      <c r="P1169" s="116">
        <v>598.25395338642898</v>
      </c>
      <c r="Q1169" s="116">
        <v>1179.05</v>
      </c>
      <c r="R1169">
        <v>6293454</v>
      </c>
    </row>
    <row r="1170" spans="1:18" x14ac:dyDescent="0.25">
      <c r="A1170" s="170">
        <v>43728</v>
      </c>
      <c r="B1170" s="116">
        <v>628.76672278753597</v>
      </c>
      <c r="C1170" s="116">
        <v>621.28789055902701</v>
      </c>
      <c r="D1170" s="116">
        <v>581.76399573551805</v>
      </c>
      <c r="E1170" s="116">
        <v>587.70743856612103</v>
      </c>
      <c r="F1170" s="116">
        <v>1254.4000000000001</v>
      </c>
      <c r="G1170">
        <v>1076465</v>
      </c>
      <c r="H1170" s="116"/>
      <c r="I1170" s="116"/>
      <c r="L1170" s="170">
        <v>43728</v>
      </c>
      <c r="M1170" s="116">
        <v>621.28562853853305</v>
      </c>
      <c r="N1170" s="116">
        <v>628.98761883133398</v>
      </c>
      <c r="O1170" s="116">
        <v>581.63647593797498</v>
      </c>
      <c r="P1170" s="116">
        <v>588.39738703101204</v>
      </c>
      <c r="Q1170" s="116">
        <v>1254.3499999999999</v>
      </c>
      <c r="R1170">
        <v>22019674</v>
      </c>
    </row>
    <row r="1171" spans="1:18" x14ac:dyDescent="0.25">
      <c r="A1171" s="170">
        <v>43731</v>
      </c>
      <c r="B1171" s="116">
        <v>634.38822913148101</v>
      </c>
      <c r="C1171" s="116">
        <v>613.48712184386102</v>
      </c>
      <c r="D1171" s="116">
        <v>610.78780822496196</v>
      </c>
      <c r="E1171" s="116">
        <v>632.97666145921301</v>
      </c>
      <c r="F1171" s="116">
        <v>1238.6500000000001</v>
      </c>
      <c r="G1171">
        <v>757163</v>
      </c>
      <c r="H1171" s="116"/>
      <c r="I1171" s="116"/>
      <c r="L1171" s="170">
        <v>43731</v>
      </c>
      <c r="M1171" s="116">
        <v>613.78176018252498</v>
      </c>
      <c r="N1171" s="116">
        <v>634.48550257731995</v>
      </c>
      <c r="O1171" s="116">
        <v>611.70147984620598</v>
      </c>
      <c r="P1171" s="116">
        <v>631.09266440975205</v>
      </c>
      <c r="Q1171" s="116">
        <v>1239.2</v>
      </c>
      <c r="R1171">
        <v>9879751</v>
      </c>
    </row>
    <row r="1172" spans="1:18" x14ac:dyDescent="0.25">
      <c r="A1172" s="170">
        <v>43732</v>
      </c>
      <c r="B1172" s="116">
        <v>643.15480730662102</v>
      </c>
      <c r="C1172" s="116">
        <v>633.24906925561595</v>
      </c>
      <c r="D1172" s="116">
        <v>615.17109731253197</v>
      </c>
      <c r="E1172" s="116">
        <v>615.64161986995396</v>
      </c>
      <c r="F1172" s="116">
        <v>1278.55</v>
      </c>
      <c r="G1172">
        <v>960949</v>
      </c>
      <c r="H1172" s="116"/>
      <c r="I1172" s="116"/>
      <c r="L1172" s="170">
        <v>43732</v>
      </c>
      <c r="M1172" s="116">
        <v>633.34630144076402</v>
      </c>
      <c r="N1172" s="116">
        <v>643.30192876457704</v>
      </c>
      <c r="O1172" s="116">
        <v>615.54009237155697</v>
      </c>
      <c r="P1172" s="116">
        <v>615.96110148723994</v>
      </c>
      <c r="Q1172" s="116">
        <v>1278.7</v>
      </c>
      <c r="R1172">
        <v>15982067</v>
      </c>
    </row>
    <row r="1173" spans="1:18" x14ac:dyDescent="0.25">
      <c r="A1173" s="170">
        <v>43733</v>
      </c>
      <c r="B1173" s="116">
        <v>641.61941790871504</v>
      </c>
      <c r="C1173" s="116">
        <v>633.86817788380301</v>
      </c>
      <c r="D1173" s="116">
        <v>628.69242975215298</v>
      </c>
      <c r="E1173" s="116">
        <v>634.46252216686401</v>
      </c>
      <c r="F1173" s="116">
        <v>1279.8</v>
      </c>
      <c r="G1173">
        <v>416620</v>
      </c>
      <c r="H1173" s="116"/>
      <c r="I1173" s="116"/>
      <c r="L1173" s="170">
        <v>43733</v>
      </c>
      <c r="M1173" s="116">
        <v>633.76731055644802</v>
      </c>
      <c r="N1173" s="116">
        <v>641.41977036505</v>
      </c>
      <c r="O1173" s="116">
        <v>628.467548747254</v>
      </c>
      <c r="P1173" s="116">
        <v>635.97141710326196</v>
      </c>
      <c r="Q1173" s="116">
        <v>1279.55</v>
      </c>
      <c r="R1173">
        <v>8316894</v>
      </c>
    </row>
    <row r="1174" spans="1:18" x14ac:dyDescent="0.25">
      <c r="A1174" s="170">
        <v>43734</v>
      </c>
      <c r="B1174" s="116">
        <v>643.22910034200299</v>
      </c>
      <c r="C1174" s="116">
        <v>642.18899784664802</v>
      </c>
      <c r="D1174" s="116">
        <v>635.67597507811195</v>
      </c>
      <c r="E1174" s="116">
        <v>638.92010428981598</v>
      </c>
      <c r="F1174" s="116">
        <v>1296.5999999999999</v>
      </c>
      <c r="G1174">
        <v>488106</v>
      </c>
      <c r="H1174" s="116"/>
      <c r="I1174" s="116"/>
      <c r="L1174" s="170">
        <v>43734</v>
      </c>
      <c r="M1174" s="116">
        <v>642.31131908061502</v>
      </c>
      <c r="N1174" s="116">
        <v>643.30192876457704</v>
      </c>
      <c r="O1174" s="116">
        <v>635.72376468227105</v>
      </c>
      <c r="P1174" s="116">
        <v>639.93385583910799</v>
      </c>
      <c r="Q1174" s="116">
        <v>1296.8</v>
      </c>
      <c r="R1174">
        <v>8389212</v>
      </c>
    </row>
    <row r="1175" spans="1:18" x14ac:dyDescent="0.25">
      <c r="A1175" s="170">
        <v>43735</v>
      </c>
      <c r="B1175" s="116">
        <v>651.25274816331705</v>
      </c>
      <c r="C1175" s="116">
        <v>648.20673371263297</v>
      </c>
      <c r="D1175" s="116">
        <v>635.948382874515</v>
      </c>
      <c r="E1175" s="116">
        <v>640.802194519507</v>
      </c>
      <c r="F1175" s="116">
        <v>1308.75</v>
      </c>
      <c r="G1175">
        <v>444521</v>
      </c>
      <c r="H1175" s="116"/>
      <c r="I1175" s="116"/>
      <c r="L1175" s="170">
        <v>43735</v>
      </c>
      <c r="M1175" s="116">
        <v>648.37880339487901</v>
      </c>
      <c r="N1175" s="116">
        <v>651.32586720466497</v>
      </c>
      <c r="O1175" s="116">
        <v>635.97141710326196</v>
      </c>
      <c r="P1175" s="116">
        <v>640.18150826009798</v>
      </c>
      <c r="Q1175" s="116">
        <v>1309.05</v>
      </c>
      <c r="R1175">
        <v>8712980</v>
      </c>
    </row>
    <row r="1176" spans="1:18" x14ac:dyDescent="0.25">
      <c r="A1176" s="170">
        <v>43738</v>
      </c>
      <c r="B1176" s="116">
        <v>661.70330180712699</v>
      </c>
      <c r="C1176" s="116">
        <v>660.01932633845604</v>
      </c>
      <c r="D1176" s="116">
        <v>646.74563735010997</v>
      </c>
      <c r="E1176" s="116">
        <v>648.82584234082105</v>
      </c>
      <c r="F1176" s="116">
        <v>1332.6</v>
      </c>
      <c r="G1176">
        <v>449676</v>
      </c>
      <c r="H1176" s="116"/>
      <c r="I1176" s="116"/>
      <c r="L1176" s="170">
        <v>43738</v>
      </c>
      <c r="M1176" s="116">
        <v>659.86987572883197</v>
      </c>
      <c r="N1176" s="116">
        <v>661.603442675765</v>
      </c>
      <c r="O1176" s="116">
        <v>646.64523644794701</v>
      </c>
      <c r="P1176" s="116">
        <v>648.84934299476095</v>
      </c>
      <c r="Q1176" s="116">
        <v>1332.25</v>
      </c>
      <c r="R1176">
        <v>11549746</v>
      </c>
    </row>
    <row r="1177" spans="1:18" x14ac:dyDescent="0.25">
      <c r="A1177" s="170">
        <v>43739</v>
      </c>
      <c r="B1177" s="116">
        <v>664.92266667370404</v>
      </c>
      <c r="C1177" s="116">
        <v>646.37417217319705</v>
      </c>
      <c r="D1177" s="116">
        <v>640.802194519507</v>
      </c>
      <c r="E1177" s="116">
        <v>661.208014904577</v>
      </c>
      <c r="F1177" s="116">
        <v>1305.05</v>
      </c>
      <c r="G1177">
        <v>360415</v>
      </c>
      <c r="H1177" s="116"/>
      <c r="I1177" s="116"/>
      <c r="L1177" s="170">
        <v>43739</v>
      </c>
      <c r="M1177" s="116">
        <v>646.32328830065899</v>
      </c>
      <c r="N1177" s="116">
        <v>664.69909793814395</v>
      </c>
      <c r="O1177" s="116">
        <v>640.57775213368302</v>
      </c>
      <c r="P1177" s="116">
        <v>662.22257372824095</v>
      </c>
      <c r="Q1177" s="116">
        <v>1304.9000000000001</v>
      </c>
      <c r="R1177">
        <v>8192597</v>
      </c>
    </row>
    <row r="1178" spans="1:18" x14ac:dyDescent="0.25">
      <c r="A1178" s="170">
        <v>43741</v>
      </c>
      <c r="B1178" s="116">
        <v>650.85651864127703</v>
      </c>
      <c r="C1178" s="116">
        <v>649.32112924337105</v>
      </c>
      <c r="D1178" s="116">
        <v>634.56157954737398</v>
      </c>
      <c r="E1178" s="116">
        <v>638.94486863494296</v>
      </c>
      <c r="F1178" s="116">
        <v>1311</v>
      </c>
      <c r="G1178">
        <v>178536</v>
      </c>
      <c r="H1178" s="116"/>
      <c r="I1178" s="116"/>
      <c r="L1178" s="170">
        <v>43741</v>
      </c>
      <c r="M1178" s="116">
        <v>649.36941307884103</v>
      </c>
      <c r="N1178" s="116">
        <v>651.17727575207005</v>
      </c>
      <c r="O1178" s="116">
        <v>634.63409402991397</v>
      </c>
      <c r="P1178" s="116">
        <v>636.96202678722295</v>
      </c>
      <c r="Q1178" s="116">
        <v>1311.05</v>
      </c>
      <c r="R1178">
        <v>6183107</v>
      </c>
    </row>
    <row r="1179" spans="1:18" x14ac:dyDescent="0.25">
      <c r="A1179" s="170">
        <v>43742</v>
      </c>
      <c r="B1179" s="116">
        <v>657.98865003799995</v>
      </c>
      <c r="C1179" s="116">
        <v>647.56286073931801</v>
      </c>
      <c r="D1179" s="116">
        <v>645.87888527064695</v>
      </c>
      <c r="E1179" s="116">
        <v>652.34237934892803</v>
      </c>
      <c r="F1179" s="116">
        <v>1307.45</v>
      </c>
      <c r="G1179">
        <v>247244</v>
      </c>
      <c r="H1179" s="116"/>
      <c r="I1179" s="116"/>
      <c r="L1179" s="170">
        <v>43742</v>
      </c>
      <c r="M1179" s="116">
        <v>647.90826379499697</v>
      </c>
      <c r="N1179" s="116">
        <v>658.06201305560296</v>
      </c>
      <c r="O1179" s="116">
        <v>645.80321821657901</v>
      </c>
      <c r="P1179" s="116">
        <v>653.75286093037005</v>
      </c>
      <c r="Q1179" s="116">
        <v>1308.0999999999999</v>
      </c>
      <c r="R1179">
        <v>6853954</v>
      </c>
    </row>
    <row r="1180" spans="1:18" x14ac:dyDescent="0.25">
      <c r="A1180" s="170">
        <v>43745</v>
      </c>
      <c r="B1180" s="116">
        <v>653.77871136632302</v>
      </c>
      <c r="C1180" s="116">
        <v>648.72678496031097</v>
      </c>
      <c r="D1180" s="116">
        <v>644.640668014271</v>
      </c>
      <c r="E1180" s="116">
        <v>648.82584234082105</v>
      </c>
      <c r="F1180" s="116">
        <v>1309.8</v>
      </c>
      <c r="G1180">
        <v>192830</v>
      </c>
      <c r="H1180" s="116"/>
      <c r="I1180" s="116"/>
      <c r="L1180" s="170">
        <v>43745</v>
      </c>
      <c r="M1180" s="116">
        <v>648.89887347895899</v>
      </c>
      <c r="N1180" s="116">
        <v>654.19863528815301</v>
      </c>
      <c r="O1180" s="116">
        <v>644.73831280632101</v>
      </c>
      <c r="P1180" s="116">
        <v>647.90826379499697</v>
      </c>
      <c r="Q1180" s="116">
        <v>1310.0999999999999</v>
      </c>
      <c r="R1180">
        <v>4599818</v>
      </c>
    </row>
    <row r="1181" spans="1:18" x14ac:dyDescent="0.25">
      <c r="A1181" s="170">
        <v>43747</v>
      </c>
      <c r="B1181" s="116">
        <v>658.73158039182601</v>
      </c>
      <c r="C1181" s="116">
        <v>656.62661105598704</v>
      </c>
      <c r="D1181" s="116">
        <v>640.48025803284895</v>
      </c>
      <c r="E1181" s="116">
        <v>649.76688745566605</v>
      </c>
      <c r="F1181" s="116">
        <v>1325.75</v>
      </c>
      <c r="G1181">
        <v>236137</v>
      </c>
      <c r="H1181" s="116"/>
      <c r="I1181" s="116"/>
      <c r="L1181" s="170">
        <v>43747</v>
      </c>
      <c r="M1181" s="116">
        <v>656.15508941397695</v>
      </c>
      <c r="N1181" s="116">
        <v>658.73067459227696</v>
      </c>
      <c r="O1181" s="116">
        <v>640.18150826009798</v>
      </c>
      <c r="P1181" s="116">
        <v>648.20544670018603</v>
      </c>
      <c r="Q1181" s="116">
        <v>1324.75</v>
      </c>
      <c r="R1181">
        <v>8040938</v>
      </c>
    </row>
    <row r="1182" spans="1:18" x14ac:dyDescent="0.25">
      <c r="A1182" s="170">
        <v>43748</v>
      </c>
      <c r="B1182" s="116">
        <v>677.55248268873504</v>
      </c>
      <c r="C1182" s="116">
        <v>674.77887603445402</v>
      </c>
      <c r="D1182" s="116">
        <v>655.04169296782595</v>
      </c>
      <c r="E1182" s="116">
        <v>657.74100658672501</v>
      </c>
      <c r="F1182" s="116">
        <v>1362.4</v>
      </c>
      <c r="G1182">
        <v>682081</v>
      </c>
      <c r="H1182" s="116"/>
      <c r="I1182" s="116"/>
      <c r="L1182" s="170">
        <v>43748</v>
      </c>
      <c r="M1182" s="116">
        <v>674.976673409245</v>
      </c>
      <c r="N1182" s="116">
        <v>678.07232867162395</v>
      </c>
      <c r="O1182" s="116">
        <v>654.29769625654899</v>
      </c>
      <c r="P1182" s="116">
        <v>656.27891562447201</v>
      </c>
      <c r="Q1182" s="116">
        <v>1362.75</v>
      </c>
      <c r="R1182">
        <v>16003744</v>
      </c>
    </row>
    <row r="1183" spans="1:18" x14ac:dyDescent="0.25">
      <c r="A1183" s="170">
        <v>43749</v>
      </c>
      <c r="B1183" s="116">
        <v>676.56190888363506</v>
      </c>
      <c r="C1183" s="116">
        <v>669.82600700895102</v>
      </c>
      <c r="D1183" s="116">
        <v>662.19858870967698</v>
      </c>
      <c r="E1183" s="116">
        <v>676.06662198108404</v>
      </c>
      <c r="F1183" s="116">
        <v>1352.4</v>
      </c>
      <c r="G1183">
        <v>286839</v>
      </c>
      <c r="H1183" s="116"/>
      <c r="I1183" s="116"/>
      <c r="L1183" s="170">
        <v>43749</v>
      </c>
      <c r="M1183" s="116">
        <v>669.94932926314004</v>
      </c>
      <c r="N1183" s="116">
        <v>676.38829220888999</v>
      </c>
      <c r="O1183" s="116">
        <v>661.99968654934901</v>
      </c>
      <c r="P1183" s="116">
        <v>675.44721300912602</v>
      </c>
      <c r="Q1183" s="116">
        <v>1352.6</v>
      </c>
      <c r="R1183">
        <v>7587648</v>
      </c>
    </row>
    <row r="1184" spans="1:18" x14ac:dyDescent="0.25">
      <c r="A1184" s="170">
        <v>43752</v>
      </c>
      <c r="B1184" s="116">
        <v>675.37322031751398</v>
      </c>
      <c r="C1184" s="116">
        <v>672.42626324733999</v>
      </c>
      <c r="D1184" s="116">
        <v>669.13260534538097</v>
      </c>
      <c r="E1184" s="116">
        <v>675.37322031751398</v>
      </c>
      <c r="F1184" s="116">
        <v>1357.65</v>
      </c>
      <c r="G1184">
        <v>222880</v>
      </c>
      <c r="H1184" s="116"/>
      <c r="I1184" s="116"/>
      <c r="L1184" s="170">
        <v>43752</v>
      </c>
      <c r="M1184" s="116">
        <v>672.62397540983602</v>
      </c>
      <c r="N1184" s="116">
        <v>676.06634406160197</v>
      </c>
      <c r="O1184" s="116">
        <v>669.08254578967399</v>
      </c>
      <c r="P1184" s="116">
        <v>676.06634406160197</v>
      </c>
      <c r="Q1184" s="116">
        <v>1358</v>
      </c>
      <c r="R1184">
        <v>6123412</v>
      </c>
    </row>
    <row r="1185" spans="1:18" x14ac:dyDescent="0.25">
      <c r="A1185" s="170">
        <v>43753</v>
      </c>
      <c r="B1185" s="116">
        <v>678.54305649383605</v>
      </c>
      <c r="C1185" s="116">
        <v>675.22463424674902</v>
      </c>
      <c r="D1185" s="116">
        <v>666.16088393007897</v>
      </c>
      <c r="E1185" s="116">
        <v>675.323691627259</v>
      </c>
      <c r="F1185" s="116">
        <v>1363.3</v>
      </c>
      <c r="G1185">
        <v>197367</v>
      </c>
      <c r="H1185" s="116"/>
      <c r="I1185" s="116"/>
      <c r="L1185" s="170">
        <v>43753</v>
      </c>
      <c r="M1185" s="116">
        <v>675.67010018801795</v>
      </c>
      <c r="N1185" s="116">
        <v>678.56763351360496</v>
      </c>
      <c r="O1185" s="116">
        <v>670.79134749450702</v>
      </c>
      <c r="P1185" s="116">
        <v>674.85284719874903</v>
      </c>
      <c r="Q1185" s="116">
        <v>1364.15</v>
      </c>
      <c r="R1185">
        <v>4422075</v>
      </c>
    </row>
    <row r="1186" spans="1:18" x14ac:dyDescent="0.25">
      <c r="A1186" s="170">
        <v>43754</v>
      </c>
      <c r="B1186" s="116">
        <v>683.44639682908303</v>
      </c>
      <c r="C1186" s="116">
        <v>679.88033113072095</v>
      </c>
      <c r="D1186" s="116">
        <v>675.323691627259</v>
      </c>
      <c r="E1186" s="116">
        <v>677.7010687595</v>
      </c>
      <c r="F1186" s="116">
        <v>1372.7</v>
      </c>
      <c r="G1186">
        <v>193229</v>
      </c>
      <c r="H1186" s="116"/>
      <c r="I1186" s="116"/>
      <c r="L1186" s="170">
        <v>43754</v>
      </c>
      <c r="M1186" s="116">
        <v>679.73159989225996</v>
      </c>
      <c r="N1186" s="116">
        <v>683.34732523871901</v>
      </c>
      <c r="O1186" s="116">
        <v>675.44721300912602</v>
      </c>
      <c r="P1186" s="116">
        <v>678.51810302940703</v>
      </c>
      <c r="Q1186" s="116">
        <v>1372.35</v>
      </c>
      <c r="R1186">
        <v>8870701</v>
      </c>
    </row>
    <row r="1187" spans="1:18" x14ac:dyDescent="0.25">
      <c r="A1187" s="170">
        <v>43755</v>
      </c>
      <c r="B1187" s="116">
        <v>692.90637666779298</v>
      </c>
      <c r="C1187" s="116">
        <v>691.49480899552498</v>
      </c>
      <c r="D1187" s="116">
        <v>679.60792333431903</v>
      </c>
      <c r="E1187" s="116">
        <v>682.50535171423803</v>
      </c>
      <c r="F1187" s="116">
        <v>1396.15</v>
      </c>
      <c r="G1187">
        <v>282943</v>
      </c>
      <c r="H1187" s="116"/>
      <c r="I1187" s="116"/>
      <c r="L1187" s="170">
        <v>43755</v>
      </c>
      <c r="M1187" s="116">
        <v>691.69321182609394</v>
      </c>
      <c r="N1187" s="116">
        <v>692.93147393104596</v>
      </c>
      <c r="O1187" s="116">
        <v>679.55824319756596</v>
      </c>
      <c r="P1187" s="116">
        <v>681.04415772350899</v>
      </c>
      <c r="Q1187" s="116">
        <v>1396.5</v>
      </c>
      <c r="R1187">
        <v>7332464</v>
      </c>
    </row>
    <row r="1188" spans="1:18" x14ac:dyDescent="0.25">
      <c r="A1188" s="170">
        <v>43756</v>
      </c>
      <c r="B1188" s="116">
        <v>707.26969684175003</v>
      </c>
      <c r="C1188" s="116">
        <v>700.97955317936203</v>
      </c>
      <c r="D1188" s="116">
        <v>693.25307749957801</v>
      </c>
      <c r="E1188" s="116">
        <v>694.93705296824896</v>
      </c>
      <c r="F1188" s="116">
        <v>1415.3</v>
      </c>
      <c r="G1188">
        <v>629451</v>
      </c>
      <c r="H1188" s="116"/>
      <c r="I1188" s="116"/>
      <c r="L1188" s="170">
        <v>43756</v>
      </c>
      <c r="M1188" s="116">
        <v>701.52501293941202</v>
      </c>
      <c r="N1188" s="116">
        <v>707.24578386428902</v>
      </c>
      <c r="O1188" s="116">
        <v>692.78288247845205</v>
      </c>
      <c r="P1188" s="116">
        <v>695.40799814094999</v>
      </c>
      <c r="Q1188" s="116">
        <v>1416.35</v>
      </c>
      <c r="R1188">
        <v>12856410</v>
      </c>
    </row>
    <row r="1189" spans="1:18" x14ac:dyDescent="0.25">
      <c r="A1189" s="170">
        <v>43760</v>
      </c>
      <c r="B1189" s="116">
        <v>712.04921545136006</v>
      </c>
      <c r="C1189" s="116">
        <v>700.45950193168403</v>
      </c>
      <c r="D1189" s="116">
        <v>695.38281118054397</v>
      </c>
      <c r="E1189" s="116">
        <v>706.79917428432702</v>
      </c>
      <c r="F1189" s="116">
        <v>1414.25</v>
      </c>
      <c r="G1189">
        <v>638098</v>
      </c>
      <c r="H1189" s="116"/>
      <c r="I1189" s="116"/>
      <c r="L1189" s="170">
        <v>43760</v>
      </c>
      <c r="M1189" s="116">
        <v>700.43534228705403</v>
      </c>
      <c r="N1189" s="116">
        <v>711.67876220001699</v>
      </c>
      <c r="O1189" s="116">
        <v>695.08604999366196</v>
      </c>
      <c r="P1189" s="116">
        <v>705.80939982254495</v>
      </c>
      <c r="Q1189" s="116">
        <v>1414.15</v>
      </c>
      <c r="R1189">
        <v>12703054</v>
      </c>
    </row>
    <row r="1190" spans="1:18" x14ac:dyDescent="0.25">
      <c r="A1190" s="170">
        <v>43761</v>
      </c>
      <c r="B1190" s="116">
        <v>706.03147958537397</v>
      </c>
      <c r="C1190" s="116">
        <v>689.86036221710901</v>
      </c>
      <c r="D1190" s="116">
        <v>685.17990098800897</v>
      </c>
      <c r="E1190" s="116">
        <v>701.82154091369705</v>
      </c>
      <c r="F1190" s="116">
        <v>1392.85</v>
      </c>
      <c r="G1190">
        <v>307585</v>
      </c>
      <c r="H1190" s="116"/>
      <c r="I1190" s="116"/>
      <c r="L1190" s="170">
        <v>43761</v>
      </c>
      <c r="M1190" s="116">
        <v>689.662461973973</v>
      </c>
      <c r="N1190" s="116">
        <v>706.27993942242699</v>
      </c>
      <c r="O1190" s="116">
        <v>685.08089218565203</v>
      </c>
      <c r="P1190" s="116">
        <v>701.50024769731294</v>
      </c>
      <c r="Q1190" s="116">
        <v>1392.4</v>
      </c>
      <c r="R1190">
        <v>8432964</v>
      </c>
    </row>
    <row r="1191" spans="1:18" x14ac:dyDescent="0.25">
      <c r="A1191" s="170">
        <v>43762</v>
      </c>
      <c r="B1191" s="116">
        <v>713.708426574903</v>
      </c>
      <c r="C1191" s="116">
        <v>711.35581378778897</v>
      </c>
      <c r="D1191" s="116">
        <v>686.83911211155203</v>
      </c>
      <c r="E1191" s="116">
        <v>693.42642791546996</v>
      </c>
      <c r="F1191" s="116">
        <v>1436.25</v>
      </c>
      <c r="G1191">
        <v>433374</v>
      </c>
      <c r="H1191" s="116"/>
      <c r="I1191" s="116"/>
      <c r="L1191" s="170">
        <v>43762</v>
      </c>
      <c r="M1191" s="116">
        <v>711.48064026322504</v>
      </c>
      <c r="N1191" s="116">
        <v>713.93239923102897</v>
      </c>
      <c r="O1191" s="116">
        <v>686.76492864838599</v>
      </c>
      <c r="P1191" s="116">
        <v>693.92208361500798</v>
      </c>
      <c r="Q1191" s="116">
        <v>1436.45</v>
      </c>
      <c r="R1191">
        <v>10351384</v>
      </c>
    </row>
    <row r="1192" spans="1:18" x14ac:dyDescent="0.25">
      <c r="A1192" s="170">
        <v>43763</v>
      </c>
      <c r="B1192" s="116">
        <v>713.33696139798997</v>
      </c>
      <c r="C1192" s="116">
        <v>708.60697147863596</v>
      </c>
      <c r="D1192" s="116">
        <v>699.24604902043598</v>
      </c>
      <c r="E1192" s="116">
        <v>711.97492241597695</v>
      </c>
      <c r="F1192" s="116">
        <v>1430.7</v>
      </c>
      <c r="G1192">
        <v>359803</v>
      </c>
      <c r="H1192" s="116"/>
      <c r="I1192" s="116"/>
      <c r="L1192" s="170">
        <v>43763</v>
      </c>
      <c r="M1192" s="116">
        <v>708.88028984282596</v>
      </c>
      <c r="N1192" s="116">
        <v>713.95716447312805</v>
      </c>
      <c r="O1192" s="116">
        <v>698.99895824530995</v>
      </c>
      <c r="P1192" s="116">
        <v>713.78380777843495</v>
      </c>
      <c r="Q1192" s="116">
        <v>1431.2</v>
      </c>
      <c r="R1192">
        <v>6190013</v>
      </c>
    </row>
    <row r="1193" spans="1:18" x14ac:dyDescent="0.25">
      <c r="A1193" s="170">
        <v>43765</v>
      </c>
      <c r="B1193" s="116">
        <v>716.06103936201703</v>
      </c>
      <c r="C1193" s="116">
        <v>710.290946947306</v>
      </c>
      <c r="D1193" s="116">
        <v>708.26027064685002</v>
      </c>
      <c r="E1193" s="116">
        <v>713.21313967235301</v>
      </c>
      <c r="F1193" s="116">
        <v>1434.1</v>
      </c>
      <c r="G1193">
        <v>75033</v>
      </c>
      <c r="H1193" s="116"/>
      <c r="I1193" s="116"/>
      <c r="L1193" s="170">
        <v>43765</v>
      </c>
      <c r="M1193" s="116">
        <v>710.39096961086705</v>
      </c>
      <c r="N1193" s="116">
        <v>715.71549666216004</v>
      </c>
      <c r="O1193" s="116">
        <v>708.28592403244897</v>
      </c>
      <c r="P1193" s="116">
        <v>713.73427729423702</v>
      </c>
      <c r="Q1193" s="116">
        <v>1434.25</v>
      </c>
      <c r="R1193">
        <v>1378313</v>
      </c>
    </row>
    <row r="1194" spans="1:18" x14ac:dyDescent="0.25">
      <c r="A1194" s="170">
        <v>43767</v>
      </c>
      <c r="B1194" s="116">
        <v>733.22273053538299</v>
      </c>
      <c r="C1194" s="116">
        <v>726.63541473146404</v>
      </c>
      <c r="D1194" s="116">
        <v>714.32753520309097</v>
      </c>
      <c r="E1194" s="116">
        <v>714.32753520309097</v>
      </c>
      <c r="F1194" s="116">
        <v>1467.1</v>
      </c>
      <c r="G1194">
        <v>516396</v>
      </c>
      <c r="H1194" s="116"/>
      <c r="I1194" s="116"/>
      <c r="L1194" s="170">
        <v>43767</v>
      </c>
      <c r="M1194" s="116">
        <v>726.63696842783497</v>
      </c>
      <c r="N1194" s="116">
        <v>733.05116613148596</v>
      </c>
      <c r="O1194" s="116">
        <v>714.27911262041596</v>
      </c>
      <c r="P1194" s="116">
        <v>715.96314908315003</v>
      </c>
      <c r="Q1194" s="116">
        <v>1467.05</v>
      </c>
      <c r="R1194">
        <v>11780494</v>
      </c>
    </row>
    <row r="1195" spans="1:18" x14ac:dyDescent="0.25">
      <c r="A1195" s="170">
        <v>43768</v>
      </c>
      <c r="B1195" s="116">
        <v>735.00576338456301</v>
      </c>
      <c r="C1195" s="116">
        <v>732.38074280104695</v>
      </c>
      <c r="D1195" s="116">
        <v>723.31699248437803</v>
      </c>
      <c r="E1195" s="116">
        <v>733.07414446461701</v>
      </c>
      <c r="F1195" s="116">
        <v>1478.7</v>
      </c>
      <c r="G1195">
        <v>1226942</v>
      </c>
      <c r="H1195" s="116"/>
      <c r="I1195" s="116"/>
      <c r="L1195" s="170">
        <v>43768</v>
      </c>
      <c r="M1195" s="116">
        <v>732.60539177370299</v>
      </c>
      <c r="N1195" s="116">
        <v>735.30480316249805</v>
      </c>
      <c r="O1195" s="116">
        <v>723.293660744465</v>
      </c>
      <c r="P1195" s="116">
        <v>733.05116613148596</v>
      </c>
      <c r="Q1195" s="116">
        <v>1479.1</v>
      </c>
      <c r="R1195">
        <v>7470723</v>
      </c>
    </row>
    <row r="1196" spans="1:18" x14ac:dyDescent="0.25">
      <c r="A1196" s="170">
        <v>43769</v>
      </c>
      <c r="B1196" s="116">
        <v>737.72984134858996</v>
      </c>
      <c r="C1196" s="116">
        <v>725.19908271406905</v>
      </c>
      <c r="D1196" s="116">
        <v>723.61416462590796</v>
      </c>
      <c r="E1196" s="116">
        <v>734.13901130510101</v>
      </c>
      <c r="F1196" s="116">
        <v>1464.2</v>
      </c>
      <c r="G1196">
        <v>235883</v>
      </c>
      <c r="H1196" s="116"/>
      <c r="I1196" s="116"/>
      <c r="L1196" s="170">
        <v>43769</v>
      </c>
      <c r="M1196" s="116">
        <v>725.29964535448698</v>
      </c>
      <c r="N1196" s="116">
        <v>737.83085785660001</v>
      </c>
      <c r="O1196" s="116">
        <v>723.98708752323796</v>
      </c>
      <c r="P1196" s="116">
        <v>735.03238549940897</v>
      </c>
      <c r="Q1196" s="116">
        <v>1464.35</v>
      </c>
      <c r="R1196">
        <v>8898168</v>
      </c>
    </row>
    <row r="1197" spans="1:18" x14ac:dyDescent="0.25">
      <c r="A1197" s="170">
        <v>43770</v>
      </c>
      <c r="B1197" s="116">
        <v>724.13421587358596</v>
      </c>
      <c r="C1197" s="116">
        <v>721.63301701570697</v>
      </c>
      <c r="D1197" s="116">
        <v>713.75795526515799</v>
      </c>
      <c r="E1197" s="116">
        <v>723.06934903310298</v>
      </c>
      <c r="F1197" s="116">
        <v>1457</v>
      </c>
      <c r="G1197">
        <v>211205</v>
      </c>
      <c r="H1197" s="116"/>
      <c r="I1197" s="116"/>
      <c r="L1197" s="170">
        <v>43770</v>
      </c>
      <c r="M1197" s="116">
        <v>721.60962428173104</v>
      </c>
      <c r="N1197" s="116">
        <v>724.036618007436</v>
      </c>
      <c r="O1197" s="116">
        <v>713.73427729423702</v>
      </c>
      <c r="P1197" s="116">
        <v>720.66854508196695</v>
      </c>
      <c r="Q1197" s="116">
        <v>1456.9</v>
      </c>
      <c r="R1197">
        <v>6356579</v>
      </c>
    </row>
    <row r="1198" spans="1:18" x14ac:dyDescent="0.25">
      <c r="A1198" s="170">
        <v>43773</v>
      </c>
      <c r="B1198" s="116">
        <v>728.64132668679304</v>
      </c>
      <c r="C1198" s="116">
        <v>721.75683874134495</v>
      </c>
      <c r="D1198" s="116">
        <v>715.68957418510399</v>
      </c>
      <c r="E1198" s="116">
        <v>726.09059913865894</v>
      </c>
      <c r="F1198" s="116">
        <v>1457.25</v>
      </c>
      <c r="G1198">
        <v>434639</v>
      </c>
      <c r="H1198" s="116"/>
      <c r="I1198" s="116"/>
      <c r="L1198" s="170">
        <v>43773</v>
      </c>
      <c r="M1198" s="116">
        <v>721.98110291321598</v>
      </c>
      <c r="N1198" s="116">
        <v>728.59342255365902</v>
      </c>
      <c r="O1198" s="116">
        <v>715.76502714635797</v>
      </c>
      <c r="P1198" s="116">
        <v>726.06736785955695</v>
      </c>
      <c r="Q1198" s="116">
        <v>1457.65</v>
      </c>
      <c r="R1198">
        <v>6429329</v>
      </c>
    </row>
    <row r="1199" spans="1:18" x14ac:dyDescent="0.25">
      <c r="A1199" s="170">
        <v>43774</v>
      </c>
      <c r="B1199" s="116">
        <v>727.57645984630994</v>
      </c>
      <c r="C1199" s="116">
        <v>716.97732013173504</v>
      </c>
      <c r="D1199" s="116">
        <v>713.51031181388305</v>
      </c>
      <c r="E1199" s="116">
        <v>722.40071171466002</v>
      </c>
      <c r="F1199" s="116">
        <v>1447.6</v>
      </c>
      <c r="G1199">
        <v>217549</v>
      </c>
      <c r="H1199" s="116"/>
      <c r="I1199" s="116"/>
      <c r="L1199" s="170">
        <v>43774</v>
      </c>
      <c r="M1199" s="116">
        <v>716.85469779871596</v>
      </c>
      <c r="N1199" s="116">
        <v>727.57804762759804</v>
      </c>
      <c r="O1199" s="116">
        <v>713.73427729423702</v>
      </c>
      <c r="P1199" s="116">
        <v>724.68051430201103</v>
      </c>
      <c r="Q1199" s="116">
        <v>1447.3</v>
      </c>
      <c r="R1199">
        <v>5799318</v>
      </c>
    </row>
    <row r="1200" spans="1:18" x14ac:dyDescent="0.25">
      <c r="A1200" s="170">
        <v>43775</v>
      </c>
      <c r="B1200" s="116">
        <v>716.28391846816396</v>
      </c>
      <c r="C1200" s="116">
        <v>709.30037314220601</v>
      </c>
      <c r="D1200" s="116">
        <v>707.61639767353495</v>
      </c>
      <c r="E1200" s="116">
        <v>716.03627501688902</v>
      </c>
      <c r="F1200" s="116">
        <v>1432.1</v>
      </c>
      <c r="G1200">
        <v>418283</v>
      </c>
      <c r="H1200" s="116"/>
      <c r="I1200" s="116"/>
      <c r="L1200" s="170">
        <v>43775</v>
      </c>
      <c r="M1200" s="116">
        <v>710.71291775815496</v>
      </c>
      <c r="N1200" s="116">
        <v>716.43368868303196</v>
      </c>
      <c r="O1200" s="116">
        <v>707.54296676947797</v>
      </c>
      <c r="P1200" s="116">
        <v>714.576295525604</v>
      </c>
      <c r="Q1200" s="116">
        <v>1434.9</v>
      </c>
      <c r="R1200">
        <v>6686289</v>
      </c>
    </row>
    <row r="1201" spans="1:18" x14ac:dyDescent="0.25">
      <c r="A1201" s="170">
        <v>43776</v>
      </c>
      <c r="B1201" s="116">
        <v>724.55520974075296</v>
      </c>
      <c r="C1201" s="116">
        <v>722.52453344029698</v>
      </c>
      <c r="D1201" s="116">
        <v>709.72136700937301</v>
      </c>
      <c r="E1201" s="116">
        <v>712.222565867252</v>
      </c>
      <c r="F1201" s="116">
        <v>1458.8</v>
      </c>
      <c r="G1201">
        <v>295528</v>
      </c>
      <c r="H1201" s="116"/>
      <c r="I1201" s="116"/>
      <c r="L1201" s="170">
        <v>43776</v>
      </c>
      <c r="M1201" s="116">
        <v>722.45164251309802</v>
      </c>
      <c r="N1201" s="116">
        <v>724.63098381781299</v>
      </c>
      <c r="O1201" s="116">
        <v>709.37559468480697</v>
      </c>
      <c r="P1201" s="116">
        <v>710.762448242353</v>
      </c>
      <c r="Q1201" s="116">
        <v>1458.6</v>
      </c>
      <c r="R1201">
        <v>6438749</v>
      </c>
    </row>
    <row r="1202" spans="1:18" x14ac:dyDescent="0.25">
      <c r="A1202" s="170">
        <v>43777</v>
      </c>
      <c r="B1202" s="116">
        <v>722.92076296233699</v>
      </c>
      <c r="C1202" s="116">
        <v>715.86292460099696</v>
      </c>
      <c r="D1202" s="116">
        <v>713.708426574903</v>
      </c>
      <c r="E1202" s="116">
        <v>722.425476059787</v>
      </c>
      <c r="F1202" s="116">
        <v>1445.35</v>
      </c>
      <c r="G1202">
        <v>371642</v>
      </c>
      <c r="H1202" s="116"/>
      <c r="I1202" s="116"/>
      <c r="L1202" s="170">
        <v>43777</v>
      </c>
      <c r="M1202" s="116">
        <v>715.96314908315003</v>
      </c>
      <c r="N1202" s="116">
        <v>722.971712597178</v>
      </c>
      <c r="O1202" s="116">
        <v>713.88286874683104</v>
      </c>
      <c r="P1202" s="116">
        <v>717.69671603008305</v>
      </c>
      <c r="Q1202" s="116">
        <v>1445.5</v>
      </c>
      <c r="R1202">
        <v>5494844</v>
      </c>
    </row>
    <row r="1203" spans="1:18" x14ac:dyDescent="0.25">
      <c r="A1203" s="170">
        <v>43780</v>
      </c>
      <c r="B1203" s="116">
        <v>715.21905162768098</v>
      </c>
      <c r="C1203" s="116">
        <v>707.17063946123994</v>
      </c>
      <c r="D1203" s="116">
        <v>704.96661274489099</v>
      </c>
      <c r="E1203" s="116">
        <v>713.21313967235301</v>
      </c>
      <c r="F1203" s="116">
        <v>1427.8</v>
      </c>
      <c r="G1203">
        <v>257103</v>
      </c>
      <c r="H1203" s="116"/>
      <c r="I1203" s="116"/>
      <c r="L1203" s="170">
        <v>43780</v>
      </c>
      <c r="M1203" s="116">
        <v>707.19625338009098</v>
      </c>
      <c r="N1203" s="116">
        <v>715.34401803067396</v>
      </c>
      <c r="O1203" s="116">
        <v>704.59590295969201</v>
      </c>
      <c r="P1203" s="116">
        <v>712.79319809447395</v>
      </c>
      <c r="Q1203" s="116">
        <v>1427.8</v>
      </c>
      <c r="R1203">
        <v>5192423</v>
      </c>
    </row>
    <row r="1204" spans="1:18" x14ac:dyDescent="0.25">
      <c r="A1204" s="170">
        <v>43782</v>
      </c>
      <c r="B1204" s="116">
        <v>730.54818126161103</v>
      </c>
      <c r="C1204" s="116">
        <v>729.06232055396094</v>
      </c>
      <c r="D1204" s="116">
        <v>708.26027064685002</v>
      </c>
      <c r="E1204" s="116">
        <v>708.75555754940001</v>
      </c>
      <c r="F1204" s="116">
        <v>1472</v>
      </c>
      <c r="G1204">
        <v>468318</v>
      </c>
      <c r="H1204" s="116"/>
      <c r="I1204" s="116"/>
      <c r="L1204" s="170">
        <v>43782</v>
      </c>
      <c r="M1204" s="116">
        <v>729.23731884823405</v>
      </c>
      <c r="N1204" s="116">
        <v>731.02041627936501</v>
      </c>
      <c r="O1204" s="116">
        <v>708.28592403244897</v>
      </c>
      <c r="P1204" s="116">
        <v>708.28592403244897</v>
      </c>
      <c r="Q1204" s="116">
        <v>1472.3</v>
      </c>
      <c r="R1204">
        <v>11532364</v>
      </c>
    </row>
    <row r="1205" spans="1:18" x14ac:dyDescent="0.25">
      <c r="A1205" s="170">
        <v>43783</v>
      </c>
      <c r="B1205" s="116">
        <v>733.51990267691303</v>
      </c>
      <c r="C1205" s="116">
        <v>724.80285319202801</v>
      </c>
      <c r="D1205" s="116">
        <v>721.16249445828396</v>
      </c>
      <c r="E1205" s="116">
        <v>730.54818126161103</v>
      </c>
      <c r="F1205" s="116">
        <v>1463.4</v>
      </c>
      <c r="G1205">
        <v>348202</v>
      </c>
      <c r="H1205" s="116"/>
      <c r="I1205" s="116"/>
      <c r="L1205" s="170">
        <v>43783</v>
      </c>
      <c r="M1205" s="116">
        <v>724.50715760731805</v>
      </c>
      <c r="N1205" s="116">
        <v>733.843653878655</v>
      </c>
      <c r="O1205" s="116">
        <v>721.06478895555199</v>
      </c>
      <c r="P1205" s="116">
        <v>731.06994676356305</v>
      </c>
      <c r="Q1205" s="116">
        <v>1462.75</v>
      </c>
      <c r="R1205">
        <v>6518339</v>
      </c>
    </row>
    <row r="1206" spans="1:18" x14ac:dyDescent="0.25">
      <c r="A1206" s="170">
        <v>43784</v>
      </c>
      <c r="B1206" s="116">
        <v>736.24398064093896</v>
      </c>
      <c r="C1206" s="116">
        <v>727.72504591707502</v>
      </c>
      <c r="D1206" s="116">
        <v>724.72856015664604</v>
      </c>
      <c r="E1206" s="116">
        <v>725.71913396174602</v>
      </c>
      <c r="F1206" s="116">
        <v>1469.3</v>
      </c>
      <c r="G1206">
        <v>437787</v>
      </c>
      <c r="H1206" s="116"/>
      <c r="I1206" s="116"/>
      <c r="L1206" s="170">
        <v>43784</v>
      </c>
      <c r="M1206" s="116">
        <v>728.51912682736202</v>
      </c>
      <c r="N1206" s="116">
        <v>736.41923905695501</v>
      </c>
      <c r="O1206" s="116">
        <v>724.70527954411</v>
      </c>
      <c r="P1206" s="116">
        <v>725.94354164906201</v>
      </c>
      <c r="Q1206" s="116">
        <v>1470.85</v>
      </c>
      <c r="R1206">
        <v>7173674</v>
      </c>
    </row>
    <row r="1207" spans="1:18" x14ac:dyDescent="0.25">
      <c r="A1207" s="170">
        <v>43787</v>
      </c>
      <c r="B1207" s="116">
        <v>735.99633718966402</v>
      </c>
      <c r="C1207" s="116">
        <v>722.37594736953201</v>
      </c>
      <c r="D1207" s="116">
        <v>718.14124435272799</v>
      </c>
      <c r="E1207" s="116">
        <v>728.74038406730301</v>
      </c>
      <c r="F1207" s="116">
        <v>1458.5</v>
      </c>
      <c r="G1207">
        <v>294198</v>
      </c>
      <c r="H1207" s="116"/>
      <c r="I1207" s="116"/>
      <c r="L1207" s="170">
        <v>43787</v>
      </c>
      <c r="M1207" s="116">
        <v>722.74882541828595</v>
      </c>
      <c r="N1207" s="116">
        <v>736.02299518336997</v>
      </c>
      <c r="O1207" s="116">
        <v>720.86666701876004</v>
      </c>
      <c r="P1207" s="116">
        <v>729.41067554292704</v>
      </c>
      <c r="Q1207" s="116">
        <v>1459.2</v>
      </c>
      <c r="R1207">
        <v>6435097</v>
      </c>
    </row>
    <row r="1208" spans="1:18" x14ac:dyDescent="0.25">
      <c r="A1208" s="170">
        <v>43788</v>
      </c>
      <c r="B1208" s="116">
        <v>750.33489301849397</v>
      </c>
      <c r="C1208" s="116">
        <v>747.78416547035999</v>
      </c>
      <c r="D1208" s="116">
        <v>725.84295568738401</v>
      </c>
      <c r="E1208" s="116">
        <v>726.83352949248399</v>
      </c>
      <c r="F1208" s="116">
        <v>1509.8</v>
      </c>
      <c r="G1208">
        <v>826626</v>
      </c>
      <c r="H1208" s="116"/>
      <c r="I1208" s="116"/>
      <c r="L1208" s="170">
        <v>43788</v>
      </c>
      <c r="M1208" s="116">
        <v>747.786485180412</v>
      </c>
      <c r="N1208" s="116">
        <v>750.33730511661304</v>
      </c>
      <c r="O1208" s="116">
        <v>725.62159350177501</v>
      </c>
      <c r="P1208" s="116">
        <v>726.61220318573601</v>
      </c>
      <c r="Q1208" s="116">
        <v>1509.75</v>
      </c>
      <c r="R1208">
        <v>13795569</v>
      </c>
    </row>
    <row r="1209" spans="1:18" x14ac:dyDescent="0.25">
      <c r="A1209" s="170">
        <v>43789</v>
      </c>
      <c r="B1209" s="116">
        <v>778.51671777360298</v>
      </c>
      <c r="C1209" s="116">
        <v>766.23360259035599</v>
      </c>
      <c r="D1209" s="116">
        <v>764.50009843143096</v>
      </c>
      <c r="E1209" s="116">
        <v>768.95768055438305</v>
      </c>
      <c r="F1209" s="116">
        <v>1547.05</v>
      </c>
      <c r="G1209">
        <v>1140656</v>
      </c>
      <c r="H1209" s="116"/>
      <c r="I1209" s="116"/>
      <c r="L1209" s="170">
        <v>43789</v>
      </c>
      <c r="M1209" s="116">
        <v>766.558538691482</v>
      </c>
      <c r="N1209" s="116">
        <v>778.81733353050504</v>
      </c>
      <c r="O1209" s="116">
        <v>764.35443214466795</v>
      </c>
      <c r="P1209" s="116">
        <v>770.22379452214</v>
      </c>
      <c r="Q1209" s="116">
        <v>1547.65</v>
      </c>
      <c r="R1209">
        <v>19904164</v>
      </c>
    </row>
    <row r="1210" spans="1:18" x14ac:dyDescent="0.25">
      <c r="A1210" s="170">
        <v>43790</v>
      </c>
      <c r="B1210" s="116">
        <v>770.81500643894606</v>
      </c>
      <c r="C1210" s="116">
        <v>761.37979094536399</v>
      </c>
      <c r="D1210" s="116">
        <v>757.09555923830396</v>
      </c>
      <c r="E1210" s="116">
        <v>766.45648169650406</v>
      </c>
      <c r="F1210" s="116">
        <v>1537.25</v>
      </c>
      <c r="G1210">
        <v>591358</v>
      </c>
      <c r="H1210" s="116"/>
      <c r="I1210" s="116"/>
      <c r="L1210" s="170">
        <v>43790</v>
      </c>
      <c r="M1210" s="116">
        <v>761.580725029576</v>
      </c>
      <c r="N1210" s="116">
        <v>770.69433412202102</v>
      </c>
      <c r="O1210" s="116">
        <v>757.09821620964999</v>
      </c>
      <c r="P1210" s="116">
        <v>765.24598086023298</v>
      </c>
      <c r="Q1210" s="116">
        <v>1537.6</v>
      </c>
      <c r="R1210">
        <v>6810577</v>
      </c>
    </row>
    <row r="1211" spans="1:18" x14ac:dyDescent="0.25">
      <c r="A1211" s="170">
        <v>43791</v>
      </c>
      <c r="B1211" s="116">
        <v>777.40232224286399</v>
      </c>
      <c r="C1211" s="116">
        <v>765.91166610369896</v>
      </c>
      <c r="D1211" s="116">
        <v>761.70172743202204</v>
      </c>
      <c r="E1211" s="116">
        <v>764.22769063502801</v>
      </c>
      <c r="F1211" s="116">
        <v>1546.4</v>
      </c>
      <c r="G1211">
        <v>475417</v>
      </c>
      <c r="H1211" s="116"/>
      <c r="I1211" s="116"/>
      <c r="L1211" s="170">
        <v>43791</v>
      </c>
      <c r="M1211" s="116">
        <v>765.98893812320398</v>
      </c>
      <c r="N1211" s="116">
        <v>777.38094948876096</v>
      </c>
      <c r="O1211" s="116">
        <v>761.580725029576</v>
      </c>
      <c r="P1211" s="116">
        <v>763.80959681848901</v>
      </c>
      <c r="Q1211" s="116">
        <v>1546.5</v>
      </c>
      <c r="R1211">
        <v>10218978</v>
      </c>
    </row>
    <row r="1212" spans="1:18" x14ac:dyDescent="0.25">
      <c r="A1212" s="170">
        <v>43794</v>
      </c>
      <c r="B1212" s="116">
        <v>774.925887730113</v>
      </c>
      <c r="C1212" s="116">
        <v>772.994268810167</v>
      </c>
      <c r="D1212" s="116">
        <v>768.18998585543</v>
      </c>
      <c r="E1212" s="116">
        <v>768.18998585543</v>
      </c>
      <c r="F1212" s="116">
        <v>1560.7</v>
      </c>
      <c r="G1212">
        <v>260903</v>
      </c>
      <c r="H1212" s="116"/>
      <c r="I1212" s="116"/>
      <c r="L1212" s="170">
        <v>43794</v>
      </c>
      <c r="M1212" s="116">
        <v>773.44327599501401</v>
      </c>
      <c r="N1212" s="116">
        <v>775.05301673145198</v>
      </c>
      <c r="O1212" s="116">
        <v>768.21780991211801</v>
      </c>
      <c r="P1212" s="116">
        <v>768.29210563841502</v>
      </c>
      <c r="Q1212" s="116">
        <v>1561.55</v>
      </c>
      <c r="R1212">
        <v>6924313</v>
      </c>
    </row>
    <row r="1213" spans="1:18" x14ac:dyDescent="0.25">
      <c r="A1213" s="170">
        <v>43795</v>
      </c>
      <c r="B1213" s="116">
        <v>780.57215841918605</v>
      </c>
      <c r="C1213" s="116">
        <v>772.07798804044899</v>
      </c>
      <c r="D1213" s="116">
        <v>770.66642036818098</v>
      </c>
      <c r="E1213" s="116">
        <v>777.30326486235401</v>
      </c>
      <c r="F1213" s="116">
        <v>1558.85</v>
      </c>
      <c r="G1213">
        <v>334268</v>
      </c>
      <c r="H1213" s="116"/>
      <c r="I1213" s="116"/>
      <c r="L1213" s="170">
        <v>43795</v>
      </c>
      <c r="M1213" s="116">
        <v>772.79937970043898</v>
      </c>
      <c r="N1213" s="116">
        <v>780.77378765632898</v>
      </c>
      <c r="O1213" s="116">
        <v>770.69433412202102</v>
      </c>
      <c r="P1213" s="116">
        <v>776.687522709988</v>
      </c>
      <c r="Q1213" s="116">
        <v>1560.25</v>
      </c>
      <c r="R1213">
        <v>16152137</v>
      </c>
    </row>
    <row r="1214" spans="1:18" x14ac:dyDescent="0.25">
      <c r="A1214" s="170">
        <v>43796</v>
      </c>
      <c r="B1214" s="116">
        <v>780.07687151663595</v>
      </c>
      <c r="C1214" s="116">
        <v>777.47661527824698</v>
      </c>
      <c r="D1214" s="116">
        <v>770.86453512920104</v>
      </c>
      <c r="E1214" s="116">
        <v>773.14285488093196</v>
      </c>
      <c r="F1214" s="116">
        <v>1569.75</v>
      </c>
      <c r="G1214">
        <v>179080</v>
      </c>
      <c r="H1214" s="116"/>
      <c r="I1214" s="116"/>
      <c r="L1214" s="170">
        <v>43796</v>
      </c>
      <c r="M1214" s="116">
        <v>777.55430618345395</v>
      </c>
      <c r="N1214" s="116">
        <v>780.352778540646</v>
      </c>
      <c r="O1214" s="116">
        <v>770.74386460621895</v>
      </c>
      <c r="P1214" s="116">
        <v>772.65078824784496</v>
      </c>
      <c r="Q1214" s="116">
        <v>1569.85</v>
      </c>
      <c r="R1214">
        <v>4408336</v>
      </c>
    </row>
    <row r="1215" spans="1:18" x14ac:dyDescent="0.25">
      <c r="A1215" s="170">
        <v>43797</v>
      </c>
      <c r="B1215" s="116">
        <v>784.53445363958804</v>
      </c>
      <c r="C1215" s="116">
        <v>782.52854168425904</v>
      </c>
      <c r="D1215" s="116">
        <v>774.82683034960303</v>
      </c>
      <c r="E1215" s="116">
        <v>778.83865426026</v>
      </c>
      <c r="F1215" s="116">
        <v>1579.95</v>
      </c>
      <c r="G1215">
        <v>273450</v>
      </c>
      <c r="H1215" s="116"/>
      <c r="I1215" s="116"/>
      <c r="L1215" s="170">
        <v>43797</v>
      </c>
      <c r="M1215" s="116">
        <v>782.73024178215303</v>
      </c>
      <c r="N1215" s="116">
        <v>784.63716542377904</v>
      </c>
      <c r="O1215" s="116">
        <v>774.63200761576798</v>
      </c>
      <c r="P1215" s="116">
        <v>778.941159741001</v>
      </c>
      <c r="Q1215" s="116">
        <v>1580.3</v>
      </c>
      <c r="R1215">
        <v>6284885</v>
      </c>
    </row>
    <row r="1216" spans="1:18" x14ac:dyDescent="0.25">
      <c r="A1216" s="170">
        <v>43798</v>
      </c>
      <c r="B1216" s="116">
        <v>783.54387983448703</v>
      </c>
      <c r="C1216" s="116">
        <v>768.14045716517501</v>
      </c>
      <c r="D1216" s="116">
        <v>766.704125147779</v>
      </c>
      <c r="E1216" s="116">
        <v>783.54387983448703</v>
      </c>
      <c r="F1216" s="116">
        <v>1550.9</v>
      </c>
      <c r="G1216">
        <v>226724</v>
      </c>
      <c r="H1216" s="116"/>
      <c r="I1216" s="116"/>
      <c r="L1216" s="170">
        <v>43798</v>
      </c>
      <c r="M1216" s="116">
        <v>768.29210563841502</v>
      </c>
      <c r="N1216" s="116">
        <v>783.54749477142104</v>
      </c>
      <c r="O1216" s="116">
        <v>766.65759965987797</v>
      </c>
      <c r="P1216" s="116">
        <v>783.54749477142104</v>
      </c>
      <c r="Q1216" s="116">
        <v>1551.15</v>
      </c>
      <c r="R1216">
        <v>8484822</v>
      </c>
    </row>
    <row r="1217" spans="1:18" x14ac:dyDescent="0.25">
      <c r="A1217" s="170">
        <v>43801</v>
      </c>
      <c r="B1217" s="116">
        <v>799.39306071609496</v>
      </c>
      <c r="C1217" s="116">
        <v>785.67361351545401</v>
      </c>
      <c r="D1217" s="116">
        <v>781.41414615352096</v>
      </c>
      <c r="E1217" s="116">
        <v>789.98260956764102</v>
      </c>
      <c r="F1217" s="116">
        <v>1586.3</v>
      </c>
      <c r="G1217">
        <v>692915</v>
      </c>
      <c r="H1217" s="116"/>
      <c r="I1217" s="116"/>
      <c r="L1217" s="170">
        <v>43801</v>
      </c>
      <c r="M1217" s="116">
        <v>785.80113180243404</v>
      </c>
      <c r="N1217" s="116">
        <v>799.64490213579495</v>
      </c>
      <c r="O1217" s="116">
        <v>781.095735803617</v>
      </c>
      <c r="P1217" s="116">
        <v>792.48774716917399</v>
      </c>
      <c r="Q1217" s="116">
        <v>1586.5</v>
      </c>
      <c r="R1217">
        <v>14275186</v>
      </c>
    </row>
    <row r="1218" spans="1:18" x14ac:dyDescent="0.25">
      <c r="A1218" s="170">
        <v>43802</v>
      </c>
      <c r="B1218" s="116">
        <v>789.16538617843298</v>
      </c>
      <c r="C1218" s="116">
        <v>781.98372609145395</v>
      </c>
      <c r="D1218" s="116">
        <v>779.13582640179004</v>
      </c>
      <c r="E1218" s="116">
        <v>788.00146195744003</v>
      </c>
      <c r="F1218" s="116">
        <v>1578.85</v>
      </c>
      <c r="G1218">
        <v>370722</v>
      </c>
      <c r="H1218" s="116"/>
      <c r="I1218" s="116"/>
      <c r="L1218" s="170">
        <v>43802</v>
      </c>
      <c r="M1218" s="116">
        <v>782.03681500337996</v>
      </c>
      <c r="N1218" s="116">
        <v>789.51591811728895</v>
      </c>
      <c r="O1218" s="116">
        <v>778.91639449890101</v>
      </c>
      <c r="P1218" s="116">
        <v>788.896787064813</v>
      </c>
      <c r="Q1218" s="116">
        <v>1578.9</v>
      </c>
      <c r="R1218">
        <v>5938786</v>
      </c>
    </row>
    <row r="1219" spans="1:18" x14ac:dyDescent="0.25">
      <c r="A1219" s="170">
        <v>43803</v>
      </c>
      <c r="B1219" s="116">
        <v>781.09220966686405</v>
      </c>
      <c r="C1219" s="116">
        <v>768.95768055438305</v>
      </c>
      <c r="D1219" s="116">
        <v>759.49770071567298</v>
      </c>
      <c r="E1219" s="116">
        <v>777.72425872952203</v>
      </c>
      <c r="F1219" s="116">
        <v>1552.55</v>
      </c>
      <c r="G1219">
        <v>558332</v>
      </c>
      <c r="H1219" s="116"/>
      <c r="I1219" s="116"/>
      <c r="L1219" s="170">
        <v>43803</v>
      </c>
      <c r="M1219" s="116">
        <v>769.05982814348499</v>
      </c>
      <c r="N1219" s="116">
        <v>781.343388224607</v>
      </c>
      <c r="O1219" s="116">
        <v>759.67380138794999</v>
      </c>
      <c r="P1219" s="116">
        <v>779.11451643569399</v>
      </c>
      <c r="Q1219" s="116">
        <v>1552.7</v>
      </c>
      <c r="R1219">
        <v>9594828</v>
      </c>
    </row>
    <row r="1220" spans="1:18" x14ac:dyDescent="0.25">
      <c r="A1220" s="170">
        <v>43804</v>
      </c>
      <c r="B1220" s="116">
        <v>782.47901299400405</v>
      </c>
      <c r="C1220" s="116">
        <v>767.84328502364497</v>
      </c>
      <c r="D1220" s="116">
        <v>764.722977537578</v>
      </c>
      <c r="E1220" s="116">
        <v>782.05801912683705</v>
      </c>
      <c r="F1220" s="116">
        <v>1550.3</v>
      </c>
      <c r="G1220">
        <v>378637</v>
      </c>
      <c r="H1220" s="116"/>
      <c r="I1220" s="116"/>
      <c r="L1220" s="170">
        <v>43804</v>
      </c>
      <c r="M1220" s="116">
        <v>768.14351418581998</v>
      </c>
      <c r="N1220" s="116">
        <v>782.45782411906396</v>
      </c>
      <c r="O1220" s="116">
        <v>764.75067601825299</v>
      </c>
      <c r="P1220" s="116">
        <v>779.609821277675</v>
      </c>
      <c r="Q1220" s="116">
        <v>1550.85</v>
      </c>
      <c r="R1220">
        <v>9117022</v>
      </c>
    </row>
    <row r="1221" spans="1:18" x14ac:dyDescent="0.25">
      <c r="A1221" s="170">
        <v>43805</v>
      </c>
      <c r="B1221" s="116">
        <v>776.70892057929404</v>
      </c>
      <c r="C1221" s="116">
        <v>770.14636912050298</v>
      </c>
      <c r="D1221" s="116">
        <v>763.43523159094798</v>
      </c>
      <c r="E1221" s="116">
        <v>771.65699417328199</v>
      </c>
      <c r="F1221" s="116">
        <v>1554.95</v>
      </c>
      <c r="G1221">
        <v>343319</v>
      </c>
      <c r="H1221" s="116"/>
      <c r="I1221" s="116"/>
      <c r="L1221" s="170">
        <v>43805</v>
      </c>
      <c r="M1221" s="116">
        <v>770.14949879584299</v>
      </c>
      <c r="N1221" s="116">
        <v>776.63799222578996</v>
      </c>
      <c r="O1221" s="116">
        <v>763.314291976508</v>
      </c>
      <c r="P1221" s="116">
        <v>769.20841959607901</v>
      </c>
      <c r="Q1221" s="116">
        <v>1554.9</v>
      </c>
      <c r="R1221">
        <v>5982129</v>
      </c>
    </row>
    <row r="1222" spans="1:18" x14ac:dyDescent="0.25">
      <c r="A1222" s="170">
        <v>43808</v>
      </c>
      <c r="B1222" s="116">
        <v>781.21603139250101</v>
      </c>
      <c r="C1222" s="116">
        <v>778.86341860538801</v>
      </c>
      <c r="D1222" s="116">
        <v>766.53077473188705</v>
      </c>
      <c r="E1222" s="116">
        <v>769.75013959846297</v>
      </c>
      <c r="F1222" s="116">
        <v>1572.55</v>
      </c>
      <c r="G1222">
        <v>307151</v>
      </c>
      <c r="H1222" s="116"/>
      <c r="I1222" s="116"/>
      <c r="L1222" s="170">
        <v>43808</v>
      </c>
      <c r="M1222" s="116">
        <v>778.91639449890101</v>
      </c>
      <c r="N1222" s="116">
        <v>781.29385774040895</v>
      </c>
      <c r="O1222" s="116">
        <v>765.98893812320398</v>
      </c>
      <c r="P1222" s="116">
        <v>770.76862984831803</v>
      </c>
      <c r="Q1222" s="116">
        <v>1572.6</v>
      </c>
      <c r="R1222">
        <v>5779807</v>
      </c>
    </row>
    <row r="1223" spans="1:18" x14ac:dyDescent="0.25">
      <c r="A1223" s="170">
        <v>43809</v>
      </c>
      <c r="B1223" s="116">
        <v>779.97781413612597</v>
      </c>
      <c r="C1223" s="116">
        <v>773.73719916399295</v>
      </c>
      <c r="D1223" s="116">
        <v>769.79966828871795</v>
      </c>
      <c r="E1223" s="116">
        <v>778.54148211872996</v>
      </c>
      <c r="F1223" s="116">
        <v>1562.2</v>
      </c>
      <c r="G1223">
        <v>209096</v>
      </c>
      <c r="H1223" s="116"/>
      <c r="I1223" s="116"/>
      <c r="L1223" s="170">
        <v>43809</v>
      </c>
      <c r="M1223" s="116">
        <v>773.64139793180698</v>
      </c>
      <c r="N1223" s="116">
        <v>779.41169934088202</v>
      </c>
      <c r="O1223" s="116">
        <v>769.77802016435703</v>
      </c>
      <c r="P1223" s="116">
        <v>778.64397683581205</v>
      </c>
      <c r="Q1223" s="116">
        <v>1561.95</v>
      </c>
      <c r="R1223">
        <v>4650906</v>
      </c>
    </row>
    <row r="1224" spans="1:18" x14ac:dyDescent="0.25">
      <c r="A1224" s="170">
        <v>43810</v>
      </c>
      <c r="B1224" s="116">
        <v>780.15116455201803</v>
      </c>
      <c r="C1224" s="116">
        <v>773.93531392501302</v>
      </c>
      <c r="D1224" s="116">
        <v>768.18998585543</v>
      </c>
      <c r="E1224" s="116">
        <v>771.40935072200602</v>
      </c>
      <c r="F1224" s="116">
        <v>1562.6</v>
      </c>
      <c r="G1224">
        <v>615737</v>
      </c>
      <c r="H1224" s="116"/>
      <c r="I1224" s="116"/>
      <c r="L1224" s="170">
        <v>43810</v>
      </c>
      <c r="M1224" s="116">
        <v>773.86428511069801</v>
      </c>
      <c r="N1224" s="116">
        <v>779.85747369866499</v>
      </c>
      <c r="O1224" s="116">
        <v>768.01968797532504</v>
      </c>
      <c r="P1224" s="116">
        <v>770.49621218522896</v>
      </c>
      <c r="Q1224" s="116">
        <v>1562.4</v>
      </c>
      <c r="R1224">
        <v>5652698</v>
      </c>
    </row>
    <row r="1225" spans="1:18" x14ac:dyDescent="0.25">
      <c r="A1225" s="170">
        <v>43811</v>
      </c>
      <c r="B1225" s="116">
        <v>779.38346985306498</v>
      </c>
      <c r="C1225" s="116">
        <v>776.36221974750902</v>
      </c>
      <c r="D1225" s="116">
        <v>771.28552899636895</v>
      </c>
      <c r="E1225" s="116">
        <v>776.11457629623396</v>
      </c>
      <c r="F1225" s="116">
        <v>1567.5</v>
      </c>
      <c r="G1225">
        <v>585429</v>
      </c>
      <c r="H1225" s="116"/>
      <c r="I1225" s="116"/>
      <c r="L1225" s="170">
        <v>43811</v>
      </c>
      <c r="M1225" s="116">
        <v>776.73705319418605</v>
      </c>
      <c r="N1225" s="116">
        <v>779.53552555137696</v>
      </c>
      <c r="O1225" s="116">
        <v>771.01628226930904</v>
      </c>
      <c r="P1225" s="116">
        <v>777.75242812024703</v>
      </c>
      <c r="Q1225" s="116">
        <v>1568.2</v>
      </c>
      <c r="R1225">
        <v>4720977</v>
      </c>
    </row>
    <row r="1226" spans="1:18" x14ac:dyDescent="0.25">
      <c r="A1226" s="170">
        <v>43812</v>
      </c>
      <c r="B1226" s="116">
        <v>787.50617505488901</v>
      </c>
      <c r="C1226" s="116">
        <v>783.76675894063499</v>
      </c>
      <c r="D1226" s="116">
        <v>778.86341860538801</v>
      </c>
      <c r="E1226" s="116">
        <v>780.07687151663595</v>
      </c>
      <c r="F1226" s="116">
        <v>1582.45</v>
      </c>
      <c r="G1226">
        <v>611627</v>
      </c>
      <c r="H1226" s="116"/>
      <c r="I1226" s="116"/>
      <c r="L1226" s="170">
        <v>43812</v>
      </c>
      <c r="M1226" s="116">
        <v>784.01803437130297</v>
      </c>
      <c r="N1226" s="116">
        <v>787.53469874936604</v>
      </c>
      <c r="O1226" s="116">
        <v>778.81733353050504</v>
      </c>
      <c r="P1226" s="116">
        <v>782.58165032955901</v>
      </c>
      <c r="Q1226" s="116">
        <v>1582.9</v>
      </c>
      <c r="R1226">
        <v>5791522</v>
      </c>
    </row>
    <row r="1227" spans="1:18" x14ac:dyDescent="0.25">
      <c r="A1227" s="170">
        <v>43815</v>
      </c>
      <c r="B1227" s="116">
        <v>788.99203576254001</v>
      </c>
      <c r="C1227" s="116">
        <v>775.89169719008601</v>
      </c>
      <c r="D1227" s="116">
        <v>774.43060082756301</v>
      </c>
      <c r="E1227" s="116">
        <v>787.15947422310398</v>
      </c>
      <c r="F1227" s="116">
        <v>1566.55</v>
      </c>
      <c r="G1227">
        <v>281506</v>
      </c>
      <c r="H1227" s="116"/>
      <c r="I1227" s="116"/>
      <c r="L1227" s="170">
        <v>43815</v>
      </c>
      <c r="M1227" s="116">
        <v>775.944565447017</v>
      </c>
      <c r="N1227" s="116">
        <v>789.46638763309102</v>
      </c>
      <c r="O1227" s="116">
        <v>774.83012955256004</v>
      </c>
      <c r="P1227" s="116">
        <v>788.52530843332795</v>
      </c>
      <c r="Q1227" s="116">
        <v>1566.6</v>
      </c>
      <c r="R1227">
        <v>5436951</v>
      </c>
    </row>
    <row r="1228" spans="1:18" x14ac:dyDescent="0.25">
      <c r="A1228" s="170">
        <v>43816</v>
      </c>
      <c r="B1228" s="116">
        <v>782.30566257811199</v>
      </c>
      <c r="C1228" s="116">
        <v>773.71243481886495</v>
      </c>
      <c r="D1228" s="116">
        <v>770.46830560716103</v>
      </c>
      <c r="E1228" s="116">
        <v>777.50137962337499</v>
      </c>
      <c r="F1228" s="116">
        <v>1562.15</v>
      </c>
      <c r="G1228">
        <v>320894</v>
      </c>
      <c r="H1228" s="116"/>
      <c r="I1228" s="116"/>
      <c r="L1228" s="170">
        <v>43816</v>
      </c>
      <c r="M1228" s="116">
        <v>774.01287656329202</v>
      </c>
      <c r="N1228" s="116">
        <v>782.086345487578</v>
      </c>
      <c r="O1228" s="116">
        <v>770.47144694312999</v>
      </c>
      <c r="P1228" s="116">
        <v>776.01886117331401</v>
      </c>
      <c r="Q1228" s="116">
        <v>1562.7</v>
      </c>
      <c r="R1228">
        <v>9291724</v>
      </c>
    </row>
    <row r="1229" spans="1:18" x14ac:dyDescent="0.25">
      <c r="A1229" s="170">
        <v>43817</v>
      </c>
      <c r="B1229" s="116">
        <v>782.55330602938704</v>
      </c>
      <c r="C1229" s="116">
        <v>780.42357234842098</v>
      </c>
      <c r="D1229" s="116">
        <v>773.63814178348298</v>
      </c>
      <c r="E1229" s="116">
        <v>773.71243481886495</v>
      </c>
      <c r="F1229" s="116">
        <v>1575.7</v>
      </c>
      <c r="G1229">
        <v>279220</v>
      </c>
      <c r="H1229" s="116"/>
      <c r="I1229" s="116"/>
      <c r="L1229" s="170">
        <v>43817</v>
      </c>
      <c r="M1229" s="116">
        <v>780.52613523533898</v>
      </c>
      <c r="N1229" s="116">
        <v>782.58165032955901</v>
      </c>
      <c r="O1229" s="116">
        <v>773.66616317390606</v>
      </c>
      <c r="P1229" s="116">
        <v>774.16146801588695</v>
      </c>
      <c r="Q1229" s="116">
        <v>1575.85</v>
      </c>
      <c r="R1229">
        <v>6739582</v>
      </c>
    </row>
    <row r="1230" spans="1:18" x14ac:dyDescent="0.25">
      <c r="A1230" s="170">
        <v>43818</v>
      </c>
      <c r="B1230" s="116">
        <v>799.88834761864598</v>
      </c>
      <c r="C1230" s="116">
        <v>795.00977162852598</v>
      </c>
      <c r="D1230" s="116">
        <v>778.76436122487803</v>
      </c>
      <c r="E1230" s="116">
        <v>779.92828544587098</v>
      </c>
      <c r="F1230" s="116">
        <v>1605.15</v>
      </c>
      <c r="G1230">
        <v>1024480</v>
      </c>
      <c r="H1230" s="116"/>
      <c r="I1230" s="116"/>
      <c r="L1230" s="170">
        <v>43818</v>
      </c>
      <c r="M1230" s="116">
        <v>797.41603034688205</v>
      </c>
      <c r="N1230" s="116">
        <v>799.867789314687</v>
      </c>
      <c r="O1230" s="116">
        <v>778.520150625317</v>
      </c>
      <c r="P1230" s="116">
        <v>779.46122982507995</v>
      </c>
      <c r="Q1230" s="116">
        <v>1609.95</v>
      </c>
      <c r="R1230">
        <v>9375484</v>
      </c>
    </row>
    <row r="1231" spans="1:18" x14ac:dyDescent="0.25">
      <c r="A1231" s="170">
        <v>43819</v>
      </c>
      <c r="B1231" s="116">
        <v>801.27515094578598</v>
      </c>
      <c r="C1231" s="116">
        <v>792.16187193886196</v>
      </c>
      <c r="D1231" s="116">
        <v>790.30454605429804</v>
      </c>
      <c r="E1231" s="116">
        <v>798.00625738895496</v>
      </c>
      <c r="F1231" s="116">
        <v>1599.4</v>
      </c>
      <c r="G1231">
        <v>315858</v>
      </c>
      <c r="H1231" s="116"/>
      <c r="I1231" s="116"/>
      <c r="L1231" s="170">
        <v>43819</v>
      </c>
      <c r="M1231" s="116">
        <v>792.04197281139102</v>
      </c>
      <c r="N1231" s="116">
        <v>801.180347145935</v>
      </c>
      <c r="O1231" s="116">
        <v>790.55605828544901</v>
      </c>
      <c r="P1231" s="116">
        <v>799.91731979888505</v>
      </c>
      <c r="Q1231" s="116">
        <v>1599.1</v>
      </c>
      <c r="R1231">
        <v>9724619</v>
      </c>
    </row>
    <row r="1232" spans="1:18" x14ac:dyDescent="0.25">
      <c r="A1232" s="170">
        <v>43822</v>
      </c>
      <c r="B1232" s="116">
        <v>781.06744532173605</v>
      </c>
      <c r="C1232" s="116">
        <v>778.09572390643496</v>
      </c>
      <c r="D1232" s="116">
        <v>770.17113346563099</v>
      </c>
      <c r="E1232" s="116">
        <v>770.17113346563099</v>
      </c>
      <c r="F1232" s="116">
        <v>1571</v>
      </c>
      <c r="G1232">
        <v>1274110</v>
      </c>
      <c r="H1232" s="116"/>
      <c r="I1232" s="116"/>
      <c r="L1232" s="170">
        <v>43822</v>
      </c>
      <c r="M1232" s="116">
        <v>778.32202868852505</v>
      </c>
      <c r="N1232" s="116">
        <v>781.36815346670596</v>
      </c>
      <c r="O1232" s="116">
        <v>771.58588283758695</v>
      </c>
      <c r="P1232" s="116">
        <v>772.72508397414197</v>
      </c>
      <c r="Q1232" s="116">
        <v>1571.4</v>
      </c>
      <c r="R1232">
        <v>11478429</v>
      </c>
    </row>
    <row r="1233" spans="1:18" x14ac:dyDescent="0.25">
      <c r="A1233" s="170">
        <v>43823</v>
      </c>
      <c r="B1233" s="116">
        <v>778.66530384436805</v>
      </c>
      <c r="C1233" s="116">
        <v>765.68878699755101</v>
      </c>
      <c r="D1233" s="116">
        <v>764.10386890939003</v>
      </c>
      <c r="E1233" s="116">
        <v>778.04619521617997</v>
      </c>
      <c r="F1233" s="116">
        <v>1545.95</v>
      </c>
      <c r="G1233">
        <v>232508</v>
      </c>
      <c r="H1233" s="116"/>
      <c r="I1233" s="116"/>
      <c r="L1233" s="170">
        <v>43823</v>
      </c>
      <c r="M1233" s="116">
        <v>765.96417288110501</v>
      </c>
      <c r="N1233" s="116">
        <v>778.64397683581205</v>
      </c>
      <c r="O1233" s="116">
        <v>764.00771875528096</v>
      </c>
      <c r="P1233" s="116">
        <v>777.08376658357304</v>
      </c>
      <c r="Q1233" s="116">
        <v>1546.45</v>
      </c>
      <c r="R1233">
        <v>8251144</v>
      </c>
    </row>
    <row r="1234" spans="1:18" x14ac:dyDescent="0.25">
      <c r="A1234" s="170">
        <v>43825</v>
      </c>
      <c r="B1234" s="116">
        <v>769.32914573129494</v>
      </c>
      <c r="C1234" s="116">
        <v>750.83017992104396</v>
      </c>
      <c r="D1234" s="116">
        <v>748.35374540829298</v>
      </c>
      <c r="E1234" s="116">
        <v>765.68878699755101</v>
      </c>
      <c r="F1234" s="116">
        <v>1515.95</v>
      </c>
      <c r="G1234">
        <v>577183</v>
      </c>
      <c r="H1234" s="116"/>
      <c r="I1234" s="116"/>
      <c r="L1234" s="170">
        <v>43825</v>
      </c>
      <c r="M1234" s="116">
        <v>750.58495753760405</v>
      </c>
      <c r="N1234" s="116">
        <v>769.18365435398005</v>
      </c>
      <c r="O1234" s="116">
        <v>747.98460711720497</v>
      </c>
      <c r="P1234" s="116">
        <v>763.58670963959798</v>
      </c>
      <c r="Q1234" s="116">
        <v>1515.4</v>
      </c>
      <c r="R1234">
        <v>13605737</v>
      </c>
    </row>
    <row r="1235" spans="1:18" x14ac:dyDescent="0.25">
      <c r="A1235" s="170">
        <v>43826</v>
      </c>
      <c r="B1235" s="116">
        <v>765.61449396216904</v>
      </c>
      <c r="C1235" s="116">
        <v>763.80669676785999</v>
      </c>
      <c r="D1235" s="116">
        <v>753.55425788507</v>
      </c>
      <c r="E1235" s="116">
        <v>755.31252638912304</v>
      </c>
      <c r="F1235" s="116">
        <v>1542.15</v>
      </c>
      <c r="G1235">
        <v>485460</v>
      </c>
      <c r="H1235" s="116"/>
      <c r="I1235" s="116"/>
      <c r="L1235" s="170">
        <v>43826</v>
      </c>
      <c r="M1235" s="116">
        <v>763.93342302898395</v>
      </c>
      <c r="N1235" s="116">
        <v>765.84034667060996</v>
      </c>
      <c r="O1235" s="116">
        <v>753.50725610529003</v>
      </c>
      <c r="P1235" s="116">
        <v>756.33049370458002</v>
      </c>
      <c r="Q1235" s="116">
        <v>1542.35</v>
      </c>
      <c r="R1235">
        <v>8081591</v>
      </c>
    </row>
    <row r="1236" spans="1:18" x14ac:dyDescent="0.25">
      <c r="A1236" s="170">
        <v>43829</v>
      </c>
      <c r="B1236" s="116">
        <v>766.208838245229</v>
      </c>
      <c r="C1236" s="116">
        <v>764.82203491808798</v>
      </c>
      <c r="D1236" s="116">
        <v>756.946973167539</v>
      </c>
      <c r="E1236" s="116">
        <v>764.22769063502801</v>
      </c>
      <c r="F1236" s="116">
        <v>1544.2</v>
      </c>
      <c r="G1236">
        <v>371439</v>
      </c>
      <c r="H1236" s="116"/>
      <c r="I1236" s="116"/>
      <c r="L1236" s="170">
        <v>43829</v>
      </c>
      <c r="M1236" s="116">
        <v>764.84973698664896</v>
      </c>
      <c r="N1236" s="116">
        <v>766.558538691482</v>
      </c>
      <c r="O1236" s="116">
        <v>756.85056378866</v>
      </c>
      <c r="P1236" s="116">
        <v>765.71652046011502</v>
      </c>
      <c r="Q1236" s="116">
        <v>1544.2</v>
      </c>
      <c r="R1236">
        <v>7828402</v>
      </c>
    </row>
    <row r="1237" spans="1:18" x14ac:dyDescent="0.25">
      <c r="A1237" s="170">
        <v>43830</v>
      </c>
      <c r="B1237" s="116">
        <v>765.06967836936303</v>
      </c>
      <c r="C1237" s="116">
        <v>749.91389915132595</v>
      </c>
      <c r="D1237" s="116">
        <v>747.43746463857497</v>
      </c>
      <c r="E1237" s="116">
        <v>765.06967836936303</v>
      </c>
      <c r="F1237" s="116">
        <v>1514.1</v>
      </c>
      <c r="G1237">
        <v>295706</v>
      </c>
      <c r="H1237" s="116"/>
      <c r="I1237" s="116"/>
      <c r="L1237" s="170">
        <v>43830</v>
      </c>
      <c r="M1237" s="116">
        <v>749.91629600092904</v>
      </c>
      <c r="N1237" s="116">
        <v>764.60208456565795</v>
      </c>
      <c r="O1237" s="116">
        <v>746.94446694904502</v>
      </c>
      <c r="P1237" s="116">
        <v>763.76006633429097</v>
      </c>
      <c r="Q1237" s="116">
        <v>1514.05</v>
      </c>
      <c r="R1237">
        <v>10150467</v>
      </c>
    </row>
    <row r="1238" spans="1:18" x14ac:dyDescent="0.25">
      <c r="A1238" s="170">
        <v>43831</v>
      </c>
      <c r="B1238" s="116">
        <v>756.501214955244</v>
      </c>
      <c r="C1238" s="116">
        <v>747.73463678010501</v>
      </c>
      <c r="D1238" s="116">
        <v>745.58013875401105</v>
      </c>
      <c r="E1238" s="116">
        <v>750.90447295642605</v>
      </c>
      <c r="F1238" s="116">
        <v>1509.7</v>
      </c>
      <c r="G1238">
        <v>456824</v>
      </c>
      <c r="H1238" s="116"/>
      <c r="I1238" s="116"/>
      <c r="L1238" s="170">
        <v>43831</v>
      </c>
      <c r="M1238" s="116">
        <v>747.71218945411499</v>
      </c>
      <c r="N1238" s="116">
        <v>756.38002418877795</v>
      </c>
      <c r="O1238" s="116">
        <v>745.68143960199404</v>
      </c>
      <c r="P1238" s="116">
        <v>751.87275012675298</v>
      </c>
      <c r="Q1238" s="116">
        <v>1509.6</v>
      </c>
      <c r="R1238">
        <v>6402372</v>
      </c>
    </row>
    <row r="1239" spans="1:18" x14ac:dyDescent="0.25">
      <c r="A1239" s="170">
        <v>43832</v>
      </c>
      <c r="B1239" s="116">
        <v>763.13805944941703</v>
      </c>
      <c r="C1239" s="116">
        <v>760.438745830519</v>
      </c>
      <c r="D1239" s="116">
        <v>749.36908355852097</v>
      </c>
      <c r="E1239" s="116">
        <v>749.86437046107096</v>
      </c>
      <c r="F1239" s="116">
        <v>1535.35</v>
      </c>
      <c r="G1239">
        <v>726289</v>
      </c>
      <c r="H1239" s="116"/>
      <c r="I1239" s="116"/>
      <c r="L1239" s="170">
        <v>43832</v>
      </c>
      <c r="M1239" s="116">
        <v>760.44152389301996</v>
      </c>
      <c r="N1239" s="116">
        <v>763.23999625021099</v>
      </c>
      <c r="O1239" s="116">
        <v>748.90092107486896</v>
      </c>
      <c r="P1239" s="116">
        <v>748.90092107486896</v>
      </c>
      <c r="Q1239" s="116">
        <v>1535.3</v>
      </c>
      <c r="R1239">
        <v>8096561</v>
      </c>
    </row>
    <row r="1240" spans="1:18" x14ac:dyDescent="0.25">
      <c r="A1240" s="170">
        <v>43833</v>
      </c>
      <c r="B1240" s="116">
        <v>763.38570290069299</v>
      </c>
      <c r="C1240" s="116">
        <v>761.37979094536399</v>
      </c>
      <c r="D1240" s="116">
        <v>754.520067345043</v>
      </c>
      <c r="E1240" s="116">
        <v>759.96822327309599</v>
      </c>
      <c r="F1240" s="116">
        <v>1537.25</v>
      </c>
      <c r="G1240">
        <v>354087</v>
      </c>
      <c r="H1240" s="116"/>
      <c r="I1240" s="116"/>
      <c r="L1240" s="170">
        <v>43833</v>
      </c>
      <c r="M1240" s="116">
        <v>761.35783785068497</v>
      </c>
      <c r="N1240" s="116">
        <v>763.58670963959798</v>
      </c>
      <c r="O1240" s="116">
        <v>754.349274336657</v>
      </c>
      <c r="P1240" s="116">
        <v>759.30232275646404</v>
      </c>
      <c r="Q1240" s="116">
        <v>1537.15</v>
      </c>
      <c r="R1240">
        <v>9593498</v>
      </c>
    </row>
    <row r="1241" spans="1:18" x14ac:dyDescent="0.25">
      <c r="A1241" s="170">
        <v>43836</v>
      </c>
      <c r="B1241" s="116">
        <v>756.79838709677404</v>
      </c>
      <c r="C1241" s="116">
        <v>743.67328417919305</v>
      </c>
      <c r="D1241" s="116">
        <v>741.69213656899205</v>
      </c>
      <c r="E1241" s="116">
        <v>756.30310019422404</v>
      </c>
      <c r="F1241" s="116">
        <v>1501.5</v>
      </c>
      <c r="G1241">
        <v>453131</v>
      </c>
      <c r="H1241" s="116"/>
      <c r="I1241" s="116"/>
      <c r="L1241" s="170">
        <v>43836</v>
      </c>
      <c r="M1241" s="116">
        <v>743.70022023407103</v>
      </c>
      <c r="N1241" s="116">
        <v>756.77626806236299</v>
      </c>
      <c r="O1241" s="116">
        <v>741.96665328713902</v>
      </c>
      <c r="P1241" s="116">
        <v>752.863359810715</v>
      </c>
      <c r="Q1241" s="116">
        <v>1501.5</v>
      </c>
      <c r="R1241">
        <v>11209343</v>
      </c>
    </row>
    <row r="1242" spans="1:18" x14ac:dyDescent="0.25">
      <c r="A1242" s="170">
        <v>43837</v>
      </c>
      <c r="B1242" s="116">
        <v>759.77010851207604</v>
      </c>
      <c r="C1242" s="116">
        <v>755.33729073425104</v>
      </c>
      <c r="D1242" s="116">
        <v>750.08724956721801</v>
      </c>
      <c r="E1242" s="116">
        <v>752.83609187637205</v>
      </c>
      <c r="F1242" s="116">
        <v>1525.05</v>
      </c>
      <c r="G1242">
        <v>504240</v>
      </c>
      <c r="H1242" s="116"/>
      <c r="I1242" s="116"/>
      <c r="L1242" s="170">
        <v>43837</v>
      </c>
      <c r="M1242" s="116">
        <v>755.14176208382605</v>
      </c>
      <c r="N1242" s="116">
        <v>760.04528001943504</v>
      </c>
      <c r="O1242" s="116">
        <v>749.64387833783996</v>
      </c>
      <c r="P1242" s="116">
        <v>752.36805496873399</v>
      </c>
      <c r="Q1242" s="116">
        <v>1524.6</v>
      </c>
      <c r="R1242">
        <v>7627191</v>
      </c>
    </row>
    <row r="1243" spans="1:18" x14ac:dyDescent="0.25">
      <c r="A1243" s="170">
        <v>43838</v>
      </c>
      <c r="B1243" s="116">
        <v>759.99298761822297</v>
      </c>
      <c r="C1243" s="116">
        <v>749.83960611594296</v>
      </c>
      <c r="D1243" s="116">
        <v>746.89264904576896</v>
      </c>
      <c r="E1243" s="116">
        <v>746.89264904576896</v>
      </c>
      <c r="F1243" s="116">
        <v>1513.95</v>
      </c>
      <c r="G1243">
        <v>270488</v>
      </c>
      <c r="H1243" s="116"/>
      <c r="I1243" s="116"/>
      <c r="L1243" s="170">
        <v>43838</v>
      </c>
      <c r="M1243" s="116">
        <v>749.47052164314698</v>
      </c>
      <c r="N1243" s="116">
        <v>760.02051477733698</v>
      </c>
      <c r="O1243" s="116">
        <v>747.91031139090796</v>
      </c>
      <c r="P1243" s="116">
        <v>750.38683560081097</v>
      </c>
      <c r="Q1243" s="116">
        <v>1513.15</v>
      </c>
      <c r="R1243">
        <v>7336561</v>
      </c>
    </row>
    <row r="1244" spans="1:18" x14ac:dyDescent="0.25">
      <c r="A1244" s="170">
        <v>43839</v>
      </c>
      <c r="B1244" s="116">
        <v>767.59564157237003</v>
      </c>
      <c r="C1244" s="116">
        <v>766.67936080265201</v>
      </c>
      <c r="D1244" s="116">
        <v>758.70524167159294</v>
      </c>
      <c r="E1244" s="116">
        <v>761.37979094536399</v>
      </c>
      <c r="F1244" s="116">
        <v>1547.95</v>
      </c>
      <c r="G1244">
        <v>258014</v>
      </c>
      <c r="H1244" s="116"/>
      <c r="I1244" s="116"/>
      <c r="L1244" s="170">
        <v>43839</v>
      </c>
      <c r="M1244" s="116">
        <v>766.73189538617498</v>
      </c>
      <c r="N1244" s="116">
        <v>767.722505070137</v>
      </c>
      <c r="O1244" s="116">
        <v>758.43553928299798</v>
      </c>
      <c r="P1244" s="116">
        <v>762.07602987155701</v>
      </c>
      <c r="Q1244" s="116">
        <v>1548</v>
      </c>
      <c r="R1244">
        <v>6849606</v>
      </c>
    </row>
    <row r="1245" spans="1:18" x14ac:dyDescent="0.25">
      <c r="A1245" s="170">
        <v>43840</v>
      </c>
      <c r="B1245" s="116">
        <v>771.53317244764401</v>
      </c>
      <c r="C1245" s="116">
        <v>766.55553907701403</v>
      </c>
      <c r="D1245" s="116">
        <v>762.791358617632</v>
      </c>
      <c r="E1245" s="116">
        <v>767.69469895288</v>
      </c>
      <c r="F1245" s="116">
        <v>1547.7</v>
      </c>
      <c r="G1245">
        <v>192674</v>
      </c>
      <c r="H1245" s="116"/>
      <c r="I1245" s="116"/>
      <c r="L1245" s="170">
        <v>43840</v>
      </c>
      <c r="M1245" s="116">
        <v>766.558538691482</v>
      </c>
      <c r="N1245" s="116">
        <v>771.66017856388396</v>
      </c>
      <c r="O1245" s="116">
        <v>762.59609995563596</v>
      </c>
      <c r="P1245" s="116">
        <v>768.66358426989996</v>
      </c>
      <c r="Q1245" s="116">
        <v>1547.65</v>
      </c>
      <c r="R1245">
        <v>5704686</v>
      </c>
    </row>
    <row r="1246" spans="1:18" x14ac:dyDescent="0.25">
      <c r="A1246" s="170">
        <v>43843</v>
      </c>
      <c r="B1246" s="116">
        <v>771.90463762455704</v>
      </c>
      <c r="C1246" s="116">
        <v>764.45056974117597</v>
      </c>
      <c r="D1246" s="116">
        <v>762.07319260893405</v>
      </c>
      <c r="E1246" s="116">
        <v>766.208838245229</v>
      </c>
      <c r="F1246" s="116">
        <v>1543.45</v>
      </c>
      <c r="G1246">
        <v>228910</v>
      </c>
      <c r="H1246" s="116"/>
      <c r="I1246" s="116"/>
      <c r="L1246" s="170">
        <v>43843</v>
      </c>
      <c r="M1246" s="116">
        <v>764.60208456565795</v>
      </c>
      <c r="N1246" s="116">
        <v>772.03165719536901</v>
      </c>
      <c r="O1246" s="116">
        <v>761.97696890316001</v>
      </c>
      <c r="P1246" s="116">
        <v>765.27074610233205</v>
      </c>
      <c r="Q1246" s="116">
        <v>1543.7</v>
      </c>
      <c r="R1246">
        <v>8358090</v>
      </c>
    </row>
    <row r="1247" spans="1:18" x14ac:dyDescent="0.25">
      <c r="A1247" s="170">
        <v>43844</v>
      </c>
      <c r="B1247" s="116">
        <v>767.94234240415506</v>
      </c>
      <c r="C1247" s="116">
        <v>757.31843834445203</v>
      </c>
      <c r="D1247" s="116">
        <v>754.17336651325797</v>
      </c>
      <c r="E1247" s="116">
        <v>763.95528283862495</v>
      </c>
      <c r="F1247" s="116">
        <v>1529.05</v>
      </c>
      <c r="G1247">
        <v>297378</v>
      </c>
      <c r="H1247" s="116"/>
      <c r="I1247" s="116"/>
      <c r="L1247" s="170">
        <v>43844</v>
      </c>
      <c r="M1247" s="116">
        <v>757.51922532533399</v>
      </c>
      <c r="N1247" s="116">
        <v>767.722505070137</v>
      </c>
      <c r="O1247" s="116">
        <v>753.77967376837898</v>
      </c>
      <c r="P1247" s="116">
        <v>762.76945665032997</v>
      </c>
      <c r="Q1247" s="116">
        <v>1529.4</v>
      </c>
      <c r="R1247">
        <v>7230788</v>
      </c>
    </row>
    <row r="1248" spans="1:18" x14ac:dyDescent="0.25">
      <c r="A1248" s="170">
        <v>43845</v>
      </c>
      <c r="B1248" s="116">
        <v>762.96470903352497</v>
      </c>
      <c r="C1248" s="116">
        <v>754.81723948657304</v>
      </c>
      <c r="D1248" s="116">
        <v>752.34080497382195</v>
      </c>
      <c r="E1248" s="116">
        <v>761.99889957355197</v>
      </c>
      <c r="F1248" s="116">
        <v>1524</v>
      </c>
      <c r="G1248">
        <v>226773</v>
      </c>
      <c r="H1248" s="116"/>
      <c r="I1248" s="116"/>
      <c r="L1248" s="170">
        <v>43845</v>
      </c>
      <c r="M1248" s="116">
        <v>754.770283452341</v>
      </c>
      <c r="N1248" s="116">
        <v>762.71992616613204</v>
      </c>
      <c r="O1248" s="116">
        <v>751.99657633724905</v>
      </c>
      <c r="P1248" s="116">
        <v>760.71394155610903</v>
      </c>
      <c r="Q1248" s="116">
        <v>1523.85</v>
      </c>
      <c r="R1248">
        <v>7231393</v>
      </c>
    </row>
    <row r="1249" spans="1:18" x14ac:dyDescent="0.25">
      <c r="A1249" s="170">
        <v>43846</v>
      </c>
      <c r="B1249" s="116">
        <v>764.22769063502801</v>
      </c>
      <c r="C1249" s="116">
        <v>761.60267005151195</v>
      </c>
      <c r="D1249" s="116">
        <v>757.04603054804898</v>
      </c>
      <c r="E1249" s="116">
        <v>757.31843834445203</v>
      </c>
      <c r="F1249" s="116">
        <v>1537.7</v>
      </c>
      <c r="G1249">
        <v>387746</v>
      </c>
      <c r="H1249" s="116"/>
      <c r="I1249" s="116"/>
      <c r="L1249" s="170">
        <v>43846</v>
      </c>
      <c r="M1249" s="116">
        <v>761.72931648217002</v>
      </c>
      <c r="N1249" s="116">
        <v>764.42872787096496</v>
      </c>
      <c r="O1249" s="116">
        <v>756.82579854656103</v>
      </c>
      <c r="P1249" s="116">
        <v>757.32110338854102</v>
      </c>
      <c r="Q1249" s="116">
        <v>1537.9</v>
      </c>
      <c r="R1249">
        <v>5873662</v>
      </c>
    </row>
    <row r="1250" spans="1:18" x14ac:dyDescent="0.25">
      <c r="A1250" s="170">
        <v>43847</v>
      </c>
      <c r="B1250" s="116">
        <v>784.93068316162805</v>
      </c>
      <c r="C1250" s="116">
        <v>782.87524251604498</v>
      </c>
      <c r="D1250" s="116">
        <v>768.26427889081299</v>
      </c>
      <c r="E1250" s="116">
        <v>768.26427889081299</v>
      </c>
      <c r="F1250" s="116">
        <v>1580.65</v>
      </c>
      <c r="G1250">
        <v>617437</v>
      </c>
      <c r="H1250" s="116"/>
      <c r="I1250" s="116"/>
      <c r="L1250" s="170">
        <v>43847</v>
      </c>
      <c r="M1250" s="116">
        <v>783.07695517154002</v>
      </c>
      <c r="N1250" s="116">
        <v>785.03340929736396</v>
      </c>
      <c r="O1250" s="116">
        <v>769.30748056447499</v>
      </c>
      <c r="P1250" s="116">
        <v>769.456072017069</v>
      </c>
      <c r="Q1250" s="116">
        <v>1581</v>
      </c>
      <c r="R1250">
        <v>13469708</v>
      </c>
    </row>
    <row r="1251" spans="1:18" x14ac:dyDescent="0.25">
      <c r="A1251" s="170">
        <v>43850</v>
      </c>
      <c r="B1251" s="116">
        <v>797.16426965461903</v>
      </c>
      <c r="C1251" s="116">
        <v>758.77953470697503</v>
      </c>
      <c r="D1251" s="116">
        <v>756.30310019422404</v>
      </c>
      <c r="E1251" s="116">
        <v>796.44610364592097</v>
      </c>
      <c r="F1251" s="116">
        <v>1532</v>
      </c>
      <c r="G1251">
        <v>651336</v>
      </c>
      <c r="H1251" s="116"/>
      <c r="I1251" s="116"/>
      <c r="L1251" s="170">
        <v>43850</v>
      </c>
      <c r="M1251" s="116">
        <v>758.98037460917703</v>
      </c>
      <c r="N1251" s="116">
        <v>796.94549074700001</v>
      </c>
      <c r="O1251" s="116">
        <v>756.03331079939198</v>
      </c>
      <c r="P1251" s="116">
        <v>796.94549074700001</v>
      </c>
      <c r="Q1251" s="116">
        <v>1532.35</v>
      </c>
      <c r="R1251">
        <v>14878868</v>
      </c>
    </row>
    <row r="1252" spans="1:18" x14ac:dyDescent="0.25">
      <c r="A1252" s="170">
        <v>43851</v>
      </c>
      <c r="B1252" s="116">
        <v>765.68878699755101</v>
      </c>
      <c r="C1252" s="116">
        <v>759.74534416694803</v>
      </c>
      <c r="D1252" s="116">
        <v>754.32195258402305</v>
      </c>
      <c r="E1252" s="116">
        <v>757.64037483110997</v>
      </c>
      <c r="F1252" s="116">
        <v>1533.95</v>
      </c>
      <c r="G1252">
        <v>322191</v>
      </c>
      <c r="H1252" s="116"/>
      <c r="I1252" s="116"/>
      <c r="L1252" s="170">
        <v>43851</v>
      </c>
      <c r="M1252" s="116">
        <v>759.748097114247</v>
      </c>
      <c r="N1252" s="116">
        <v>765.66698997591698</v>
      </c>
      <c r="O1252" s="116">
        <v>753.85396949467599</v>
      </c>
      <c r="P1252" s="116">
        <v>757.12298145174896</v>
      </c>
      <c r="Q1252" s="116">
        <v>1533.9</v>
      </c>
      <c r="R1252">
        <v>8650831</v>
      </c>
    </row>
    <row r="1253" spans="1:18" x14ac:dyDescent="0.25">
      <c r="A1253" s="170">
        <v>43852</v>
      </c>
      <c r="B1253" s="116">
        <v>766.06025217446404</v>
      </c>
      <c r="C1253" s="116">
        <v>759.32435029978001</v>
      </c>
      <c r="D1253" s="116">
        <v>758.23471911417005</v>
      </c>
      <c r="E1253" s="116">
        <v>763.01423772377996</v>
      </c>
      <c r="F1253" s="116">
        <v>1533.1</v>
      </c>
      <c r="G1253">
        <v>199109</v>
      </c>
      <c r="H1253" s="116"/>
      <c r="I1253" s="116"/>
      <c r="L1253" s="170">
        <v>43852</v>
      </c>
      <c r="M1253" s="116">
        <v>759.47567945115804</v>
      </c>
      <c r="N1253" s="116">
        <v>766.11276433369903</v>
      </c>
      <c r="O1253" s="116">
        <v>758.36124355670097</v>
      </c>
      <c r="P1253" s="116">
        <v>764.75067601825299</v>
      </c>
      <c r="Q1253" s="116">
        <v>1533.35</v>
      </c>
      <c r="R1253">
        <v>4719245</v>
      </c>
    </row>
    <row r="1254" spans="1:18" x14ac:dyDescent="0.25">
      <c r="A1254" s="170">
        <v>43853</v>
      </c>
      <c r="B1254" s="116">
        <v>763.50952462632995</v>
      </c>
      <c r="C1254" s="116">
        <v>756.30310019422404</v>
      </c>
      <c r="D1254" s="116">
        <v>753.33137877892295</v>
      </c>
      <c r="E1254" s="116">
        <v>761.94937088329698</v>
      </c>
      <c r="F1254" s="116">
        <v>1527</v>
      </c>
      <c r="G1254">
        <v>196625</v>
      </c>
      <c r="H1254" s="116"/>
      <c r="I1254" s="116"/>
      <c r="L1254" s="170">
        <v>43853</v>
      </c>
      <c r="M1254" s="116">
        <v>756.25619797828301</v>
      </c>
      <c r="N1254" s="116">
        <v>763.735301092192</v>
      </c>
      <c r="O1254" s="116">
        <v>753.21007320010096</v>
      </c>
      <c r="P1254" s="116">
        <v>761.03588970339695</v>
      </c>
      <c r="Q1254" s="116">
        <v>1526.85</v>
      </c>
      <c r="R1254">
        <v>5142088</v>
      </c>
    </row>
    <row r="1255" spans="1:18" x14ac:dyDescent="0.25">
      <c r="A1255" s="170">
        <v>43854</v>
      </c>
      <c r="B1255" s="116">
        <v>760.98356142332398</v>
      </c>
      <c r="C1255" s="116">
        <v>753.67807961070798</v>
      </c>
      <c r="D1255" s="116">
        <v>752.16745455793</v>
      </c>
      <c r="E1255" s="116">
        <v>756.79838709677404</v>
      </c>
      <c r="F1255" s="116">
        <v>1521.7</v>
      </c>
      <c r="G1255">
        <v>320326</v>
      </c>
      <c r="H1255" s="116"/>
      <c r="I1255" s="116"/>
      <c r="L1255" s="170">
        <v>43854</v>
      </c>
      <c r="M1255" s="116">
        <v>753.63108231578497</v>
      </c>
      <c r="N1255" s="116">
        <v>760.96159397710005</v>
      </c>
      <c r="O1255" s="116">
        <v>752.14516778984296</v>
      </c>
      <c r="P1255" s="116">
        <v>756.33049370458002</v>
      </c>
      <c r="Q1255" s="116">
        <v>1521.55</v>
      </c>
      <c r="R1255">
        <v>6687633</v>
      </c>
    </row>
    <row r="1256" spans="1:18" x14ac:dyDescent="0.25">
      <c r="A1256" s="170">
        <v>43857</v>
      </c>
      <c r="B1256" s="116">
        <v>754.99058990246601</v>
      </c>
      <c r="C1256" s="116">
        <v>746.19924738219902</v>
      </c>
      <c r="D1256" s="116">
        <v>745.40678833811899</v>
      </c>
      <c r="E1256" s="116">
        <v>750.38442170874896</v>
      </c>
      <c r="F1256" s="116">
        <v>1506.6</v>
      </c>
      <c r="G1256">
        <v>190617</v>
      </c>
      <c r="H1256" s="116"/>
      <c r="I1256" s="116"/>
      <c r="L1256" s="170">
        <v>43857</v>
      </c>
      <c r="M1256" s="116">
        <v>746.20150968607402</v>
      </c>
      <c r="N1256" s="116">
        <v>755.06746635752904</v>
      </c>
      <c r="O1256" s="116">
        <v>745.43378718100405</v>
      </c>
      <c r="P1256" s="116">
        <v>750.33730511661304</v>
      </c>
      <c r="Q1256" s="116">
        <v>1506.55</v>
      </c>
      <c r="R1256">
        <v>6120429</v>
      </c>
    </row>
    <row r="1257" spans="1:18" x14ac:dyDescent="0.25">
      <c r="A1257" s="170">
        <v>43858</v>
      </c>
      <c r="B1257" s="116">
        <v>748.10610195701702</v>
      </c>
      <c r="C1257" s="116">
        <v>728.74038406730301</v>
      </c>
      <c r="D1257" s="116">
        <v>725.19908271406905</v>
      </c>
      <c r="E1257" s="116">
        <v>746.42212648834698</v>
      </c>
      <c r="F1257" s="116">
        <v>1471.35</v>
      </c>
      <c r="G1257">
        <v>379788</v>
      </c>
      <c r="H1257" s="116"/>
      <c r="I1257" s="116"/>
      <c r="L1257" s="170">
        <v>43858</v>
      </c>
      <c r="M1257" s="116">
        <v>728.96490118514498</v>
      </c>
      <c r="N1257" s="116">
        <v>747.91031139090796</v>
      </c>
      <c r="O1257" s="116">
        <v>724.92816672300103</v>
      </c>
      <c r="P1257" s="116">
        <v>747.216884612135</v>
      </c>
      <c r="Q1257" s="116">
        <v>1471.75</v>
      </c>
      <c r="R1257">
        <v>11215313</v>
      </c>
    </row>
    <row r="1258" spans="1:18" x14ac:dyDescent="0.25">
      <c r="A1258" s="170">
        <v>43859</v>
      </c>
      <c r="B1258" s="116">
        <v>740.18151151621396</v>
      </c>
      <c r="C1258" s="116">
        <v>732.87602970359796</v>
      </c>
      <c r="D1258" s="116">
        <v>725.59531223610895</v>
      </c>
      <c r="E1258" s="116">
        <v>731.04346816416103</v>
      </c>
      <c r="F1258" s="116">
        <v>1479.7</v>
      </c>
      <c r="G1258">
        <v>358385</v>
      </c>
      <c r="H1258" s="116"/>
      <c r="I1258" s="116"/>
      <c r="L1258" s="170">
        <v>43859</v>
      </c>
      <c r="M1258" s="116">
        <v>732.97687040518804</v>
      </c>
      <c r="N1258" s="116">
        <v>740.18355585600796</v>
      </c>
      <c r="O1258" s="116">
        <v>725.15105390189296</v>
      </c>
      <c r="P1258" s="116">
        <v>730.1041023217</v>
      </c>
      <c r="Q1258" s="116">
        <v>1479.85</v>
      </c>
      <c r="R1258">
        <v>11313297</v>
      </c>
    </row>
    <row r="1259" spans="1:18" x14ac:dyDescent="0.25">
      <c r="A1259" s="170">
        <v>43860</v>
      </c>
      <c r="B1259" s="116">
        <v>734.98099903943603</v>
      </c>
      <c r="C1259" s="116">
        <v>714.45135692872805</v>
      </c>
      <c r="D1259" s="116">
        <v>713.21313967235301</v>
      </c>
      <c r="E1259" s="116">
        <v>734.98099903943603</v>
      </c>
      <c r="F1259" s="116">
        <v>1442.5</v>
      </c>
      <c r="G1259">
        <v>297588</v>
      </c>
      <c r="H1259" s="116"/>
      <c r="I1259" s="116"/>
      <c r="L1259" s="170">
        <v>43860</v>
      </c>
      <c r="M1259" s="116">
        <v>715.09636560968397</v>
      </c>
      <c r="N1259" s="116">
        <v>732.90257467889103</v>
      </c>
      <c r="O1259" s="116">
        <v>713.23897245225601</v>
      </c>
      <c r="P1259" s="116">
        <v>732.55586128950495</v>
      </c>
      <c r="Q1259" s="116">
        <v>1443.75</v>
      </c>
      <c r="R1259">
        <v>10241756</v>
      </c>
    </row>
    <row r="1260" spans="1:18" x14ac:dyDescent="0.25">
      <c r="A1260" s="170">
        <v>43861</v>
      </c>
      <c r="B1260" s="116">
        <v>720.27097803369395</v>
      </c>
      <c r="C1260" s="116">
        <v>699.19652033018099</v>
      </c>
      <c r="D1260" s="116">
        <v>697.09155099434201</v>
      </c>
      <c r="E1260" s="116">
        <v>718.66129560040497</v>
      </c>
      <c r="F1260" s="116">
        <v>1411.7</v>
      </c>
      <c r="G1260">
        <v>489214</v>
      </c>
      <c r="H1260" s="116"/>
      <c r="I1260" s="116"/>
      <c r="L1260" s="170">
        <v>43861</v>
      </c>
      <c r="M1260" s="116">
        <v>699.19708018210201</v>
      </c>
      <c r="N1260" s="116">
        <v>719.80176160850101</v>
      </c>
      <c r="O1260" s="116">
        <v>696.99297363528797</v>
      </c>
      <c r="P1260" s="116">
        <v>719.67793539800596</v>
      </c>
      <c r="Q1260" s="116">
        <v>1411.65</v>
      </c>
      <c r="R1260">
        <v>15886673</v>
      </c>
    </row>
    <row r="1261" spans="1:18" x14ac:dyDescent="0.25">
      <c r="A1261" s="170">
        <v>43862</v>
      </c>
      <c r="B1261" s="116">
        <v>706.77440993920004</v>
      </c>
      <c r="C1261" s="116">
        <v>685.13037229775398</v>
      </c>
      <c r="D1261" s="116">
        <v>679.08787208664103</v>
      </c>
      <c r="E1261" s="116">
        <v>696.84390754306696</v>
      </c>
      <c r="F1261" s="116">
        <v>1383.3</v>
      </c>
      <c r="G1261">
        <v>551047</v>
      </c>
      <c r="H1261" s="116"/>
      <c r="I1261" s="116"/>
      <c r="L1261" s="170">
        <v>43862</v>
      </c>
      <c r="M1261" s="116">
        <v>685.17995315404801</v>
      </c>
      <c r="N1261" s="116">
        <v>706.775244264408</v>
      </c>
      <c r="O1261" s="116">
        <v>679.11246883978401</v>
      </c>
      <c r="P1261" s="116">
        <v>696.05189443552501</v>
      </c>
      <c r="Q1261" s="116">
        <v>1383.35</v>
      </c>
      <c r="R1261">
        <v>11022901</v>
      </c>
    </row>
    <row r="1262" spans="1:18" x14ac:dyDescent="0.25">
      <c r="A1262" s="170">
        <v>43864</v>
      </c>
      <c r="B1262" s="116">
        <v>692.90637666779298</v>
      </c>
      <c r="C1262" s="116">
        <v>686.39335389925702</v>
      </c>
      <c r="D1262" s="116">
        <v>675.323691627259</v>
      </c>
      <c r="E1262" s="116">
        <v>679.53363029893603</v>
      </c>
      <c r="F1262" s="116">
        <v>1385.85</v>
      </c>
      <c r="G1262">
        <v>471210</v>
      </c>
      <c r="H1262" s="116"/>
      <c r="I1262" s="116"/>
      <c r="L1262" s="170">
        <v>43864</v>
      </c>
      <c r="M1262" s="116">
        <v>686.24485856430601</v>
      </c>
      <c r="N1262" s="116">
        <v>693.402013530928</v>
      </c>
      <c r="O1262" s="116">
        <v>675.12526486183901</v>
      </c>
      <c r="P1262" s="116">
        <v>678.51810302940703</v>
      </c>
      <c r="Q1262" s="116">
        <v>1385.5</v>
      </c>
      <c r="R1262">
        <v>14040626</v>
      </c>
    </row>
    <row r="1263" spans="1:18" x14ac:dyDescent="0.25">
      <c r="A1263" s="170">
        <v>43865</v>
      </c>
      <c r="B1263" s="116">
        <v>709.17655141656803</v>
      </c>
      <c r="C1263" s="116">
        <v>706.20483000126706</v>
      </c>
      <c r="D1263" s="116">
        <v>692.36156107498698</v>
      </c>
      <c r="E1263" s="116">
        <v>692.41108976524197</v>
      </c>
      <c r="F1263" s="116">
        <v>1425.85</v>
      </c>
      <c r="G1263">
        <v>763029</v>
      </c>
      <c r="H1263" s="116"/>
      <c r="I1263" s="116"/>
      <c r="L1263" s="170">
        <v>43865</v>
      </c>
      <c r="M1263" s="116">
        <v>706.50282660131802</v>
      </c>
      <c r="N1263" s="116">
        <v>709.52418613740099</v>
      </c>
      <c r="O1263" s="116">
        <v>692.33710812066897</v>
      </c>
      <c r="P1263" s="116">
        <v>693.42677877302697</v>
      </c>
      <c r="Q1263" s="116">
        <v>1426.4</v>
      </c>
      <c r="R1263">
        <v>11604666</v>
      </c>
    </row>
    <row r="1264" spans="1:18" x14ac:dyDescent="0.25">
      <c r="A1264" s="170">
        <v>43866</v>
      </c>
      <c r="B1264" s="116">
        <v>719.30516857372095</v>
      </c>
      <c r="C1264" s="116">
        <v>717.20019923788198</v>
      </c>
      <c r="D1264" s="116">
        <v>708.35932802735999</v>
      </c>
      <c r="E1264" s="116">
        <v>710.24141825705101</v>
      </c>
      <c r="F1264" s="116">
        <v>1448.05</v>
      </c>
      <c r="G1264">
        <v>393828</v>
      </c>
      <c r="H1264" s="116"/>
      <c r="I1264" s="116"/>
      <c r="L1264" s="170">
        <v>43866</v>
      </c>
      <c r="M1264" s="116">
        <v>717.44906360909204</v>
      </c>
      <c r="N1264" s="116">
        <v>719.57887442960998</v>
      </c>
      <c r="O1264" s="116">
        <v>708.43451548504299</v>
      </c>
      <c r="P1264" s="116">
        <v>710.71291775815496</v>
      </c>
      <c r="Q1264" s="116">
        <v>1448.5</v>
      </c>
      <c r="R1264">
        <v>8444823</v>
      </c>
    </row>
    <row r="1265" spans="1:18" x14ac:dyDescent="0.25">
      <c r="A1265" s="170">
        <v>43867</v>
      </c>
      <c r="B1265" s="116">
        <v>726.31347824480702</v>
      </c>
      <c r="C1265" s="116">
        <v>721.95495350236502</v>
      </c>
      <c r="D1265" s="116">
        <v>713.31219705286298</v>
      </c>
      <c r="E1265" s="116">
        <v>719.65186940550598</v>
      </c>
      <c r="F1265" s="116">
        <v>1457.65</v>
      </c>
      <c r="G1265">
        <v>337256</v>
      </c>
      <c r="H1265" s="116"/>
      <c r="I1265" s="116"/>
      <c r="L1265" s="170">
        <v>43867</v>
      </c>
      <c r="M1265" s="116">
        <v>722.05539863951299</v>
      </c>
      <c r="N1265" s="116">
        <v>726.61220318573601</v>
      </c>
      <c r="O1265" s="116">
        <v>713.28850293645405</v>
      </c>
      <c r="P1265" s="116">
        <v>720.22277072418501</v>
      </c>
      <c r="Q1265" s="116">
        <v>1457.8</v>
      </c>
      <c r="R1265">
        <v>7103715</v>
      </c>
    </row>
    <row r="1266" spans="1:18" x14ac:dyDescent="0.25">
      <c r="A1266" s="170">
        <v>43868</v>
      </c>
      <c r="B1266" s="116">
        <v>719.552812024996</v>
      </c>
      <c r="C1266" s="116">
        <v>710.11759653141405</v>
      </c>
      <c r="D1266" s="116">
        <v>707.51734029302497</v>
      </c>
      <c r="E1266" s="116">
        <v>719.552812024996</v>
      </c>
      <c r="F1266" s="116">
        <v>1433.75</v>
      </c>
      <c r="G1266">
        <v>195994</v>
      </c>
      <c r="H1266" s="116"/>
      <c r="I1266" s="116"/>
      <c r="L1266" s="170">
        <v>43868</v>
      </c>
      <c r="M1266" s="116">
        <v>710.09378670567901</v>
      </c>
      <c r="N1266" s="116">
        <v>719.35598725071804</v>
      </c>
      <c r="O1266" s="116">
        <v>707.443905801082</v>
      </c>
      <c r="P1266" s="116">
        <v>718.68732571404405</v>
      </c>
      <c r="Q1266" s="116">
        <v>1433.65</v>
      </c>
      <c r="R1266">
        <v>5581641</v>
      </c>
    </row>
    <row r="1267" spans="1:18" x14ac:dyDescent="0.25">
      <c r="A1267" s="170">
        <v>43871</v>
      </c>
      <c r="B1267" s="116">
        <v>715.98674632663403</v>
      </c>
      <c r="C1267" s="116">
        <v>711.60345723906403</v>
      </c>
      <c r="D1267" s="116">
        <v>698.87458384352306</v>
      </c>
      <c r="E1267" s="116">
        <v>708.26027064685002</v>
      </c>
      <c r="F1267" s="116">
        <v>1436.75</v>
      </c>
      <c r="G1267">
        <v>218657</v>
      </c>
      <c r="H1267" s="116"/>
      <c r="I1267" s="116"/>
      <c r="L1267" s="170">
        <v>43871</v>
      </c>
      <c r="M1267" s="116">
        <v>711.05963114754104</v>
      </c>
      <c r="N1267" s="116">
        <v>715.96314908315003</v>
      </c>
      <c r="O1267" s="116">
        <v>698.60271437172605</v>
      </c>
      <c r="P1267" s="116">
        <v>707.29531434848695</v>
      </c>
      <c r="Q1267" s="116">
        <v>1435.6</v>
      </c>
      <c r="R1267">
        <v>6922631</v>
      </c>
    </row>
    <row r="1268" spans="1:18" x14ac:dyDescent="0.25">
      <c r="A1268" s="170">
        <v>43872</v>
      </c>
      <c r="B1268" s="116">
        <v>725.917248722767</v>
      </c>
      <c r="C1268" s="116">
        <v>719.45375464448603</v>
      </c>
      <c r="D1268" s="116">
        <v>715.71433853023098</v>
      </c>
      <c r="E1268" s="116">
        <v>716.06103936201703</v>
      </c>
      <c r="F1268" s="116">
        <v>1452.6</v>
      </c>
      <c r="G1268">
        <v>350733</v>
      </c>
      <c r="H1268" s="116"/>
      <c r="I1268" s="116"/>
      <c r="L1268" s="170">
        <v>43872</v>
      </c>
      <c r="M1268" s="116">
        <v>719.55410918751102</v>
      </c>
      <c r="N1268" s="116">
        <v>726.21595931215097</v>
      </c>
      <c r="O1268" s="116">
        <v>715.740261904259</v>
      </c>
      <c r="P1268" s="116">
        <v>716.904228282914</v>
      </c>
      <c r="Q1268" s="116">
        <v>1452.75</v>
      </c>
      <c r="R1268">
        <v>6400245</v>
      </c>
    </row>
    <row r="1269" spans="1:18" x14ac:dyDescent="0.25">
      <c r="A1269" s="170">
        <v>43873</v>
      </c>
      <c r="B1269" s="116">
        <v>730.05289435906104</v>
      </c>
      <c r="C1269" s="116">
        <v>728.07174674886005</v>
      </c>
      <c r="D1269" s="116">
        <v>721.13773011315698</v>
      </c>
      <c r="E1269" s="116">
        <v>722.10353957312998</v>
      </c>
      <c r="F1269" s="116">
        <v>1470</v>
      </c>
      <c r="G1269">
        <v>286312</v>
      </c>
      <c r="H1269" s="116"/>
      <c r="I1269" s="116"/>
      <c r="L1269" s="170">
        <v>43873</v>
      </c>
      <c r="M1269" s="116">
        <v>728.24670916427203</v>
      </c>
      <c r="N1269" s="116">
        <v>730.50034619528503</v>
      </c>
      <c r="O1269" s="116">
        <v>720.66854508196695</v>
      </c>
      <c r="P1269" s="116">
        <v>721.23814565024497</v>
      </c>
      <c r="Q1269" s="116">
        <v>1470.3</v>
      </c>
      <c r="R1269">
        <v>6187091</v>
      </c>
    </row>
    <row r="1270" spans="1:18" x14ac:dyDescent="0.25">
      <c r="A1270" s="170">
        <v>43874</v>
      </c>
      <c r="B1270" s="116">
        <v>732.87602970359796</v>
      </c>
      <c r="C1270" s="116">
        <v>730.02813001393395</v>
      </c>
      <c r="D1270" s="116">
        <v>724.45615236024298</v>
      </c>
      <c r="E1270" s="116">
        <v>732.87602970359796</v>
      </c>
      <c r="F1270" s="116">
        <v>1473.95</v>
      </c>
      <c r="G1270">
        <v>1202598</v>
      </c>
      <c r="H1270" s="116"/>
      <c r="I1270" s="116"/>
      <c r="L1270" s="170">
        <v>43874</v>
      </c>
      <c r="M1270" s="116">
        <v>730.15363280589804</v>
      </c>
      <c r="N1270" s="116">
        <v>731.936730237029</v>
      </c>
      <c r="O1270" s="116">
        <v>724.43286188102104</v>
      </c>
      <c r="P1270" s="116">
        <v>731.936730237029</v>
      </c>
      <c r="Q1270" s="116">
        <v>1474.15</v>
      </c>
      <c r="R1270">
        <v>6201763</v>
      </c>
    </row>
    <row r="1271" spans="1:18" x14ac:dyDescent="0.25">
      <c r="A1271" s="170">
        <v>43875</v>
      </c>
      <c r="B1271" s="116">
        <v>743.42564072791799</v>
      </c>
      <c r="C1271" s="116">
        <v>736.31827367632195</v>
      </c>
      <c r="D1271" s="116">
        <v>719.80045547627105</v>
      </c>
      <c r="E1271" s="116">
        <v>731.95974893387995</v>
      </c>
      <c r="F1271" s="116">
        <v>1486.65</v>
      </c>
      <c r="G1271">
        <v>714475</v>
      </c>
      <c r="H1271" s="116"/>
      <c r="I1271" s="116"/>
      <c r="L1271" s="170">
        <v>43875</v>
      </c>
      <c r="M1271" s="116">
        <v>736.81548293053902</v>
      </c>
      <c r="N1271" s="116">
        <v>743.67545499197195</v>
      </c>
      <c r="O1271" s="116">
        <v>719.727465882204</v>
      </c>
      <c r="P1271" s="116">
        <v>731.689077816039</v>
      </c>
      <c r="Q1271" s="116">
        <v>1487.6</v>
      </c>
      <c r="R1271">
        <v>9704655</v>
      </c>
    </row>
    <row r="1272" spans="1:18" x14ac:dyDescent="0.25">
      <c r="A1272" s="170">
        <v>43878</v>
      </c>
      <c r="B1272" s="116">
        <v>745.90207524066898</v>
      </c>
      <c r="C1272" s="116">
        <v>732.23215673028199</v>
      </c>
      <c r="D1272" s="116">
        <v>730.37483084571898</v>
      </c>
      <c r="E1272" s="116">
        <v>737.97748479986501</v>
      </c>
      <c r="F1272" s="116">
        <v>1478.4</v>
      </c>
      <c r="G1272">
        <v>517807</v>
      </c>
      <c r="H1272" s="116"/>
      <c r="I1272" s="116"/>
      <c r="L1272" s="170">
        <v>43878</v>
      </c>
      <c r="M1272" s="116">
        <v>732.18438265801899</v>
      </c>
      <c r="N1272" s="116">
        <v>746.00338774928196</v>
      </c>
      <c r="O1272" s="116">
        <v>730.22792853219505</v>
      </c>
      <c r="P1272" s="116">
        <v>737.50890970931198</v>
      </c>
      <c r="Q1272" s="116">
        <v>1478.25</v>
      </c>
      <c r="R1272">
        <v>6011340</v>
      </c>
    </row>
    <row r="1273" spans="1:18" x14ac:dyDescent="0.25">
      <c r="A1273" s="170">
        <v>43879</v>
      </c>
      <c r="B1273" s="116">
        <v>732.52932887181203</v>
      </c>
      <c r="C1273" s="116">
        <v>726.14012782891405</v>
      </c>
      <c r="D1273" s="116">
        <v>722.12830391825696</v>
      </c>
      <c r="E1273" s="116">
        <v>732.52932887181203</v>
      </c>
      <c r="F1273" s="116">
        <v>1466.1</v>
      </c>
      <c r="G1273">
        <v>370782</v>
      </c>
      <c r="H1273" s="116"/>
      <c r="I1273" s="116"/>
      <c r="L1273" s="170">
        <v>43879</v>
      </c>
      <c r="M1273" s="116">
        <v>726.81032512252796</v>
      </c>
      <c r="N1273" s="116">
        <v>731.02041627936501</v>
      </c>
      <c r="O1273" s="116">
        <v>721.85727670272104</v>
      </c>
      <c r="P1273" s="116">
        <v>731.02041627936501</v>
      </c>
      <c r="Q1273" s="116">
        <v>1467.4</v>
      </c>
      <c r="R1273">
        <v>5086964</v>
      </c>
    </row>
    <row r="1274" spans="1:18" x14ac:dyDescent="0.25">
      <c r="A1274" s="170">
        <v>43880</v>
      </c>
      <c r="B1274" s="116">
        <v>746.14971869194403</v>
      </c>
      <c r="C1274" s="116">
        <v>745.01055881607897</v>
      </c>
      <c r="D1274" s="116">
        <v>730.82058905801398</v>
      </c>
      <c r="E1274" s="116">
        <v>730.82058905801398</v>
      </c>
      <c r="F1274" s="116">
        <v>1504.2</v>
      </c>
      <c r="G1274">
        <v>291146</v>
      </c>
      <c r="H1274" s="116"/>
      <c r="I1274" s="116"/>
      <c r="L1274" s="170">
        <v>43880</v>
      </c>
      <c r="M1274" s="116">
        <v>744.83942137062695</v>
      </c>
      <c r="N1274" s="116">
        <v>746.15197920187597</v>
      </c>
      <c r="O1274" s="116">
        <v>730.62417240577997</v>
      </c>
      <c r="P1274" s="116">
        <v>732.72921798419804</v>
      </c>
      <c r="Q1274" s="116">
        <v>1503.8</v>
      </c>
      <c r="R1274">
        <v>6438918</v>
      </c>
    </row>
    <row r="1275" spans="1:18" x14ac:dyDescent="0.25">
      <c r="A1275" s="170">
        <v>43881</v>
      </c>
      <c r="B1275" s="116">
        <v>746.86788470064198</v>
      </c>
      <c r="C1275" s="116">
        <v>735.74869373838897</v>
      </c>
      <c r="D1275" s="116">
        <v>734.73335558816098</v>
      </c>
      <c r="E1275" s="116">
        <v>742.28648085205202</v>
      </c>
      <c r="F1275" s="116">
        <v>1485.5</v>
      </c>
      <c r="G1275">
        <v>1511993</v>
      </c>
      <c r="H1275" s="116"/>
      <c r="I1275" s="116"/>
      <c r="L1275" s="170">
        <v>43881</v>
      </c>
      <c r="M1275" s="116">
        <v>735.99822994127101</v>
      </c>
      <c r="N1275" s="116">
        <v>746.91970170694594</v>
      </c>
      <c r="O1275" s="116">
        <v>734.93332453101198</v>
      </c>
      <c r="P1275" s="116">
        <v>741.47134844515801</v>
      </c>
      <c r="Q1275" s="116">
        <v>1485.95</v>
      </c>
      <c r="R1275">
        <v>7722577</v>
      </c>
    </row>
    <row r="1276" spans="1:18" x14ac:dyDescent="0.25">
      <c r="A1276" s="170">
        <v>43885</v>
      </c>
      <c r="B1276" s="116">
        <v>731.53875506671204</v>
      </c>
      <c r="C1276" s="116">
        <v>715.615281149721</v>
      </c>
      <c r="D1276" s="116">
        <v>713.01502491133294</v>
      </c>
      <c r="E1276" s="116">
        <v>731.53875506671204</v>
      </c>
      <c r="F1276" s="116">
        <v>1444.85</v>
      </c>
      <c r="G1276">
        <v>400408</v>
      </c>
      <c r="H1276" s="116"/>
      <c r="I1276" s="116"/>
      <c r="L1276" s="170">
        <v>43885</v>
      </c>
      <c r="M1276" s="116">
        <v>715.69073142006096</v>
      </c>
      <c r="N1276" s="116">
        <v>731.56525160554304</v>
      </c>
      <c r="O1276" s="116">
        <v>713.01608527336498</v>
      </c>
      <c r="P1276" s="116">
        <v>727.97429150118296</v>
      </c>
      <c r="Q1276" s="116">
        <v>1444.95</v>
      </c>
      <c r="R1276">
        <v>9769743</v>
      </c>
    </row>
    <row r="1277" spans="1:18" x14ac:dyDescent="0.25">
      <c r="A1277" s="170">
        <v>43886</v>
      </c>
      <c r="B1277" s="116">
        <v>718.85941036142594</v>
      </c>
      <c r="C1277" s="116">
        <v>701.47484008191202</v>
      </c>
      <c r="D1277" s="116">
        <v>698.35453259584494</v>
      </c>
      <c r="E1277" s="116">
        <v>718.16600869785498</v>
      </c>
      <c r="F1277" s="116">
        <v>1416.3</v>
      </c>
      <c r="G1277">
        <v>308343</v>
      </c>
      <c r="H1277" s="116"/>
      <c r="I1277" s="116"/>
      <c r="L1277" s="170">
        <v>43886</v>
      </c>
      <c r="M1277" s="116">
        <v>701.54977818151099</v>
      </c>
      <c r="N1277" s="116">
        <v>718.88544765083702</v>
      </c>
      <c r="O1277" s="116">
        <v>698.379827192834</v>
      </c>
      <c r="P1277" s="116">
        <v>718.88544765083702</v>
      </c>
      <c r="Q1277" s="116">
        <v>1416.4</v>
      </c>
      <c r="R1277">
        <v>12684109</v>
      </c>
    </row>
    <row r="1278" spans="1:18" x14ac:dyDescent="0.25">
      <c r="A1278" s="170">
        <v>43887</v>
      </c>
      <c r="B1278" s="116">
        <v>700.83096710859695</v>
      </c>
      <c r="C1278" s="116">
        <v>689.14219620841095</v>
      </c>
      <c r="D1278" s="116">
        <v>687.08675556282697</v>
      </c>
      <c r="E1278" s="116">
        <v>699.39463509120105</v>
      </c>
      <c r="F1278" s="116">
        <v>1391.4</v>
      </c>
      <c r="G1278">
        <v>268292</v>
      </c>
      <c r="H1278" s="116"/>
      <c r="I1278" s="116"/>
      <c r="L1278" s="170">
        <v>43887</v>
      </c>
      <c r="M1278" s="116">
        <v>689.46434003718105</v>
      </c>
      <c r="N1278" s="116">
        <v>699.543793571489</v>
      </c>
      <c r="O1278" s="116">
        <v>687.16117252197103</v>
      </c>
      <c r="P1278" s="116">
        <v>698.379827192834</v>
      </c>
      <c r="Q1278" s="116">
        <v>1392</v>
      </c>
      <c r="R1278">
        <v>13423661</v>
      </c>
    </row>
    <row r="1279" spans="1:18" x14ac:dyDescent="0.25">
      <c r="A1279" s="170">
        <v>43888</v>
      </c>
      <c r="B1279" s="116">
        <v>690.40517780991399</v>
      </c>
      <c r="C1279" s="116">
        <v>686.36858955412902</v>
      </c>
      <c r="D1279" s="116">
        <v>678.34494173281496</v>
      </c>
      <c r="E1279" s="116">
        <v>688.44879454483998</v>
      </c>
      <c r="F1279" s="116">
        <v>1385.8</v>
      </c>
      <c r="G1279">
        <v>346398</v>
      </c>
      <c r="H1279" s="116"/>
      <c r="I1279" s="116"/>
      <c r="L1279" s="170">
        <v>43888</v>
      </c>
      <c r="M1279" s="116">
        <v>686.61633719579197</v>
      </c>
      <c r="N1279" s="116">
        <v>690.35588875274595</v>
      </c>
      <c r="O1279" s="116">
        <v>678.07232867162395</v>
      </c>
      <c r="P1279" s="116">
        <v>687.48312066925803</v>
      </c>
      <c r="Q1279" s="116">
        <v>1386.25</v>
      </c>
      <c r="R1279">
        <v>11454300</v>
      </c>
    </row>
    <row r="1280" spans="1:18" x14ac:dyDescent="0.25">
      <c r="A1280" s="170">
        <v>43889</v>
      </c>
      <c r="B1280" s="116">
        <v>672.99584318527297</v>
      </c>
      <c r="C1280" s="116">
        <v>658.06294307338305</v>
      </c>
      <c r="D1280" s="116">
        <v>656.25514587907503</v>
      </c>
      <c r="E1280" s="116">
        <v>672.99584318527297</v>
      </c>
      <c r="F1280" s="116">
        <v>1328.65</v>
      </c>
      <c r="G1280">
        <v>391034</v>
      </c>
      <c r="H1280" s="116"/>
      <c r="I1280" s="116"/>
      <c r="L1280" s="170">
        <v>43889</v>
      </c>
      <c r="M1280" s="116">
        <v>658.08677829770204</v>
      </c>
      <c r="N1280" s="116">
        <v>672.12867056785501</v>
      </c>
      <c r="O1280" s="116">
        <v>656.27891562447201</v>
      </c>
      <c r="P1280" s="116">
        <v>671.08853039969597</v>
      </c>
      <c r="Q1280" s="116">
        <v>1328.65</v>
      </c>
      <c r="R1280">
        <v>17973847</v>
      </c>
    </row>
    <row r="1281" spans="1:18" x14ac:dyDescent="0.25">
      <c r="A1281" s="170">
        <v>43892</v>
      </c>
      <c r="B1281" s="116">
        <v>677.92394786564796</v>
      </c>
      <c r="C1281" s="116">
        <v>651.22798381818995</v>
      </c>
      <c r="D1281" s="116">
        <v>645.606477474244</v>
      </c>
      <c r="E1281" s="116">
        <v>672.79772842425302</v>
      </c>
      <c r="F1281" s="116">
        <v>1314.85</v>
      </c>
      <c r="G1281">
        <v>356961</v>
      </c>
      <c r="H1281" s="116"/>
      <c r="I1281" s="116"/>
      <c r="L1281" s="170">
        <v>43892</v>
      </c>
      <c r="M1281" s="116">
        <v>651.89546777294197</v>
      </c>
      <c r="N1281" s="116">
        <v>678.07232867162395</v>
      </c>
      <c r="O1281" s="116">
        <v>644.44112990113194</v>
      </c>
      <c r="P1281" s="116">
        <v>671.18759136809194</v>
      </c>
      <c r="Q1281" s="116">
        <v>1316.15</v>
      </c>
      <c r="R1281">
        <v>13486634</v>
      </c>
    </row>
    <row r="1282" spans="1:18" x14ac:dyDescent="0.25">
      <c r="A1282" s="170">
        <v>43893</v>
      </c>
      <c r="B1282" s="116">
        <v>670.29652956637403</v>
      </c>
      <c r="C1282" s="116">
        <v>665.49224661163703</v>
      </c>
      <c r="D1282" s="116">
        <v>654.67022779091405</v>
      </c>
      <c r="E1282" s="116">
        <v>658.73158039182601</v>
      </c>
      <c r="F1282" s="116">
        <v>1343.65</v>
      </c>
      <c r="G1282">
        <v>451859</v>
      </c>
      <c r="H1282" s="116"/>
      <c r="I1282" s="116"/>
      <c r="L1282" s="170">
        <v>43893</v>
      </c>
      <c r="M1282" s="116">
        <v>665.12010705382795</v>
      </c>
      <c r="N1282" s="116">
        <v>670.59322555771496</v>
      </c>
      <c r="O1282" s="116">
        <v>654.79300109853</v>
      </c>
      <c r="P1282" s="116">
        <v>658.60684838178099</v>
      </c>
      <c r="Q1282" s="116">
        <v>1342.85</v>
      </c>
      <c r="R1282">
        <v>12525809</v>
      </c>
    </row>
    <row r="1283" spans="1:18" x14ac:dyDescent="0.25">
      <c r="A1283" s="170">
        <v>43894</v>
      </c>
      <c r="B1283" s="116">
        <v>670.12317915048095</v>
      </c>
      <c r="C1283" s="116">
        <v>663.26345555016098</v>
      </c>
      <c r="D1283" s="116">
        <v>647.88479722597503</v>
      </c>
      <c r="E1283" s="116">
        <v>668.76114016846805</v>
      </c>
      <c r="F1283" s="116">
        <v>1339.15</v>
      </c>
      <c r="G1283">
        <v>1691316</v>
      </c>
      <c r="H1283" s="116"/>
      <c r="I1283" s="116"/>
      <c r="L1283" s="170">
        <v>43894</v>
      </c>
      <c r="M1283" s="116">
        <v>663.55989680158905</v>
      </c>
      <c r="N1283" s="116">
        <v>670.54369507351703</v>
      </c>
      <c r="O1283" s="116">
        <v>647.80920282660099</v>
      </c>
      <c r="P1283" s="116">
        <v>669.65214635795201</v>
      </c>
      <c r="Q1283" s="116">
        <v>1339.7</v>
      </c>
      <c r="R1283">
        <v>10105782</v>
      </c>
    </row>
    <row r="1284" spans="1:18" x14ac:dyDescent="0.25">
      <c r="A1284" s="170">
        <v>43895</v>
      </c>
      <c r="B1284" s="116">
        <v>672.77296407912502</v>
      </c>
      <c r="C1284" s="116">
        <v>649.56877269464599</v>
      </c>
      <c r="D1284" s="116">
        <v>646.84469473061995</v>
      </c>
      <c r="E1284" s="116">
        <v>668.63731844283097</v>
      </c>
      <c r="F1284" s="116">
        <v>1311.5</v>
      </c>
      <c r="G1284">
        <v>424590</v>
      </c>
      <c r="H1284" s="116"/>
      <c r="I1284" s="116"/>
      <c r="L1284" s="170">
        <v>43895</v>
      </c>
      <c r="M1284" s="116">
        <v>649.41894356303897</v>
      </c>
      <c r="N1284" s="116">
        <v>672.59921016773706</v>
      </c>
      <c r="O1284" s="116">
        <v>646.86812362683804</v>
      </c>
      <c r="P1284" s="116">
        <v>669.75120732634798</v>
      </c>
      <c r="Q1284" s="116">
        <v>1311.15</v>
      </c>
      <c r="R1284">
        <v>13948324</v>
      </c>
    </row>
    <row r="1285" spans="1:18" x14ac:dyDescent="0.25">
      <c r="A1285" s="170">
        <v>43896</v>
      </c>
      <c r="B1285" s="116">
        <v>638.10288090060806</v>
      </c>
      <c r="C1285" s="116">
        <v>629.03913058393903</v>
      </c>
      <c r="D1285" s="116">
        <v>614.94821820638401</v>
      </c>
      <c r="E1285" s="116">
        <v>631.98608765411302</v>
      </c>
      <c r="F1285" s="116">
        <v>1270.05</v>
      </c>
      <c r="G1285">
        <v>2582956</v>
      </c>
      <c r="H1285" s="116"/>
      <c r="I1285" s="116"/>
      <c r="L1285" s="170">
        <v>43896</v>
      </c>
      <c r="M1285" s="116">
        <v>629.53245415751201</v>
      </c>
      <c r="N1285" s="116">
        <v>638.02693219748198</v>
      </c>
      <c r="O1285" s="116">
        <v>614.72283938228804</v>
      </c>
      <c r="P1285" s="116">
        <v>629.03714931553202</v>
      </c>
      <c r="Q1285" s="116">
        <v>1271</v>
      </c>
      <c r="R1285">
        <v>15422068</v>
      </c>
    </row>
    <row r="1286" spans="1:18" x14ac:dyDescent="0.25">
      <c r="A1286" s="170">
        <v>43899</v>
      </c>
      <c r="B1286" s="116">
        <v>616.63219367505496</v>
      </c>
      <c r="C1286" s="116">
        <v>551.328615573805</v>
      </c>
      <c r="D1286" s="116">
        <v>542.31439394739095</v>
      </c>
      <c r="E1286" s="116">
        <v>616.63219367505496</v>
      </c>
      <c r="F1286" s="116">
        <v>1113.1500000000001</v>
      </c>
      <c r="G1286">
        <v>1678154</v>
      </c>
      <c r="H1286" s="116"/>
      <c r="I1286" s="116"/>
      <c r="L1286" s="170">
        <v>43899</v>
      </c>
      <c r="M1286" s="116">
        <v>551.84388969283395</v>
      </c>
      <c r="N1286" s="116">
        <v>614.67330889809</v>
      </c>
      <c r="O1286" s="116">
        <v>542.35880196890298</v>
      </c>
      <c r="P1286" s="116">
        <v>614.20276929820898</v>
      </c>
      <c r="Q1286" s="116">
        <v>1114.1500000000001</v>
      </c>
      <c r="R1286">
        <v>40317808</v>
      </c>
    </row>
    <row r="1287" spans="1:18" x14ac:dyDescent="0.25">
      <c r="A1287" s="170">
        <v>43901</v>
      </c>
      <c r="B1287" s="116">
        <v>583.64608596520895</v>
      </c>
      <c r="C1287" s="116">
        <v>571.18962036607002</v>
      </c>
      <c r="D1287" s="116">
        <v>549.76846183077203</v>
      </c>
      <c r="E1287" s="116">
        <v>551.328615573805</v>
      </c>
      <c r="F1287" s="116">
        <v>1153.25</v>
      </c>
      <c r="G1287">
        <v>6053529</v>
      </c>
      <c r="H1287" s="116"/>
      <c r="I1287" s="116"/>
      <c r="L1287" s="170">
        <v>43901</v>
      </c>
      <c r="M1287" s="116">
        <v>571.35890046687496</v>
      </c>
      <c r="N1287" s="116">
        <v>583.69199103219501</v>
      </c>
      <c r="O1287" s="116">
        <v>548.79776491465304</v>
      </c>
      <c r="P1287" s="116">
        <v>548.79776491465304</v>
      </c>
      <c r="Q1287" s="116">
        <v>1153.55</v>
      </c>
      <c r="R1287">
        <v>27237627</v>
      </c>
    </row>
    <row r="1288" spans="1:18" x14ac:dyDescent="0.25">
      <c r="A1288" s="170">
        <v>43902</v>
      </c>
      <c r="B1288" s="116">
        <v>545.16229363705497</v>
      </c>
      <c r="C1288" s="116">
        <v>525.79657574733994</v>
      </c>
      <c r="D1288" s="116">
        <v>519.80360422648198</v>
      </c>
      <c r="E1288" s="116">
        <v>538.37686307211595</v>
      </c>
      <c r="F1288" s="116">
        <v>1061.5999999999999</v>
      </c>
      <c r="G1288">
        <v>1042732</v>
      </c>
      <c r="H1288" s="116"/>
      <c r="I1288" s="116"/>
      <c r="L1288" s="170">
        <v>43902</v>
      </c>
      <c r="M1288" s="116">
        <v>526.50904702551998</v>
      </c>
      <c r="N1288" s="116">
        <v>545.33063102078802</v>
      </c>
      <c r="O1288" s="116">
        <v>519.426187785195</v>
      </c>
      <c r="P1288" s="116">
        <v>537.40575354909595</v>
      </c>
      <c r="Q1288" s="116">
        <v>1063</v>
      </c>
      <c r="R1288">
        <v>25588170</v>
      </c>
    </row>
    <row r="1289" spans="1:18" x14ac:dyDescent="0.25">
      <c r="A1289" s="170">
        <v>43903</v>
      </c>
      <c r="B1289" s="116">
        <v>564.57754021702397</v>
      </c>
      <c r="C1289" s="116">
        <v>548.23307243286604</v>
      </c>
      <c r="D1289" s="116">
        <v>465.49539536184801</v>
      </c>
      <c r="E1289" s="116">
        <v>497.76333706299602</v>
      </c>
      <c r="F1289" s="116">
        <v>1106.9000000000001</v>
      </c>
      <c r="G1289">
        <v>2170408</v>
      </c>
      <c r="H1289" s="116"/>
      <c r="I1289" s="116"/>
      <c r="L1289" s="170">
        <v>43903</v>
      </c>
      <c r="M1289" s="116">
        <v>547.46044184130506</v>
      </c>
      <c r="N1289" s="116">
        <v>564.64751985803605</v>
      </c>
      <c r="O1289" s="116">
        <v>466.775283082643</v>
      </c>
      <c r="P1289" s="116">
        <v>494.31423229677199</v>
      </c>
      <c r="Q1289" s="116">
        <v>1105.3</v>
      </c>
      <c r="R1289">
        <v>33509757</v>
      </c>
    </row>
    <row r="1290" spans="1:18" x14ac:dyDescent="0.25">
      <c r="A1290" s="170">
        <v>43906</v>
      </c>
      <c r="B1290" s="116">
        <v>534.73650433837201</v>
      </c>
      <c r="C1290" s="116">
        <v>502.84002781413602</v>
      </c>
      <c r="D1290" s="116">
        <v>498.03574485939902</v>
      </c>
      <c r="E1290" s="116">
        <v>527.80248770266905</v>
      </c>
      <c r="F1290" s="116">
        <v>1015.25</v>
      </c>
      <c r="G1290">
        <v>901150</v>
      </c>
      <c r="H1290" s="116"/>
      <c r="I1290" s="116"/>
      <c r="L1290" s="170">
        <v>43906</v>
      </c>
      <c r="M1290" s="116">
        <v>503.08112799983098</v>
      </c>
      <c r="N1290" s="116">
        <v>534.78063788659802</v>
      </c>
      <c r="O1290" s="116">
        <v>497.78136619063702</v>
      </c>
      <c r="P1290" s="116">
        <v>525.29555016266704</v>
      </c>
      <c r="Q1290" s="116">
        <v>1015.7</v>
      </c>
      <c r="R1290">
        <v>17594729</v>
      </c>
    </row>
    <row r="1291" spans="1:18" x14ac:dyDescent="0.25">
      <c r="A1291" s="170">
        <v>43907</v>
      </c>
      <c r="B1291" s="116">
        <v>524.50882980070901</v>
      </c>
      <c r="C1291" s="116">
        <v>499.69495598294202</v>
      </c>
      <c r="D1291" s="116">
        <v>497.26805016044602</v>
      </c>
      <c r="E1291" s="116">
        <v>515.69272293531503</v>
      </c>
      <c r="F1291" s="116">
        <v>1008.9</v>
      </c>
      <c r="G1291">
        <v>964776</v>
      </c>
      <c r="H1291" s="116"/>
      <c r="I1291" s="116"/>
      <c r="L1291" s="170">
        <v>43907</v>
      </c>
      <c r="M1291" s="116">
        <v>499.26728071657902</v>
      </c>
      <c r="N1291" s="116">
        <v>525.02313249957797</v>
      </c>
      <c r="O1291" s="116">
        <v>496.88981747507199</v>
      </c>
      <c r="P1291" s="116">
        <v>518.70799576432296</v>
      </c>
      <c r="Q1291" s="116">
        <v>1008</v>
      </c>
      <c r="R1291">
        <v>20777442</v>
      </c>
    </row>
    <row r="1292" spans="1:18" x14ac:dyDescent="0.25">
      <c r="A1292" s="170">
        <v>43908</v>
      </c>
      <c r="B1292" s="116">
        <v>512.67147282975895</v>
      </c>
      <c r="C1292" s="116">
        <v>479.858715535805</v>
      </c>
      <c r="D1292" s="116">
        <v>476.06977073129502</v>
      </c>
      <c r="E1292" s="116">
        <v>506.67850130890099</v>
      </c>
      <c r="F1292" s="116">
        <v>968.85</v>
      </c>
      <c r="G1292">
        <v>1004674</v>
      </c>
      <c r="H1292" s="116"/>
      <c r="I1292" s="116"/>
      <c r="L1292" s="170">
        <v>43908</v>
      </c>
      <c r="M1292" s="116">
        <v>479.70273945833998</v>
      </c>
      <c r="N1292" s="116">
        <v>513.08628580784205</v>
      </c>
      <c r="O1292" s="116">
        <v>475.98795314348502</v>
      </c>
      <c r="P1292" s="116">
        <v>507.83605448284601</v>
      </c>
      <c r="Q1292" s="116">
        <v>968.5</v>
      </c>
      <c r="R1292">
        <v>20450497</v>
      </c>
    </row>
    <row r="1293" spans="1:18" x14ac:dyDescent="0.25">
      <c r="A1293" s="170">
        <v>43909</v>
      </c>
      <c r="B1293" s="116">
        <v>479.19007821736199</v>
      </c>
      <c r="C1293" s="116">
        <v>454.22761832882998</v>
      </c>
      <c r="D1293" s="116">
        <v>441.30063017226797</v>
      </c>
      <c r="E1293" s="116">
        <v>458.14038485897697</v>
      </c>
      <c r="F1293" s="116">
        <v>917.1</v>
      </c>
      <c r="G1293">
        <v>1566774</v>
      </c>
      <c r="H1293" s="116"/>
      <c r="I1293" s="116"/>
      <c r="L1293" s="170">
        <v>43909</v>
      </c>
      <c r="M1293" s="116">
        <v>454.54125348571898</v>
      </c>
      <c r="N1293" s="116">
        <v>478.95978219536897</v>
      </c>
      <c r="O1293" s="116">
        <v>441.91098001520999</v>
      </c>
      <c r="P1293" s="116">
        <v>455.72998510647301</v>
      </c>
      <c r="Q1293" s="116">
        <v>917.7</v>
      </c>
      <c r="R1293">
        <v>28072062</v>
      </c>
    </row>
    <row r="1294" spans="1:18" x14ac:dyDescent="0.25">
      <c r="A1294" s="170">
        <v>43910</v>
      </c>
      <c r="B1294" s="116">
        <v>511.97807116618799</v>
      </c>
      <c r="C1294" s="116">
        <v>505.29169798176002</v>
      </c>
      <c r="D1294" s="116">
        <v>460.641583716855</v>
      </c>
      <c r="E1294" s="116">
        <v>465.07440149467999</v>
      </c>
      <c r="F1294" s="116">
        <v>1020.2</v>
      </c>
      <c r="G1294">
        <v>1779377</v>
      </c>
      <c r="H1294" s="116"/>
      <c r="I1294" s="116"/>
      <c r="L1294" s="170">
        <v>43910</v>
      </c>
      <c r="M1294" s="116">
        <v>504.195563894288</v>
      </c>
      <c r="N1294" s="116">
        <v>512.59098096586104</v>
      </c>
      <c r="O1294" s="116">
        <v>460.633503042082</v>
      </c>
      <c r="P1294" s="116">
        <v>465.33889904089898</v>
      </c>
      <c r="Q1294" s="116">
        <v>1017.95</v>
      </c>
      <c r="R1294">
        <v>28967526</v>
      </c>
    </row>
    <row r="1295" spans="1:18" x14ac:dyDescent="0.25">
      <c r="A1295" s="170">
        <v>43913</v>
      </c>
      <c r="B1295" s="116">
        <v>471.51313122783301</v>
      </c>
      <c r="C1295" s="116">
        <v>437.75932881903401</v>
      </c>
      <c r="D1295" s="116">
        <v>433.72274056325</v>
      </c>
      <c r="E1295" s="116">
        <v>455.66395034622502</v>
      </c>
      <c r="F1295" s="116">
        <v>883.85</v>
      </c>
      <c r="G1295">
        <v>1247576</v>
      </c>
      <c r="H1295" s="116"/>
      <c r="I1295" s="116"/>
      <c r="L1295" s="170">
        <v>43913</v>
      </c>
      <c r="M1295" s="116">
        <v>437.874245553067</v>
      </c>
      <c r="N1295" s="116">
        <v>470.53959988169697</v>
      </c>
      <c r="O1295" s="116">
        <v>433.71368488042901</v>
      </c>
      <c r="P1295" s="116">
        <v>453.79829622274798</v>
      </c>
      <c r="Q1295" s="116">
        <v>884.05</v>
      </c>
      <c r="R1295">
        <v>18593713</v>
      </c>
    </row>
    <row r="1296" spans="1:18" x14ac:dyDescent="0.25">
      <c r="A1296" s="170">
        <v>43914</v>
      </c>
      <c r="B1296" s="116">
        <v>480.626410234758</v>
      </c>
      <c r="C1296" s="116">
        <v>467.10507779513603</v>
      </c>
      <c r="D1296" s="116">
        <v>443.67800730450898</v>
      </c>
      <c r="E1296" s="116">
        <v>467.05554910488098</v>
      </c>
      <c r="F1296" s="116">
        <v>943.1</v>
      </c>
      <c r="G1296">
        <v>1025524</v>
      </c>
      <c r="H1296" s="116"/>
      <c r="I1296" s="116"/>
      <c r="L1296" s="170">
        <v>43914</v>
      </c>
      <c r="M1296" s="116">
        <v>467.27058792462401</v>
      </c>
      <c r="N1296" s="116">
        <v>480.44569672131098</v>
      </c>
      <c r="O1296" s="116">
        <v>443.694077446341</v>
      </c>
      <c r="P1296" s="116">
        <v>460.633503042082</v>
      </c>
      <c r="Q1296" s="116">
        <v>943.4</v>
      </c>
      <c r="R1296">
        <v>20919322</v>
      </c>
    </row>
    <row r="1297" spans="1:18" x14ac:dyDescent="0.25">
      <c r="A1297" s="170">
        <v>43915</v>
      </c>
      <c r="B1297" s="116">
        <v>570.57051173788204</v>
      </c>
      <c r="C1297" s="116">
        <v>535.52896338245205</v>
      </c>
      <c r="D1297" s="116">
        <v>471.01784432528302</v>
      </c>
      <c r="E1297" s="116">
        <v>471.01784432528302</v>
      </c>
      <c r="F1297" s="116">
        <v>1081.25</v>
      </c>
      <c r="G1297">
        <v>117608851</v>
      </c>
      <c r="H1297" s="116"/>
      <c r="I1297" s="116"/>
      <c r="L1297" s="170">
        <v>43915</v>
      </c>
      <c r="M1297" s="116">
        <v>536.04366523364899</v>
      </c>
      <c r="N1297" s="116">
        <v>570.36829078291396</v>
      </c>
      <c r="O1297" s="116">
        <v>477.10238903794198</v>
      </c>
      <c r="P1297" s="116">
        <v>477.37480670103099</v>
      </c>
      <c r="Q1297" s="116">
        <v>1082.25</v>
      </c>
      <c r="R1297">
        <v>33433126</v>
      </c>
    </row>
    <row r="1298" spans="1:18" x14ac:dyDescent="0.25">
      <c r="A1298" s="170">
        <v>43916</v>
      </c>
      <c r="B1298" s="116">
        <v>553.30976318400599</v>
      </c>
      <c r="C1298" s="116">
        <v>532.30959851587602</v>
      </c>
      <c r="D1298" s="116">
        <v>516.65853239528803</v>
      </c>
      <c r="E1298" s="116">
        <v>539.86272377976695</v>
      </c>
      <c r="F1298" s="116">
        <v>1074.75</v>
      </c>
      <c r="G1298">
        <v>921918</v>
      </c>
      <c r="H1298" s="116"/>
      <c r="I1298" s="116"/>
      <c r="L1298" s="170">
        <v>43916</v>
      </c>
      <c r="M1298" s="116">
        <v>528.09402251985796</v>
      </c>
      <c r="N1298" s="116">
        <v>553.20597800828102</v>
      </c>
      <c r="O1298" s="116">
        <v>516.281002038618</v>
      </c>
      <c r="P1298" s="116">
        <v>542.75504584248802</v>
      </c>
      <c r="Q1298" s="116">
        <v>1066.2</v>
      </c>
      <c r="R1298">
        <v>20912934</v>
      </c>
    </row>
    <row r="1299" spans="1:18" x14ac:dyDescent="0.25">
      <c r="A1299" s="170">
        <v>43917</v>
      </c>
      <c r="B1299" s="116">
        <v>548.62930195490605</v>
      </c>
      <c r="C1299" s="116">
        <v>527.72819466728595</v>
      </c>
      <c r="D1299" s="116">
        <v>518.68920869574401</v>
      </c>
      <c r="E1299" s="116">
        <v>544.81559280526903</v>
      </c>
      <c r="F1299" s="116">
        <v>1065.5</v>
      </c>
      <c r="G1299">
        <v>87479375</v>
      </c>
      <c r="H1299" s="116"/>
      <c r="I1299" s="116"/>
      <c r="L1299" s="170">
        <v>43917</v>
      </c>
      <c r="M1299" s="116">
        <v>527.79683961467003</v>
      </c>
      <c r="N1299" s="116">
        <v>548.45105152526605</v>
      </c>
      <c r="O1299" s="116">
        <v>518.18792568024298</v>
      </c>
      <c r="P1299" s="116">
        <v>542.35880196890298</v>
      </c>
      <c r="Q1299" s="116">
        <v>1065.5999999999999</v>
      </c>
      <c r="R1299">
        <v>19044644</v>
      </c>
    </row>
    <row r="1300" spans="1:18" x14ac:dyDescent="0.25">
      <c r="A1300" s="170">
        <v>43920</v>
      </c>
      <c r="B1300" s="116">
        <v>531.93813333896298</v>
      </c>
      <c r="C1300" s="116">
        <v>511.30943384774503</v>
      </c>
      <c r="D1300" s="116">
        <v>505.19264060124999</v>
      </c>
      <c r="E1300" s="116">
        <v>519.03590952752904</v>
      </c>
      <c r="F1300" s="116">
        <v>1032.3499999999999</v>
      </c>
      <c r="G1300">
        <v>1477296</v>
      </c>
      <c r="H1300" s="116"/>
      <c r="I1300" s="116"/>
      <c r="L1300" s="170">
        <v>43920</v>
      </c>
      <c r="M1300" s="116">
        <v>510.38687441904699</v>
      </c>
      <c r="N1300" s="116">
        <v>532.35364416089203</v>
      </c>
      <c r="O1300" s="116">
        <v>505.21093882034802</v>
      </c>
      <c r="P1300" s="116">
        <v>515.41421856515103</v>
      </c>
      <c r="Q1300" s="116">
        <v>1030.45</v>
      </c>
      <c r="R1300">
        <v>13820286</v>
      </c>
    </row>
    <row r="1301" spans="1:18" x14ac:dyDescent="0.25">
      <c r="A1301" s="170">
        <v>43921</v>
      </c>
      <c r="B1301" s="116">
        <v>559.17891297922699</v>
      </c>
      <c r="C1301" s="116">
        <v>550.98191474201997</v>
      </c>
      <c r="D1301" s="116">
        <v>519.45690339469695</v>
      </c>
      <c r="E1301" s="116">
        <v>530.45227263131198</v>
      </c>
      <c r="F1301" s="116">
        <v>1112.45</v>
      </c>
      <c r="G1301">
        <v>2119399</v>
      </c>
      <c r="H1301" s="116"/>
      <c r="I1301" s="116"/>
      <c r="L1301" s="170">
        <v>43921</v>
      </c>
      <c r="M1301" s="116">
        <v>551.64576775604201</v>
      </c>
      <c r="N1301" s="116">
        <v>559.59541046983304</v>
      </c>
      <c r="O1301" s="116">
        <v>519.07947439580903</v>
      </c>
      <c r="P1301" s="116">
        <v>531.93263504520905</v>
      </c>
      <c r="Q1301" s="116">
        <v>1113.75</v>
      </c>
      <c r="R1301">
        <v>20249909</v>
      </c>
    </row>
    <row r="1302" spans="1:18" x14ac:dyDescent="0.25">
      <c r="A1302" s="170">
        <v>43922</v>
      </c>
      <c r="B1302" s="116">
        <v>557.173001023898</v>
      </c>
      <c r="C1302" s="116">
        <v>535.23179124092201</v>
      </c>
      <c r="D1302" s="116">
        <v>517.45099143936795</v>
      </c>
      <c r="E1302" s="116">
        <v>552.83924062658298</v>
      </c>
      <c r="F1302" s="116">
        <v>1080.6500000000001</v>
      </c>
      <c r="G1302">
        <v>825411</v>
      </c>
      <c r="H1302" s="116"/>
      <c r="I1302" s="116"/>
      <c r="L1302" s="170">
        <v>43922</v>
      </c>
      <c r="M1302" s="116">
        <v>535.15211651808397</v>
      </c>
      <c r="N1302" s="116">
        <v>557.01982529153304</v>
      </c>
      <c r="O1302" s="116">
        <v>517.692620838263</v>
      </c>
      <c r="P1302" s="116">
        <v>555.85585891287803</v>
      </c>
      <c r="Q1302" s="116">
        <v>1080.45</v>
      </c>
      <c r="R1302">
        <v>19017099</v>
      </c>
    </row>
    <row r="1303" spans="1:18" x14ac:dyDescent="0.25">
      <c r="A1303" s="170">
        <v>43924</v>
      </c>
      <c r="B1303" s="116">
        <v>560.46665892585702</v>
      </c>
      <c r="C1303" s="116">
        <v>534.01833832967395</v>
      </c>
      <c r="D1303" s="116">
        <v>523.51825599560902</v>
      </c>
      <c r="E1303" s="116">
        <v>559.67419988177699</v>
      </c>
      <c r="F1303" s="116">
        <v>1078.2</v>
      </c>
      <c r="G1303">
        <v>1473406</v>
      </c>
      <c r="H1303" s="116"/>
      <c r="I1303" s="116"/>
      <c r="L1303" s="170">
        <v>43924</v>
      </c>
      <c r="M1303" s="116">
        <v>533.66620199214105</v>
      </c>
      <c r="N1303" s="116">
        <v>561.89857798504295</v>
      </c>
      <c r="O1303" s="116">
        <v>523.19050458424897</v>
      </c>
      <c r="P1303" s="116">
        <v>561.89857798504295</v>
      </c>
      <c r="Q1303" s="116">
        <v>1077.45</v>
      </c>
      <c r="R1303">
        <v>18912044</v>
      </c>
    </row>
    <row r="1304" spans="1:18" x14ac:dyDescent="0.25">
      <c r="A1304" s="170">
        <v>43928</v>
      </c>
      <c r="B1304" s="116">
        <v>601.12971362523194</v>
      </c>
      <c r="C1304" s="116">
        <v>597.51411923661601</v>
      </c>
      <c r="D1304" s="116">
        <v>545.31087970782005</v>
      </c>
      <c r="E1304" s="116">
        <v>547.78731422057103</v>
      </c>
      <c r="F1304" s="116">
        <v>1206.4000000000001</v>
      </c>
      <c r="G1304">
        <v>1246979</v>
      </c>
      <c r="H1304" s="116"/>
      <c r="I1304" s="116"/>
      <c r="L1304" s="170">
        <v>43928</v>
      </c>
      <c r="M1304" s="116">
        <v>597.38716991296303</v>
      </c>
      <c r="N1304" s="116">
        <v>601.30007816461</v>
      </c>
      <c r="O1304" s="116">
        <v>544.83532617880701</v>
      </c>
      <c r="P1304" s="116">
        <v>545.87546634696605</v>
      </c>
      <c r="Q1304" s="116">
        <v>1206.0999999999999</v>
      </c>
      <c r="R1304">
        <v>24859057</v>
      </c>
    </row>
    <row r="1305" spans="1:18" x14ac:dyDescent="0.25">
      <c r="A1305" s="170">
        <v>43929</v>
      </c>
      <c r="B1305" s="116">
        <v>608.68283888912401</v>
      </c>
      <c r="C1305" s="116">
        <v>590.45628087527496</v>
      </c>
      <c r="D1305" s="116">
        <v>575.44908772800204</v>
      </c>
      <c r="E1305" s="116">
        <v>581.962110496538</v>
      </c>
      <c r="F1305" s="116">
        <v>1192.1500000000001</v>
      </c>
      <c r="G1305">
        <v>1072376</v>
      </c>
      <c r="H1305" s="116"/>
      <c r="I1305" s="116"/>
      <c r="L1305" s="170">
        <v>43929</v>
      </c>
      <c r="M1305" s="116">
        <v>590.47766736733104</v>
      </c>
      <c r="N1305" s="116">
        <v>608.72965079432197</v>
      </c>
      <c r="O1305" s="116">
        <v>574.55361669765102</v>
      </c>
      <c r="P1305" s="116">
        <v>584.459713537266</v>
      </c>
      <c r="Q1305" s="116">
        <v>1192.1500000000001</v>
      </c>
      <c r="R1305">
        <v>22803774</v>
      </c>
    </row>
    <row r="1306" spans="1:18" x14ac:dyDescent="0.25">
      <c r="A1306" s="170">
        <v>43930</v>
      </c>
      <c r="B1306" s="116">
        <v>610.56492911881401</v>
      </c>
      <c r="C1306" s="116">
        <v>603.853791589259</v>
      </c>
      <c r="D1306" s="116">
        <v>591.00109646808005</v>
      </c>
      <c r="E1306" s="116">
        <v>599.89149636885702</v>
      </c>
      <c r="F1306" s="116">
        <v>1219.2</v>
      </c>
      <c r="G1306">
        <v>624780</v>
      </c>
      <c r="H1306" s="116"/>
      <c r="I1306" s="116"/>
      <c r="L1306" s="170">
        <v>43930</v>
      </c>
      <c r="M1306" s="116">
        <v>604.24714197439596</v>
      </c>
      <c r="N1306" s="116">
        <v>610.61180919384799</v>
      </c>
      <c r="O1306" s="116">
        <v>590.89867648301504</v>
      </c>
      <c r="P1306" s="116">
        <v>601.30007816461</v>
      </c>
      <c r="Q1306" s="116">
        <v>1219.95</v>
      </c>
      <c r="R1306">
        <v>15101711</v>
      </c>
    </row>
    <row r="1307" spans="1:18" x14ac:dyDescent="0.25">
      <c r="A1307" s="170">
        <v>43934</v>
      </c>
      <c r="B1307" s="116">
        <v>601.77358659854804</v>
      </c>
      <c r="C1307" s="116">
        <v>589.01994885787894</v>
      </c>
      <c r="D1307" s="116">
        <v>584.43854500928899</v>
      </c>
      <c r="E1307" s="116">
        <v>598.30657828069604</v>
      </c>
      <c r="F1307" s="116">
        <v>1189.25</v>
      </c>
      <c r="G1307">
        <v>445919</v>
      </c>
      <c r="H1307" s="116"/>
      <c r="I1307" s="116"/>
      <c r="L1307" s="170">
        <v>43934</v>
      </c>
      <c r="M1307" s="116">
        <v>588.99175284138903</v>
      </c>
      <c r="N1307" s="116">
        <v>601.79538300659101</v>
      </c>
      <c r="O1307" s="116">
        <v>584.459713537266</v>
      </c>
      <c r="P1307" s="116">
        <v>596.322264502704</v>
      </c>
      <c r="Q1307" s="116">
        <v>1189.1500000000001</v>
      </c>
      <c r="R1307">
        <v>10822871</v>
      </c>
    </row>
    <row r="1308" spans="1:18" x14ac:dyDescent="0.25">
      <c r="A1308" s="170">
        <v>43936</v>
      </c>
      <c r="B1308" s="116">
        <v>612.14984720697498</v>
      </c>
      <c r="C1308" s="116">
        <v>569.60470227790904</v>
      </c>
      <c r="D1308" s="116">
        <v>565.96434354416499</v>
      </c>
      <c r="E1308" s="116">
        <v>594.83956996284405</v>
      </c>
      <c r="F1308" s="116">
        <v>1150.05</v>
      </c>
      <c r="G1308">
        <v>834155</v>
      </c>
      <c r="H1308" s="116"/>
      <c r="I1308" s="116"/>
      <c r="L1308" s="170">
        <v>43936</v>
      </c>
      <c r="M1308" s="116">
        <v>569.52627255154596</v>
      </c>
      <c r="N1308" s="116">
        <v>612.19678468818699</v>
      </c>
      <c r="O1308" s="116">
        <v>566.13343438397806</v>
      </c>
      <c r="P1308" s="116">
        <v>592.90466109303702</v>
      </c>
      <c r="Q1308" s="116">
        <v>1149.8499999999999</v>
      </c>
      <c r="R1308">
        <v>16147959</v>
      </c>
    </row>
    <row r="1309" spans="1:18" x14ac:dyDescent="0.25">
      <c r="A1309" s="170">
        <v>43937</v>
      </c>
      <c r="B1309" s="116">
        <v>588.07890374303304</v>
      </c>
      <c r="C1309" s="116">
        <v>578.84180301047104</v>
      </c>
      <c r="D1309" s="116">
        <v>567.89596246411099</v>
      </c>
      <c r="E1309" s="116">
        <v>567.89596246411099</v>
      </c>
      <c r="F1309" s="116">
        <v>1168.7</v>
      </c>
      <c r="G1309">
        <v>592064</v>
      </c>
      <c r="H1309" s="116"/>
      <c r="I1309" s="116"/>
      <c r="L1309" s="170">
        <v>43937</v>
      </c>
      <c r="M1309" s="116">
        <v>578.54082067559602</v>
      </c>
      <c r="N1309" s="116">
        <v>588.14973461002205</v>
      </c>
      <c r="O1309" s="116">
        <v>567.12404406793996</v>
      </c>
      <c r="P1309" s="116">
        <v>569.52627255154596</v>
      </c>
      <c r="Q1309" s="116">
        <v>1168.05</v>
      </c>
      <c r="R1309">
        <v>17123533</v>
      </c>
    </row>
    <row r="1310" spans="1:18" x14ac:dyDescent="0.25">
      <c r="A1310" s="170">
        <v>43938</v>
      </c>
      <c r="B1310" s="116">
        <v>609.153361446546</v>
      </c>
      <c r="C1310" s="116">
        <v>606.75121996917801</v>
      </c>
      <c r="D1310" s="116">
        <v>590.72868867167699</v>
      </c>
      <c r="E1310" s="116">
        <v>604.25002111129902</v>
      </c>
      <c r="F1310" s="116">
        <v>1225.05</v>
      </c>
      <c r="G1310">
        <v>559314</v>
      </c>
      <c r="H1310" s="116"/>
      <c r="I1310" s="116"/>
      <c r="L1310" s="170">
        <v>43938</v>
      </c>
      <c r="M1310" s="116">
        <v>606.25312658441806</v>
      </c>
      <c r="N1310" s="116">
        <v>609.22495563630196</v>
      </c>
      <c r="O1310" s="116">
        <v>590.72531978832205</v>
      </c>
      <c r="P1310" s="116">
        <v>602.29068784857202</v>
      </c>
      <c r="Q1310" s="116">
        <v>1224</v>
      </c>
      <c r="R1310">
        <v>15209707</v>
      </c>
    </row>
    <row r="1311" spans="1:18" x14ac:dyDescent="0.25">
      <c r="A1311" s="170">
        <v>43941</v>
      </c>
      <c r="B1311" s="116">
        <v>622.57563650565805</v>
      </c>
      <c r="C1311" s="116">
        <v>616.35978587865202</v>
      </c>
      <c r="D1311" s="116">
        <v>595.48344293615901</v>
      </c>
      <c r="E1311" s="116">
        <v>607.46938597787505</v>
      </c>
      <c r="F1311" s="116">
        <v>1244.45</v>
      </c>
      <c r="G1311">
        <v>796389</v>
      </c>
      <c r="H1311" s="116"/>
      <c r="I1311" s="116"/>
      <c r="L1311" s="170">
        <v>43941</v>
      </c>
      <c r="M1311" s="116">
        <v>616.06016245563603</v>
      </c>
      <c r="N1311" s="116">
        <v>622.59818636978196</v>
      </c>
      <c r="O1311" s="116">
        <v>595.35642006084197</v>
      </c>
      <c r="P1311" s="116">
        <v>607.24373626837905</v>
      </c>
      <c r="Q1311" s="116">
        <v>1243.8</v>
      </c>
      <c r="R1311">
        <v>16472339</v>
      </c>
    </row>
    <row r="1312" spans="1:18" x14ac:dyDescent="0.25">
      <c r="A1312" s="170">
        <v>43942</v>
      </c>
      <c r="B1312" s="116">
        <v>620.37160978930899</v>
      </c>
      <c r="C1312" s="116">
        <v>612.19937589722997</v>
      </c>
      <c r="D1312" s="116">
        <v>576.73683367463298</v>
      </c>
      <c r="E1312" s="116">
        <v>598.35610697095103</v>
      </c>
      <c r="F1312" s="116">
        <v>1236.05</v>
      </c>
      <c r="G1312">
        <v>1147259</v>
      </c>
      <c r="H1312" s="116"/>
      <c r="I1312" s="116"/>
      <c r="L1312" s="170">
        <v>43942</v>
      </c>
      <c r="M1312" s="116">
        <v>612.86544622486099</v>
      </c>
      <c r="N1312" s="116">
        <v>620.12166215987804</v>
      </c>
      <c r="O1312" s="116">
        <v>576.53483606557404</v>
      </c>
      <c r="P1312" s="116">
        <v>599.318858796688</v>
      </c>
      <c r="Q1312" s="116">
        <v>1237.3499999999999</v>
      </c>
      <c r="R1312">
        <v>28057706</v>
      </c>
    </row>
    <row r="1313" spans="1:18" x14ac:dyDescent="0.25">
      <c r="A1313" s="170">
        <v>43943</v>
      </c>
      <c r="B1313" s="116">
        <v>685.82377396132404</v>
      </c>
      <c r="C1313" s="116">
        <v>675.249398591876</v>
      </c>
      <c r="D1313" s="116">
        <v>643.87297331531795</v>
      </c>
      <c r="E1313" s="116">
        <v>653.77871136632302</v>
      </c>
      <c r="F1313" s="116">
        <v>1363.35</v>
      </c>
      <c r="G1313">
        <v>2629550</v>
      </c>
      <c r="H1313" s="116"/>
      <c r="I1313" s="116"/>
      <c r="L1313" s="170">
        <v>43943</v>
      </c>
      <c r="M1313" s="116">
        <v>675.39768252492797</v>
      </c>
      <c r="N1313" s="116">
        <v>685.94767565911798</v>
      </c>
      <c r="O1313" s="116">
        <v>643.89629457495403</v>
      </c>
      <c r="P1313" s="116">
        <v>653.80239141456798</v>
      </c>
      <c r="Q1313" s="116">
        <v>1363.6</v>
      </c>
      <c r="R1313">
        <v>65230894</v>
      </c>
    </row>
    <row r="1314" spans="1:18" x14ac:dyDescent="0.25">
      <c r="A1314" s="170">
        <v>43944</v>
      </c>
      <c r="B1314" s="116">
        <v>686.39335389925702</v>
      </c>
      <c r="C1314" s="116">
        <v>679.28598684766098</v>
      </c>
      <c r="D1314" s="116">
        <v>670.74228777866904</v>
      </c>
      <c r="E1314" s="116">
        <v>678.39447042307097</v>
      </c>
      <c r="F1314" s="116">
        <v>1371.5</v>
      </c>
      <c r="G1314">
        <v>1465213</v>
      </c>
      <c r="H1314" s="116"/>
      <c r="I1314" s="116"/>
      <c r="L1314" s="170">
        <v>43944</v>
      </c>
      <c r="M1314" s="116">
        <v>679.01340787138804</v>
      </c>
      <c r="N1314" s="116">
        <v>686.418215258999</v>
      </c>
      <c r="O1314" s="116">
        <v>670.29604265252703</v>
      </c>
      <c r="P1314" s="116">
        <v>677.25507568235605</v>
      </c>
      <c r="Q1314" s="116">
        <v>1370.9</v>
      </c>
      <c r="R1314">
        <v>29928331</v>
      </c>
    </row>
    <row r="1315" spans="1:18" x14ac:dyDescent="0.25">
      <c r="A1315" s="170">
        <v>43945</v>
      </c>
      <c r="B1315" s="116">
        <v>740.45391931261599</v>
      </c>
      <c r="C1315" s="116">
        <v>701.99489132959002</v>
      </c>
      <c r="D1315" s="116">
        <v>667.64674463772997</v>
      </c>
      <c r="E1315" s="116">
        <v>671.06422426532697</v>
      </c>
      <c r="F1315" s="116">
        <v>1417.35</v>
      </c>
      <c r="G1315">
        <v>2452068</v>
      </c>
      <c r="H1315" s="116"/>
      <c r="I1315" s="116"/>
      <c r="L1315" s="170">
        <v>43945</v>
      </c>
      <c r="M1315" s="116">
        <v>701.84696108669903</v>
      </c>
      <c r="N1315" s="116">
        <v>740.45597351909805</v>
      </c>
      <c r="O1315" s="116">
        <v>667.27468311644395</v>
      </c>
      <c r="P1315" s="116">
        <v>668.73583240028699</v>
      </c>
      <c r="Q1315" s="116">
        <v>1417</v>
      </c>
      <c r="R1315">
        <v>61711388</v>
      </c>
    </row>
    <row r="1316" spans="1:18" x14ac:dyDescent="0.25">
      <c r="A1316" s="170">
        <v>43948</v>
      </c>
      <c r="B1316" s="116">
        <v>730.32530215546399</v>
      </c>
      <c r="C1316" s="116">
        <v>708.40885671761498</v>
      </c>
      <c r="D1316" s="116">
        <v>704.76849798387104</v>
      </c>
      <c r="E1316" s="116">
        <v>713.21313967235301</v>
      </c>
      <c r="F1316" s="116">
        <v>1430.3</v>
      </c>
      <c r="G1316">
        <v>1152767</v>
      </c>
      <c r="H1316" s="116"/>
      <c r="I1316" s="116"/>
      <c r="L1316" s="170">
        <v>43948</v>
      </c>
      <c r="M1316" s="116">
        <v>708.16209782195403</v>
      </c>
      <c r="N1316" s="116">
        <v>730.57464192158204</v>
      </c>
      <c r="O1316" s="116">
        <v>704.81879013858395</v>
      </c>
      <c r="P1316" s="116">
        <v>710.26714340037199</v>
      </c>
      <c r="Q1316" s="116">
        <v>1429.75</v>
      </c>
      <c r="R1316">
        <v>26736512</v>
      </c>
    </row>
    <row r="1317" spans="1:18" x14ac:dyDescent="0.25">
      <c r="A1317" s="170">
        <v>43949</v>
      </c>
      <c r="B1317" s="116">
        <v>720.518621484969</v>
      </c>
      <c r="C1317" s="116">
        <v>707.31922553200502</v>
      </c>
      <c r="D1317" s="116">
        <v>689.41460400481299</v>
      </c>
      <c r="E1317" s="116">
        <v>718.85941036142594</v>
      </c>
      <c r="F1317" s="116">
        <v>1428.1</v>
      </c>
      <c r="G1317">
        <v>1301548</v>
      </c>
      <c r="H1317" s="116"/>
      <c r="I1317" s="116"/>
      <c r="L1317" s="170">
        <v>43949</v>
      </c>
      <c r="M1317" s="116">
        <v>707.36961007478499</v>
      </c>
      <c r="N1317" s="116">
        <v>720.89143226085901</v>
      </c>
      <c r="O1317" s="116">
        <v>689.53863576347806</v>
      </c>
      <c r="P1317" s="116">
        <v>718.19202087206395</v>
      </c>
      <c r="Q1317" s="116">
        <v>1428.15</v>
      </c>
      <c r="R1317">
        <v>35866381</v>
      </c>
    </row>
    <row r="1318" spans="1:18" x14ac:dyDescent="0.25">
      <c r="A1318" s="170">
        <v>43950</v>
      </c>
      <c r="B1318" s="116">
        <v>719.67663375063296</v>
      </c>
      <c r="C1318" s="116">
        <v>706.378180417159</v>
      </c>
      <c r="D1318" s="116">
        <v>703.55504507262299</v>
      </c>
      <c r="E1318" s="116">
        <v>716.18486108765399</v>
      </c>
      <c r="F1318" s="116">
        <v>1426.2</v>
      </c>
      <c r="G1318">
        <v>642967</v>
      </c>
      <c r="H1318" s="116"/>
      <c r="I1318" s="116"/>
      <c r="L1318" s="170">
        <v>43950</v>
      </c>
      <c r="M1318" s="116">
        <v>706.775244264408</v>
      </c>
      <c r="N1318" s="116">
        <v>719.99988354529296</v>
      </c>
      <c r="O1318" s="116">
        <v>703.33287561264206</v>
      </c>
      <c r="P1318" s="116">
        <v>715.66596617796199</v>
      </c>
      <c r="Q1318" s="116">
        <v>1426.95</v>
      </c>
      <c r="R1318">
        <v>17141540</v>
      </c>
    </row>
    <row r="1319" spans="1:18" x14ac:dyDescent="0.25">
      <c r="A1319" s="170">
        <v>43951</v>
      </c>
      <c r="B1319" s="116">
        <v>740.20627586134106</v>
      </c>
      <c r="C1319" s="116">
        <v>726.61065038633706</v>
      </c>
      <c r="D1319" s="116">
        <v>713.21313967235301</v>
      </c>
      <c r="E1319" s="116">
        <v>720.14715630805597</v>
      </c>
      <c r="F1319" s="116">
        <v>1467.05</v>
      </c>
      <c r="G1319">
        <v>1277127</v>
      </c>
      <c r="H1319" s="116"/>
      <c r="I1319" s="116"/>
      <c r="L1319" s="170">
        <v>43951</v>
      </c>
      <c r="M1319" s="116">
        <v>726.116898343755</v>
      </c>
      <c r="N1319" s="116">
        <v>740.45597351909805</v>
      </c>
      <c r="O1319" s="116">
        <v>712.27312801039398</v>
      </c>
      <c r="P1319" s="116">
        <v>720.14847499788698</v>
      </c>
      <c r="Q1319" s="116">
        <v>1466</v>
      </c>
      <c r="R1319">
        <v>32617901</v>
      </c>
    </row>
    <row r="1320" spans="1:18" x14ac:dyDescent="0.25">
      <c r="A1320" s="170">
        <v>43955</v>
      </c>
      <c r="B1320" s="116">
        <v>725.54578354585396</v>
      </c>
      <c r="C1320" s="116">
        <v>710.93481992062198</v>
      </c>
      <c r="D1320" s="116">
        <v>703.18357989570995</v>
      </c>
      <c r="E1320" s="116">
        <v>714.20371347745299</v>
      </c>
      <c r="F1320" s="116">
        <v>1435.4</v>
      </c>
      <c r="G1320">
        <v>978857</v>
      </c>
      <c r="H1320" s="116"/>
      <c r="I1320" s="116"/>
      <c r="L1320" s="170">
        <v>43955</v>
      </c>
      <c r="M1320" s="116">
        <v>710.86150921074898</v>
      </c>
      <c r="N1320" s="116">
        <v>725.62159350177501</v>
      </c>
      <c r="O1320" s="116">
        <v>702.06984826559096</v>
      </c>
      <c r="P1320" s="116">
        <v>713.23897245225601</v>
      </c>
      <c r="Q1320" s="116">
        <v>1435.2</v>
      </c>
      <c r="R1320">
        <v>24439240</v>
      </c>
    </row>
    <row r="1321" spans="1:18" x14ac:dyDescent="0.25">
      <c r="A1321" s="170">
        <v>43956</v>
      </c>
      <c r="B1321" s="116">
        <v>732.43027149130205</v>
      </c>
      <c r="C1321" s="116">
        <v>723.61416462590796</v>
      </c>
      <c r="D1321" s="116">
        <v>716.68014799020398</v>
      </c>
      <c r="E1321" s="116">
        <v>718.68605994553297</v>
      </c>
      <c r="F1321" s="116">
        <v>1461</v>
      </c>
      <c r="G1321">
        <v>656560</v>
      </c>
      <c r="H1321" s="116"/>
      <c r="I1321" s="116"/>
      <c r="L1321" s="170">
        <v>43956</v>
      </c>
      <c r="M1321" s="116">
        <v>723.46701743915798</v>
      </c>
      <c r="N1321" s="116">
        <v>732.55586128950495</v>
      </c>
      <c r="O1321" s="116">
        <v>716.80516731451803</v>
      </c>
      <c r="P1321" s="116">
        <v>720.02464878739204</v>
      </c>
      <c r="Q1321" s="116">
        <v>1460.65</v>
      </c>
      <c r="R1321">
        <v>20528706</v>
      </c>
    </row>
    <row r="1322" spans="1:18" x14ac:dyDescent="0.25">
      <c r="A1322" s="170">
        <v>43957</v>
      </c>
      <c r="B1322" s="116">
        <v>735.00576338456301</v>
      </c>
      <c r="C1322" s="116">
        <v>723.93610111256601</v>
      </c>
      <c r="D1322" s="116">
        <v>716.18486108765399</v>
      </c>
      <c r="E1322" s="116">
        <v>724.10945152845795</v>
      </c>
      <c r="F1322" s="116">
        <v>1461.65</v>
      </c>
      <c r="G1322">
        <v>690133</v>
      </c>
      <c r="H1322" s="116"/>
      <c r="I1322" s="116"/>
      <c r="L1322" s="170">
        <v>43957</v>
      </c>
      <c r="M1322" s="116">
        <v>723.51654792335603</v>
      </c>
      <c r="N1322" s="116">
        <v>735.50292509929</v>
      </c>
      <c r="O1322" s="116">
        <v>715.96314908315003</v>
      </c>
      <c r="P1322" s="116">
        <v>725.126288659794</v>
      </c>
      <c r="Q1322" s="116">
        <v>1460.75</v>
      </c>
      <c r="R1322">
        <v>18510304</v>
      </c>
    </row>
    <row r="1323" spans="1:18" x14ac:dyDescent="0.25">
      <c r="A1323" s="170">
        <v>43958</v>
      </c>
      <c r="B1323" s="116">
        <v>749.715784390306</v>
      </c>
      <c r="C1323" s="116">
        <v>746.52118386885695</v>
      </c>
      <c r="D1323" s="116">
        <v>715.64004549484901</v>
      </c>
      <c r="E1323" s="116">
        <v>718.16600869785498</v>
      </c>
      <c r="F1323" s="116">
        <v>1507.25</v>
      </c>
      <c r="G1323">
        <v>991823</v>
      </c>
      <c r="H1323" s="116"/>
      <c r="I1323" s="116"/>
      <c r="L1323" s="170">
        <v>43958</v>
      </c>
      <c r="M1323" s="116">
        <v>746.39963162286597</v>
      </c>
      <c r="N1323" s="116">
        <v>749.71817406413697</v>
      </c>
      <c r="O1323" s="116">
        <v>715.71549666216004</v>
      </c>
      <c r="P1323" s="116">
        <v>720.66854508196695</v>
      </c>
      <c r="Q1323" s="116">
        <v>1506.95</v>
      </c>
      <c r="R1323">
        <v>22871529</v>
      </c>
    </row>
    <row r="1324" spans="1:18" x14ac:dyDescent="0.25">
      <c r="A1324" s="170">
        <v>43959</v>
      </c>
      <c r="B1324" s="116">
        <v>782.40471995862197</v>
      </c>
      <c r="C1324" s="116">
        <v>773.539084402973</v>
      </c>
      <c r="D1324" s="116">
        <v>761.55314136125696</v>
      </c>
      <c r="E1324" s="116">
        <v>767.69469895288</v>
      </c>
      <c r="F1324" s="116">
        <v>1561.8</v>
      </c>
      <c r="G1324">
        <v>1432366</v>
      </c>
      <c r="H1324" s="116"/>
      <c r="I1324" s="116"/>
      <c r="L1324" s="170">
        <v>43959</v>
      </c>
      <c r="M1324" s="116">
        <v>773.56710220550997</v>
      </c>
      <c r="N1324" s="116">
        <v>782.53211984536097</v>
      </c>
      <c r="O1324" s="116">
        <v>761.33307260858498</v>
      </c>
      <c r="P1324" s="116">
        <v>765.24598086023298</v>
      </c>
      <c r="Q1324" s="116">
        <v>1561.8</v>
      </c>
      <c r="R1324">
        <v>38522385</v>
      </c>
    </row>
    <row r="1325" spans="1:18" x14ac:dyDescent="0.25">
      <c r="A1325" s="170">
        <v>43962</v>
      </c>
      <c r="B1325" s="116">
        <v>799.81405458326299</v>
      </c>
      <c r="C1325" s="116">
        <v>780.94362359609897</v>
      </c>
      <c r="D1325" s="116">
        <v>778.59101080898495</v>
      </c>
      <c r="E1325" s="116">
        <v>783.54387983448703</v>
      </c>
      <c r="F1325" s="116">
        <v>1576.75</v>
      </c>
      <c r="G1325">
        <v>1066351</v>
      </c>
      <c r="H1325" s="116"/>
      <c r="I1325" s="116"/>
      <c r="L1325" s="170">
        <v>43962</v>
      </c>
      <c r="M1325" s="116">
        <v>780.99667483522103</v>
      </c>
      <c r="N1325" s="116">
        <v>799.91731979888505</v>
      </c>
      <c r="O1325" s="116">
        <v>778.76780304630699</v>
      </c>
      <c r="P1325" s="116">
        <v>782.58165032955901</v>
      </c>
      <c r="Q1325" s="116">
        <v>1576.8</v>
      </c>
      <c r="R1325">
        <v>30670404</v>
      </c>
    </row>
    <row r="1326" spans="1:18" x14ac:dyDescent="0.25">
      <c r="A1326" s="170">
        <v>43963</v>
      </c>
      <c r="B1326" s="116">
        <v>781.56273222428604</v>
      </c>
      <c r="C1326" s="116">
        <v>733.1484375</v>
      </c>
      <c r="D1326" s="116">
        <v>720.64244321060596</v>
      </c>
      <c r="E1326" s="116">
        <v>781.56273222428604</v>
      </c>
      <c r="F1326" s="116">
        <v>1480.25</v>
      </c>
      <c r="G1326">
        <v>2865647</v>
      </c>
      <c r="H1326" s="116"/>
      <c r="I1326" s="116"/>
      <c r="L1326" s="170">
        <v>43963</v>
      </c>
      <c r="M1326" s="116">
        <v>732.6796875</v>
      </c>
      <c r="N1326" s="116">
        <v>776.81134892048306</v>
      </c>
      <c r="O1326" s="116">
        <v>725.62159350177501</v>
      </c>
      <c r="P1326" s="116">
        <v>775.05301673145198</v>
      </c>
      <c r="Q1326" s="116">
        <v>1479.25</v>
      </c>
      <c r="R1326">
        <v>46029119</v>
      </c>
    </row>
    <row r="1327" spans="1:18" x14ac:dyDescent="0.25">
      <c r="A1327" s="170">
        <v>43964</v>
      </c>
      <c r="B1327" s="116">
        <v>767.375</v>
      </c>
      <c r="C1327" s="116">
        <v>748.2</v>
      </c>
      <c r="D1327" s="116">
        <v>727</v>
      </c>
      <c r="E1327" s="116">
        <v>767.375</v>
      </c>
      <c r="F1327" s="116">
        <v>1496.4</v>
      </c>
      <c r="G1327">
        <v>1489557</v>
      </c>
      <c r="H1327" s="116"/>
      <c r="I1327" s="116"/>
      <c r="L1327" s="170">
        <v>43964</v>
      </c>
      <c r="M1327" s="116">
        <v>748.22500000000002</v>
      </c>
      <c r="N1327" s="116">
        <v>763.5</v>
      </c>
      <c r="O1327" s="116">
        <v>727</v>
      </c>
      <c r="P1327" s="116">
        <v>763.5</v>
      </c>
      <c r="Q1327" s="116">
        <v>1496.45</v>
      </c>
      <c r="R1327">
        <v>30658051</v>
      </c>
    </row>
    <row r="1328" spans="1:18" x14ac:dyDescent="0.25">
      <c r="A1328" s="170">
        <v>43965</v>
      </c>
      <c r="B1328" s="116">
        <v>748.2</v>
      </c>
      <c r="C1328" s="116">
        <v>717.72500000000002</v>
      </c>
      <c r="D1328" s="116">
        <v>715.02499999999998</v>
      </c>
      <c r="E1328" s="116">
        <v>736</v>
      </c>
      <c r="F1328" s="116">
        <v>1435.45</v>
      </c>
      <c r="G1328">
        <v>795955</v>
      </c>
      <c r="H1328" s="116"/>
      <c r="I1328" s="116"/>
      <c r="L1328" s="170">
        <v>43965</v>
      </c>
      <c r="M1328" s="116">
        <v>717.97500000000002</v>
      </c>
      <c r="N1328" s="116">
        <v>748.35</v>
      </c>
      <c r="O1328" s="116">
        <v>715.02499999999998</v>
      </c>
      <c r="P1328" s="116">
        <v>734.5</v>
      </c>
      <c r="Q1328" s="116">
        <v>1435.95</v>
      </c>
      <c r="R1328">
        <v>22736714</v>
      </c>
    </row>
    <row r="1329" spans="1:18" x14ac:dyDescent="0.25">
      <c r="A1329" s="170">
        <v>43966</v>
      </c>
      <c r="B1329" s="116">
        <v>733.5</v>
      </c>
      <c r="C1329" s="116">
        <v>729.45</v>
      </c>
      <c r="D1329" s="116">
        <v>707.77499999999998</v>
      </c>
      <c r="E1329" s="116">
        <v>722.85</v>
      </c>
      <c r="F1329" s="116">
        <v>1458.9</v>
      </c>
      <c r="G1329">
        <v>953907</v>
      </c>
      <c r="H1329" s="116"/>
      <c r="I1329" s="116"/>
      <c r="L1329" s="170">
        <v>43966</v>
      </c>
      <c r="M1329" s="116">
        <v>729.7</v>
      </c>
      <c r="N1329" s="116">
        <v>733.35</v>
      </c>
      <c r="O1329" s="116">
        <v>707.55</v>
      </c>
      <c r="P1329" s="116">
        <v>722</v>
      </c>
      <c r="Q1329" s="116">
        <v>1459.4</v>
      </c>
      <c r="R1329">
        <v>28683432</v>
      </c>
    </row>
    <row r="1330" spans="1:18" x14ac:dyDescent="0.25">
      <c r="A1330" s="170">
        <v>43969</v>
      </c>
      <c r="B1330" s="116">
        <v>741</v>
      </c>
      <c r="C1330" s="116">
        <v>720.32500000000005</v>
      </c>
      <c r="D1330" s="116">
        <v>714</v>
      </c>
      <c r="E1330" s="116">
        <v>735.9</v>
      </c>
      <c r="F1330" s="116">
        <v>1440.65</v>
      </c>
      <c r="G1330">
        <v>1308019</v>
      </c>
      <c r="H1330" s="116"/>
      <c r="I1330" s="116"/>
      <c r="L1330" s="170">
        <v>43969</v>
      </c>
      <c r="M1330" s="116">
        <v>720.375</v>
      </c>
      <c r="N1330" s="116">
        <v>741</v>
      </c>
      <c r="O1330" s="116">
        <v>714</v>
      </c>
      <c r="P1330" s="116">
        <v>735</v>
      </c>
      <c r="Q1330" s="116">
        <v>1440.75</v>
      </c>
      <c r="R1330">
        <v>28981620</v>
      </c>
    </row>
    <row r="1331" spans="1:18" x14ac:dyDescent="0.25">
      <c r="A1331" s="170">
        <v>43970</v>
      </c>
      <c r="B1331" s="116">
        <v>730.95</v>
      </c>
      <c r="C1331" s="116">
        <v>704.07500000000005</v>
      </c>
      <c r="D1331" s="116">
        <v>702</v>
      </c>
      <c r="E1331" s="116">
        <v>730.95</v>
      </c>
      <c r="F1331" s="116">
        <v>1408.15</v>
      </c>
      <c r="G1331">
        <v>714335</v>
      </c>
      <c r="H1331" s="116"/>
      <c r="I1331" s="116"/>
      <c r="L1331" s="170">
        <v>43970</v>
      </c>
      <c r="M1331" s="116">
        <v>704.45</v>
      </c>
      <c r="N1331" s="116">
        <v>730.85</v>
      </c>
      <c r="O1331" s="116">
        <v>701.625</v>
      </c>
      <c r="P1331" s="116">
        <v>728.5</v>
      </c>
      <c r="Q1331" s="116">
        <v>1408.9</v>
      </c>
      <c r="R1331">
        <v>19529216</v>
      </c>
    </row>
    <row r="1332" spans="1:18" x14ac:dyDescent="0.25">
      <c r="A1332" s="170">
        <v>43971</v>
      </c>
      <c r="B1332" s="116">
        <v>722.92499999999995</v>
      </c>
      <c r="C1332" s="116">
        <v>717.32500000000005</v>
      </c>
      <c r="D1332" s="116">
        <v>696.82500000000005</v>
      </c>
      <c r="E1332" s="116">
        <v>703.65</v>
      </c>
      <c r="F1332" s="116">
        <v>1434.65</v>
      </c>
      <c r="G1332">
        <v>907872</v>
      </c>
      <c r="H1332" s="116"/>
      <c r="I1332" s="116"/>
      <c r="L1332" s="170">
        <v>43971</v>
      </c>
      <c r="M1332" s="116">
        <v>716.85</v>
      </c>
      <c r="N1332" s="116">
        <v>723.42499999999995</v>
      </c>
      <c r="O1332" s="116">
        <v>696.5</v>
      </c>
      <c r="P1332" s="116">
        <v>705</v>
      </c>
      <c r="Q1332" s="116">
        <v>1433.7</v>
      </c>
      <c r="R1332">
        <v>25530692</v>
      </c>
    </row>
    <row r="1333" spans="1:18" x14ac:dyDescent="0.25">
      <c r="A1333" s="170">
        <v>43972</v>
      </c>
      <c r="B1333" s="116">
        <v>730.42499999999995</v>
      </c>
      <c r="C1333" s="116">
        <v>720.02499999999998</v>
      </c>
      <c r="D1333" s="116">
        <v>712.67499999999995</v>
      </c>
      <c r="E1333" s="116">
        <v>719</v>
      </c>
      <c r="F1333" s="116">
        <v>1440.05</v>
      </c>
      <c r="G1333">
        <v>558823</v>
      </c>
      <c r="H1333" s="116"/>
      <c r="I1333" s="116"/>
      <c r="L1333" s="170">
        <v>43972</v>
      </c>
      <c r="M1333" s="116">
        <v>720.625</v>
      </c>
      <c r="N1333" s="116">
        <v>730.72500000000002</v>
      </c>
      <c r="O1333" s="116">
        <v>712.5</v>
      </c>
      <c r="P1333" s="116">
        <v>717.5</v>
      </c>
      <c r="Q1333" s="116">
        <v>1441.25</v>
      </c>
      <c r="R1333">
        <v>18077196</v>
      </c>
    </row>
    <row r="1334" spans="1:18" x14ac:dyDescent="0.25">
      <c r="A1334" s="170">
        <v>43973</v>
      </c>
      <c r="B1334" s="116">
        <v>729.25</v>
      </c>
      <c r="C1334" s="116">
        <v>715.8</v>
      </c>
      <c r="D1334" s="116">
        <v>713.4</v>
      </c>
      <c r="E1334" s="116">
        <v>727.4</v>
      </c>
      <c r="F1334" s="116">
        <v>1431.6</v>
      </c>
      <c r="G1334">
        <v>579294</v>
      </c>
      <c r="H1334" s="116"/>
      <c r="I1334" s="116"/>
      <c r="L1334" s="170">
        <v>43973</v>
      </c>
      <c r="M1334" s="116">
        <v>715.77499999999998</v>
      </c>
      <c r="N1334" s="116">
        <v>729</v>
      </c>
      <c r="O1334" s="116">
        <v>713.25</v>
      </c>
      <c r="P1334" s="116">
        <v>725.9</v>
      </c>
      <c r="Q1334" s="116">
        <v>1431.55</v>
      </c>
      <c r="R1334">
        <v>17458503</v>
      </c>
    </row>
    <row r="1335" spans="1:18" x14ac:dyDescent="0.25">
      <c r="A1335" s="170">
        <v>43977</v>
      </c>
      <c r="B1335" s="116">
        <v>724.5</v>
      </c>
      <c r="C1335" s="116">
        <v>711.85</v>
      </c>
      <c r="D1335" s="116">
        <v>708.15</v>
      </c>
      <c r="E1335" s="116">
        <v>719.7</v>
      </c>
      <c r="F1335" s="116">
        <v>1423.7</v>
      </c>
      <c r="G1335">
        <v>468721</v>
      </c>
      <c r="H1335" s="116"/>
      <c r="I1335" s="116"/>
      <c r="L1335" s="170">
        <v>43977</v>
      </c>
      <c r="M1335" s="116">
        <v>712.02499999999998</v>
      </c>
      <c r="N1335" s="116">
        <v>724.85</v>
      </c>
      <c r="O1335" s="116">
        <v>708.15</v>
      </c>
      <c r="P1335" s="116">
        <v>724.07500000000005</v>
      </c>
      <c r="Q1335" s="116">
        <v>1424.05</v>
      </c>
      <c r="R1335">
        <v>15330793</v>
      </c>
    </row>
    <row r="1336" spans="1:18" x14ac:dyDescent="0.25">
      <c r="A1336" s="170">
        <v>43978</v>
      </c>
      <c r="B1336" s="116">
        <v>727.05</v>
      </c>
      <c r="C1336" s="116">
        <v>723.47500000000002</v>
      </c>
      <c r="D1336" s="116">
        <v>706.1</v>
      </c>
      <c r="E1336" s="116">
        <v>717</v>
      </c>
      <c r="F1336" s="116">
        <v>1446.95</v>
      </c>
      <c r="G1336">
        <v>627533</v>
      </c>
      <c r="H1336" s="116"/>
      <c r="I1336" s="116"/>
      <c r="L1336" s="170">
        <v>43978</v>
      </c>
      <c r="M1336" s="116">
        <v>722.77499999999998</v>
      </c>
      <c r="N1336" s="116">
        <v>727</v>
      </c>
      <c r="O1336" s="116">
        <v>706</v>
      </c>
      <c r="P1336" s="116">
        <v>715.5</v>
      </c>
      <c r="Q1336" s="116">
        <v>1445.55</v>
      </c>
      <c r="R1336">
        <v>16460764</v>
      </c>
    </row>
    <row r="1337" spans="1:18" x14ac:dyDescent="0.25">
      <c r="A1337" s="170">
        <v>43979</v>
      </c>
      <c r="B1337" s="116">
        <v>739.6</v>
      </c>
      <c r="C1337" s="116">
        <v>736.32500000000005</v>
      </c>
      <c r="D1337" s="116">
        <v>725.27499999999998</v>
      </c>
      <c r="E1337" s="116">
        <v>727.5</v>
      </c>
      <c r="F1337" s="116">
        <v>1472.65</v>
      </c>
      <c r="G1337">
        <v>641847</v>
      </c>
      <c r="H1337" s="116"/>
      <c r="I1337" s="116"/>
      <c r="L1337" s="170">
        <v>43979</v>
      </c>
      <c r="M1337" s="116">
        <v>736.125</v>
      </c>
      <c r="N1337" s="116">
        <v>739.875</v>
      </c>
      <c r="O1337" s="116">
        <v>724.5</v>
      </c>
      <c r="P1337" s="116">
        <v>727.5</v>
      </c>
      <c r="Q1337" s="116">
        <v>1472.25</v>
      </c>
      <c r="R1337">
        <v>18519252</v>
      </c>
    </row>
    <row r="1338" spans="1:18" x14ac:dyDescent="0.25">
      <c r="A1338" s="170">
        <v>43980</v>
      </c>
      <c r="B1338" s="116">
        <v>735.75</v>
      </c>
      <c r="C1338" s="116">
        <v>732.6</v>
      </c>
      <c r="D1338" s="116">
        <v>726.5</v>
      </c>
      <c r="E1338" s="116">
        <v>735.35</v>
      </c>
      <c r="F1338" s="116">
        <v>1465.2</v>
      </c>
      <c r="G1338">
        <v>590240</v>
      </c>
      <c r="H1338" s="116"/>
      <c r="I1338" s="116"/>
      <c r="L1338" s="170">
        <v>43980</v>
      </c>
      <c r="M1338" s="116">
        <v>732.2</v>
      </c>
      <c r="N1338" s="116">
        <v>736</v>
      </c>
      <c r="O1338" s="116">
        <v>726.32500000000005</v>
      </c>
      <c r="P1338" s="116">
        <v>734</v>
      </c>
      <c r="Q1338" s="116">
        <v>1464.4</v>
      </c>
      <c r="R1338">
        <v>18471770</v>
      </c>
    </row>
    <row r="1339" spans="1:18" x14ac:dyDescent="0.25">
      <c r="A1339" s="170">
        <v>43983</v>
      </c>
      <c r="B1339" s="116">
        <v>769.6</v>
      </c>
      <c r="C1339" s="116">
        <v>760.22500000000002</v>
      </c>
      <c r="D1339" s="116">
        <v>737.82500000000005</v>
      </c>
      <c r="E1339" s="116">
        <v>740</v>
      </c>
      <c r="F1339" s="116">
        <v>1520.45</v>
      </c>
      <c r="G1339">
        <v>1016979</v>
      </c>
      <c r="H1339" s="116"/>
      <c r="I1339" s="116"/>
      <c r="L1339" s="170">
        <v>43983</v>
      </c>
      <c r="M1339" s="116">
        <v>760.17499999999995</v>
      </c>
      <c r="N1339" s="116">
        <v>769.17499999999995</v>
      </c>
      <c r="O1339" s="116">
        <v>737.97500000000002</v>
      </c>
      <c r="P1339" s="116">
        <v>740</v>
      </c>
      <c r="Q1339" s="116">
        <v>1520.35</v>
      </c>
      <c r="R1339">
        <v>18434065</v>
      </c>
    </row>
    <row r="1340" spans="1:18" x14ac:dyDescent="0.25">
      <c r="A1340" s="170">
        <v>43984</v>
      </c>
      <c r="B1340" s="116">
        <v>770</v>
      </c>
      <c r="C1340" s="116">
        <v>768.05</v>
      </c>
      <c r="D1340" s="116">
        <v>760.5</v>
      </c>
      <c r="E1340" s="116">
        <v>760.5</v>
      </c>
      <c r="F1340" s="116">
        <v>1536.1</v>
      </c>
      <c r="G1340">
        <v>418550</v>
      </c>
      <c r="H1340" s="116"/>
      <c r="I1340" s="116"/>
      <c r="L1340" s="170">
        <v>43984</v>
      </c>
      <c r="M1340" s="116">
        <v>767.85</v>
      </c>
      <c r="N1340" s="116">
        <v>770</v>
      </c>
      <c r="O1340" s="116">
        <v>760.4</v>
      </c>
      <c r="P1340" s="116">
        <v>763</v>
      </c>
      <c r="Q1340" s="116">
        <v>1535.7</v>
      </c>
      <c r="R1340">
        <v>10224102</v>
      </c>
    </row>
    <row r="1341" spans="1:18" x14ac:dyDescent="0.25">
      <c r="A1341" s="170">
        <v>43985</v>
      </c>
      <c r="B1341" s="116">
        <v>779.5</v>
      </c>
      <c r="C1341" s="116">
        <v>771.22500000000002</v>
      </c>
      <c r="D1341" s="116">
        <v>766.625</v>
      </c>
      <c r="E1341" s="116">
        <v>772.5</v>
      </c>
      <c r="F1341" s="116">
        <v>1542.45</v>
      </c>
      <c r="G1341">
        <v>444528</v>
      </c>
      <c r="H1341" s="116"/>
      <c r="I1341" s="116"/>
      <c r="L1341" s="170">
        <v>43985</v>
      </c>
      <c r="M1341" s="116">
        <v>770.82500000000005</v>
      </c>
      <c r="N1341" s="116">
        <v>780</v>
      </c>
      <c r="O1341" s="116">
        <v>766.67499999999995</v>
      </c>
      <c r="P1341" s="116">
        <v>772.5</v>
      </c>
      <c r="Q1341" s="116">
        <v>1541.65</v>
      </c>
      <c r="R1341">
        <v>11713666</v>
      </c>
    </row>
    <row r="1342" spans="1:18" x14ac:dyDescent="0.25">
      <c r="A1342" s="170">
        <v>43986</v>
      </c>
      <c r="B1342" s="116">
        <v>794.5</v>
      </c>
      <c r="C1342" s="116">
        <v>789.97500000000002</v>
      </c>
      <c r="D1342" s="116">
        <v>770</v>
      </c>
      <c r="E1342" s="116">
        <v>770</v>
      </c>
      <c r="F1342" s="116">
        <v>1579.95</v>
      </c>
      <c r="G1342">
        <v>710718</v>
      </c>
      <c r="H1342" s="116"/>
      <c r="I1342" s="116"/>
      <c r="L1342" s="170">
        <v>43986</v>
      </c>
      <c r="M1342" s="116">
        <v>789.9</v>
      </c>
      <c r="N1342" s="116">
        <v>794.75</v>
      </c>
      <c r="O1342" s="116">
        <v>770.5</v>
      </c>
      <c r="P1342" s="116">
        <v>772</v>
      </c>
      <c r="Q1342" s="116">
        <v>1579.8</v>
      </c>
      <c r="R1342">
        <v>15784612</v>
      </c>
    </row>
    <row r="1343" spans="1:18" x14ac:dyDescent="0.25">
      <c r="A1343" s="170">
        <v>43987</v>
      </c>
      <c r="B1343" s="116">
        <v>808.85</v>
      </c>
      <c r="C1343" s="116">
        <v>790.3</v>
      </c>
      <c r="D1343" s="116">
        <v>787.15</v>
      </c>
      <c r="E1343" s="116">
        <v>800.95</v>
      </c>
      <c r="F1343" s="116">
        <v>1580.6</v>
      </c>
      <c r="G1343">
        <v>658406</v>
      </c>
      <c r="H1343" s="116"/>
      <c r="I1343" s="116"/>
      <c r="L1343" s="170">
        <v>43987</v>
      </c>
      <c r="M1343" s="116">
        <v>790.85</v>
      </c>
      <c r="N1343" s="116">
        <v>809</v>
      </c>
      <c r="O1343" s="116">
        <v>786.85</v>
      </c>
      <c r="P1343" s="116">
        <v>797.5</v>
      </c>
      <c r="Q1343" s="116">
        <v>1581.7</v>
      </c>
      <c r="R1343">
        <v>15270435</v>
      </c>
    </row>
    <row r="1344" spans="1:18" x14ac:dyDescent="0.25">
      <c r="A1344" s="170">
        <v>43990</v>
      </c>
      <c r="B1344" s="116">
        <v>812</v>
      </c>
      <c r="C1344" s="116">
        <v>785.02499999999998</v>
      </c>
      <c r="D1344" s="116">
        <v>782.52499999999998</v>
      </c>
      <c r="E1344" s="116">
        <v>812</v>
      </c>
      <c r="F1344" s="116">
        <v>1570.05</v>
      </c>
      <c r="G1344">
        <v>1111940</v>
      </c>
      <c r="H1344" s="116"/>
      <c r="I1344" s="116"/>
      <c r="L1344" s="170">
        <v>43990</v>
      </c>
      <c r="M1344" s="116">
        <v>784.75</v>
      </c>
      <c r="N1344" s="116">
        <v>809.2</v>
      </c>
      <c r="O1344" s="116">
        <v>782.5</v>
      </c>
      <c r="P1344" s="116">
        <v>809.2</v>
      </c>
      <c r="Q1344" s="116">
        <v>1569.5</v>
      </c>
      <c r="R1344">
        <v>14498055</v>
      </c>
    </row>
    <row r="1345" spans="1:18" x14ac:dyDescent="0.25">
      <c r="A1345" s="170">
        <v>43991</v>
      </c>
      <c r="B1345" s="116">
        <v>791.17499999999995</v>
      </c>
      <c r="C1345" s="116">
        <v>768.55</v>
      </c>
      <c r="D1345" s="116">
        <v>766.52499999999998</v>
      </c>
      <c r="E1345" s="116">
        <v>790</v>
      </c>
      <c r="F1345" s="116">
        <v>1537.1</v>
      </c>
      <c r="G1345">
        <v>504634</v>
      </c>
      <c r="H1345" s="116"/>
      <c r="I1345" s="116"/>
      <c r="L1345" s="170">
        <v>43991</v>
      </c>
      <c r="M1345" s="116">
        <v>768.57500000000005</v>
      </c>
      <c r="N1345" s="116">
        <v>791.5</v>
      </c>
      <c r="O1345" s="116">
        <v>766.5</v>
      </c>
      <c r="P1345" s="116">
        <v>780.15</v>
      </c>
      <c r="Q1345" s="116">
        <v>1537.15</v>
      </c>
      <c r="R1345">
        <v>11934073</v>
      </c>
    </row>
    <row r="1346" spans="1:18" x14ac:dyDescent="0.25">
      <c r="A1346" s="170">
        <v>43992</v>
      </c>
      <c r="B1346" s="116">
        <v>789.5</v>
      </c>
      <c r="C1346" s="116">
        <v>786</v>
      </c>
      <c r="D1346" s="116">
        <v>770.3</v>
      </c>
      <c r="E1346" s="116">
        <v>770.55</v>
      </c>
      <c r="F1346" s="116">
        <v>1572</v>
      </c>
      <c r="G1346">
        <v>421611</v>
      </c>
      <c r="H1346" s="116"/>
      <c r="I1346" s="116"/>
      <c r="L1346" s="170">
        <v>43992</v>
      </c>
      <c r="M1346" s="116">
        <v>786.07500000000005</v>
      </c>
      <c r="N1346" s="116">
        <v>789.77499999999998</v>
      </c>
      <c r="O1346" s="116">
        <v>770.02499999999998</v>
      </c>
      <c r="P1346" s="116">
        <v>771.55</v>
      </c>
      <c r="Q1346" s="116">
        <v>1572.15</v>
      </c>
      <c r="R1346">
        <v>10214426</v>
      </c>
    </row>
    <row r="1347" spans="1:18" x14ac:dyDescent="0.25">
      <c r="A1347" s="170">
        <v>43993</v>
      </c>
      <c r="B1347" s="116">
        <v>784.5</v>
      </c>
      <c r="C1347" s="116">
        <v>768.75</v>
      </c>
      <c r="D1347" s="116">
        <v>765.47500000000002</v>
      </c>
      <c r="E1347" s="116">
        <v>784.5</v>
      </c>
      <c r="F1347" s="116">
        <v>1537.5</v>
      </c>
      <c r="G1347">
        <v>330910</v>
      </c>
      <c r="H1347" s="116"/>
      <c r="I1347" s="116"/>
      <c r="L1347" s="170">
        <v>43993</v>
      </c>
      <c r="M1347" s="116">
        <v>768.85</v>
      </c>
      <c r="N1347" s="116">
        <v>783.97500000000002</v>
      </c>
      <c r="O1347" s="116">
        <v>765.5</v>
      </c>
      <c r="P1347" s="116">
        <v>783</v>
      </c>
      <c r="Q1347" s="116">
        <v>1537.7</v>
      </c>
      <c r="R1347">
        <v>9408283</v>
      </c>
    </row>
    <row r="1348" spans="1:18" x14ac:dyDescent="0.25">
      <c r="A1348" s="170">
        <v>43994</v>
      </c>
      <c r="B1348" s="116">
        <v>796.5</v>
      </c>
      <c r="C1348" s="116">
        <v>794.4</v>
      </c>
      <c r="D1348" s="116">
        <v>747.5</v>
      </c>
      <c r="E1348" s="116">
        <v>747.5</v>
      </c>
      <c r="F1348" s="116">
        <v>1588.8</v>
      </c>
      <c r="G1348">
        <v>772239</v>
      </c>
      <c r="H1348" s="116"/>
      <c r="I1348" s="116"/>
      <c r="L1348" s="170">
        <v>43994</v>
      </c>
      <c r="M1348" s="116">
        <v>794.4</v>
      </c>
      <c r="N1348" s="116">
        <v>796.5</v>
      </c>
      <c r="O1348" s="116">
        <v>748.5</v>
      </c>
      <c r="P1348" s="116">
        <v>750</v>
      </c>
      <c r="Q1348" s="116">
        <v>1588.8</v>
      </c>
      <c r="R1348">
        <v>17790565</v>
      </c>
    </row>
    <row r="1349" spans="1:18" x14ac:dyDescent="0.25">
      <c r="A1349" s="170">
        <v>43997</v>
      </c>
      <c r="B1349" s="116">
        <v>813.35</v>
      </c>
      <c r="C1349" s="116">
        <v>807.5</v>
      </c>
      <c r="D1349" s="116">
        <v>780.77499999999998</v>
      </c>
      <c r="E1349" s="116">
        <v>788.5</v>
      </c>
      <c r="F1349" s="116">
        <v>1615</v>
      </c>
      <c r="G1349">
        <v>1125400</v>
      </c>
      <c r="H1349" s="116"/>
      <c r="I1349" s="116"/>
      <c r="L1349" s="170">
        <v>43997</v>
      </c>
      <c r="M1349" s="116">
        <v>807.27499999999998</v>
      </c>
      <c r="N1349" s="116">
        <v>813.47500000000002</v>
      </c>
      <c r="O1349" s="116">
        <v>780.55</v>
      </c>
      <c r="P1349" s="116">
        <v>782.5</v>
      </c>
      <c r="Q1349" s="116">
        <v>1614.55</v>
      </c>
      <c r="R1349">
        <v>24509162</v>
      </c>
    </row>
    <row r="1350" spans="1:18" x14ac:dyDescent="0.25">
      <c r="A1350" s="170">
        <v>43998</v>
      </c>
      <c r="B1350" s="116">
        <v>823.92499999999995</v>
      </c>
      <c r="C1350" s="116">
        <v>808.75</v>
      </c>
      <c r="D1350" s="116">
        <v>792.57500000000005</v>
      </c>
      <c r="E1350" s="116">
        <v>820.75</v>
      </c>
      <c r="F1350" s="116">
        <v>1617.5</v>
      </c>
      <c r="G1350">
        <v>1267703</v>
      </c>
      <c r="H1350" s="116"/>
      <c r="I1350" s="116"/>
      <c r="L1350" s="170">
        <v>43998</v>
      </c>
      <c r="M1350" s="116">
        <v>808.85</v>
      </c>
      <c r="N1350" s="116">
        <v>824.27499999999998</v>
      </c>
      <c r="O1350" s="116">
        <v>792.65</v>
      </c>
      <c r="P1350" s="116">
        <v>821.5</v>
      </c>
      <c r="Q1350" s="116">
        <v>1617.7</v>
      </c>
      <c r="R1350">
        <v>23623299</v>
      </c>
    </row>
    <row r="1351" spans="1:18" x14ac:dyDescent="0.25">
      <c r="A1351" s="170">
        <v>43999</v>
      </c>
      <c r="B1351" s="116">
        <v>817.47500000000002</v>
      </c>
      <c r="C1351" s="116">
        <v>807.7</v>
      </c>
      <c r="D1351" s="116">
        <v>801</v>
      </c>
      <c r="E1351" s="116">
        <v>804</v>
      </c>
      <c r="F1351" s="116">
        <v>1615.4</v>
      </c>
      <c r="G1351">
        <v>890838</v>
      </c>
      <c r="H1351" s="116"/>
      <c r="I1351" s="116"/>
      <c r="L1351" s="170">
        <v>43999</v>
      </c>
      <c r="M1351" s="116">
        <v>807.67499999999995</v>
      </c>
      <c r="N1351" s="116">
        <v>817.72500000000002</v>
      </c>
      <c r="O1351" s="116">
        <v>801.05</v>
      </c>
      <c r="P1351" s="116">
        <v>804.125</v>
      </c>
      <c r="Q1351" s="116">
        <v>1615.35</v>
      </c>
      <c r="R1351">
        <v>19282519</v>
      </c>
    </row>
    <row r="1352" spans="1:18" x14ac:dyDescent="0.25">
      <c r="A1352" s="170">
        <v>44000</v>
      </c>
      <c r="B1352" s="116">
        <v>832.5</v>
      </c>
      <c r="C1352" s="116">
        <v>828.125</v>
      </c>
      <c r="D1352" s="116">
        <v>802.77499999999998</v>
      </c>
      <c r="E1352" s="116">
        <v>802.77499999999998</v>
      </c>
      <c r="F1352" s="116">
        <v>1656.25</v>
      </c>
      <c r="G1352">
        <v>1013987</v>
      </c>
      <c r="H1352" s="116"/>
      <c r="I1352" s="116"/>
      <c r="L1352" s="170">
        <v>44000</v>
      </c>
      <c r="M1352" s="116">
        <v>827.95</v>
      </c>
      <c r="N1352" s="116">
        <v>832.5</v>
      </c>
      <c r="O1352" s="116">
        <v>802.8</v>
      </c>
      <c r="P1352" s="116">
        <v>803.5</v>
      </c>
      <c r="Q1352" s="116">
        <v>1655.9</v>
      </c>
      <c r="R1352">
        <v>18677694</v>
      </c>
    </row>
    <row r="1353" spans="1:18" x14ac:dyDescent="0.25">
      <c r="A1353" s="170">
        <v>44001</v>
      </c>
      <c r="B1353" s="116">
        <v>894.3</v>
      </c>
      <c r="C1353" s="116">
        <v>879.75</v>
      </c>
      <c r="D1353" s="116">
        <v>830.3</v>
      </c>
      <c r="E1353" s="116">
        <v>837.35</v>
      </c>
      <c r="F1353" s="116">
        <v>1759.5</v>
      </c>
      <c r="G1353">
        <v>2929255</v>
      </c>
      <c r="H1353" s="116"/>
      <c r="I1353" s="116"/>
      <c r="L1353" s="170">
        <v>44001</v>
      </c>
      <c r="M1353" s="116">
        <v>879.7</v>
      </c>
      <c r="N1353" s="116">
        <v>894.4</v>
      </c>
      <c r="O1353" s="116">
        <v>831</v>
      </c>
      <c r="P1353" s="116">
        <v>835</v>
      </c>
      <c r="Q1353" s="116">
        <v>1759.4</v>
      </c>
      <c r="R1353">
        <v>48828852</v>
      </c>
    </row>
    <row r="1354" spans="1:18" x14ac:dyDescent="0.25">
      <c r="A1354" s="170">
        <v>44004</v>
      </c>
      <c r="B1354" s="116">
        <v>902.05</v>
      </c>
      <c r="C1354" s="116">
        <v>873.6</v>
      </c>
      <c r="D1354" s="116">
        <v>867.42499999999995</v>
      </c>
      <c r="E1354" s="116">
        <v>887.52499999999998</v>
      </c>
      <c r="F1354" s="116">
        <v>1747.2</v>
      </c>
      <c r="G1354">
        <v>2036832</v>
      </c>
      <c r="H1354" s="116"/>
      <c r="I1354" s="116"/>
      <c r="L1354" s="170">
        <v>44004</v>
      </c>
      <c r="M1354" s="116">
        <v>873.07500000000005</v>
      </c>
      <c r="N1354" s="116">
        <v>902.1</v>
      </c>
      <c r="O1354" s="116">
        <v>867.5</v>
      </c>
      <c r="P1354" s="116">
        <v>886.7</v>
      </c>
      <c r="Q1354" s="116">
        <v>1746.15</v>
      </c>
      <c r="R1354">
        <v>27781772</v>
      </c>
    </row>
    <row r="1355" spans="1:18" x14ac:dyDescent="0.25">
      <c r="A1355" s="170">
        <v>44005</v>
      </c>
      <c r="B1355" s="116">
        <v>882.07500000000005</v>
      </c>
      <c r="C1355" s="116">
        <v>860.02499999999998</v>
      </c>
      <c r="D1355" s="116">
        <v>857.9</v>
      </c>
      <c r="E1355" s="116">
        <v>877</v>
      </c>
      <c r="F1355" s="116">
        <v>1720.05</v>
      </c>
      <c r="G1355">
        <v>1353529</v>
      </c>
      <c r="H1355" s="116"/>
      <c r="I1355" s="116"/>
      <c r="L1355" s="170">
        <v>44005</v>
      </c>
      <c r="M1355" s="116">
        <v>860.45</v>
      </c>
      <c r="N1355" s="116">
        <v>881.875</v>
      </c>
      <c r="O1355" s="116">
        <v>858.05</v>
      </c>
      <c r="P1355" s="116">
        <v>875</v>
      </c>
      <c r="Q1355" s="116">
        <v>1720.9</v>
      </c>
      <c r="R1355">
        <v>17521196</v>
      </c>
    </row>
    <row r="1356" spans="1:18" x14ac:dyDescent="0.25">
      <c r="A1356" s="170">
        <v>44006</v>
      </c>
      <c r="B1356" s="116">
        <v>886</v>
      </c>
      <c r="C1356" s="116">
        <v>863.67499999999995</v>
      </c>
      <c r="D1356" s="116">
        <v>856.3</v>
      </c>
      <c r="E1356" s="116">
        <v>869.9</v>
      </c>
      <c r="F1356" s="116">
        <v>1727.35</v>
      </c>
      <c r="G1356">
        <v>1358724</v>
      </c>
      <c r="H1356" s="116"/>
      <c r="I1356" s="116"/>
      <c r="L1356" s="170">
        <v>44006</v>
      </c>
      <c r="M1356" s="116">
        <v>863.92499999999995</v>
      </c>
      <c r="N1356" s="116">
        <v>886.35</v>
      </c>
      <c r="O1356" s="116">
        <v>855.85</v>
      </c>
      <c r="P1356" s="116">
        <v>867.95</v>
      </c>
      <c r="Q1356" s="116">
        <v>1727.85</v>
      </c>
      <c r="R1356">
        <v>23808524</v>
      </c>
    </row>
    <row r="1357" spans="1:18" x14ac:dyDescent="0.25">
      <c r="A1357" s="170">
        <v>44007</v>
      </c>
      <c r="B1357" s="116">
        <v>874.5</v>
      </c>
      <c r="C1357" s="116">
        <v>858.97500000000002</v>
      </c>
      <c r="D1357" s="116">
        <v>856.92499999999995</v>
      </c>
      <c r="E1357" s="116">
        <v>864.5</v>
      </c>
      <c r="F1357" s="116">
        <v>1717.95</v>
      </c>
      <c r="G1357">
        <v>654657</v>
      </c>
      <c r="H1357" s="116"/>
      <c r="I1357" s="116"/>
      <c r="L1357" s="170">
        <v>44007</v>
      </c>
      <c r="M1357" s="116">
        <v>858.95</v>
      </c>
      <c r="N1357" s="116">
        <v>874.5</v>
      </c>
      <c r="O1357" s="116">
        <v>856.52499999999998</v>
      </c>
      <c r="P1357" s="116">
        <v>863.5</v>
      </c>
      <c r="Q1357" s="116">
        <v>1717.9</v>
      </c>
      <c r="R1357">
        <v>18312705</v>
      </c>
    </row>
    <row r="1358" spans="1:18" x14ac:dyDescent="0.25">
      <c r="A1358" s="170">
        <v>44008</v>
      </c>
      <c r="B1358" s="116">
        <v>875.75</v>
      </c>
      <c r="C1358" s="116">
        <v>871.3</v>
      </c>
      <c r="D1358" s="116">
        <v>858.6</v>
      </c>
      <c r="E1358" s="116">
        <v>865.17499999999995</v>
      </c>
      <c r="F1358" s="116">
        <v>1742.6</v>
      </c>
      <c r="G1358">
        <v>1385178</v>
      </c>
      <c r="H1358" s="116"/>
      <c r="I1358" s="116"/>
      <c r="L1358" s="170">
        <v>44008</v>
      </c>
      <c r="M1358" s="116">
        <v>870.82500000000005</v>
      </c>
      <c r="N1358" s="116">
        <v>876</v>
      </c>
      <c r="O1358" s="116">
        <v>858.5</v>
      </c>
      <c r="P1358" s="116">
        <v>864.4</v>
      </c>
      <c r="Q1358" s="116">
        <v>1741.65</v>
      </c>
      <c r="R1358">
        <v>14270695</v>
      </c>
    </row>
    <row r="1359" spans="1:18" x14ac:dyDescent="0.25">
      <c r="A1359" s="170">
        <v>44011</v>
      </c>
      <c r="B1359" s="116">
        <v>869.45</v>
      </c>
      <c r="C1359" s="116">
        <v>861.57500000000005</v>
      </c>
      <c r="D1359" s="116">
        <v>857.5</v>
      </c>
      <c r="E1359" s="116">
        <v>864</v>
      </c>
      <c r="F1359" s="116">
        <v>1723.15</v>
      </c>
      <c r="G1359">
        <v>670107</v>
      </c>
      <c r="H1359" s="116"/>
      <c r="I1359" s="116"/>
      <c r="L1359" s="170">
        <v>44011</v>
      </c>
      <c r="M1359" s="116">
        <v>861.57500000000005</v>
      </c>
      <c r="N1359" s="116">
        <v>869.875</v>
      </c>
      <c r="O1359" s="116">
        <v>857.77499999999998</v>
      </c>
      <c r="P1359" s="116">
        <v>864.02499999999998</v>
      </c>
      <c r="Q1359" s="116">
        <v>1723.15</v>
      </c>
      <c r="R1359">
        <v>11825126</v>
      </c>
    </row>
    <row r="1360" spans="1:18" x14ac:dyDescent="0.25">
      <c r="A1360" s="170">
        <v>44012</v>
      </c>
      <c r="B1360" s="116">
        <v>870.35</v>
      </c>
      <c r="C1360" s="116">
        <v>851.67499999999995</v>
      </c>
      <c r="D1360" s="116">
        <v>848</v>
      </c>
      <c r="E1360" s="116">
        <v>868.15</v>
      </c>
      <c r="F1360" s="116">
        <v>1703.35</v>
      </c>
      <c r="G1360">
        <v>992945</v>
      </c>
      <c r="H1360" s="116"/>
      <c r="I1360" s="116"/>
      <c r="L1360" s="170">
        <v>44012</v>
      </c>
      <c r="M1360" s="116">
        <v>852.05</v>
      </c>
      <c r="N1360" s="116">
        <v>870.5</v>
      </c>
      <c r="O1360" s="116">
        <v>847.77499999999998</v>
      </c>
      <c r="P1360" s="116">
        <v>868.5</v>
      </c>
      <c r="Q1360" s="116">
        <v>1704.1</v>
      </c>
      <c r="R1360">
        <v>13973038</v>
      </c>
    </row>
    <row r="1361" spans="1:18" x14ac:dyDescent="0.25">
      <c r="A1361" s="170">
        <v>44013</v>
      </c>
      <c r="B1361" s="116">
        <v>874.32500000000005</v>
      </c>
      <c r="C1361" s="116">
        <v>868.95</v>
      </c>
      <c r="D1361" s="116">
        <v>854.375</v>
      </c>
      <c r="E1361" s="116">
        <v>859</v>
      </c>
      <c r="F1361" s="116">
        <v>1737.9</v>
      </c>
      <c r="G1361">
        <v>469138</v>
      </c>
      <c r="H1361" s="116"/>
      <c r="I1361" s="116"/>
      <c r="L1361" s="170">
        <v>44013</v>
      </c>
      <c r="M1361" s="116">
        <v>868.8</v>
      </c>
      <c r="N1361" s="116">
        <v>874.5</v>
      </c>
      <c r="O1361" s="116">
        <v>854.02499999999998</v>
      </c>
      <c r="P1361" s="116">
        <v>860</v>
      </c>
      <c r="Q1361" s="116">
        <v>1737.6</v>
      </c>
      <c r="R1361">
        <v>13136706</v>
      </c>
    </row>
    <row r="1362" spans="1:18" x14ac:dyDescent="0.25">
      <c r="A1362" s="170">
        <v>44014</v>
      </c>
      <c r="B1362" s="116">
        <v>883.4</v>
      </c>
      <c r="C1362" s="116">
        <v>880.27499999999998</v>
      </c>
      <c r="D1362" s="116">
        <v>867.2</v>
      </c>
      <c r="E1362" s="116">
        <v>875</v>
      </c>
      <c r="F1362" s="116">
        <v>1760.55</v>
      </c>
      <c r="G1362">
        <v>815775</v>
      </c>
      <c r="H1362" s="116"/>
      <c r="I1362" s="116"/>
      <c r="L1362" s="170">
        <v>44014</v>
      </c>
      <c r="M1362" s="116">
        <v>880.17499999999995</v>
      </c>
      <c r="N1362" s="116">
        <v>883.8</v>
      </c>
      <c r="O1362" s="116">
        <v>867.52499999999998</v>
      </c>
      <c r="P1362" s="116">
        <v>871.5</v>
      </c>
      <c r="Q1362" s="116">
        <v>1760.35</v>
      </c>
      <c r="R1362">
        <v>13286760</v>
      </c>
    </row>
    <row r="1363" spans="1:18" x14ac:dyDescent="0.25">
      <c r="A1363" s="170">
        <v>44015</v>
      </c>
      <c r="B1363" s="116">
        <v>896.4</v>
      </c>
      <c r="C1363" s="116">
        <v>893.75</v>
      </c>
      <c r="D1363" s="116">
        <v>884.25</v>
      </c>
      <c r="E1363" s="116">
        <v>890.52499999999998</v>
      </c>
      <c r="F1363" s="116">
        <v>1787.5</v>
      </c>
      <c r="G1363">
        <v>857283</v>
      </c>
      <c r="H1363" s="116"/>
      <c r="I1363" s="116"/>
      <c r="L1363" s="170">
        <v>44015</v>
      </c>
      <c r="M1363" s="116">
        <v>893.95</v>
      </c>
      <c r="N1363" s="116">
        <v>896.5</v>
      </c>
      <c r="O1363" s="116">
        <v>884</v>
      </c>
      <c r="P1363" s="116">
        <v>889.9</v>
      </c>
      <c r="Q1363" s="116">
        <v>1787.9</v>
      </c>
      <c r="R1363">
        <v>13584004</v>
      </c>
    </row>
    <row r="1364" spans="1:18" x14ac:dyDescent="0.25">
      <c r="A1364" s="170">
        <v>44018</v>
      </c>
      <c r="B1364" s="116">
        <v>929</v>
      </c>
      <c r="C1364" s="116">
        <v>925.7</v>
      </c>
      <c r="D1364" s="116">
        <v>896</v>
      </c>
      <c r="E1364" s="116">
        <v>900.57500000000005</v>
      </c>
      <c r="F1364" s="116">
        <v>1851.4</v>
      </c>
      <c r="G1364">
        <v>949421</v>
      </c>
      <c r="H1364" s="116"/>
      <c r="I1364" s="116"/>
      <c r="L1364" s="170">
        <v>44018</v>
      </c>
      <c r="M1364" s="116">
        <v>925.9</v>
      </c>
      <c r="N1364" s="116">
        <v>929</v>
      </c>
      <c r="O1364" s="116">
        <v>896.05</v>
      </c>
      <c r="P1364" s="116">
        <v>902.5</v>
      </c>
      <c r="Q1364" s="116">
        <v>1851.8</v>
      </c>
      <c r="R1364">
        <v>21698149</v>
      </c>
    </row>
    <row r="1365" spans="1:18" x14ac:dyDescent="0.25">
      <c r="A1365" s="170">
        <v>44019</v>
      </c>
      <c r="B1365" s="116">
        <v>935</v>
      </c>
      <c r="C1365" s="116">
        <v>911.97500000000002</v>
      </c>
      <c r="D1365" s="116">
        <v>903.2</v>
      </c>
      <c r="E1365" s="116">
        <v>935</v>
      </c>
      <c r="F1365" s="116">
        <v>1823.95</v>
      </c>
      <c r="G1365">
        <v>717717</v>
      </c>
      <c r="H1365" s="116"/>
      <c r="I1365" s="116"/>
      <c r="L1365" s="170">
        <v>44019</v>
      </c>
      <c r="M1365" s="116">
        <v>911.72500000000002</v>
      </c>
      <c r="N1365" s="116">
        <v>932.17499999999995</v>
      </c>
      <c r="O1365" s="116">
        <v>903.15</v>
      </c>
      <c r="P1365" s="116">
        <v>930</v>
      </c>
      <c r="Q1365" s="116">
        <v>1823.45</v>
      </c>
      <c r="R1365">
        <v>16240102</v>
      </c>
    </row>
    <row r="1366" spans="1:18" x14ac:dyDescent="0.25">
      <c r="A1366" s="170">
        <v>44020</v>
      </c>
      <c r="B1366" s="116">
        <v>917.4</v>
      </c>
      <c r="C1366" s="116">
        <v>898.67499999999995</v>
      </c>
      <c r="D1366" s="116">
        <v>895.05</v>
      </c>
      <c r="E1366" s="116">
        <v>913</v>
      </c>
      <c r="F1366" s="116">
        <v>1797.35</v>
      </c>
      <c r="G1366">
        <v>583648</v>
      </c>
      <c r="H1366" s="116"/>
      <c r="I1366" s="116"/>
      <c r="L1366" s="170">
        <v>44020</v>
      </c>
      <c r="M1366" s="116">
        <v>899</v>
      </c>
      <c r="N1366" s="116">
        <v>917.47500000000002</v>
      </c>
      <c r="O1366" s="116">
        <v>895</v>
      </c>
      <c r="P1366" s="116">
        <v>912.02499999999998</v>
      </c>
      <c r="Q1366" s="116">
        <v>1798</v>
      </c>
      <c r="R1366">
        <v>12093523</v>
      </c>
    </row>
    <row r="1367" spans="1:18" x14ac:dyDescent="0.25">
      <c r="A1367" s="170">
        <v>44021</v>
      </c>
      <c r="B1367" s="116">
        <v>917.2</v>
      </c>
      <c r="C1367" s="116">
        <v>912.3</v>
      </c>
      <c r="D1367" s="116">
        <v>893.5</v>
      </c>
      <c r="E1367" s="116">
        <v>903.75</v>
      </c>
      <c r="F1367" s="116">
        <v>1824.6</v>
      </c>
      <c r="G1367">
        <v>705240</v>
      </c>
      <c r="H1367" s="116"/>
      <c r="I1367" s="116"/>
      <c r="L1367" s="170">
        <v>44021</v>
      </c>
      <c r="M1367" s="116">
        <v>912.125</v>
      </c>
      <c r="N1367" s="116">
        <v>917.5</v>
      </c>
      <c r="O1367" s="116">
        <v>893.125</v>
      </c>
      <c r="P1367" s="116">
        <v>904.5</v>
      </c>
      <c r="Q1367" s="116">
        <v>1824.25</v>
      </c>
      <c r="R1367">
        <v>16807403</v>
      </c>
    </row>
    <row r="1368" spans="1:18" x14ac:dyDescent="0.25">
      <c r="A1368" s="170">
        <v>44022</v>
      </c>
      <c r="B1368" s="116">
        <v>942.2</v>
      </c>
      <c r="C1368" s="116">
        <v>939.25</v>
      </c>
      <c r="D1368" s="116">
        <v>912.3</v>
      </c>
      <c r="E1368" s="116">
        <v>914.95</v>
      </c>
      <c r="F1368" s="116">
        <v>1878.5</v>
      </c>
      <c r="G1368">
        <v>1140279</v>
      </c>
      <c r="H1368" s="116"/>
      <c r="I1368" s="116"/>
      <c r="L1368" s="170">
        <v>44022</v>
      </c>
      <c r="M1368" s="116">
        <v>939.02499999999998</v>
      </c>
      <c r="N1368" s="116">
        <v>942.3</v>
      </c>
      <c r="O1368" s="116">
        <v>912.125</v>
      </c>
      <c r="P1368" s="116">
        <v>914.25</v>
      </c>
      <c r="Q1368" s="116">
        <v>1878.05</v>
      </c>
      <c r="R1368">
        <v>20195490</v>
      </c>
    </row>
    <row r="1369" spans="1:18" x14ac:dyDescent="0.25">
      <c r="A1369" s="170">
        <v>44025</v>
      </c>
      <c r="B1369" s="116">
        <v>973.5</v>
      </c>
      <c r="C1369" s="116">
        <v>967.15</v>
      </c>
      <c r="D1369" s="116">
        <v>950.05</v>
      </c>
      <c r="E1369" s="116">
        <v>954.25</v>
      </c>
      <c r="F1369" s="116">
        <v>1934.3</v>
      </c>
      <c r="G1369">
        <v>1572760</v>
      </c>
      <c r="H1369" s="116"/>
      <c r="I1369" s="116"/>
      <c r="L1369" s="170">
        <v>44025</v>
      </c>
      <c r="M1369" s="116">
        <v>967.5</v>
      </c>
      <c r="N1369" s="116">
        <v>973.85</v>
      </c>
      <c r="O1369" s="116">
        <v>950</v>
      </c>
      <c r="P1369" s="116">
        <v>951.67499999999995</v>
      </c>
      <c r="Q1369" s="116">
        <v>1935</v>
      </c>
      <c r="R1369">
        <v>32124397</v>
      </c>
    </row>
    <row r="1370" spans="1:18" x14ac:dyDescent="0.25">
      <c r="A1370" s="170">
        <v>44026</v>
      </c>
      <c r="B1370" s="116">
        <v>970.5</v>
      </c>
      <c r="C1370" s="116">
        <v>958.32500000000005</v>
      </c>
      <c r="D1370" s="116">
        <v>943.9</v>
      </c>
      <c r="E1370" s="116">
        <v>967.35</v>
      </c>
      <c r="F1370" s="116">
        <v>1916.65</v>
      </c>
      <c r="G1370">
        <v>1133553</v>
      </c>
      <c r="H1370" s="116"/>
      <c r="I1370" s="116"/>
      <c r="L1370" s="170">
        <v>44026</v>
      </c>
      <c r="M1370" s="116">
        <v>958.5</v>
      </c>
      <c r="N1370" s="116">
        <v>970.85</v>
      </c>
      <c r="O1370" s="116">
        <v>943.65</v>
      </c>
      <c r="P1370" s="116">
        <v>967</v>
      </c>
      <c r="Q1370" s="116">
        <v>1917</v>
      </c>
      <c r="R1370">
        <v>31073591</v>
      </c>
    </row>
    <row r="1371" spans="1:18" x14ac:dyDescent="0.25">
      <c r="A1371" s="170">
        <v>44027</v>
      </c>
      <c r="B1371" s="116">
        <v>989.25</v>
      </c>
      <c r="C1371" s="116">
        <v>922.8</v>
      </c>
      <c r="D1371" s="116">
        <v>899.07500000000005</v>
      </c>
      <c r="E1371" s="116">
        <v>969.35</v>
      </c>
      <c r="F1371" s="116">
        <v>1845.6</v>
      </c>
      <c r="G1371">
        <v>2839024</v>
      </c>
      <c r="H1371" s="116"/>
      <c r="I1371" s="116"/>
      <c r="L1371" s="170">
        <v>44027</v>
      </c>
      <c r="M1371" s="116">
        <v>922</v>
      </c>
      <c r="N1371" s="116">
        <v>989.4</v>
      </c>
      <c r="O1371" s="116">
        <v>899</v>
      </c>
      <c r="P1371" s="116">
        <v>968.97500000000002</v>
      </c>
      <c r="Q1371" s="116">
        <v>1844</v>
      </c>
      <c r="R1371">
        <v>64458598</v>
      </c>
    </row>
    <row r="1372" spans="1:18" x14ac:dyDescent="0.25">
      <c r="A1372" s="170">
        <v>44028</v>
      </c>
      <c r="B1372" s="116">
        <v>934</v>
      </c>
      <c r="C1372" s="116">
        <v>921.55</v>
      </c>
      <c r="D1372" s="116">
        <v>906.125</v>
      </c>
      <c r="E1372" s="116">
        <v>925</v>
      </c>
      <c r="F1372" s="116">
        <v>1843.1</v>
      </c>
      <c r="G1372">
        <v>1647250</v>
      </c>
      <c r="H1372" s="116"/>
      <c r="I1372" s="116"/>
      <c r="L1372" s="170">
        <v>44028</v>
      </c>
      <c r="M1372" s="116">
        <v>921.7</v>
      </c>
      <c r="N1372" s="116">
        <v>934.5</v>
      </c>
      <c r="O1372" s="116">
        <v>906.22500000000002</v>
      </c>
      <c r="P1372" s="116">
        <v>923.5</v>
      </c>
      <c r="Q1372" s="116">
        <v>1843.4</v>
      </c>
      <c r="R1372">
        <v>28133993</v>
      </c>
    </row>
    <row r="1373" spans="1:18" x14ac:dyDescent="0.25">
      <c r="A1373" s="170">
        <v>44029</v>
      </c>
      <c r="B1373" s="116">
        <v>959.95</v>
      </c>
      <c r="C1373" s="116">
        <v>955.67499999999995</v>
      </c>
      <c r="D1373" s="116">
        <v>919.1</v>
      </c>
      <c r="E1373" s="116">
        <v>922.5</v>
      </c>
      <c r="F1373" s="116">
        <v>1911.35</v>
      </c>
      <c r="G1373">
        <v>989480</v>
      </c>
      <c r="H1373" s="116"/>
      <c r="I1373" s="116"/>
      <c r="L1373" s="170">
        <v>44029</v>
      </c>
      <c r="M1373" s="116">
        <v>955.85</v>
      </c>
      <c r="N1373" s="116">
        <v>960</v>
      </c>
      <c r="O1373" s="116">
        <v>919</v>
      </c>
      <c r="P1373" s="116">
        <v>922.5</v>
      </c>
      <c r="Q1373" s="116">
        <v>1911.7</v>
      </c>
      <c r="R1373">
        <v>22949535</v>
      </c>
    </row>
    <row r="1374" spans="1:18" x14ac:dyDescent="0.25">
      <c r="A1374" s="170">
        <v>44032</v>
      </c>
      <c r="B1374" s="116">
        <v>965.625</v>
      </c>
      <c r="C1374" s="116">
        <v>959.65</v>
      </c>
      <c r="D1374" s="116">
        <v>949.8</v>
      </c>
      <c r="E1374" s="116">
        <v>960.02499999999998</v>
      </c>
      <c r="F1374" s="116">
        <v>1919.3</v>
      </c>
      <c r="G1374">
        <v>756307</v>
      </c>
      <c r="H1374" s="116"/>
      <c r="I1374" s="116"/>
      <c r="L1374" s="170">
        <v>44032</v>
      </c>
      <c r="M1374" s="116">
        <v>959.95</v>
      </c>
      <c r="N1374" s="116">
        <v>966</v>
      </c>
      <c r="O1374" s="116">
        <v>949.82500000000005</v>
      </c>
      <c r="P1374" s="116">
        <v>958.9</v>
      </c>
      <c r="Q1374" s="116">
        <v>1919.9</v>
      </c>
      <c r="R1374">
        <v>16887752</v>
      </c>
    </row>
    <row r="1375" spans="1:18" x14ac:dyDescent="0.25">
      <c r="A1375" s="170">
        <v>44033</v>
      </c>
      <c r="B1375" s="116">
        <v>988.4</v>
      </c>
      <c r="C1375" s="116">
        <v>985.92499999999995</v>
      </c>
      <c r="D1375" s="116">
        <v>967.5</v>
      </c>
      <c r="E1375" s="116">
        <v>970.9</v>
      </c>
      <c r="F1375" s="116">
        <v>1971.85</v>
      </c>
      <c r="G1375">
        <v>1034423</v>
      </c>
      <c r="H1375" s="116"/>
      <c r="I1375" s="116"/>
      <c r="L1375" s="170">
        <v>44033</v>
      </c>
      <c r="M1375" s="116">
        <v>985.77499999999998</v>
      </c>
      <c r="N1375" s="116">
        <v>988.5</v>
      </c>
      <c r="O1375" s="116">
        <v>968.25</v>
      </c>
      <c r="P1375" s="116">
        <v>969.5</v>
      </c>
      <c r="Q1375" s="116">
        <v>1971.55</v>
      </c>
      <c r="R1375">
        <v>19463498</v>
      </c>
    </row>
    <row r="1376" spans="1:18" x14ac:dyDescent="0.25">
      <c r="A1376" s="170">
        <v>44034</v>
      </c>
      <c r="B1376" s="116">
        <v>1005</v>
      </c>
      <c r="C1376" s="116">
        <v>1002.05</v>
      </c>
      <c r="D1376" s="116">
        <v>980</v>
      </c>
      <c r="E1376" s="116">
        <v>990.02499999999998</v>
      </c>
      <c r="F1376" s="116">
        <v>2004.1</v>
      </c>
      <c r="G1376">
        <v>1467946</v>
      </c>
      <c r="H1376" s="116"/>
      <c r="I1376" s="116"/>
      <c r="L1376" s="170">
        <v>44034</v>
      </c>
      <c r="M1376" s="116">
        <v>1002</v>
      </c>
      <c r="N1376" s="116">
        <v>1005</v>
      </c>
      <c r="O1376" s="116">
        <v>980.35</v>
      </c>
      <c r="P1376" s="116">
        <v>991.5</v>
      </c>
      <c r="Q1376" s="116">
        <v>2004</v>
      </c>
      <c r="R1376">
        <v>27584769</v>
      </c>
    </row>
    <row r="1377" spans="1:18" x14ac:dyDescent="0.25">
      <c r="A1377" s="170">
        <v>44035</v>
      </c>
      <c r="B1377" s="116">
        <v>1039.45</v>
      </c>
      <c r="C1377" s="116">
        <v>1030.325</v>
      </c>
      <c r="D1377" s="116">
        <v>995.55</v>
      </c>
      <c r="E1377" s="116">
        <v>1002.05</v>
      </c>
      <c r="F1377" s="116">
        <v>2060.65</v>
      </c>
      <c r="G1377">
        <v>1379049</v>
      </c>
      <c r="H1377" s="116"/>
      <c r="I1377" s="116"/>
      <c r="L1377" s="170">
        <v>44035</v>
      </c>
      <c r="M1377" s="116">
        <v>1028.9000000000001</v>
      </c>
      <c r="N1377" s="116">
        <v>1039.8499999999999</v>
      </c>
      <c r="O1377" s="116">
        <v>995.67499999999995</v>
      </c>
      <c r="P1377" s="116">
        <v>1001.975</v>
      </c>
      <c r="Q1377" s="116">
        <v>2057.8000000000002</v>
      </c>
      <c r="R1377">
        <v>26921058</v>
      </c>
    </row>
    <row r="1378" spans="1:18" x14ac:dyDescent="0.25">
      <c r="A1378" s="170">
        <v>44036</v>
      </c>
      <c r="B1378" s="116">
        <v>1081.4000000000001</v>
      </c>
      <c r="C1378" s="116">
        <v>1073.0999999999999</v>
      </c>
      <c r="D1378" s="116">
        <v>1027.95</v>
      </c>
      <c r="E1378" s="116">
        <v>1030</v>
      </c>
      <c r="F1378" s="116">
        <v>2146.1999999999998</v>
      </c>
      <c r="G1378">
        <v>2889272</v>
      </c>
      <c r="H1378" s="116"/>
      <c r="I1378" s="116"/>
      <c r="L1378" s="170">
        <v>44036</v>
      </c>
      <c r="M1378" s="116">
        <v>1073.075</v>
      </c>
      <c r="N1378" s="116">
        <v>1081.5</v>
      </c>
      <c r="O1378" s="116">
        <v>1028.9000000000001</v>
      </c>
      <c r="P1378" s="116">
        <v>1029</v>
      </c>
      <c r="Q1378" s="116">
        <v>2146.15</v>
      </c>
      <c r="R1378">
        <v>55656793</v>
      </c>
    </row>
    <row r="1379" spans="1:18" x14ac:dyDescent="0.25">
      <c r="A1379" s="170">
        <v>44039</v>
      </c>
      <c r="B1379" s="116">
        <v>1099.3499999999999</v>
      </c>
      <c r="C1379" s="116">
        <v>1077.925</v>
      </c>
      <c r="D1379" s="116">
        <v>1064.0250000000001</v>
      </c>
      <c r="E1379" s="116">
        <v>1094.75</v>
      </c>
      <c r="F1379" s="116">
        <v>2155.85</v>
      </c>
      <c r="G1379">
        <v>2313290</v>
      </c>
      <c r="H1379" s="116"/>
      <c r="I1379" s="116"/>
      <c r="L1379" s="170">
        <v>44039</v>
      </c>
      <c r="M1379" s="116">
        <v>1078.0999999999999</v>
      </c>
      <c r="N1379" s="116">
        <v>1099.4000000000001</v>
      </c>
      <c r="O1379" s="116">
        <v>1063.95</v>
      </c>
      <c r="P1379" s="116">
        <v>1089.4000000000001</v>
      </c>
      <c r="Q1379" s="116">
        <v>2156.1999999999998</v>
      </c>
      <c r="R1379">
        <v>37060949</v>
      </c>
    </row>
    <row r="1380" spans="1:18" x14ac:dyDescent="0.25">
      <c r="A1380" s="170">
        <v>44040</v>
      </c>
      <c r="B1380" s="116">
        <v>1096.7</v>
      </c>
      <c r="C1380" s="116">
        <v>1088.7249999999999</v>
      </c>
      <c r="D1380" s="116">
        <v>1076.0999999999999</v>
      </c>
      <c r="E1380" s="116">
        <v>1081.9000000000001</v>
      </c>
      <c r="F1380" s="116">
        <v>2177.4499999999998</v>
      </c>
      <c r="G1380">
        <v>1089402</v>
      </c>
      <c r="H1380" s="116"/>
      <c r="I1380" s="116"/>
      <c r="L1380" s="170">
        <v>44040</v>
      </c>
      <c r="M1380" s="116">
        <v>1088.8499999999999</v>
      </c>
      <c r="N1380" s="116">
        <v>1097</v>
      </c>
      <c r="O1380" s="116">
        <v>1075.325</v>
      </c>
      <c r="P1380" s="116">
        <v>1078.0999999999999</v>
      </c>
      <c r="Q1380" s="116">
        <v>2177.6999999999998</v>
      </c>
      <c r="R1380">
        <v>25435618</v>
      </c>
    </row>
    <row r="1381" spans="1:18" x14ac:dyDescent="0.25">
      <c r="A1381" s="170">
        <v>44041</v>
      </c>
      <c r="B1381" s="116">
        <v>1092.5999999999999</v>
      </c>
      <c r="C1381" s="116">
        <v>1047.925</v>
      </c>
      <c r="D1381" s="116">
        <v>1035.5</v>
      </c>
      <c r="E1381" s="116">
        <v>1090</v>
      </c>
      <c r="F1381" s="116">
        <v>2095.85</v>
      </c>
      <c r="G1381">
        <v>1525220</v>
      </c>
      <c r="H1381" s="116"/>
      <c r="I1381" s="116"/>
      <c r="L1381" s="170">
        <v>44041</v>
      </c>
      <c r="M1381" s="116">
        <v>1048.325</v>
      </c>
      <c r="N1381" s="116">
        <v>1091.4000000000001</v>
      </c>
      <c r="O1381" s="116">
        <v>1035.2249999999999</v>
      </c>
      <c r="P1381" s="116">
        <v>1088.95</v>
      </c>
      <c r="Q1381" s="116">
        <v>2096.65</v>
      </c>
      <c r="R1381">
        <v>33536361</v>
      </c>
    </row>
    <row r="1382" spans="1:18" x14ac:dyDescent="0.25">
      <c r="A1382" s="170">
        <v>44042</v>
      </c>
      <c r="B1382" s="116">
        <v>1069.5</v>
      </c>
      <c r="C1382" s="116">
        <v>1054.325</v>
      </c>
      <c r="D1382" s="116">
        <v>1036.1500000000001</v>
      </c>
      <c r="E1382" s="116">
        <v>1050</v>
      </c>
      <c r="F1382" s="116">
        <v>2108.65</v>
      </c>
      <c r="G1382">
        <v>1203821</v>
      </c>
      <c r="H1382" s="116"/>
      <c r="I1382" s="116"/>
      <c r="L1382" s="170">
        <v>44042</v>
      </c>
      <c r="M1382" s="116">
        <v>1054.425</v>
      </c>
      <c r="N1382" s="116">
        <v>1069.8499999999999</v>
      </c>
      <c r="O1382" s="116">
        <v>1036</v>
      </c>
      <c r="P1382" s="116">
        <v>1049.5</v>
      </c>
      <c r="Q1382" s="116">
        <v>2108.85</v>
      </c>
      <c r="R1382">
        <v>33624516</v>
      </c>
    </row>
    <row r="1383" spans="1:18" x14ac:dyDescent="0.25">
      <c r="A1383" s="170">
        <v>44043</v>
      </c>
      <c r="B1383" s="116">
        <v>1064.925</v>
      </c>
      <c r="C1383" s="116">
        <v>1033.4749999999999</v>
      </c>
      <c r="D1383" s="116">
        <v>1026.6500000000001</v>
      </c>
      <c r="E1383" s="116">
        <v>1062.5</v>
      </c>
      <c r="F1383" s="116">
        <v>2066.9499999999998</v>
      </c>
      <c r="G1383">
        <v>1283236</v>
      </c>
      <c r="H1383" s="116"/>
      <c r="I1383" s="116"/>
      <c r="L1383" s="170">
        <v>44043</v>
      </c>
      <c r="M1383" s="116">
        <v>1033.55</v>
      </c>
      <c r="N1383" s="116">
        <v>1064.5</v>
      </c>
      <c r="O1383" s="116">
        <v>1026.4000000000001</v>
      </c>
      <c r="P1383" s="116">
        <v>1057.25</v>
      </c>
      <c r="Q1383" s="116">
        <v>2067.1</v>
      </c>
      <c r="R1383">
        <v>34593375</v>
      </c>
    </row>
    <row r="1384" spans="1:18" x14ac:dyDescent="0.25">
      <c r="A1384" s="170">
        <v>44046</v>
      </c>
      <c r="B1384" s="116">
        <v>1029.5</v>
      </c>
      <c r="C1384" s="116">
        <v>1004.225</v>
      </c>
      <c r="D1384" s="116">
        <v>1002</v>
      </c>
      <c r="E1384" s="116">
        <v>1029.5</v>
      </c>
      <c r="F1384" s="116">
        <v>2008.45</v>
      </c>
      <c r="G1384">
        <v>714727</v>
      </c>
      <c r="H1384" s="116"/>
      <c r="I1384" s="116"/>
      <c r="L1384" s="170">
        <v>44046</v>
      </c>
      <c r="M1384" s="116">
        <v>1004.5</v>
      </c>
      <c r="N1384" s="116">
        <v>1028.5</v>
      </c>
      <c r="O1384" s="116">
        <v>1001.55</v>
      </c>
      <c r="P1384" s="116">
        <v>1025.6500000000001</v>
      </c>
      <c r="Q1384" s="116">
        <v>2009</v>
      </c>
      <c r="R1384">
        <v>21560137</v>
      </c>
    </row>
    <row r="1385" spans="1:18" x14ac:dyDescent="0.25">
      <c r="A1385" s="170">
        <v>44047</v>
      </c>
      <c r="B1385" s="116">
        <v>1083.5</v>
      </c>
      <c r="C1385" s="116">
        <v>1075.575</v>
      </c>
      <c r="D1385" s="116">
        <v>1000.625</v>
      </c>
      <c r="E1385" s="116">
        <v>1008.55</v>
      </c>
      <c r="F1385" s="116">
        <v>2151.15</v>
      </c>
      <c r="G1385">
        <v>2053197</v>
      </c>
      <c r="H1385" s="116"/>
      <c r="I1385" s="116"/>
      <c r="L1385" s="170">
        <v>44047</v>
      </c>
      <c r="M1385" s="116">
        <v>1075.3</v>
      </c>
      <c r="N1385" s="116">
        <v>1083.5</v>
      </c>
      <c r="O1385" s="116">
        <v>1000.125</v>
      </c>
      <c r="P1385" s="116">
        <v>1010.3</v>
      </c>
      <c r="Q1385" s="116">
        <v>2150.6</v>
      </c>
      <c r="R1385">
        <v>42477225</v>
      </c>
    </row>
    <row r="1386" spans="1:18" x14ac:dyDescent="0.25">
      <c r="A1386" s="170">
        <v>44048</v>
      </c>
      <c r="B1386" s="116">
        <v>1097.5</v>
      </c>
      <c r="C1386" s="116">
        <v>1063.325</v>
      </c>
      <c r="D1386" s="116">
        <v>1059</v>
      </c>
      <c r="E1386" s="116">
        <v>1085</v>
      </c>
      <c r="F1386" s="116">
        <v>2126.65</v>
      </c>
      <c r="G1386">
        <v>1793838</v>
      </c>
      <c r="H1386" s="116"/>
      <c r="I1386" s="116"/>
      <c r="L1386" s="170">
        <v>44048</v>
      </c>
      <c r="M1386" s="116">
        <v>1063.2249999999999</v>
      </c>
      <c r="N1386" s="116">
        <v>1098</v>
      </c>
      <c r="O1386" s="116">
        <v>1059.1500000000001</v>
      </c>
      <c r="P1386" s="116">
        <v>1084.5</v>
      </c>
      <c r="Q1386" s="116">
        <v>2126.4499999999998</v>
      </c>
      <c r="R1386">
        <v>34405886</v>
      </c>
    </row>
    <row r="1387" spans="1:18" x14ac:dyDescent="0.25">
      <c r="A1387" s="170">
        <v>44049</v>
      </c>
      <c r="B1387" s="116">
        <v>1083.7750000000001</v>
      </c>
      <c r="C1387" s="116">
        <v>1067.2750000000001</v>
      </c>
      <c r="D1387" s="116">
        <v>1053.4749999999999</v>
      </c>
      <c r="E1387" s="116">
        <v>1080</v>
      </c>
      <c r="F1387" s="116">
        <v>2134.5500000000002</v>
      </c>
      <c r="G1387">
        <v>1248632</v>
      </c>
      <c r="H1387" s="116"/>
      <c r="I1387" s="116"/>
      <c r="L1387" s="170">
        <v>44049</v>
      </c>
      <c r="M1387" s="116">
        <v>1067.05</v>
      </c>
      <c r="N1387" s="116">
        <v>1083.8499999999999</v>
      </c>
      <c r="O1387" s="116">
        <v>1053.9000000000001</v>
      </c>
      <c r="P1387" s="116">
        <v>1078.5</v>
      </c>
      <c r="Q1387" s="116">
        <v>2134.1</v>
      </c>
      <c r="R1387">
        <v>22762726</v>
      </c>
    </row>
    <row r="1388" spans="1:18" x14ac:dyDescent="0.25">
      <c r="A1388" s="170">
        <v>44050</v>
      </c>
      <c r="B1388" s="116">
        <v>1078.5</v>
      </c>
      <c r="C1388" s="116">
        <v>1073.3499999999999</v>
      </c>
      <c r="D1388" s="116">
        <v>1060.05</v>
      </c>
      <c r="E1388" s="116">
        <v>1062.2750000000001</v>
      </c>
      <c r="F1388" s="116">
        <v>2146.6999999999998</v>
      </c>
      <c r="G1388">
        <v>960776</v>
      </c>
      <c r="H1388" s="116"/>
      <c r="I1388" s="116"/>
      <c r="L1388" s="170">
        <v>44050</v>
      </c>
      <c r="M1388" s="116">
        <v>1073.2249999999999</v>
      </c>
      <c r="N1388" s="116">
        <v>1078.9000000000001</v>
      </c>
      <c r="O1388" s="116">
        <v>1060.0999999999999</v>
      </c>
      <c r="P1388" s="116">
        <v>1064.9000000000001</v>
      </c>
      <c r="Q1388" s="116">
        <v>2146.4499999999998</v>
      </c>
      <c r="R1388">
        <v>15222384</v>
      </c>
    </row>
    <row r="1389" spans="1:18" x14ac:dyDescent="0.25">
      <c r="A1389" s="170">
        <v>44053</v>
      </c>
      <c r="B1389" s="116">
        <v>1082.4749999999999</v>
      </c>
      <c r="C1389" s="116">
        <v>1059.8</v>
      </c>
      <c r="D1389" s="116">
        <v>1054.125</v>
      </c>
      <c r="E1389" s="116">
        <v>1078.25</v>
      </c>
      <c r="F1389" s="116">
        <v>2119.6</v>
      </c>
      <c r="G1389">
        <v>825626</v>
      </c>
      <c r="H1389" s="116"/>
      <c r="I1389" s="116"/>
      <c r="L1389" s="170">
        <v>44053</v>
      </c>
      <c r="M1389" s="116">
        <v>1059.925</v>
      </c>
      <c r="N1389" s="116">
        <v>1082.5</v>
      </c>
      <c r="O1389" s="116">
        <v>1054.05</v>
      </c>
      <c r="P1389" s="116">
        <v>1079.55</v>
      </c>
      <c r="Q1389" s="116">
        <v>2119.85</v>
      </c>
      <c r="R1389">
        <v>12441939</v>
      </c>
    </row>
    <row r="1390" spans="1:18" x14ac:dyDescent="0.25">
      <c r="A1390" s="170">
        <v>44054</v>
      </c>
      <c r="B1390" s="116">
        <v>1080</v>
      </c>
      <c r="C1390" s="116">
        <v>1067.0250000000001</v>
      </c>
      <c r="D1390" s="116">
        <v>1050.575</v>
      </c>
      <c r="E1390" s="116">
        <v>1068.8499999999999</v>
      </c>
      <c r="F1390" s="116">
        <v>2134.0500000000002</v>
      </c>
      <c r="G1390">
        <v>697367</v>
      </c>
      <c r="H1390" s="116"/>
      <c r="I1390" s="116"/>
      <c r="L1390" s="170">
        <v>44054</v>
      </c>
      <c r="M1390" s="116">
        <v>1066.9000000000001</v>
      </c>
      <c r="N1390" s="116">
        <v>1080</v>
      </c>
      <c r="O1390" s="116">
        <v>1050.175</v>
      </c>
      <c r="P1390" s="116">
        <v>1067.4000000000001</v>
      </c>
      <c r="Q1390" s="116">
        <v>2133.8000000000002</v>
      </c>
      <c r="R1390">
        <v>21611359</v>
      </c>
    </row>
    <row r="1391" spans="1:18" x14ac:dyDescent="0.25">
      <c r="A1391" s="170">
        <v>44055</v>
      </c>
      <c r="B1391" s="116">
        <v>1072.45</v>
      </c>
      <c r="C1391" s="116">
        <v>1063.8</v>
      </c>
      <c r="D1391" s="116">
        <v>1053.3</v>
      </c>
      <c r="E1391" s="116">
        <v>1062</v>
      </c>
      <c r="F1391" s="116">
        <v>2127.6</v>
      </c>
      <c r="G1391">
        <v>702687</v>
      </c>
      <c r="H1391" s="116"/>
      <c r="I1391" s="116"/>
      <c r="L1391" s="170">
        <v>44055</v>
      </c>
      <c r="M1391" s="116">
        <v>1063.8</v>
      </c>
      <c r="N1391" s="116">
        <v>1072.5</v>
      </c>
      <c r="O1391" s="116">
        <v>1053.4000000000001</v>
      </c>
      <c r="P1391" s="116">
        <v>1060.5</v>
      </c>
      <c r="Q1391" s="116">
        <v>2127.6</v>
      </c>
      <c r="R1391">
        <v>13967529</v>
      </c>
    </row>
    <row r="1392" spans="1:18" x14ac:dyDescent="0.25">
      <c r="A1392" s="170">
        <v>44056</v>
      </c>
      <c r="B1392" s="116">
        <v>1069.5</v>
      </c>
      <c r="C1392" s="116">
        <v>1061.1500000000001</v>
      </c>
      <c r="D1392" s="116">
        <v>1055</v>
      </c>
      <c r="E1392" s="116">
        <v>1066.75</v>
      </c>
      <c r="F1392" s="116">
        <v>2122.3000000000002</v>
      </c>
      <c r="G1392">
        <v>458203</v>
      </c>
      <c r="H1392" s="116"/>
      <c r="I1392" s="116"/>
      <c r="L1392" s="170">
        <v>44056</v>
      </c>
      <c r="M1392" s="116">
        <v>1061.0250000000001</v>
      </c>
      <c r="N1392" s="116">
        <v>1069.45</v>
      </c>
      <c r="O1392" s="116">
        <v>1055</v>
      </c>
      <c r="P1392" s="116">
        <v>1064</v>
      </c>
      <c r="Q1392" s="116">
        <v>2122.0500000000002</v>
      </c>
      <c r="R1392">
        <v>11459251</v>
      </c>
    </row>
    <row r="1393" spans="1:18" x14ac:dyDescent="0.25">
      <c r="A1393" s="170">
        <v>44057</v>
      </c>
      <c r="B1393" s="116">
        <v>1078.25</v>
      </c>
      <c r="C1393" s="116">
        <v>1057.05</v>
      </c>
      <c r="D1393" s="116">
        <v>1045.0999999999999</v>
      </c>
      <c r="E1393" s="116">
        <v>1061.1500000000001</v>
      </c>
      <c r="F1393" s="116">
        <v>2114.1</v>
      </c>
      <c r="G1393">
        <v>1012345</v>
      </c>
      <c r="H1393" s="116"/>
      <c r="I1393" s="116"/>
      <c r="L1393" s="170">
        <v>44057</v>
      </c>
      <c r="M1393" s="116">
        <v>1056.9000000000001</v>
      </c>
      <c r="N1393" s="116">
        <v>1078.5</v>
      </c>
      <c r="O1393" s="116">
        <v>1044.625</v>
      </c>
      <c r="P1393" s="116">
        <v>1061.2750000000001</v>
      </c>
      <c r="Q1393" s="116">
        <v>2113.8000000000002</v>
      </c>
      <c r="R1393">
        <v>15333759</v>
      </c>
    </row>
    <row r="1394" spans="1:18" x14ac:dyDescent="0.25">
      <c r="A1394" s="170">
        <v>44060</v>
      </c>
      <c r="B1394" s="116">
        <v>1053.6500000000001</v>
      </c>
      <c r="C1394" s="116">
        <v>1045.7249999999999</v>
      </c>
      <c r="D1394" s="116">
        <v>1035</v>
      </c>
      <c r="E1394" s="116">
        <v>1051.575</v>
      </c>
      <c r="F1394" s="116">
        <v>2091.4499999999998</v>
      </c>
      <c r="G1394">
        <v>923799</v>
      </c>
      <c r="H1394" s="116"/>
      <c r="I1394" s="116"/>
      <c r="L1394" s="170">
        <v>44060</v>
      </c>
      <c r="M1394" s="116">
        <v>1045.675</v>
      </c>
      <c r="N1394" s="116">
        <v>1052.5</v>
      </c>
      <c r="O1394" s="116">
        <v>1035.05</v>
      </c>
      <c r="P1394" s="116">
        <v>1052.5</v>
      </c>
      <c r="Q1394" s="116">
        <v>2091.35</v>
      </c>
      <c r="R1394">
        <v>14297224</v>
      </c>
    </row>
    <row r="1395" spans="1:18" x14ac:dyDescent="0.25">
      <c r="A1395" s="170">
        <v>44061</v>
      </c>
      <c r="B1395" s="116">
        <v>1066.45</v>
      </c>
      <c r="C1395" s="116">
        <v>1059.375</v>
      </c>
      <c r="D1395" s="116">
        <v>1041.4749999999999</v>
      </c>
      <c r="E1395" s="116">
        <v>1044.8499999999999</v>
      </c>
      <c r="F1395" s="116">
        <v>2118.75</v>
      </c>
      <c r="G1395">
        <v>642400</v>
      </c>
      <c r="H1395" s="116"/>
      <c r="I1395" s="116"/>
      <c r="L1395" s="170">
        <v>44061</v>
      </c>
      <c r="M1395" s="116">
        <v>1059.2750000000001</v>
      </c>
      <c r="N1395" s="116">
        <v>1067.1500000000001</v>
      </c>
      <c r="O1395" s="116">
        <v>1041.175</v>
      </c>
      <c r="P1395" s="116">
        <v>1042.5</v>
      </c>
      <c r="Q1395" s="116">
        <v>2118.5500000000002</v>
      </c>
      <c r="R1395">
        <v>14097932</v>
      </c>
    </row>
    <row r="1396" spans="1:18" x14ac:dyDescent="0.25">
      <c r="A1396" s="170">
        <v>44062</v>
      </c>
      <c r="B1396" s="116">
        <v>1077</v>
      </c>
      <c r="C1396" s="116">
        <v>1066.5999999999999</v>
      </c>
      <c r="D1396" s="116">
        <v>1060.675</v>
      </c>
      <c r="E1396" s="116">
        <v>1070.9749999999999</v>
      </c>
      <c r="F1396" s="116">
        <v>2133.1999999999998</v>
      </c>
      <c r="G1396">
        <v>758768</v>
      </c>
      <c r="H1396" s="116"/>
      <c r="I1396" s="116"/>
      <c r="L1396" s="170">
        <v>44062</v>
      </c>
      <c r="M1396" s="116">
        <v>1065.7750000000001</v>
      </c>
      <c r="N1396" s="116">
        <v>1077</v>
      </c>
      <c r="O1396" s="116">
        <v>1060.675</v>
      </c>
      <c r="P1396" s="116">
        <v>1070.5</v>
      </c>
      <c r="Q1396" s="116">
        <v>2131.5500000000002</v>
      </c>
      <c r="R1396">
        <v>15731409</v>
      </c>
    </row>
    <row r="1397" spans="1:18" x14ac:dyDescent="0.25">
      <c r="A1397" s="170">
        <v>44063</v>
      </c>
      <c r="B1397" s="116">
        <v>1061.95</v>
      </c>
      <c r="C1397" s="116">
        <v>1048.175</v>
      </c>
      <c r="D1397" s="116">
        <v>1043.9000000000001</v>
      </c>
      <c r="E1397" s="116">
        <v>1059.0250000000001</v>
      </c>
      <c r="F1397" s="116">
        <v>2096.35</v>
      </c>
      <c r="G1397">
        <v>494200</v>
      </c>
      <c r="H1397" s="116"/>
      <c r="I1397" s="116"/>
      <c r="L1397" s="170">
        <v>44063</v>
      </c>
      <c r="M1397" s="116">
        <v>1048.5250000000001</v>
      </c>
      <c r="N1397" s="116">
        <v>1061.95</v>
      </c>
      <c r="O1397" s="116">
        <v>1044</v>
      </c>
      <c r="P1397" s="116">
        <v>1060</v>
      </c>
      <c r="Q1397" s="116">
        <v>2097.0500000000002</v>
      </c>
      <c r="R1397">
        <v>10402292</v>
      </c>
    </row>
    <row r="1398" spans="1:18" x14ac:dyDescent="0.25">
      <c r="A1398" s="170">
        <v>44064</v>
      </c>
      <c r="B1398" s="116">
        <v>1059.9000000000001</v>
      </c>
      <c r="C1398" s="116">
        <v>1040.875</v>
      </c>
      <c r="D1398" s="116">
        <v>1038.5250000000001</v>
      </c>
      <c r="E1398" s="116">
        <v>1059.9000000000001</v>
      </c>
      <c r="F1398" s="116">
        <v>2081.75</v>
      </c>
      <c r="G1398">
        <v>437199</v>
      </c>
      <c r="H1398" s="116"/>
      <c r="I1398" s="116"/>
      <c r="L1398" s="170">
        <v>44064</v>
      </c>
      <c r="M1398" s="116">
        <v>1040.925</v>
      </c>
      <c r="N1398" s="116">
        <v>1061</v>
      </c>
      <c r="O1398" s="116">
        <v>1038.5</v>
      </c>
      <c r="P1398" s="116">
        <v>1059</v>
      </c>
      <c r="Q1398" s="116">
        <v>2081.85</v>
      </c>
      <c r="R1398">
        <v>11667281</v>
      </c>
    </row>
    <row r="1399" spans="1:18" x14ac:dyDescent="0.25">
      <c r="A1399" s="170">
        <v>44067</v>
      </c>
      <c r="B1399" s="116">
        <v>1052.325</v>
      </c>
      <c r="C1399" s="116">
        <v>1048.0250000000001</v>
      </c>
      <c r="D1399" s="116">
        <v>1035.075</v>
      </c>
      <c r="E1399" s="116">
        <v>1049.4000000000001</v>
      </c>
      <c r="F1399" s="116">
        <v>2096.0500000000002</v>
      </c>
      <c r="G1399">
        <v>560786</v>
      </c>
      <c r="H1399" s="116"/>
      <c r="I1399" s="116"/>
      <c r="L1399" s="170">
        <v>44067</v>
      </c>
      <c r="M1399" s="116">
        <v>1047.875</v>
      </c>
      <c r="N1399" s="116">
        <v>1052.25</v>
      </c>
      <c r="O1399" s="116">
        <v>1035.25</v>
      </c>
      <c r="P1399" s="116">
        <v>1045.7</v>
      </c>
      <c r="Q1399" s="116">
        <v>2095.75</v>
      </c>
      <c r="R1399">
        <v>15099030</v>
      </c>
    </row>
    <row r="1400" spans="1:18" x14ac:dyDescent="0.25">
      <c r="A1400" s="170">
        <v>44068</v>
      </c>
      <c r="B1400" s="116">
        <v>1055.6500000000001</v>
      </c>
      <c r="C1400" s="116">
        <v>1041</v>
      </c>
      <c r="D1400" s="116">
        <v>1039.1500000000001</v>
      </c>
      <c r="E1400" s="116">
        <v>1052.5</v>
      </c>
      <c r="F1400" s="116">
        <v>2082</v>
      </c>
      <c r="G1400">
        <v>481884</v>
      </c>
      <c r="H1400" s="116"/>
      <c r="I1400" s="116"/>
      <c r="L1400" s="170">
        <v>44068</v>
      </c>
      <c r="M1400" s="116">
        <v>1041.05</v>
      </c>
      <c r="N1400" s="116">
        <v>1055.6500000000001</v>
      </c>
      <c r="O1400" s="116">
        <v>1039</v>
      </c>
      <c r="P1400" s="116">
        <v>1053</v>
      </c>
      <c r="Q1400" s="116">
        <v>2082.1</v>
      </c>
      <c r="R1400">
        <v>8947709</v>
      </c>
    </row>
    <row r="1401" spans="1:18" x14ac:dyDescent="0.25">
      <c r="A1401" s="170">
        <v>44069</v>
      </c>
      <c r="B1401" s="116">
        <v>1073.575</v>
      </c>
      <c r="C1401" s="116">
        <v>1068.425</v>
      </c>
      <c r="D1401" s="116">
        <v>1023.625</v>
      </c>
      <c r="E1401" s="116">
        <v>1043.7</v>
      </c>
      <c r="F1401" s="116">
        <v>2136.85</v>
      </c>
      <c r="G1401">
        <v>857465</v>
      </c>
      <c r="H1401" s="116"/>
      <c r="I1401" s="116"/>
      <c r="L1401" s="170">
        <v>44069</v>
      </c>
      <c r="M1401" s="116">
        <v>1068.6500000000001</v>
      </c>
      <c r="N1401" s="116">
        <v>1073.9749999999999</v>
      </c>
      <c r="O1401" s="116">
        <v>1023.5</v>
      </c>
      <c r="P1401" s="116">
        <v>1042.5</v>
      </c>
      <c r="Q1401" s="116">
        <v>2137.3000000000002</v>
      </c>
      <c r="R1401">
        <v>27631028</v>
      </c>
    </row>
    <row r="1402" spans="1:18" x14ac:dyDescent="0.25">
      <c r="A1402" s="170">
        <v>44070</v>
      </c>
      <c r="B1402" s="116">
        <v>1074.25</v>
      </c>
      <c r="C1402" s="116">
        <v>1055.8499999999999</v>
      </c>
      <c r="D1402" s="116">
        <v>1051.875</v>
      </c>
      <c r="E1402" s="116">
        <v>1073.125</v>
      </c>
      <c r="F1402" s="116">
        <v>2111.6999999999998</v>
      </c>
      <c r="G1402">
        <v>397191</v>
      </c>
      <c r="H1402" s="116"/>
      <c r="I1402" s="116"/>
      <c r="L1402" s="170">
        <v>44070</v>
      </c>
      <c r="M1402" s="116">
        <v>1055.3</v>
      </c>
      <c r="N1402" s="116">
        <v>1075</v>
      </c>
      <c r="O1402" s="116">
        <v>1051.625</v>
      </c>
      <c r="P1402" s="116">
        <v>1074</v>
      </c>
      <c r="Q1402" s="116">
        <v>2110.6</v>
      </c>
      <c r="R1402">
        <v>12962139</v>
      </c>
    </row>
    <row r="1403" spans="1:18" x14ac:dyDescent="0.25">
      <c r="A1403" s="170">
        <v>44071</v>
      </c>
      <c r="B1403" s="116">
        <v>1065.95</v>
      </c>
      <c r="C1403" s="116">
        <v>1057.8</v>
      </c>
      <c r="D1403" s="116">
        <v>1053.0999999999999</v>
      </c>
      <c r="E1403" s="116">
        <v>1060</v>
      </c>
      <c r="F1403" s="116">
        <v>2115.6</v>
      </c>
      <c r="G1403">
        <v>463554</v>
      </c>
      <c r="H1403" s="116"/>
      <c r="I1403" s="116"/>
      <c r="L1403" s="170">
        <v>44071</v>
      </c>
      <c r="M1403" s="116">
        <v>1058.075</v>
      </c>
      <c r="N1403" s="116">
        <v>1066.45</v>
      </c>
      <c r="O1403" s="116">
        <v>1053.125</v>
      </c>
      <c r="P1403" s="116">
        <v>1060</v>
      </c>
      <c r="Q1403" s="116">
        <v>2116.15</v>
      </c>
      <c r="R1403">
        <v>12537684</v>
      </c>
    </row>
    <row r="1404" spans="1:18" x14ac:dyDescent="0.25">
      <c r="A1404" s="170">
        <v>44074</v>
      </c>
      <c r="B1404" s="116">
        <v>1086</v>
      </c>
      <c r="C1404" s="116">
        <v>1039.2750000000001</v>
      </c>
      <c r="D1404" s="116">
        <v>1030.625</v>
      </c>
      <c r="E1404" s="116">
        <v>1086</v>
      </c>
      <c r="F1404" s="116">
        <v>2078.5500000000002</v>
      </c>
      <c r="G1404">
        <v>770897</v>
      </c>
      <c r="H1404" s="116"/>
      <c r="I1404" s="116"/>
      <c r="L1404" s="170">
        <v>44074</v>
      </c>
      <c r="M1404" s="116">
        <v>1040.3499999999999</v>
      </c>
      <c r="N1404" s="116">
        <v>1087</v>
      </c>
      <c r="O1404" s="116">
        <v>1030.175</v>
      </c>
      <c r="P1404" s="116">
        <v>1087</v>
      </c>
      <c r="Q1404" s="116">
        <v>2080.6999999999998</v>
      </c>
      <c r="R1404">
        <v>28649141</v>
      </c>
    </row>
    <row r="1405" spans="1:18" x14ac:dyDescent="0.25">
      <c r="A1405" s="170">
        <v>44075</v>
      </c>
      <c r="B1405" s="116">
        <v>1060.875</v>
      </c>
      <c r="C1405" s="116">
        <v>1043.7750000000001</v>
      </c>
      <c r="D1405" s="116">
        <v>1031.7249999999999</v>
      </c>
      <c r="E1405" s="116">
        <v>1047.5</v>
      </c>
      <c r="F1405" s="116">
        <v>2087.5500000000002</v>
      </c>
      <c r="G1405">
        <v>542387</v>
      </c>
      <c r="H1405" s="116"/>
      <c r="I1405" s="116"/>
      <c r="L1405" s="170">
        <v>44075</v>
      </c>
      <c r="M1405" s="116">
        <v>1043.625</v>
      </c>
      <c r="N1405" s="116">
        <v>1061.2</v>
      </c>
      <c r="O1405" s="116">
        <v>1031.2</v>
      </c>
      <c r="P1405" s="116">
        <v>1050</v>
      </c>
      <c r="Q1405" s="116">
        <v>2087.25</v>
      </c>
      <c r="R1405">
        <v>17821488</v>
      </c>
    </row>
    <row r="1406" spans="1:18" x14ac:dyDescent="0.25">
      <c r="A1406" s="170">
        <v>44076</v>
      </c>
      <c r="B1406" s="116">
        <v>1068.5</v>
      </c>
      <c r="C1406" s="116">
        <v>1064.3</v>
      </c>
      <c r="D1406" s="116">
        <v>1042.75</v>
      </c>
      <c r="E1406" s="116">
        <v>1047.5</v>
      </c>
      <c r="F1406" s="116">
        <v>2128.6</v>
      </c>
      <c r="G1406">
        <v>1979773</v>
      </c>
      <c r="H1406" s="116"/>
      <c r="I1406" s="116"/>
      <c r="L1406" s="170">
        <v>44076</v>
      </c>
      <c r="M1406" s="116">
        <v>1064.0999999999999</v>
      </c>
      <c r="N1406" s="116">
        <v>1069</v>
      </c>
      <c r="O1406" s="116">
        <v>1042.5</v>
      </c>
      <c r="P1406" s="116">
        <v>1046</v>
      </c>
      <c r="Q1406" s="116">
        <v>2128.1999999999998</v>
      </c>
      <c r="R1406">
        <v>12437209</v>
      </c>
    </row>
    <row r="1407" spans="1:18" x14ac:dyDescent="0.25">
      <c r="A1407" s="170">
        <v>44077</v>
      </c>
      <c r="B1407" s="116">
        <v>1068.5</v>
      </c>
      <c r="C1407" s="116">
        <v>1056.075</v>
      </c>
      <c r="D1407" s="116">
        <v>1051.5999999999999</v>
      </c>
      <c r="E1407" s="116">
        <v>1064</v>
      </c>
      <c r="F1407" s="116">
        <v>2112.15</v>
      </c>
      <c r="G1407">
        <v>274998</v>
      </c>
      <c r="H1407" s="116"/>
      <c r="I1407" s="116"/>
      <c r="L1407" s="170">
        <v>44077</v>
      </c>
      <c r="M1407" s="116">
        <v>1056.05</v>
      </c>
      <c r="N1407" s="116">
        <v>1069.375</v>
      </c>
      <c r="O1407" s="116">
        <v>1051.5</v>
      </c>
      <c r="P1407" s="116">
        <v>1064</v>
      </c>
      <c r="Q1407" s="116">
        <v>2112.1</v>
      </c>
      <c r="R1407">
        <v>8577741</v>
      </c>
    </row>
    <row r="1408" spans="1:18" x14ac:dyDescent="0.25">
      <c r="A1408" s="170">
        <v>44078</v>
      </c>
      <c r="B1408" s="116">
        <v>1048.5</v>
      </c>
      <c r="C1408" s="116">
        <v>1038.7</v>
      </c>
      <c r="D1408" s="116">
        <v>1032.8</v>
      </c>
      <c r="E1408" s="116">
        <v>1032.8</v>
      </c>
      <c r="F1408" s="116">
        <v>2077.4</v>
      </c>
      <c r="G1408">
        <v>461018</v>
      </c>
      <c r="H1408" s="116"/>
      <c r="I1408" s="116"/>
      <c r="L1408" s="170">
        <v>44078</v>
      </c>
      <c r="M1408" s="116">
        <v>1038.625</v>
      </c>
      <c r="N1408" s="116">
        <v>1048.4749999999999</v>
      </c>
      <c r="O1408" s="116">
        <v>1036.0999999999999</v>
      </c>
      <c r="P1408" s="116">
        <v>1041.7750000000001</v>
      </c>
      <c r="Q1408" s="116">
        <v>2077.25</v>
      </c>
      <c r="R1408">
        <v>13141705</v>
      </c>
    </row>
    <row r="1409" spans="1:18" x14ac:dyDescent="0.25">
      <c r="A1409" s="170">
        <v>44081</v>
      </c>
      <c r="B1409" s="116">
        <v>1052.5</v>
      </c>
      <c r="C1409" s="116">
        <v>1041.2</v>
      </c>
      <c r="D1409" s="116">
        <v>1022.675</v>
      </c>
      <c r="E1409" s="116">
        <v>1040.0999999999999</v>
      </c>
      <c r="F1409" s="116">
        <v>2082.4</v>
      </c>
      <c r="G1409">
        <v>625358</v>
      </c>
      <c r="H1409" s="116"/>
      <c r="I1409" s="116"/>
      <c r="L1409" s="170">
        <v>44081</v>
      </c>
      <c r="M1409" s="116">
        <v>1041.325</v>
      </c>
      <c r="N1409" s="116">
        <v>1052.875</v>
      </c>
      <c r="O1409" s="116">
        <v>1022.125</v>
      </c>
      <c r="P1409" s="116">
        <v>1042</v>
      </c>
      <c r="Q1409" s="116">
        <v>2082.65</v>
      </c>
      <c r="R1409">
        <v>10119099</v>
      </c>
    </row>
    <row r="1410" spans="1:18" x14ac:dyDescent="0.25">
      <c r="A1410" s="170">
        <v>44082</v>
      </c>
      <c r="B1410" s="116">
        <v>1060</v>
      </c>
      <c r="C1410" s="116">
        <v>1053.5250000000001</v>
      </c>
      <c r="D1410" s="116">
        <v>1040.45</v>
      </c>
      <c r="E1410" s="116">
        <v>1046.9000000000001</v>
      </c>
      <c r="F1410" s="116">
        <v>2107.0500000000002</v>
      </c>
      <c r="G1410">
        <v>481632</v>
      </c>
      <c r="H1410" s="116"/>
      <c r="I1410" s="116"/>
      <c r="L1410" s="170">
        <v>44082</v>
      </c>
      <c r="M1410" s="116">
        <v>1053.55</v>
      </c>
      <c r="N1410" s="116">
        <v>1060.5</v>
      </c>
      <c r="O1410" s="116">
        <v>1040.25</v>
      </c>
      <c r="P1410" s="116">
        <v>1046</v>
      </c>
      <c r="Q1410" s="116">
        <v>2107.1</v>
      </c>
      <c r="R1410">
        <v>12643762</v>
      </c>
    </row>
    <row r="1411" spans="1:18" x14ac:dyDescent="0.25">
      <c r="A1411" s="170">
        <v>44083</v>
      </c>
      <c r="B1411" s="116">
        <v>1083.5999999999999</v>
      </c>
      <c r="C1411" s="116">
        <v>1080.625</v>
      </c>
      <c r="D1411" s="116">
        <v>1042.5</v>
      </c>
      <c r="E1411" s="116">
        <v>1042.5</v>
      </c>
      <c r="F1411" s="116">
        <v>2161.25</v>
      </c>
      <c r="G1411">
        <v>850676</v>
      </c>
      <c r="H1411" s="116"/>
      <c r="I1411" s="116"/>
      <c r="L1411" s="170">
        <v>44083</v>
      </c>
      <c r="M1411" s="116">
        <v>1080.675</v>
      </c>
      <c r="N1411" s="116">
        <v>1083.9000000000001</v>
      </c>
      <c r="O1411" s="116">
        <v>1040.7249999999999</v>
      </c>
      <c r="P1411" s="116">
        <v>1042.5</v>
      </c>
      <c r="Q1411" s="116">
        <v>2161.35</v>
      </c>
      <c r="R1411">
        <v>25526055</v>
      </c>
    </row>
    <row r="1412" spans="1:18" x14ac:dyDescent="0.25">
      <c r="A1412" s="170">
        <v>44084</v>
      </c>
      <c r="B1412" s="116">
        <v>1171.95</v>
      </c>
      <c r="C1412" s="116">
        <v>1157.325</v>
      </c>
      <c r="D1412" s="116">
        <v>1088.075</v>
      </c>
      <c r="E1412" s="116">
        <v>1092.5</v>
      </c>
      <c r="F1412" s="116">
        <v>2314.65</v>
      </c>
      <c r="G1412">
        <v>2449702</v>
      </c>
      <c r="H1412" s="116"/>
      <c r="I1412" s="116"/>
      <c r="L1412" s="170">
        <v>44084</v>
      </c>
      <c r="M1412" s="116">
        <v>1157</v>
      </c>
      <c r="N1412" s="116">
        <v>1172.4749999999999</v>
      </c>
      <c r="O1412" s="116">
        <v>1087.675</v>
      </c>
      <c r="P1412" s="116">
        <v>1091.55</v>
      </c>
      <c r="Q1412" s="116">
        <v>2314</v>
      </c>
      <c r="R1412">
        <v>64751766</v>
      </c>
    </row>
    <row r="1413" spans="1:18" x14ac:dyDescent="0.25">
      <c r="A1413" s="170">
        <v>44085</v>
      </c>
      <c r="B1413" s="116">
        <v>1168.5</v>
      </c>
      <c r="C1413" s="116">
        <v>1159.425</v>
      </c>
      <c r="D1413" s="116">
        <v>1143.0250000000001</v>
      </c>
      <c r="E1413" s="116">
        <v>1157.325</v>
      </c>
      <c r="F1413" s="116">
        <v>2318.85</v>
      </c>
      <c r="G1413">
        <v>1330635</v>
      </c>
      <c r="H1413" s="116"/>
      <c r="I1413" s="116"/>
      <c r="L1413" s="170">
        <v>44085</v>
      </c>
      <c r="M1413" s="116">
        <v>1159.875</v>
      </c>
      <c r="N1413" s="116">
        <v>1168.925</v>
      </c>
      <c r="O1413" s="116">
        <v>1143.55</v>
      </c>
      <c r="P1413" s="116">
        <v>1156</v>
      </c>
      <c r="Q1413" s="116">
        <v>2319.75</v>
      </c>
      <c r="R1413">
        <v>27445883</v>
      </c>
    </row>
    <row r="1414" spans="1:18" x14ac:dyDescent="0.25">
      <c r="A1414" s="170">
        <v>44088</v>
      </c>
      <c r="B1414" s="116">
        <v>1180</v>
      </c>
      <c r="C1414" s="116">
        <v>1151.175</v>
      </c>
      <c r="D1414" s="116">
        <v>1140.9749999999999</v>
      </c>
      <c r="E1414" s="116">
        <v>1159.875</v>
      </c>
      <c r="F1414" s="116">
        <v>2302.35</v>
      </c>
      <c r="G1414">
        <v>619976</v>
      </c>
      <c r="H1414" s="116"/>
      <c r="I1414" s="116"/>
      <c r="L1414" s="170">
        <v>44088</v>
      </c>
      <c r="M1414" s="116">
        <v>1151.2750000000001</v>
      </c>
      <c r="N1414" s="116">
        <v>1180</v>
      </c>
      <c r="O1414" s="116">
        <v>1141</v>
      </c>
      <c r="P1414" s="116">
        <v>1162.5</v>
      </c>
      <c r="Q1414" s="116">
        <v>2302.5500000000002</v>
      </c>
      <c r="R1414">
        <v>20335480</v>
      </c>
    </row>
    <row r="1415" spans="1:18" x14ac:dyDescent="0.25">
      <c r="A1415" s="170">
        <v>44089</v>
      </c>
      <c r="B1415" s="116">
        <v>1163.25</v>
      </c>
      <c r="C1415" s="116">
        <v>1158.95</v>
      </c>
      <c r="D1415" s="116">
        <v>1144.0999999999999</v>
      </c>
      <c r="E1415" s="116">
        <v>1157.5</v>
      </c>
      <c r="F1415" s="116">
        <v>2317.9</v>
      </c>
      <c r="G1415">
        <v>509141</v>
      </c>
      <c r="H1415" s="116"/>
      <c r="I1415" s="116"/>
      <c r="L1415" s="170">
        <v>44089</v>
      </c>
      <c r="M1415" s="116">
        <v>1159.425</v>
      </c>
      <c r="N1415" s="116">
        <v>1162.875</v>
      </c>
      <c r="O1415" s="116">
        <v>1144.075</v>
      </c>
      <c r="P1415" s="116">
        <v>1155.9749999999999</v>
      </c>
      <c r="Q1415" s="116">
        <v>2318.85</v>
      </c>
      <c r="R1415">
        <v>12543161</v>
      </c>
    </row>
    <row r="1416" spans="1:18" x14ac:dyDescent="0.25">
      <c r="A1416" s="170">
        <v>44090</v>
      </c>
      <c r="B1416" s="116">
        <v>1184.4000000000001</v>
      </c>
      <c r="C1416" s="116">
        <v>1161.925</v>
      </c>
      <c r="D1416" s="116">
        <v>1155.875</v>
      </c>
      <c r="E1416" s="116">
        <v>1161.8499999999999</v>
      </c>
      <c r="F1416" s="116">
        <v>2323.85</v>
      </c>
      <c r="G1416">
        <v>653164</v>
      </c>
      <c r="H1416" s="116"/>
      <c r="I1416" s="116"/>
      <c r="L1416" s="170">
        <v>44090</v>
      </c>
      <c r="M1416" s="116">
        <v>1162.2750000000001</v>
      </c>
      <c r="N1416" s="116">
        <v>1184.675</v>
      </c>
      <c r="O1416" s="116">
        <v>1155.2750000000001</v>
      </c>
      <c r="P1416" s="116">
        <v>1160</v>
      </c>
      <c r="Q1416" s="116">
        <v>2324.5500000000002</v>
      </c>
      <c r="R1416">
        <v>15669133</v>
      </c>
    </row>
    <row r="1417" spans="1:18" x14ac:dyDescent="0.25">
      <c r="A1417" s="170">
        <v>44091</v>
      </c>
      <c r="B1417" s="116">
        <v>1167.2</v>
      </c>
      <c r="C1417" s="116">
        <v>1149.675</v>
      </c>
      <c r="D1417" s="116">
        <v>1146.5</v>
      </c>
      <c r="E1417" s="116">
        <v>1159.5</v>
      </c>
      <c r="F1417" s="116">
        <v>2299.35</v>
      </c>
      <c r="G1417">
        <v>421866</v>
      </c>
      <c r="H1417" s="116"/>
      <c r="I1417" s="116"/>
      <c r="L1417" s="170">
        <v>44091</v>
      </c>
      <c r="M1417" s="116">
        <v>1149.375</v>
      </c>
      <c r="N1417" s="116">
        <v>1166.8499999999999</v>
      </c>
      <c r="O1417" s="116">
        <v>1145.925</v>
      </c>
      <c r="P1417" s="116">
        <v>1160</v>
      </c>
      <c r="Q1417" s="116">
        <v>2298.75</v>
      </c>
      <c r="R1417">
        <v>11919991</v>
      </c>
    </row>
    <row r="1418" spans="1:18" x14ac:dyDescent="0.25">
      <c r="A1418" s="170">
        <v>44092</v>
      </c>
      <c r="B1418" s="116">
        <v>1159.8</v>
      </c>
      <c r="C1418" s="116">
        <v>1152.75</v>
      </c>
      <c r="D1418" s="116">
        <v>1138.5250000000001</v>
      </c>
      <c r="E1418" s="116">
        <v>1157.9000000000001</v>
      </c>
      <c r="F1418" s="116">
        <v>2305.5</v>
      </c>
      <c r="G1418">
        <v>518389</v>
      </c>
      <c r="H1418" s="116"/>
      <c r="I1418" s="116"/>
      <c r="L1418" s="170">
        <v>44092</v>
      </c>
      <c r="M1418" s="116">
        <v>1152.8499999999999</v>
      </c>
      <c r="N1418" s="116">
        <v>1159.7249999999999</v>
      </c>
      <c r="O1418" s="116">
        <v>1138.2750000000001</v>
      </c>
      <c r="P1418" s="116">
        <v>1157.125</v>
      </c>
      <c r="Q1418" s="116">
        <v>2305.6999999999998</v>
      </c>
      <c r="R1418">
        <v>15264101</v>
      </c>
    </row>
    <row r="1419" spans="1:18" x14ac:dyDescent="0.25">
      <c r="A1419" s="170">
        <v>44095</v>
      </c>
      <c r="B1419" s="116">
        <v>1168.2750000000001</v>
      </c>
      <c r="C1419" s="116">
        <v>1127.575</v>
      </c>
      <c r="D1419" s="116">
        <v>1124</v>
      </c>
      <c r="E1419" s="116">
        <v>1152.5</v>
      </c>
      <c r="F1419" s="116">
        <v>2255.15</v>
      </c>
      <c r="G1419">
        <v>501009</v>
      </c>
      <c r="H1419" s="116"/>
      <c r="I1419" s="116"/>
      <c r="L1419" s="170">
        <v>44095</v>
      </c>
      <c r="M1419" s="116">
        <v>1127.925</v>
      </c>
      <c r="N1419" s="116">
        <v>1168</v>
      </c>
      <c r="O1419" s="116">
        <v>1123.675</v>
      </c>
      <c r="P1419" s="116">
        <v>1150</v>
      </c>
      <c r="Q1419" s="116">
        <v>2255.85</v>
      </c>
      <c r="R1419">
        <v>15519433</v>
      </c>
    </row>
    <row r="1420" spans="1:18" x14ac:dyDescent="0.25">
      <c r="A1420" s="170">
        <v>44096</v>
      </c>
      <c r="B1420" s="116">
        <v>1143.5</v>
      </c>
      <c r="C1420" s="116">
        <v>1105.575</v>
      </c>
      <c r="D1420" s="116">
        <v>1100.675</v>
      </c>
      <c r="E1420" s="116">
        <v>1143.5</v>
      </c>
      <c r="F1420" s="116">
        <v>2211.15</v>
      </c>
      <c r="G1420">
        <v>693332</v>
      </c>
      <c r="H1420" s="116"/>
      <c r="I1420" s="116"/>
      <c r="L1420" s="170">
        <v>44096</v>
      </c>
      <c r="M1420" s="116">
        <v>1105.575</v>
      </c>
      <c r="N1420" s="116">
        <v>1138.5</v>
      </c>
      <c r="O1420" s="116">
        <v>1100.7750000000001</v>
      </c>
      <c r="P1420" s="116">
        <v>1138.5</v>
      </c>
      <c r="Q1420" s="116">
        <v>2211.15</v>
      </c>
      <c r="R1420">
        <v>16056621</v>
      </c>
    </row>
    <row r="1421" spans="1:18" x14ac:dyDescent="0.25">
      <c r="A1421" s="170">
        <v>44097</v>
      </c>
      <c r="B1421" s="116">
        <v>1138.25</v>
      </c>
      <c r="C1421" s="116">
        <v>1114.7750000000001</v>
      </c>
      <c r="D1421" s="116">
        <v>1103.075</v>
      </c>
      <c r="E1421" s="116">
        <v>1137.5</v>
      </c>
      <c r="F1421" s="116">
        <v>2229.5500000000002</v>
      </c>
      <c r="G1421">
        <v>774144</v>
      </c>
      <c r="H1421" s="116"/>
      <c r="I1421" s="116"/>
      <c r="L1421" s="170">
        <v>44097</v>
      </c>
      <c r="M1421" s="116">
        <v>1115.4000000000001</v>
      </c>
      <c r="N1421" s="116">
        <v>1138.375</v>
      </c>
      <c r="O1421" s="116">
        <v>1102.6500000000001</v>
      </c>
      <c r="P1421" s="116">
        <v>1130</v>
      </c>
      <c r="Q1421" s="116">
        <v>2230.8000000000002</v>
      </c>
      <c r="R1421">
        <v>19839809</v>
      </c>
    </row>
    <row r="1422" spans="1:18" x14ac:dyDescent="0.25">
      <c r="A1422" s="170">
        <v>44098</v>
      </c>
      <c r="B1422" s="116">
        <v>1113</v>
      </c>
      <c r="C1422" s="116">
        <v>1090.575</v>
      </c>
      <c r="D1422" s="116">
        <v>1087.825</v>
      </c>
      <c r="E1422" s="116">
        <v>1105</v>
      </c>
      <c r="F1422" s="116">
        <v>2181.15</v>
      </c>
      <c r="G1422">
        <v>439081</v>
      </c>
      <c r="H1422" s="116"/>
      <c r="I1422" s="116"/>
      <c r="L1422" s="170">
        <v>44098</v>
      </c>
      <c r="M1422" s="116">
        <v>1090.5999999999999</v>
      </c>
      <c r="N1422" s="116">
        <v>1113</v>
      </c>
      <c r="O1422" s="116">
        <v>1088.0250000000001</v>
      </c>
      <c r="P1422" s="116">
        <v>1103.95</v>
      </c>
      <c r="Q1422" s="116">
        <v>2181.1999999999998</v>
      </c>
      <c r="R1422">
        <v>13765321</v>
      </c>
    </row>
    <row r="1423" spans="1:18" x14ac:dyDescent="0.25">
      <c r="A1423" s="170">
        <v>44099</v>
      </c>
      <c r="B1423" s="116">
        <v>1106.3</v>
      </c>
      <c r="C1423" s="116">
        <v>1100.8499999999999</v>
      </c>
      <c r="D1423" s="116">
        <v>1084.3</v>
      </c>
      <c r="E1423" s="116">
        <v>1098</v>
      </c>
      <c r="F1423" s="116">
        <v>2201.6999999999998</v>
      </c>
      <c r="G1423">
        <v>413085</v>
      </c>
      <c r="H1423" s="116"/>
      <c r="I1423" s="116"/>
      <c r="L1423" s="170">
        <v>44099</v>
      </c>
      <c r="M1423" s="116">
        <v>1100.8499999999999</v>
      </c>
      <c r="N1423" s="116">
        <v>1106.4000000000001</v>
      </c>
      <c r="O1423" s="116">
        <v>1083.6500000000001</v>
      </c>
      <c r="P1423" s="116">
        <v>1094.5</v>
      </c>
      <c r="Q1423" s="116">
        <v>2201.6999999999998</v>
      </c>
      <c r="R1423">
        <v>13095950</v>
      </c>
    </row>
    <row r="1424" spans="1:18" x14ac:dyDescent="0.25">
      <c r="A1424" s="170">
        <v>44102</v>
      </c>
      <c r="B1424" s="116">
        <v>1119.3499999999999</v>
      </c>
      <c r="C1424" s="116">
        <v>1107.875</v>
      </c>
      <c r="D1424" s="116">
        <v>1103.625</v>
      </c>
      <c r="E1424" s="116">
        <v>1114.5</v>
      </c>
      <c r="F1424" s="116">
        <v>2215.75</v>
      </c>
      <c r="G1424">
        <v>516453</v>
      </c>
      <c r="H1424" s="116"/>
      <c r="I1424" s="116"/>
      <c r="L1424" s="170">
        <v>44102</v>
      </c>
      <c r="M1424" s="116">
        <v>1108.125</v>
      </c>
      <c r="N1424" s="116">
        <v>1119</v>
      </c>
      <c r="O1424" s="116">
        <v>1103.5250000000001</v>
      </c>
      <c r="P1424" s="116">
        <v>1113.5</v>
      </c>
      <c r="Q1424" s="116">
        <v>2216.25</v>
      </c>
      <c r="R1424">
        <v>9076787</v>
      </c>
    </row>
    <row r="1425" spans="1:18" x14ac:dyDescent="0.25">
      <c r="A1425" s="170">
        <v>44103</v>
      </c>
      <c r="B1425" s="116">
        <v>1132</v>
      </c>
      <c r="C1425" s="116">
        <v>1122.425</v>
      </c>
      <c r="D1425" s="116">
        <v>1108.575</v>
      </c>
      <c r="E1425" s="116">
        <v>1111</v>
      </c>
      <c r="F1425" s="116">
        <v>2244.85</v>
      </c>
      <c r="G1425">
        <v>325287</v>
      </c>
      <c r="H1425" s="116"/>
      <c r="I1425" s="116"/>
      <c r="L1425" s="170">
        <v>44103</v>
      </c>
      <c r="M1425" s="116">
        <v>1122.5250000000001</v>
      </c>
      <c r="N1425" s="116">
        <v>1132</v>
      </c>
      <c r="O1425" s="116">
        <v>1108.125</v>
      </c>
      <c r="P1425" s="116">
        <v>1112.5</v>
      </c>
      <c r="Q1425" s="116">
        <v>2245.0500000000002</v>
      </c>
      <c r="R1425">
        <v>11927459</v>
      </c>
    </row>
    <row r="1426" spans="1:18" x14ac:dyDescent="0.25">
      <c r="A1426" s="170">
        <v>44104</v>
      </c>
      <c r="B1426" s="116">
        <v>1133.7750000000001</v>
      </c>
      <c r="C1426" s="116">
        <v>1116.875</v>
      </c>
      <c r="D1426" s="116">
        <v>1112.55</v>
      </c>
      <c r="E1426" s="116">
        <v>1132.4000000000001</v>
      </c>
      <c r="F1426" s="116">
        <v>2233.75</v>
      </c>
      <c r="G1426">
        <v>1560690</v>
      </c>
      <c r="H1426" s="116"/>
      <c r="I1426" s="116"/>
      <c r="L1426" s="170">
        <v>44104</v>
      </c>
      <c r="M1426" s="116">
        <v>1117.175</v>
      </c>
      <c r="N1426" s="116">
        <v>1133.5</v>
      </c>
      <c r="O1426" s="116">
        <v>1112.5</v>
      </c>
      <c r="P1426" s="116">
        <v>1130</v>
      </c>
      <c r="Q1426" s="116">
        <v>2234.35</v>
      </c>
      <c r="R1426">
        <v>11291280</v>
      </c>
    </row>
    <row r="1427" spans="1:18" x14ac:dyDescent="0.25">
      <c r="A1427" s="170">
        <v>44105</v>
      </c>
      <c r="B1427" s="116">
        <v>1132</v>
      </c>
      <c r="C1427" s="116">
        <v>1112.5250000000001</v>
      </c>
      <c r="D1427" s="116">
        <v>1106.925</v>
      </c>
      <c r="E1427" s="116">
        <v>1132</v>
      </c>
      <c r="F1427" s="116">
        <v>2225.0500000000002</v>
      </c>
      <c r="G1427">
        <v>285180</v>
      </c>
      <c r="H1427" s="116"/>
      <c r="I1427" s="116"/>
      <c r="L1427" s="170">
        <v>44105</v>
      </c>
      <c r="M1427" s="116">
        <v>1112.625</v>
      </c>
      <c r="N1427" s="116">
        <v>1131.9000000000001</v>
      </c>
      <c r="O1427" s="116">
        <v>1107</v>
      </c>
      <c r="P1427" s="116">
        <v>1131.9000000000001</v>
      </c>
      <c r="Q1427" s="116">
        <v>2225.25</v>
      </c>
      <c r="R1427">
        <v>9591467</v>
      </c>
    </row>
    <row r="1428" spans="1:18" x14ac:dyDescent="0.25">
      <c r="A1428" s="170">
        <v>44109</v>
      </c>
      <c r="B1428" s="116">
        <v>1124.5</v>
      </c>
      <c r="C1428" s="116">
        <v>1105.575</v>
      </c>
      <c r="D1428" s="116">
        <v>1102.75</v>
      </c>
      <c r="E1428" s="116">
        <v>1123</v>
      </c>
      <c r="F1428" s="116">
        <v>2211.15</v>
      </c>
      <c r="G1428">
        <v>393079</v>
      </c>
      <c r="H1428" s="116"/>
      <c r="I1428" s="116"/>
      <c r="L1428" s="170">
        <v>44109</v>
      </c>
      <c r="M1428" s="116">
        <v>1106.0999999999999</v>
      </c>
      <c r="N1428" s="116">
        <v>1124.575</v>
      </c>
      <c r="O1428" s="116">
        <v>1103</v>
      </c>
      <c r="P1428" s="116">
        <v>1122</v>
      </c>
      <c r="Q1428" s="116">
        <v>2212.1999999999998</v>
      </c>
      <c r="R1428">
        <v>8732890</v>
      </c>
    </row>
    <row r="1429" spans="1:18" x14ac:dyDescent="0.25">
      <c r="A1429" s="170">
        <v>44110</v>
      </c>
      <c r="B1429" s="116">
        <v>1117</v>
      </c>
      <c r="C1429" s="116">
        <v>1105.075</v>
      </c>
      <c r="D1429" s="116">
        <v>1100.7249999999999</v>
      </c>
      <c r="E1429" s="116">
        <v>1114</v>
      </c>
      <c r="F1429" s="116">
        <v>2210.15</v>
      </c>
      <c r="G1429">
        <v>259771</v>
      </c>
      <c r="H1429" s="116"/>
      <c r="I1429" s="116"/>
      <c r="L1429" s="170">
        <v>44110</v>
      </c>
      <c r="M1429" s="116">
        <v>1105.175</v>
      </c>
      <c r="N1429" s="116">
        <v>1116.95</v>
      </c>
      <c r="O1429" s="116">
        <v>1100.825</v>
      </c>
      <c r="P1429" s="116">
        <v>1112.625</v>
      </c>
      <c r="Q1429" s="116">
        <v>2210.35</v>
      </c>
      <c r="R1429">
        <v>8497352</v>
      </c>
    </row>
    <row r="1430" spans="1:18" x14ac:dyDescent="0.25">
      <c r="A1430" s="170">
        <v>44111</v>
      </c>
      <c r="B1430" s="116">
        <v>1154.7</v>
      </c>
      <c r="C1430" s="116">
        <v>1128.575</v>
      </c>
      <c r="D1430" s="116">
        <v>1110.5</v>
      </c>
      <c r="E1430" s="116">
        <v>1116.625</v>
      </c>
      <c r="F1430" s="116">
        <v>2257.15</v>
      </c>
      <c r="G1430">
        <v>875121</v>
      </c>
      <c r="H1430" s="116"/>
      <c r="I1430" s="116"/>
      <c r="L1430" s="170">
        <v>44111</v>
      </c>
      <c r="M1430" s="116">
        <v>1128.75</v>
      </c>
      <c r="N1430" s="116">
        <v>1154.5</v>
      </c>
      <c r="O1430" s="116">
        <v>1110</v>
      </c>
      <c r="P1430" s="116">
        <v>1117.5</v>
      </c>
      <c r="Q1430" s="116">
        <v>2257.5</v>
      </c>
      <c r="R1430">
        <v>24538620</v>
      </c>
    </row>
    <row r="1431" spans="1:18" x14ac:dyDescent="0.25">
      <c r="A1431" s="170">
        <v>44112</v>
      </c>
      <c r="B1431" s="116">
        <v>1134</v>
      </c>
      <c r="C1431" s="116">
        <v>1119.45</v>
      </c>
      <c r="D1431" s="116">
        <v>1111.2</v>
      </c>
      <c r="E1431" s="116">
        <v>1130.9000000000001</v>
      </c>
      <c r="F1431" s="116">
        <v>2238.9</v>
      </c>
      <c r="G1431">
        <v>419058</v>
      </c>
      <c r="H1431" s="116"/>
      <c r="I1431" s="116"/>
      <c r="L1431" s="170">
        <v>44112</v>
      </c>
      <c r="M1431" s="116">
        <v>1119.625</v>
      </c>
      <c r="N1431" s="116">
        <v>1134</v>
      </c>
      <c r="O1431" s="116">
        <v>1111.05</v>
      </c>
      <c r="P1431" s="116">
        <v>1129.5</v>
      </c>
      <c r="Q1431" s="116">
        <v>2239.25</v>
      </c>
      <c r="R1431">
        <v>9727508</v>
      </c>
    </row>
    <row r="1432" spans="1:18" x14ac:dyDescent="0.25">
      <c r="A1432" s="170">
        <v>44113</v>
      </c>
      <c r="B1432" s="116">
        <v>1126.325</v>
      </c>
      <c r="C1432" s="116">
        <v>1116.8499999999999</v>
      </c>
      <c r="D1432" s="116">
        <v>1108.5999999999999</v>
      </c>
      <c r="E1432" s="116">
        <v>1118.5</v>
      </c>
      <c r="F1432" s="116">
        <v>2233.6999999999998</v>
      </c>
      <c r="G1432">
        <v>305022</v>
      </c>
      <c r="H1432" s="116"/>
      <c r="I1432" s="116"/>
      <c r="L1432" s="170">
        <v>44113</v>
      </c>
      <c r="M1432" s="116">
        <v>1116.7249999999999</v>
      </c>
      <c r="N1432" s="116">
        <v>1126.5</v>
      </c>
      <c r="O1432" s="116">
        <v>1108.55</v>
      </c>
      <c r="P1432" s="116">
        <v>1117.5</v>
      </c>
      <c r="Q1432" s="116">
        <v>2233.4499999999998</v>
      </c>
      <c r="R1432">
        <v>8558747</v>
      </c>
    </row>
    <row r="1433" spans="1:18" x14ac:dyDescent="0.25">
      <c r="A1433" s="170">
        <v>44116</v>
      </c>
      <c r="B1433" s="116">
        <v>1127.425</v>
      </c>
      <c r="C1433" s="116">
        <v>1118.3</v>
      </c>
      <c r="D1433" s="116">
        <v>1113.425</v>
      </c>
      <c r="E1433" s="116">
        <v>1116.75</v>
      </c>
      <c r="F1433" s="116">
        <v>2236.6</v>
      </c>
      <c r="G1433">
        <v>262242</v>
      </c>
      <c r="H1433" s="116"/>
      <c r="I1433" s="116"/>
      <c r="L1433" s="170">
        <v>44116</v>
      </c>
      <c r="M1433" s="116">
        <v>1118.5250000000001</v>
      </c>
      <c r="N1433" s="116">
        <v>1127.875</v>
      </c>
      <c r="O1433" s="116">
        <v>1113.125</v>
      </c>
      <c r="P1433" s="116">
        <v>1117.5</v>
      </c>
      <c r="Q1433" s="116">
        <v>2237.0500000000002</v>
      </c>
      <c r="R1433">
        <v>6565525</v>
      </c>
    </row>
    <row r="1434" spans="1:18" x14ac:dyDescent="0.25">
      <c r="A1434" s="170">
        <v>44117</v>
      </c>
      <c r="B1434" s="116">
        <v>1142.9749999999999</v>
      </c>
      <c r="C1434" s="116">
        <v>1140.125</v>
      </c>
      <c r="D1434" s="116">
        <v>1114.0999999999999</v>
      </c>
      <c r="E1434" s="116">
        <v>1116.0999999999999</v>
      </c>
      <c r="F1434" s="116">
        <v>2280.25</v>
      </c>
      <c r="G1434">
        <v>409570</v>
      </c>
      <c r="H1434" s="116"/>
      <c r="I1434" s="116"/>
      <c r="L1434" s="170">
        <v>44117</v>
      </c>
      <c r="M1434" s="116">
        <v>1140.3499999999999</v>
      </c>
      <c r="N1434" s="116">
        <v>1142.875</v>
      </c>
      <c r="O1434" s="116">
        <v>1112.925</v>
      </c>
      <c r="P1434" s="116">
        <v>1115.3</v>
      </c>
      <c r="Q1434" s="116">
        <v>2280.6999999999998</v>
      </c>
      <c r="R1434">
        <v>10666280</v>
      </c>
    </row>
    <row r="1435" spans="1:18" x14ac:dyDescent="0.25">
      <c r="A1435" s="170">
        <v>44118</v>
      </c>
      <c r="B1435" s="116">
        <v>1152.0999999999999</v>
      </c>
      <c r="C1435" s="116">
        <v>1143.675</v>
      </c>
      <c r="D1435" s="116">
        <v>1134.7750000000001</v>
      </c>
      <c r="E1435" s="116">
        <v>1142.45</v>
      </c>
      <c r="F1435" s="116">
        <v>2287.35</v>
      </c>
      <c r="G1435">
        <v>306815</v>
      </c>
      <c r="H1435" s="116"/>
      <c r="I1435" s="116"/>
      <c r="L1435" s="170">
        <v>44118</v>
      </c>
      <c r="M1435" s="116">
        <v>1143.75</v>
      </c>
      <c r="N1435" s="116">
        <v>1152</v>
      </c>
      <c r="O1435" s="116">
        <v>1134.25</v>
      </c>
      <c r="P1435" s="116">
        <v>1139.45</v>
      </c>
      <c r="Q1435" s="116">
        <v>2287.5</v>
      </c>
      <c r="R1435">
        <v>12341487</v>
      </c>
    </row>
    <row r="1436" spans="1:18" x14ac:dyDescent="0.25">
      <c r="A1436" s="170">
        <v>44119</v>
      </c>
      <c r="B1436" s="116">
        <v>1145.8499999999999</v>
      </c>
      <c r="C1436" s="116">
        <v>1102.7750000000001</v>
      </c>
      <c r="D1436" s="116">
        <v>1097.55</v>
      </c>
      <c r="E1436" s="116">
        <v>1145.5</v>
      </c>
      <c r="F1436" s="116">
        <v>2205.5500000000002</v>
      </c>
      <c r="G1436">
        <v>1514858</v>
      </c>
      <c r="H1436" s="116"/>
      <c r="I1436" s="116"/>
      <c r="L1436" s="170">
        <v>44119</v>
      </c>
      <c r="M1436" s="116">
        <v>1103.25</v>
      </c>
      <c r="N1436" s="116">
        <v>1145</v>
      </c>
      <c r="O1436" s="116">
        <v>1097.5</v>
      </c>
      <c r="P1436" s="116">
        <v>1145</v>
      </c>
      <c r="Q1436" s="116">
        <v>2206.5</v>
      </c>
      <c r="R1436">
        <v>9246893</v>
      </c>
    </row>
    <row r="1437" spans="1:18" x14ac:dyDescent="0.25">
      <c r="A1437" s="170">
        <v>44120</v>
      </c>
      <c r="B1437" s="116">
        <v>1116</v>
      </c>
      <c r="C1437" s="116">
        <v>1087.75</v>
      </c>
      <c r="D1437" s="116">
        <v>1086.5250000000001</v>
      </c>
      <c r="E1437" s="116">
        <v>1107.4000000000001</v>
      </c>
      <c r="F1437" s="116">
        <v>2175.5</v>
      </c>
      <c r="G1437">
        <v>440109</v>
      </c>
      <c r="H1437" s="116"/>
      <c r="I1437" s="116"/>
      <c r="L1437" s="170">
        <v>44120</v>
      </c>
      <c r="M1437" s="116">
        <v>1087.9000000000001</v>
      </c>
      <c r="N1437" s="116">
        <v>1116.25</v>
      </c>
      <c r="O1437" s="116">
        <v>1086.325</v>
      </c>
      <c r="P1437" s="116">
        <v>1107.5</v>
      </c>
      <c r="Q1437" s="116">
        <v>2175.8000000000002</v>
      </c>
      <c r="R1437">
        <v>9961080</v>
      </c>
    </row>
    <row r="1438" spans="1:18" x14ac:dyDescent="0.25">
      <c r="A1438" s="170">
        <v>44123</v>
      </c>
      <c r="B1438" s="116">
        <v>1114.2</v>
      </c>
      <c r="C1438" s="116">
        <v>1087.9000000000001</v>
      </c>
      <c r="D1438" s="116">
        <v>1078</v>
      </c>
      <c r="E1438" s="116">
        <v>1096</v>
      </c>
      <c r="F1438" s="116">
        <v>2175.8000000000002</v>
      </c>
      <c r="G1438">
        <v>352226</v>
      </c>
      <c r="H1438" s="116"/>
      <c r="I1438" s="116"/>
      <c r="L1438" s="170">
        <v>44123</v>
      </c>
      <c r="M1438" s="116">
        <v>1088.0999999999999</v>
      </c>
      <c r="N1438" s="116">
        <v>1114.3499999999999</v>
      </c>
      <c r="O1438" s="116">
        <v>1077.575</v>
      </c>
      <c r="P1438" s="116">
        <v>1095.0250000000001</v>
      </c>
      <c r="Q1438" s="116">
        <v>2176.1999999999998</v>
      </c>
      <c r="R1438">
        <v>14399062</v>
      </c>
    </row>
    <row r="1439" spans="1:18" x14ac:dyDescent="0.25">
      <c r="A1439" s="170">
        <v>44124</v>
      </c>
      <c r="B1439" s="116">
        <v>1096.8499999999999</v>
      </c>
      <c r="C1439" s="116">
        <v>1077.75</v>
      </c>
      <c r="D1439" s="116">
        <v>1076.0999999999999</v>
      </c>
      <c r="E1439" s="116">
        <v>1091.8499999999999</v>
      </c>
      <c r="F1439" s="116">
        <v>2155.5</v>
      </c>
      <c r="G1439">
        <v>364138</v>
      </c>
      <c r="H1439" s="116"/>
      <c r="I1439" s="116"/>
      <c r="L1439" s="170">
        <v>44124</v>
      </c>
      <c r="M1439" s="116">
        <v>1077.95</v>
      </c>
      <c r="N1439" s="116">
        <v>1096.5</v>
      </c>
      <c r="O1439" s="116">
        <v>1076.125</v>
      </c>
      <c r="P1439" s="116">
        <v>1089.5</v>
      </c>
      <c r="Q1439" s="116">
        <v>2155.9</v>
      </c>
      <c r="R1439">
        <v>8529621</v>
      </c>
    </row>
    <row r="1440" spans="1:18" x14ac:dyDescent="0.25">
      <c r="A1440" s="170">
        <v>44125</v>
      </c>
      <c r="B1440" s="116">
        <v>1095.5</v>
      </c>
      <c r="C1440" s="116">
        <v>1061.625</v>
      </c>
      <c r="D1440" s="116">
        <v>1049.375</v>
      </c>
      <c r="E1440" s="116">
        <v>1085.55</v>
      </c>
      <c r="F1440" s="116">
        <v>2123.25</v>
      </c>
      <c r="G1440">
        <v>534557</v>
      </c>
      <c r="H1440" s="116"/>
      <c r="I1440" s="116"/>
      <c r="L1440" s="170">
        <v>44125</v>
      </c>
      <c r="M1440" s="116">
        <v>1062.3</v>
      </c>
      <c r="N1440" s="116">
        <v>1096</v>
      </c>
      <c r="O1440" s="116">
        <v>1048.875</v>
      </c>
      <c r="P1440" s="116">
        <v>1084</v>
      </c>
      <c r="Q1440" s="116">
        <v>2124.6</v>
      </c>
      <c r="R1440">
        <v>15729989</v>
      </c>
    </row>
    <row r="1441" spans="1:18" x14ac:dyDescent="0.25">
      <c r="A1441" s="170">
        <v>44126</v>
      </c>
      <c r="B1441" s="116">
        <v>1066.5250000000001</v>
      </c>
      <c r="C1441" s="116">
        <v>1053.55</v>
      </c>
      <c r="D1441" s="116">
        <v>1045.75</v>
      </c>
      <c r="E1441" s="116">
        <v>1061.5</v>
      </c>
      <c r="F1441" s="116">
        <v>2107.1</v>
      </c>
      <c r="G1441">
        <v>301966</v>
      </c>
      <c r="H1441" s="116"/>
      <c r="I1441" s="116"/>
      <c r="L1441" s="170">
        <v>44126</v>
      </c>
      <c r="M1441" s="116">
        <v>1053.4749999999999</v>
      </c>
      <c r="N1441" s="116">
        <v>1066.25</v>
      </c>
      <c r="O1441" s="116">
        <v>1045.5</v>
      </c>
      <c r="P1441" s="116">
        <v>1063.7</v>
      </c>
      <c r="Q1441" s="116">
        <v>2106.9499999999998</v>
      </c>
      <c r="R1441">
        <v>14215255</v>
      </c>
    </row>
    <row r="1442" spans="1:18" x14ac:dyDescent="0.25">
      <c r="A1442" s="170">
        <v>44127</v>
      </c>
      <c r="B1442" s="116">
        <v>1067.4000000000001</v>
      </c>
      <c r="C1442" s="116">
        <v>1056.2750000000001</v>
      </c>
      <c r="D1442" s="116">
        <v>1047.825</v>
      </c>
      <c r="E1442" s="116">
        <v>1054.5</v>
      </c>
      <c r="F1442" s="116">
        <v>2112.5500000000002</v>
      </c>
      <c r="G1442">
        <v>618540</v>
      </c>
      <c r="H1442" s="116"/>
      <c r="I1442" s="116"/>
      <c r="L1442" s="170">
        <v>44127</v>
      </c>
      <c r="M1442" s="116">
        <v>1056.5250000000001</v>
      </c>
      <c r="N1442" s="116">
        <v>1067.5</v>
      </c>
      <c r="O1442" s="116">
        <v>1048.2</v>
      </c>
      <c r="P1442" s="116">
        <v>1053</v>
      </c>
      <c r="Q1442" s="116">
        <v>2113.0500000000002</v>
      </c>
      <c r="R1442">
        <v>10809383</v>
      </c>
    </row>
    <row r="1443" spans="1:18" x14ac:dyDescent="0.25">
      <c r="A1443" s="170">
        <v>44130</v>
      </c>
      <c r="B1443" s="116">
        <v>1053</v>
      </c>
      <c r="C1443" s="116">
        <v>1014.35</v>
      </c>
      <c r="D1443" s="116">
        <v>1009.225</v>
      </c>
      <c r="E1443" s="116">
        <v>1050.5</v>
      </c>
      <c r="F1443" s="116">
        <v>2028.7</v>
      </c>
      <c r="G1443">
        <v>560855</v>
      </c>
      <c r="H1443" s="116"/>
      <c r="I1443" s="116"/>
      <c r="L1443" s="170">
        <v>44130</v>
      </c>
      <c r="M1443" s="116">
        <v>1014.55</v>
      </c>
      <c r="N1443" s="116">
        <v>1050.9749999999999</v>
      </c>
      <c r="O1443" s="116">
        <v>1009.25</v>
      </c>
      <c r="P1443" s="116">
        <v>1050.9749999999999</v>
      </c>
      <c r="Q1443" s="116">
        <v>2029.1</v>
      </c>
      <c r="R1443">
        <v>17225340</v>
      </c>
    </row>
    <row r="1444" spans="1:18" x14ac:dyDescent="0.25">
      <c r="A1444" s="170">
        <v>44131</v>
      </c>
      <c r="B1444" s="116">
        <v>1030</v>
      </c>
      <c r="C1444" s="116">
        <v>1017.1</v>
      </c>
      <c r="D1444" s="116">
        <v>1002.775</v>
      </c>
      <c r="E1444" s="116">
        <v>1016</v>
      </c>
      <c r="F1444" s="116">
        <v>2034.2</v>
      </c>
      <c r="G1444">
        <v>476055</v>
      </c>
      <c r="H1444" s="116"/>
      <c r="I1444" s="116"/>
      <c r="L1444" s="170">
        <v>44131</v>
      </c>
      <c r="M1444" s="116">
        <v>1017.25</v>
      </c>
      <c r="N1444" s="116">
        <v>1029.925</v>
      </c>
      <c r="O1444" s="116">
        <v>1002.5</v>
      </c>
      <c r="P1444" s="116">
        <v>1017.45</v>
      </c>
      <c r="Q1444" s="116">
        <v>2034.5</v>
      </c>
      <c r="R1444">
        <v>16835011</v>
      </c>
    </row>
    <row r="1445" spans="1:18" x14ac:dyDescent="0.25">
      <c r="A1445" s="170">
        <v>44132</v>
      </c>
      <c r="B1445" s="116">
        <v>1028.95</v>
      </c>
      <c r="C1445" s="116">
        <v>1005.35</v>
      </c>
      <c r="D1445" s="116">
        <v>1003.45</v>
      </c>
      <c r="E1445" s="116">
        <v>1022</v>
      </c>
      <c r="F1445" s="116">
        <v>2010.7</v>
      </c>
      <c r="G1445">
        <v>1519047</v>
      </c>
      <c r="H1445" s="116"/>
      <c r="I1445" s="116"/>
      <c r="L1445" s="170">
        <v>44132</v>
      </c>
      <c r="M1445" s="116">
        <v>1005.725</v>
      </c>
      <c r="N1445" s="116">
        <v>1028.8499999999999</v>
      </c>
      <c r="O1445" s="116">
        <v>1003.7</v>
      </c>
      <c r="P1445" s="116">
        <v>1020.9</v>
      </c>
      <c r="Q1445" s="116">
        <v>2011.45</v>
      </c>
      <c r="R1445">
        <v>13810054</v>
      </c>
    </row>
    <row r="1446" spans="1:18" x14ac:dyDescent="0.25">
      <c r="A1446" s="170">
        <v>44133</v>
      </c>
      <c r="B1446" s="116">
        <v>1021.15</v>
      </c>
      <c r="C1446" s="116">
        <v>1013.275</v>
      </c>
      <c r="D1446" s="116">
        <v>995.375</v>
      </c>
      <c r="E1446" s="116">
        <v>999.7</v>
      </c>
      <c r="F1446" s="116">
        <v>2026.55</v>
      </c>
      <c r="G1446">
        <v>384785</v>
      </c>
      <c r="H1446" s="116"/>
      <c r="I1446" s="116"/>
      <c r="L1446" s="170">
        <v>44133</v>
      </c>
      <c r="M1446" s="116">
        <v>1013.45</v>
      </c>
      <c r="N1446" s="116">
        <v>1021</v>
      </c>
      <c r="O1446" s="116">
        <v>995.5</v>
      </c>
      <c r="P1446" s="116">
        <v>998.5</v>
      </c>
      <c r="Q1446" s="116">
        <v>2026.9</v>
      </c>
      <c r="R1446">
        <v>14147681</v>
      </c>
    </row>
    <row r="1447" spans="1:18" x14ac:dyDescent="0.25">
      <c r="A1447" s="170">
        <v>44134</v>
      </c>
      <c r="B1447" s="116">
        <v>1032.325</v>
      </c>
      <c r="C1447" s="116">
        <v>1027.175</v>
      </c>
      <c r="D1447" s="116">
        <v>1011</v>
      </c>
      <c r="E1447" s="116">
        <v>1017.5</v>
      </c>
      <c r="F1447" s="116">
        <v>2054.35</v>
      </c>
      <c r="G1447">
        <v>354434</v>
      </c>
      <c r="H1447" s="116"/>
      <c r="I1447" s="116"/>
      <c r="L1447" s="170">
        <v>44134</v>
      </c>
      <c r="M1447" s="116">
        <v>1027.25</v>
      </c>
      <c r="N1447" s="116">
        <v>1032.55</v>
      </c>
      <c r="O1447" s="116">
        <v>1010.9</v>
      </c>
      <c r="P1447" s="116">
        <v>1016.75</v>
      </c>
      <c r="Q1447" s="116">
        <v>2054.5</v>
      </c>
      <c r="R1447">
        <v>15701123</v>
      </c>
    </row>
    <row r="1448" spans="1:18" x14ac:dyDescent="0.25">
      <c r="A1448" s="170">
        <v>44137</v>
      </c>
      <c r="B1448" s="116">
        <v>1016.75</v>
      </c>
      <c r="C1448" s="116">
        <v>938.65</v>
      </c>
      <c r="D1448" s="116">
        <v>930</v>
      </c>
      <c r="E1448" s="116">
        <v>1016.75</v>
      </c>
      <c r="F1448" s="116">
        <v>1877.3</v>
      </c>
      <c r="G1448">
        <v>1444243</v>
      </c>
      <c r="H1448" s="116"/>
      <c r="I1448" s="116"/>
      <c r="L1448" s="170">
        <v>44137</v>
      </c>
      <c r="M1448" s="116">
        <v>938.72500000000002</v>
      </c>
      <c r="N1448" s="116">
        <v>1013.5</v>
      </c>
      <c r="O1448" s="116">
        <v>929.57500000000005</v>
      </c>
      <c r="P1448" s="116">
        <v>1013.5</v>
      </c>
      <c r="Q1448" s="116">
        <v>1877.45</v>
      </c>
      <c r="R1448">
        <v>45857806</v>
      </c>
    </row>
    <row r="1449" spans="1:18" x14ac:dyDescent="0.25">
      <c r="A1449" s="170">
        <v>44138</v>
      </c>
      <c r="B1449" s="116">
        <v>954.75</v>
      </c>
      <c r="C1449" s="116">
        <v>924.72500000000002</v>
      </c>
      <c r="D1449" s="116">
        <v>917.5</v>
      </c>
      <c r="E1449" s="116">
        <v>944</v>
      </c>
      <c r="F1449" s="116">
        <v>1849.45</v>
      </c>
      <c r="G1449">
        <v>1164099</v>
      </c>
      <c r="H1449" s="116"/>
      <c r="I1449" s="116"/>
      <c r="L1449" s="170">
        <v>44138</v>
      </c>
      <c r="M1449" s="116">
        <v>925.2</v>
      </c>
      <c r="N1449" s="116">
        <v>954.5</v>
      </c>
      <c r="O1449" s="116">
        <v>917.55</v>
      </c>
      <c r="P1449" s="116">
        <v>945</v>
      </c>
      <c r="Q1449" s="116">
        <v>1850.4</v>
      </c>
      <c r="R1449">
        <v>40931170</v>
      </c>
    </row>
    <row r="1450" spans="1:18" x14ac:dyDescent="0.25">
      <c r="A1450" s="170">
        <v>44139</v>
      </c>
      <c r="B1450" s="116">
        <v>964.42499999999995</v>
      </c>
      <c r="C1450" s="116">
        <v>956.72500000000002</v>
      </c>
      <c r="D1450" s="116">
        <v>920</v>
      </c>
      <c r="E1450" s="116">
        <v>920</v>
      </c>
      <c r="F1450" s="116">
        <v>1913.45</v>
      </c>
      <c r="G1450">
        <v>1065630</v>
      </c>
      <c r="H1450" s="116"/>
      <c r="I1450" s="116"/>
      <c r="L1450" s="170">
        <v>44139</v>
      </c>
      <c r="M1450" s="116">
        <v>956.6</v>
      </c>
      <c r="N1450" s="116">
        <v>964.5</v>
      </c>
      <c r="O1450" s="116">
        <v>918.5</v>
      </c>
      <c r="P1450" s="116">
        <v>918.5</v>
      </c>
      <c r="Q1450" s="116">
        <v>1913.2</v>
      </c>
      <c r="R1450">
        <v>37003111</v>
      </c>
    </row>
    <row r="1451" spans="1:18" x14ac:dyDescent="0.25">
      <c r="A1451" s="170">
        <v>44140</v>
      </c>
      <c r="B1451" s="116">
        <v>980</v>
      </c>
      <c r="C1451" s="116">
        <v>977.55</v>
      </c>
      <c r="D1451" s="116">
        <v>965.7</v>
      </c>
      <c r="E1451" s="116">
        <v>974.5</v>
      </c>
      <c r="F1451" s="116">
        <v>1955.1</v>
      </c>
      <c r="G1451">
        <v>954587</v>
      </c>
      <c r="H1451" s="116"/>
      <c r="I1451" s="116"/>
      <c r="L1451" s="170">
        <v>44140</v>
      </c>
      <c r="M1451" s="116">
        <v>977.5</v>
      </c>
      <c r="N1451" s="116">
        <v>980.47500000000002</v>
      </c>
      <c r="O1451" s="116">
        <v>966</v>
      </c>
      <c r="P1451" s="116">
        <v>977.47500000000002</v>
      </c>
      <c r="Q1451" s="116">
        <v>1955</v>
      </c>
      <c r="R1451">
        <v>17170274</v>
      </c>
    </row>
    <row r="1452" spans="1:18" x14ac:dyDescent="0.25">
      <c r="A1452" s="170">
        <v>44141</v>
      </c>
      <c r="B1452" s="116">
        <v>1020</v>
      </c>
      <c r="C1452" s="116">
        <v>1014.5</v>
      </c>
      <c r="D1452" s="116">
        <v>988.82500000000005</v>
      </c>
      <c r="E1452" s="116">
        <v>994</v>
      </c>
      <c r="F1452" s="116">
        <v>2029</v>
      </c>
      <c r="G1452">
        <v>1886873</v>
      </c>
      <c r="H1452" s="116"/>
      <c r="I1452" s="116"/>
      <c r="L1452" s="170">
        <v>44141</v>
      </c>
      <c r="M1452" s="116">
        <v>1014.575</v>
      </c>
      <c r="N1452" s="116">
        <v>1020</v>
      </c>
      <c r="O1452" s="116">
        <v>989.07500000000005</v>
      </c>
      <c r="P1452" s="116">
        <v>995</v>
      </c>
      <c r="Q1452" s="116">
        <v>2029.15</v>
      </c>
      <c r="R1452">
        <v>30770080</v>
      </c>
    </row>
    <row r="1453" spans="1:18" x14ac:dyDescent="0.25">
      <c r="A1453" s="170">
        <v>44144</v>
      </c>
      <c r="B1453" s="116">
        <v>1035</v>
      </c>
      <c r="C1453" s="116">
        <v>1025.1500000000001</v>
      </c>
      <c r="D1453" s="116">
        <v>1019.45</v>
      </c>
      <c r="E1453" s="116">
        <v>1029.3499999999999</v>
      </c>
      <c r="F1453" s="116">
        <v>2050.3000000000002</v>
      </c>
      <c r="G1453">
        <v>843691</v>
      </c>
      <c r="H1453" s="116"/>
      <c r="I1453" s="116"/>
      <c r="L1453" s="170">
        <v>44144</v>
      </c>
      <c r="M1453" s="116">
        <v>1025.3499999999999</v>
      </c>
      <c r="N1453" s="116">
        <v>1034.5</v>
      </c>
      <c r="O1453" s="116">
        <v>1018</v>
      </c>
      <c r="P1453" s="116">
        <v>1031.05</v>
      </c>
      <c r="Q1453" s="116">
        <v>2050.6999999999998</v>
      </c>
      <c r="R1453">
        <v>16539467</v>
      </c>
    </row>
    <row r="1454" spans="1:18" x14ac:dyDescent="0.25">
      <c r="A1454" s="170">
        <v>44145</v>
      </c>
      <c r="B1454" s="116">
        <v>1045</v>
      </c>
      <c r="C1454" s="116">
        <v>1042.25</v>
      </c>
      <c r="D1454" s="116">
        <v>1020.9</v>
      </c>
      <c r="E1454" s="116">
        <v>1037.5</v>
      </c>
      <c r="F1454" s="116">
        <v>2084.5</v>
      </c>
      <c r="G1454">
        <v>1068647</v>
      </c>
      <c r="H1454" s="116"/>
      <c r="I1454" s="116"/>
      <c r="L1454" s="170">
        <v>44145</v>
      </c>
      <c r="M1454" s="116">
        <v>1042.2750000000001</v>
      </c>
      <c r="N1454" s="116">
        <v>1045</v>
      </c>
      <c r="O1454" s="116">
        <v>1020.6</v>
      </c>
      <c r="P1454" s="116">
        <v>1038.5</v>
      </c>
      <c r="Q1454" s="116">
        <v>2084.5500000000002</v>
      </c>
      <c r="R1454">
        <v>17045147</v>
      </c>
    </row>
    <row r="1455" spans="1:18" x14ac:dyDescent="0.25">
      <c r="A1455" s="170">
        <v>44146</v>
      </c>
      <c r="B1455" s="116">
        <v>1047.675</v>
      </c>
      <c r="C1455" s="116">
        <v>998.45</v>
      </c>
      <c r="D1455" s="116">
        <v>989.5</v>
      </c>
      <c r="E1455" s="116">
        <v>1046</v>
      </c>
      <c r="F1455" s="116">
        <v>1996.9</v>
      </c>
      <c r="G1455">
        <v>811189</v>
      </c>
      <c r="H1455" s="116"/>
      <c r="I1455" s="116"/>
      <c r="L1455" s="170">
        <v>44146</v>
      </c>
      <c r="M1455" s="116">
        <v>998.6</v>
      </c>
      <c r="N1455" s="116">
        <v>1047.5</v>
      </c>
      <c r="O1455" s="116">
        <v>989.05</v>
      </c>
      <c r="P1455" s="116">
        <v>1044.5</v>
      </c>
      <c r="Q1455" s="116">
        <v>1997.2</v>
      </c>
      <c r="R1455">
        <v>26178477</v>
      </c>
    </row>
    <row r="1456" spans="1:18" x14ac:dyDescent="0.25">
      <c r="A1456" s="170">
        <v>44147</v>
      </c>
      <c r="B1456" s="116">
        <v>1004.175</v>
      </c>
      <c r="C1456" s="116">
        <v>989.92499999999995</v>
      </c>
      <c r="D1456" s="116">
        <v>982.5</v>
      </c>
      <c r="E1456" s="116">
        <v>992.5</v>
      </c>
      <c r="F1456" s="116">
        <v>1979.85</v>
      </c>
      <c r="G1456">
        <v>711464</v>
      </c>
      <c r="H1456" s="116"/>
      <c r="I1456" s="116"/>
      <c r="L1456" s="170">
        <v>44147</v>
      </c>
      <c r="M1456" s="116">
        <v>990</v>
      </c>
      <c r="N1456" s="116">
        <v>1004.225</v>
      </c>
      <c r="O1456" s="116">
        <v>982.5</v>
      </c>
      <c r="P1456" s="116">
        <v>990.5</v>
      </c>
      <c r="Q1456" s="116">
        <v>1980</v>
      </c>
      <c r="R1456">
        <v>18481466</v>
      </c>
    </row>
    <row r="1457" spans="1:18" x14ac:dyDescent="0.25">
      <c r="A1457" s="170">
        <v>44148</v>
      </c>
      <c r="B1457" s="116">
        <v>1018.325</v>
      </c>
      <c r="C1457" s="116">
        <v>998.05</v>
      </c>
      <c r="D1457" s="116">
        <v>990.5</v>
      </c>
      <c r="E1457" s="116">
        <v>995</v>
      </c>
      <c r="F1457" s="116">
        <v>1996.1</v>
      </c>
      <c r="G1457">
        <v>1825121</v>
      </c>
      <c r="H1457" s="116"/>
      <c r="I1457" s="116"/>
      <c r="L1457" s="170">
        <v>44148</v>
      </c>
      <c r="M1457" s="116">
        <v>998.2</v>
      </c>
      <c r="N1457" s="116">
        <v>1018.325</v>
      </c>
      <c r="O1457" s="116">
        <v>990.875</v>
      </c>
      <c r="P1457" s="116">
        <v>991</v>
      </c>
      <c r="Q1457" s="116">
        <v>1996.4</v>
      </c>
      <c r="R1457">
        <v>20946864</v>
      </c>
    </row>
    <row r="1458" spans="1:18" x14ac:dyDescent="0.25">
      <c r="A1458" s="170">
        <v>44149</v>
      </c>
      <c r="B1458" s="116">
        <v>1008.125</v>
      </c>
      <c r="C1458" s="116">
        <v>1000.9</v>
      </c>
      <c r="D1458" s="116">
        <v>998</v>
      </c>
      <c r="E1458" s="116">
        <v>1006.5</v>
      </c>
      <c r="F1458" s="116">
        <v>2001.8</v>
      </c>
      <c r="G1458">
        <v>100085</v>
      </c>
      <c r="H1458" s="116"/>
      <c r="I1458" s="116"/>
      <c r="L1458" s="170">
        <v>44149</v>
      </c>
      <c r="M1458" s="116">
        <v>1001.15</v>
      </c>
      <c r="N1458" s="116">
        <v>1007.65</v>
      </c>
      <c r="O1458" s="116">
        <v>997.67499999999995</v>
      </c>
      <c r="P1458" s="116">
        <v>1007.45</v>
      </c>
      <c r="Q1458" s="116">
        <v>2002.3</v>
      </c>
      <c r="R1458">
        <v>2411900</v>
      </c>
    </row>
    <row r="1459" spans="1:18" x14ac:dyDescent="0.25">
      <c r="A1459" s="170">
        <v>44152</v>
      </c>
      <c r="B1459" s="116">
        <v>1042</v>
      </c>
      <c r="C1459" s="116">
        <v>996.45</v>
      </c>
      <c r="D1459" s="116">
        <v>992.5</v>
      </c>
      <c r="E1459" s="116">
        <v>1042</v>
      </c>
      <c r="F1459" s="116">
        <v>1992.9</v>
      </c>
      <c r="G1459">
        <v>643296</v>
      </c>
      <c r="H1459" s="116"/>
      <c r="I1459" s="116"/>
      <c r="L1459" s="170">
        <v>44152</v>
      </c>
      <c r="M1459" s="116">
        <v>996.625</v>
      </c>
      <c r="N1459" s="116">
        <v>1042.5</v>
      </c>
      <c r="O1459" s="116">
        <v>992.5</v>
      </c>
      <c r="P1459" s="116">
        <v>1042.5</v>
      </c>
      <c r="Q1459" s="116">
        <v>1993.25</v>
      </c>
      <c r="R1459">
        <v>21479385</v>
      </c>
    </row>
    <row r="1460" spans="1:18" x14ac:dyDescent="0.25">
      <c r="A1460" s="170">
        <v>44153</v>
      </c>
      <c r="B1460" s="116">
        <v>1003.325</v>
      </c>
      <c r="C1460" s="116">
        <v>993.6</v>
      </c>
      <c r="D1460" s="116">
        <v>980.5</v>
      </c>
      <c r="E1460" s="116">
        <v>998.72500000000002</v>
      </c>
      <c r="F1460" s="116">
        <v>1987.2</v>
      </c>
      <c r="G1460">
        <v>427982</v>
      </c>
      <c r="H1460" s="116"/>
      <c r="I1460" s="116"/>
      <c r="L1460" s="170">
        <v>44153</v>
      </c>
      <c r="M1460" s="116">
        <v>993.6</v>
      </c>
      <c r="N1460" s="116">
        <v>1003.25</v>
      </c>
      <c r="O1460" s="116">
        <v>980.05</v>
      </c>
      <c r="P1460" s="116">
        <v>996.625</v>
      </c>
      <c r="Q1460" s="116">
        <v>1987.2</v>
      </c>
      <c r="R1460">
        <v>14030652</v>
      </c>
    </row>
    <row r="1461" spans="1:18" x14ac:dyDescent="0.25">
      <c r="A1461" s="170">
        <v>44154</v>
      </c>
      <c r="B1461" s="116">
        <v>1005</v>
      </c>
      <c r="C1461" s="116">
        <v>986.32500000000005</v>
      </c>
      <c r="D1461" s="116">
        <v>984</v>
      </c>
      <c r="E1461" s="116">
        <v>993.2</v>
      </c>
      <c r="F1461" s="116">
        <v>1972.65</v>
      </c>
      <c r="G1461">
        <v>802733</v>
      </c>
      <c r="H1461" s="116"/>
      <c r="I1461" s="116"/>
      <c r="L1461" s="170">
        <v>44154</v>
      </c>
      <c r="M1461" s="116">
        <v>986.57500000000005</v>
      </c>
      <c r="N1461" s="116">
        <v>1005.225</v>
      </c>
      <c r="O1461" s="116">
        <v>984.1</v>
      </c>
      <c r="P1461" s="116">
        <v>993.6</v>
      </c>
      <c r="Q1461" s="116">
        <v>1973.15</v>
      </c>
      <c r="R1461">
        <v>12828008</v>
      </c>
    </row>
    <row r="1462" spans="1:18" x14ac:dyDescent="0.25">
      <c r="A1462" s="170">
        <v>44155</v>
      </c>
      <c r="B1462" s="116">
        <v>992.05</v>
      </c>
      <c r="C1462" s="116">
        <v>949.6</v>
      </c>
      <c r="D1462" s="116">
        <v>947.3</v>
      </c>
      <c r="E1462" s="116">
        <v>988.9</v>
      </c>
      <c r="F1462" s="116">
        <v>1899.2</v>
      </c>
      <c r="G1462">
        <v>863183</v>
      </c>
      <c r="H1462" s="116"/>
      <c r="I1462" s="116"/>
      <c r="L1462" s="170">
        <v>44155</v>
      </c>
      <c r="M1462" s="116">
        <v>949.75</v>
      </c>
      <c r="N1462" s="116">
        <v>991.9</v>
      </c>
      <c r="O1462" s="116">
        <v>947.5</v>
      </c>
      <c r="P1462" s="116">
        <v>987.5</v>
      </c>
      <c r="Q1462" s="116">
        <v>1899.5</v>
      </c>
      <c r="R1462">
        <v>26522972</v>
      </c>
    </row>
    <row r="1463" spans="1:18" x14ac:dyDescent="0.25">
      <c r="A1463" s="170">
        <v>44158</v>
      </c>
      <c r="B1463" s="116">
        <v>985</v>
      </c>
      <c r="C1463" s="116">
        <v>975.4</v>
      </c>
      <c r="D1463" s="116">
        <v>963.5</v>
      </c>
      <c r="E1463" s="116">
        <v>964.5</v>
      </c>
      <c r="F1463" s="116">
        <v>1950.8</v>
      </c>
      <c r="G1463">
        <v>598632</v>
      </c>
      <c r="H1463" s="116"/>
      <c r="I1463" s="116"/>
      <c r="L1463" s="170">
        <v>44158</v>
      </c>
      <c r="M1463" s="116">
        <v>975.35</v>
      </c>
      <c r="N1463" s="116">
        <v>985</v>
      </c>
      <c r="O1463" s="116">
        <v>963.125</v>
      </c>
      <c r="P1463" s="116">
        <v>975.5</v>
      </c>
      <c r="Q1463" s="116">
        <v>1950.7</v>
      </c>
      <c r="R1463">
        <v>20918665</v>
      </c>
    </row>
    <row r="1464" spans="1:18" x14ac:dyDescent="0.25">
      <c r="A1464" s="170">
        <v>44159</v>
      </c>
      <c r="B1464" s="116">
        <v>986.8</v>
      </c>
      <c r="C1464" s="116">
        <v>982.55</v>
      </c>
      <c r="D1464" s="116">
        <v>965.6</v>
      </c>
      <c r="E1464" s="116">
        <v>981</v>
      </c>
      <c r="F1464" s="116">
        <v>1965.1</v>
      </c>
      <c r="G1464">
        <v>750504</v>
      </c>
      <c r="H1464" s="116"/>
      <c r="I1464" s="116"/>
      <c r="L1464" s="170">
        <v>44159</v>
      </c>
      <c r="M1464" s="116">
        <v>982.02499999999998</v>
      </c>
      <c r="N1464" s="116">
        <v>987</v>
      </c>
      <c r="O1464" s="116">
        <v>966</v>
      </c>
      <c r="P1464" s="116">
        <v>982</v>
      </c>
      <c r="Q1464" s="116">
        <v>1964.05</v>
      </c>
      <c r="R1464">
        <v>14277083</v>
      </c>
    </row>
    <row r="1465" spans="1:18" x14ac:dyDescent="0.25">
      <c r="A1465" s="170">
        <v>44160</v>
      </c>
      <c r="B1465" s="116">
        <v>996</v>
      </c>
      <c r="C1465" s="116">
        <v>973.875</v>
      </c>
      <c r="D1465" s="116">
        <v>971.15</v>
      </c>
      <c r="E1465" s="116">
        <v>990</v>
      </c>
      <c r="F1465" s="116">
        <v>1947.75</v>
      </c>
      <c r="G1465">
        <v>914063</v>
      </c>
      <c r="H1465" s="116"/>
      <c r="I1465" s="116"/>
      <c r="L1465" s="170">
        <v>44160</v>
      </c>
      <c r="M1465" s="116">
        <v>973.9</v>
      </c>
      <c r="N1465" s="116">
        <v>996.47500000000002</v>
      </c>
      <c r="O1465" s="116">
        <v>971.1</v>
      </c>
      <c r="P1465" s="116">
        <v>990</v>
      </c>
      <c r="Q1465" s="116">
        <v>1947.8</v>
      </c>
      <c r="R1465">
        <v>15062376</v>
      </c>
    </row>
    <row r="1466" spans="1:18" x14ac:dyDescent="0.25">
      <c r="A1466" s="170">
        <v>44161</v>
      </c>
      <c r="B1466" s="116">
        <v>982.42499999999995</v>
      </c>
      <c r="C1466" s="116">
        <v>976.9</v>
      </c>
      <c r="D1466" s="116">
        <v>965.2</v>
      </c>
      <c r="E1466" s="116">
        <v>975.02499999999998</v>
      </c>
      <c r="F1466" s="116">
        <v>1953.8</v>
      </c>
      <c r="G1466">
        <v>450855</v>
      </c>
      <c r="H1466" s="116"/>
      <c r="I1466" s="116"/>
      <c r="L1466" s="170">
        <v>44161</v>
      </c>
      <c r="M1466" s="116">
        <v>976.3</v>
      </c>
      <c r="N1466" s="116">
        <v>982.5</v>
      </c>
      <c r="O1466" s="116">
        <v>965.02499999999998</v>
      </c>
      <c r="P1466" s="116">
        <v>976.52499999999998</v>
      </c>
      <c r="Q1466" s="116">
        <v>1952.6</v>
      </c>
      <c r="R1466">
        <v>11924527</v>
      </c>
    </row>
    <row r="1467" spans="1:18" x14ac:dyDescent="0.25">
      <c r="A1467" s="170">
        <v>44162</v>
      </c>
      <c r="B1467" s="116">
        <v>977.92499999999995</v>
      </c>
      <c r="C1467" s="116">
        <v>964.92499999999995</v>
      </c>
      <c r="D1467" s="116">
        <v>960.77499999999998</v>
      </c>
      <c r="E1467" s="116">
        <v>970.5</v>
      </c>
      <c r="F1467" s="116">
        <v>1929.85</v>
      </c>
      <c r="G1467">
        <v>523191</v>
      </c>
      <c r="H1467" s="116"/>
      <c r="I1467" s="116"/>
      <c r="L1467" s="170">
        <v>44162</v>
      </c>
      <c r="M1467" s="116">
        <v>964.9</v>
      </c>
      <c r="N1467" s="116">
        <v>978.05</v>
      </c>
      <c r="O1467" s="116">
        <v>960.7</v>
      </c>
      <c r="P1467" s="116">
        <v>970.25</v>
      </c>
      <c r="Q1467" s="116">
        <v>1929.8</v>
      </c>
      <c r="R1467">
        <v>21845931</v>
      </c>
    </row>
    <row r="1468" spans="1:18" x14ac:dyDescent="0.25">
      <c r="A1468" s="170">
        <v>44166</v>
      </c>
      <c r="B1468" s="116">
        <v>982.95</v>
      </c>
      <c r="C1468" s="116">
        <v>977.15</v>
      </c>
      <c r="D1468" s="116">
        <v>965.5</v>
      </c>
      <c r="E1468" s="116">
        <v>967.625</v>
      </c>
      <c r="F1468" s="116">
        <v>1954.3</v>
      </c>
      <c r="G1468">
        <v>593339</v>
      </c>
      <c r="H1468" s="116"/>
      <c r="I1468" s="116"/>
      <c r="L1468" s="170">
        <v>44166</v>
      </c>
      <c r="M1468" s="116">
        <v>977.45</v>
      </c>
      <c r="N1468" s="116">
        <v>983.125</v>
      </c>
      <c r="O1468" s="116">
        <v>965.02499999999998</v>
      </c>
      <c r="P1468" s="116">
        <v>970.17499999999995</v>
      </c>
      <c r="Q1468" s="116">
        <v>1954.9</v>
      </c>
      <c r="R1468">
        <v>9114939</v>
      </c>
    </row>
    <row r="1469" spans="1:18" x14ac:dyDescent="0.25">
      <c r="A1469" s="170">
        <v>44167</v>
      </c>
      <c r="B1469" s="116">
        <v>981.47500000000002</v>
      </c>
      <c r="C1469" s="116">
        <v>978.8</v>
      </c>
      <c r="D1469" s="116">
        <v>967.5</v>
      </c>
      <c r="E1469" s="116">
        <v>981.47500000000002</v>
      </c>
      <c r="F1469" s="116">
        <v>1957.6</v>
      </c>
      <c r="G1469">
        <v>220138</v>
      </c>
      <c r="H1469" s="116"/>
      <c r="I1469" s="116"/>
      <c r="L1469" s="170">
        <v>44167</v>
      </c>
      <c r="M1469" s="116">
        <v>979.07500000000005</v>
      </c>
      <c r="N1469" s="116">
        <v>981</v>
      </c>
      <c r="O1469" s="116">
        <v>967.5</v>
      </c>
      <c r="P1469" s="116">
        <v>979.25</v>
      </c>
      <c r="Q1469" s="116">
        <v>1958.15</v>
      </c>
      <c r="R1469">
        <v>10240168</v>
      </c>
    </row>
    <row r="1470" spans="1:18" x14ac:dyDescent="0.25">
      <c r="A1470" s="170">
        <v>44168</v>
      </c>
      <c r="B1470" s="116">
        <v>990.55</v>
      </c>
      <c r="C1470" s="116">
        <v>981.72500000000002</v>
      </c>
      <c r="D1470" s="116">
        <v>979.02499999999998</v>
      </c>
      <c r="E1470" s="116">
        <v>985</v>
      </c>
      <c r="F1470" s="116">
        <v>1963.45</v>
      </c>
      <c r="G1470">
        <v>1489127</v>
      </c>
      <c r="H1470" s="116"/>
      <c r="I1470" s="116"/>
      <c r="L1470" s="170">
        <v>44168</v>
      </c>
      <c r="M1470" s="116">
        <v>982.02499999999998</v>
      </c>
      <c r="N1470" s="116">
        <v>990.55</v>
      </c>
      <c r="O1470" s="116">
        <v>979.32500000000005</v>
      </c>
      <c r="P1470" s="116">
        <v>986</v>
      </c>
      <c r="Q1470" s="116">
        <v>1964.05</v>
      </c>
      <c r="R1470">
        <v>12822945</v>
      </c>
    </row>
    <row r="1471" spans="1:18" x14ac:dyDescent="0.25">
      <c r="A1471" s="170">
        <v>44169</v>
      </c>
      <c r="B1471" s="116">
        <v>983.92499999999995</v>
      </c>
      <c r="C1471" s="116">
        <v>973.27499999999998</v>
      </c>
      <c r="D1471" s="116">
        <v>970</v>
      </c>
      <c r="E1471" s="116">
        <v>981.5</v>
      </c>
      <c r="F1471" s="116">
        <v>1946.55</v>
      </c>
      <c r="G1471">
        <v>250336</v>
      </c>
      <c r="H1471" s="116"/>
      <c r="I1471" s="116"/>
      <c r="L1471" s="170">
        <v>44169</v>
      </c>
      <c r="M1471" s="116">
        <v>973.375</v>
      </c>
      <c r="N1471" s="116">
        <v>984.5</v>
      </c>
      <c r="O1471" s="116">
        <v>970</v>
      </c>
      <c r="P1471" s="116">
        <v>984.5</v>
      </c>
      <c r="Q1471" s="116">
        <v>1946.75</v>
      </c>
      <c r="R1471">
        <v>8521388</v>
      </c>
    </row>
    <row r="1472" spans="1:18" x14ac:dyDescent="0.25">
      <c r="A1472" s="170">
        <v>44172</v>
      </c>
      <c r="B1472" s="116">
        <v>982.5</v>
      </c>
      <c r="C1472" s="116">
        <v>979.02499999999998</v>
      </c>
      <c r="D1472" s="116">
        <v>971</v>
      </c>
      <c r="E1472" s="116">
        <v>971</v>
      </c>
      <c r="F1472" s="116">
        <v>1958.05</v>
      </c>
      <c r="G1472">
        <v>293809</v>
      </c>
      <c r="H1472" s="116"/>
      <c r="I1472" s="116"/>
      <c r="L1472" s="170">
        <v>44172</v>
      </c>
      <c r="M1472" s="116">
        <v>979.1</v>
      </c>
      <c r="N1472" s="116">
        <v>982.5</v>
      </c>
      <c r="O1472" s="116">
        <v>970.3</v>
      </c>
      <c r="P1472" s="116">
        <v>970.3</v>
      </c>
      <c r="Q1472" s="116">
        <v>1958.2</v>
      </c>
      <c r="R1472">
        <v>8418767</v>
      </c>
    </row>
    <row r="1473" spans="1:18" x14ac:dyDescent="0.25">
      <c r="A1473" s="170">
        <v>44173</v>
      </c>
      <c r="B1473" s="116">
        <v>1007.1</v>
      </c>
      <c r="C1473" s="116">
        <v>996.875</v>
      </c>
      <c r="D1473" s="116">
        <v>975.07500000000005</v>
      </c>
      <c r="E1473" s="116">
        <v>981.5</v>
      </c>
      <c r="F1473" s="116">
        <v>1993.75</v>
      </c>
      <c r="G1473">
        <v>683240</v>
      </c>
      <c r="H1473" s="116"/>
      <c r="I1473" s="116"/>
      <c r="L1473" s="170">
        <v>44173</v>
      </c>
      <c r="M1473" s="116">
        <v>996.875</v>
      </c>
      <c r="N1473" s="116">
        <v>1007.125</v>
      </c>
      <c r="O1473" s="116">
        <v>975</v>
      </c>
      <c r="P1473" s="116">
        <v>980.57500000000005</v>
      </c>
      <c r="Q1473" s="116">
        <v>1993.75</v>
      </c>
      <c r="R1473">
        <v>20030506</v>
      </c>
    </row>
    <row r="1474" spans="1:18" x14ac:dyDescent="0.25">
      <c r="A1474" s="170">
        <v>44174</v>
      </c>
      <c r="B1474" s="116">
        <v>1016.9</v>
      </c>
      <c r="C1474" s="116">
        <v>1013.325</v>
      </c>
      <c r="D1474" s="116">
        <v>1000</v>
      </c>
      <c r="E1474" s="116">
        <v>1006.5</v>
      </c>
      <c r="F1474" s="116">
        <v>2026.65</v>
      </c>
      <c r="G1474">
        <v>917242</v>
      </c>
      <c r="H1474" s="116"/>
      <c r="I1474" s="116"/>
      <c r="L1474" s="170">
        <v>44174</v>
      </c>
      <c r="M1474" s="116">
        <v>1013.475</v>
      </c>
      <c r="N1474" s="116">
        <v>1016.9</v>
      </c>
      <c r="O1474" s="116">
        <v>999.625</v>
      </c>
      <c r="P1474" s="116">
        <v>1004.975</v>
      </c>
      <c r="Q1474" s="116">
        <v>2026.95</v>
      </c>
      <c r="R1474">
        <v>13464375</v>
      </c>
    </row>
    <row r="1475" spans="1:18" x14ac:dyDescent="0.25">
      <c r="A1475" s="170">
        <v>44175</v>
      </c>
      <c r="B1475" s="116">
        <v>1014.2</v>
      </c>
      <c r="C1475" s="116">
        <v>1003.6</v>
      </c>
      <c r="D1475" s="116">
        <v>1000.475</v>
      </c>
      <c r="E1475" s="116">
        <v>1010</v>
      </c>
      <c r="F1475" s="116">
        <v>2007.2</v>
      </c>
      <c r="G1475">
        <v>270177</v>
      </c>
      <c r="H1475" s="116"/>
      <c r="I1475" s="116"/>
      <c r="L1475" s="170">
        <v>44175</v>
      </c>
      <c r="M1475" s="116">
        <v>1003.5</v>
      </c>
      <c r="N1475" s="116">
        <v>1014.25</v>
      </c>
      <c r="O1475" s="116">
        <v>1000.5</v>
      </c>
      <c r="P1475" s="116">
        <v>1010.8</v>
      </c>
      <c r="Q1475" s="116">
        <v>2007</v>
      </c>
      <c r="R1475">
        <v>7414229</v>
      </c>
    </row>
    <row r="1476" spans="1:18" x14ac:dyDescent="0.25">
      <c r="A1476" s="170">
        <v>44176</v>
      </c>
      <c r="B1476" s="116">
        <v>1018.9</v>
      </c>
      <c r="C1476" s="116">
        <v>1002.8</v>
      </c>
      <c r="D1476" s="116">
        <v>987.2</v>
      </c>
      <c r="E1476" s="116">
        <v>1005.6</v>
      </c>
      <c r="F1476" s="116">
        <v>2005.6</v>
      </c>
      <c r="G1476">
        <v>689028</v>
      </c>
      <c r="H1476" s="116"/>
      <c r="I1476" s="116"/>
      <c r="L1476" s="170">
        <v>44176</v>
      </c>
      <c r="M1476" s="116">
        <v>1002.9</v>
      </c>
      <c r="N1476" s="116">
        <v>1019</v>
      </c>
      <c r="O1476" s="116">
        <v>987.125</v>
      </c>
      <c r="P1476" s="116">
        <v>1006.5</v>
      </c>
      <c r="Q1476" s="116">
        <v>2005.8</v>
      </c>
      <c r="R1476">
        <v>12434745</v>
      </c>
    </row>
    <row r="1477" spans="1:18" x14ac:dyDescent="0.25">
      <c r="A1477" s="170">
        <v>44179</v>
      </c>
      <c r="B1477" s="116">
        <v>1007.625</v>
      </c>
      <c r="C1477" s="116">
        <v>995.57500000000005</v>
      </c>
      <c r="D1477" s="116">
        <v>993.52499999999998</v>
      </c>
      <c r="E1477" s="116">
        <v>1006.5</v>
      </c>
      <c r="F1477" s="116">
        <v>1991.15</v>
      </c>
      <c r="G1477">
        <v>232903</v>
      </c>
      <c r="H1477" s="116"/>
      <c r="I1477" s="116"/>
      <c r="L1477" s="170">
        <v>44179</v>
      </c>
      <c r="M1477" s="116">
        <v>995.65</v>
      </c>
      <c r="N1477" s="116">
        <v>1007.5</v>
      </c>
      <c r="O1477" s="116">
        <v>993.17499999999995</v>
      </c>
      <c r="P1477" s="116">
        <v>1003.975</v>
      </c>
      <c r="Q1477" s="116">
        <v>1991.3</v>
      </c>
      <c r="R1477">
        <v>7989830</v>
      </c>
    </row>
    <row r="1478" spans="1:18" x14ac:dyDescent="0.25">
      <c r="A1478" s="170">
        <v>44180</v>
      </c>
      <c r="B1478" s="116">
        <v>996.45</v>
      </c>
      <c r="C1478" s="116">
        <v>987</v>
      </c>
      <c r="D1478" s="116">
        <v>980.75</v>
      </c>
      <c r="E1478" s="116">
        <v>996.45</v>
      </c>
      <c r="F1478" s="116">
        <v>1974</v>
      </c>
      <c r="G1478">
        <v>211535</v>
      </c>
      <c r="H1478" s="116"/>
      <c r="I1478" s="116"/>
      <c r="L1478" s="170">
        <v>44180</v>
      </c>
      <c r="M1478" s="116">
        <v>987.17499999999995</v>
      </c>
      <c r="N1478" s="116">
        <v>994.85</v>
      </c>
      <c r="O1478" s="116">
        <v>980.55</v>
      </c>
      <c r="P1478" s="116">
        <v>994.85</v>
      </c>
      <c r="Q1478" s="116">
        <v>1974.35</v>
      </c>
      <c r="R1478">
        <v>8561406</v>
      </c>
    </row>
    <row r="1479" spans="1:18" x14ac:dyDescent="0.25">
      <c r="A1479" s="170">
        <v>44181</v>
      </c>
      <c r="B1479" s="116">
        <v>997.5</v>
      </c>
      <c r="C1479" s="116">
        <v>988.02499999999998</v>
      </c>
      <c r="D1479" s="116">
        <v>982.875</v>
      </c>
      <c r="E1479" s="116">
        <v>994</v>
      </c>
      <c r="F1479" s="116">
        <v>1976.05</v>
      </c>
      <c r="G1479">
        <v>272748</v>
      </c>
      <c r="H1479" s="116"/>
      <c r="I1479" s="116"/>
      <c r="L1479" s="170">
        <v>44181</v>
      </c>
      <c r="M1479" s="116">
        <v>988.27499999999998</v>
      </c>
      <c r="N1479" s="116">
        <v>997.47500000000002</v>
      </c>
      <c r="O1479" s="116">
        <v>982.85</v>
      </c>
      <c r="P1479" s="116">
        <v>994</v>
      </c>
      <c r="Q1479" s="116">
        <v>1976.55</v>
      </c>
      <c r="R1479">
        <v>8565904</v>
      </c>
    </row>
    <row r="1480" spans="1:18" x14ac:dyDescent="0.25">
      <c r="A1480" s="170">
        <v>44182</v>
      </c>
      <c r="B1480" s="116">
        <v>1002.5</v>
      </c>
      <c r="C1480" s="116">
        <v>992.52499999999998</v>
      </c>
      <c r="D1480" s="116">
        <v>988.55</v>
      </c>
      <c r="E1480" s="116">
        <v>990.45</v>
      </c>
      <c r="F1480" s="116">
        <v>1985.05</v>
      </c>
      <c r="G1480">
        <v>238834</v>
      </c>
      <c r="H1480" s="116"/>
      <c r="I1480" s="116"/>
      <c r="L1480" s="170">
        <v>44182</v>
      </c>
      <c r="M1480" s="116">
        <v>992.8</v>
      </c>
      <c r="N1480" s="116">
        <v>1002.5</v>
      </c>
      <c r="O1480" s="116">
        <v>988.57500000000005</v>
      </c>
      <c r="P1480" s="116">
        <v>992.25</v>
      </c>
      <c r="Q1480" s="116">
        <v>1985.6</v>
      </c>
      <c r="R1480">
        <v>9346460</v>
      </c>
    </row>
    <row r="1481" spans="1:18" x14ac:dyDescent="0.25">
      <c r="A1481" s="170">
        <v>44183</v>
      </c>
      <c r="B1481" s="116">
        <v>1002.5</v>
      </c>
      <c r="C1481" s="116">
        <v>996.125</v>
      </c>
      <c r="D1481" s="116">
        <v>982.5</v>
      </c>
      <c r="E1481" s="116">
        <v>991.5</v>
      </c>
      <c r="F1481" s="116">
        <v>1992.25</v>
      </c>
      <c r="G1481">
        <v>218330</v>
      </c>
      <c r="H1481" s="116"/>
      <c r="I1481" s="116"/>
      <c r="L1481" s="170">
        <v>44183</v>
      </c>
      <c r="M1481" s="116">
        <v>995.77499999999998</v>
      </c>
      <c r="N1481" s="116">
        <v>1002.45</v>
      </c>
      <c r="O1481" s="116">
        <v>982.5</v>
      </c>
      <c r="P1481" s="116">
        <v>990.05</v>
      </c>
      <c r="Q1481" s="116">
        <v>1991.55</v>
      </c>
      <c r="R1481">
        <v>8522215</v>
      </c>
    </row>
    <row r="1482" spans="1:18" x14ac:dyDescent="0.25">
      <c r="A1482" s="170">
        <v>44186</v>
      </c>
      <c r="B1482" s="116">
        <v>1011</v>
      </c>
      <c r="C1482" s="116">
        <v>969.875</v>
      </c>
      <c r="D1482" s="116">
        <v>928.02499999999998</v>
      </c>
      <c r="E1482" s="116">
        <v>1005</v>
      </c>
      <c r="F1482" s="116">
        <v>1939.75</v>
      </c>
      <c r="G1482">
        <v>1499610</v>
      </c>
      <c r="H1482" s="116"/>
      <c r="I1482" s="116"/>
      <c r="L1482" s="170">
        <v>44186</v>
      </c>
      <c r="M1482" s="116">
        <v>969.85</v>
      </c>
      <c r="N1482" s="116">
        <v>1011</v>
      </c>
      <c r="O1482" s="116">
        <v>927.625</v>
      </c>
      <c r="P1482" s="116">
        <v>1005</v>
      </c>
      <c r="Q1482" s="116">
        <v>1939.7</v>
      </c>
      <c r="R1482">
        <v>20368545</v>
      </c>
    </row>
    <row r="1483" spans="1:18" x14ac:dyDescent="0.25">
      <c r="A1483" s="170">
        <v>44187</v>
      </c>
      <c r="B1483" s="116">
        <v>979.2</v>
      </c>
      <c r="C1483" s="116">
        <v>968.3</v>
      </c>
      <c r="D1483" s="116">
        <v>943.875</v>
      </c>
      <c r="E1483" s="116">
        <v>970</v>
      </c>
      <c r="F1483" s="116">
        <v>1936.6</v>
      </c>
      <c r="G1483">
        <v>972241</v>
      </c>
      <c r="H1483" s="116"/>
      <c r="I1483" s="116"/>
      <c r="L1483" s="170">
        <v>44187</v>
      </c>
      <c r="M1483" s="116">
        <v>968.35</v>
      </c>
      <c r="N1483" s="116">
        <v>979.45</v>
      </c>
      <c r="O1483" s="116">
        <v>944.22500000000002</v>
      </c>
      <c r="P1483" s="116">
        <v>974.5</v>
      </c>
      <c r="Q1483" s="116">
        <v>1936.7</v>
      </c>
      <c r="R1483">
        <v>12986606</v>
      </c>
    </row>
    <row r="1484" spans="1:18" x14ac:dyDescent="0.25">
      <c r="A1484" s="170">
        <v>44188</v>
      </c>
      <c r="B1484" s="116">
        <v>975.6</v>
      </c>
      <c r="C1484" s="116">
        <v>971.9</v>
      </c>
      <c r="D1484" s="116">
        <v>960</v>
      </c>
      <c r="E1484" s="116">
        <v>966.4</v>
      </c>
      <c r="F1484" s="116">
        <v>1943.8</v>
      </c>
      <c r="G1484">
        <v>299743</v>
      </c>
      <c r="H1484" s="116"/>
      <c r="I1484" s="116"/>
      <c r="L1484" s="170">
        <v>44188</v>
      </c>
      <c r="M1484" s="116">
        <v>971.92499999999995</v>
      </c>
      <c r="N1484" s="116">
        <v>975.72500000000002</v>
      </c>
      <c r="O1484" s="116">
        <v>960.32500000000005</v>
      </c>
      <c r="P1484" s="116">
        <v>965</v>
      </c>
      <c r="Q1484" s="116">
        <v>1943.85</v>
      </c>
      <c r="R1484">
        <v>8999898</v>
      </c>
    </row>
    <row r="1485" spans="1:18" x14ac:dyDescent="0.25">
      <c r="A1485" s="170">
        <v>44189</v>
      </c>
      <c r="B1485" s="116">
        <v>999.32500000000005</v>
      </c>
      <c r="C1485" s="116">
        <v>996.95</v>
      </c>
      <c r="D1485" s="116">
        <v>973.52499999999998</v>
      </c>
      <c r="E1485" s="116">
        <v>975.4</v>
      </c>
      <c r="F1485" s="116">
        <v>1993.9</v>
      </c>
      <c r="G1485">
        <v>289379</v>
      </c>
      <c r="H1485" s="116"/>
      <c r="I1485" s="116"/>
      <c r="L1485" s="170">
        <v>44189</v>
      </c>
      <c r="M1485" s="116">
        <v>997.07500000000005</v>
      </c>
      <c r="N1485" s="116">
        <v>999.4</v>
      </c>
      <c r="O1485" s="116">
        <v>972.95</v>
      </c>
      <c r="P1485" s="116">
        <v>973.5</v>
      </c>
      <c r="Q1485" s="116">
        <v>1994.15</v>
      </c>
      <c r="R1485">
        <v>9588577</v>
      </c>
    </row>
    <row r="1486" spans="1:18" x14ac:dyDescent="0.25">
      <c r="A1486" s="170">
        <v>44193</v>
      </c>
      <c r="B1486" s="116">
        <v>1012.45</v>
      </c>
      <c r="C1486" s="116">
        <v>1001.625</v>
      </c>
      <c r="D1486" s="116">
        <v>997.8</v>
      </c>
      <c r="E1486" s="116">
        <v>1002.05</v>
      </c>
      <c r="F1486" s="116">
        <v>2003.25</v>
      </c>
      <c r="G1486">
        <v>335518</v>
      </c>
      <c r="H1486" s="116"/>
      <c r="I1486" s="116"/>
      <c r="L1486" s="170">
        <v>44193</v>
      </c>
      <c r="M1486" s="116">
        <v>1001.65</v>
      </c>
      <c r="N1486" s="116">
        <v>1009</v>
      </c>
      <c r="O1486" s="116">
        <v>997.65</v>
      </c>
      <c r="P1486" s="116">
        <v>1003.35</v>
      </c>
      <c r="Q1486" s="116">
        <v>2003.3</v>
      </c>
      <c r="R1486">
        <v>7947719</v>
      </c>
    </row>
    <row r="1487" spans="1:18" x14ac:dyDescent="0.25">
      <c r="A1487" s="170">
        <v>44194</v>
      </c>
      <c r="B1487" s="116">
        <v>1006.4</v>
      </c>
      <c r="C1487" s="116">
        <v>994.6</v>
      </c>
      <c r="D1487" s="116">
        <v>991.3</v>
      </c>
      <c r="E1487" s="116">
        <v>1003.675</v>
      </c>
      <c r="F1487" s="116">
        <v>1989.2</v>
      </c>
      <c r="G1487">
        <v>250017</v>
      </c>
      <c r="H1487" s="116"/>
      <c r="I1487" s="116"/>
      <c r="L1487" s="170">
        <v>44194</v>
      </c>
      <c r="M1487" s="116">
        <v>995.02499999999998</v>
      </c>
      <c r="N1487" s="116">
        <v>1006.15</v>
      </c>
      <c r="O1487" s="116">
        <v>991.27499999999998</v>
      </c>
      <c r="P1487" s="116">
        <v>1004.5</v>
      </c>
      <c r="Q1487" s="116">
        <v>1990.05</v>
      </c>
      <c r="R1487">
        <v>8589407</v>
      </c>
    </row>
    <row r="1488" spans="1:18" x14ac:dyDescent="0.25">
      <c r="A1488" s="170">
        <v>44195</v>
      </c>
      <c r="B1488" s="116">
        <v>1003.425</v>
      </c>
      <c r="C1488" s="116">
        <v>997.75</v>
      </c>
      <c r="D1488" s="116">
        <v>987.95</v>
      </c>
      <c r="E1488" s="116">
        <v>996.27499999999998</v>
      </c>
      <c r="F1488" s="116">
        <v>1995.5</v>
      </c>
      <c r="G1488">
        <v>224277</v>
      </c>
      <c r="H1488" s="116"/>
      <c r="I1488" s="116"/>
      <c r="L1488" s="170">
        <v>44195</v>
      </c>
      <c r="M1488" s="116">
        <v>997.75</v>
      </c>
      <c r="N1488" s="116">
        <v>1003.6</v>
      </c>
      <c r="O1488" s="116">
        <v>987.77499999999998</v>
      </c>
      <c r="P1488" s="116">
        <v>997.625</v>
      </c>
      <c r="Q1488" s="116">
        <v>1995.5</v>
      </c>
      <c r="R1488">
        <v>10173132</v>
      </c>
    </row>
    <row r="1489" spans="1:18" x14ac:dyDescent="0.25">
      <c r="A1489" s="170">
        <v>44196</v>
      </c>
      <c r="B1489" s="116">
        <v>1005.5</v>
      </c>
      <c r="C1489" s="116">
        <v>992.32500000000005</v>
      </c>
      <c r="D1489" s="116">
        <v>990</v>
      </c>
      <c r="E1489" s="116">
        <v>997.375</v>
      </c>
      <c r="F1489" s="116">
        <v>1984.65</v>
      </c>
      <c r="G1489">
        <v>465795</v>
      </c>
      <c r="H1489" s="116"/>
      <c r="I1489" s="116"/>
      <c r="L1489" s="170">
        <v>44196</v>
      </c>
      <c r="M1489" s="116">
        <v>992.65</v>
      </c>
      <c r="N1489" s="116">
        <v>1005.95</v>
      </c>
      <c r="O1489" s="116">
        <v>989.3</v>
      </c>
      <c r="P1489" s="116">
        <v>996.75</v>
      </c>
      <c r="Q1489" s="116">
        <v>1985.3</v>
      </c>
      <c r="R1489">
        <v>8667516</v>
      </c>
    </row>
    <row r="1490" spans="1:18" x14ac:dyDescent="0.25">
      <c r="A1490" s="170">
        <v>44197</v>
      </c>
      <c r="B1490" s="116">
        <v>998.65</v>
      </c>
      <c r="C1490" s="116">
        <v>993.57500000000005</v>
      </c>
      <c r="D1490" s="116">
        <v>991.15</v>
      </c>
      <c r="E1490" s="116">
        <v>993.07500000000005</v>
      </c>
      <c r="F1490" s="116">
        <v>1987.15</v>
      </c>
      <c r="G1490">
        <v>157713</v>
      </c>
      <c r="H1490" s="116"/>
      <c r="I1490" s="116"/>
      <c r="L1490" s="170">
        <v>44197</v>
      </c>
      <c r="M1490" s="116">
        <v>993.75</v>
      </c>
      <c r="N1490" s="116">
        <v>998.5</v>
      </c>
      <c r="O1490" s="116">
        <v>991</v>
      </c>
      <c r="P1490" s="116">
        <v>994</v>
      </c>
      <c r="Q1490" s="116">
        <v>1987.5</v>
      </c>
      <c r="R1490">
        <v>4622002</v>
      </c>
    </row>
    <row r="1491" spans="1:18" x14ac:dyDescent="0.25">
      <c r="A1491" s="170">
        <v>44200</v>
      </c>
      <c r="B1491" s="116">
        <v>998.95</v>
      </c>
      <c r="C1491" s="116">
        <v>995.32500000000005</v>
      </c>
      <c r="D1491" s="116">
        <v>983.95</v>
      </c>
      <c r="E1491" s="116">
        <v>994.27499999999998</v>
      </c>
      <c r="F1491" s="116">
        <v>1990.65</v>
      </c>
      <c r="G1491">
        <v>345853</v>
      </c>
      <c r="H1491" s="116"/>
      <c r="I1491" s="116"/>
      <c r="L1491" s="170">
        <v>44200</v>
      </c>
      <c r="M1491" s="116">
        <v>995.42499999999995</v>
      </c>
      <c r="N1491" s="116">
        <v>999.45</v>
      </c>
      <c r="O1491" s="116">
        <v>984</v>
      </c>
      <c r="P1491" s="116">
        <v>997.55</v>
      </c>
      <c r="Q1491" s="116">
        <v>1990.85</v>
      </c>
      <c r="R1491">
        <v>11312992</v>
      </c>
    </row>
    <row r="1492" spans="1:18" x14ac:dyDescent="0.25">
      <c r="A1492" s="170">
        <v>44201</v>
      </c>
      <c r="B1492" s="116">
        <v>992</v>
      </c>
      <c r="C1492" s="116">
        <v>983</v>
      </c>
      <c r="D1492" s="116">
        <v>978</v>
      </c>
      <c r="E1492" s="116">
        <v>986.02499999999998</v>
      </c>
      <c r="F1492" s="116">
        <v>1966</v>
      </c>
      <c r="G1492">
        <v>338549</v>
      </c>
      <c r="H1492" s="116"/>
      <c r="I1492" s="116"/>
      <c r="L1492" s="170">
        <v>44201</v>
      </c>
      <c r="M1492" s="116">
        <v>983.05</v>
      </c>
      <c r="N1492" s="116">
        <v>991.8</v>
      </c>
      <c r="O1492" s="116">
        <v>978</v>
      </c>
      <c r="P1492" s="116">
        <v>984.5</v>
      </c>
      <c r="Q1492" s="116">
        <v>1966.1</v>
      </c>
      <c r="R1492">
        <v>11132803</v>
      </c>
    </row>
    <row r="1493" spans="1:18" x14ac:dyDescent="0.25">
      <c r="A1493" s="170">
        <v>44202</v>
      </c>
      <c r="B1493" s="116">
        <v>984</v>
      </c>
      <c r="C1493" s="116">
        <v>957.07500000000005</v>
      </c>
      <c r="D1493" s="116">
        <v>952.5</v>
      </c>
      <c r="E1493" s="116">
        <v>984</v>
      </c>
      <c r="F1493" s="116">
        <v>1914.15</v>
      </c>
      <c r="G1493">
        <v>864039</v>
      </c>
      <c r="H1493" s="116"/>
      <c r="I1493" s="116"/>
      <c r="L1493" s="170">
        <v>44202</v>
      </c>
      <c r="M1493" s="116">
        <v>957.125</v>
      </c>
      <c r="N1493" s="116">
        <v>983</v>
      </c>
      <c r="O1493" s="116">
        <v>952.57500000000005</v>
      </c>
      <c r="P1493" s="116">
        <v>982.95</v>
      </c>
      <c r="Q1493" s="116">
        <v>1914.25</v>
      </c>
      <c r="R1493">
        <v>21414270</v>
      </c>
    </row>
    <row r="1494" spans="1:18" x14ac:dyDescent="0.25">
      <c r="A1494" s="170">
        <v>44203</v>
      </c>
      <c r="B1494" s="116">
        <v>972.6</v>
      </c>
      <c r="C1494" s="116">
        <v>955.5</v>
      </c>
      <c r="D1494" s="116">
        <v>952.82500000000005</v>
      </c>
      <c r="E1494" s="116">
        <v>960.95</v>
      </c>
      <c r="F1494" s="116">
        <v>1911</v>
      </c>
      <c r="G1494">
        <v>564975</v>
      </c>
      <c r="H1494" s="116"/>
      <c r="I1494" s="116"/>
      <c r="L1494" s="170">
        <v>44203</v>
      </c>
      <c r="M1494" s="116">
        <v>955.57500000000005</v>
      </c>
      <c r="N1494" s="116">
        <v>972.5</v>
      </c>
      <c r="O1494" s="116">
        <v>952.57500000000005</v>
      </c>
      <c r="P1494" s="116">
        <v>960.25</v>
      </c>
      <c r="Q1494" s="116">
        <v>1911.15</v>
      </c>
      <c r="R1494">
        <v>14918406</v>
      </c>
    </row>
    <row r="1495" spans="1:18" x14ac:dyDescent="0.25">
      <c r="A1495" s="170">
        <v>44204</v>
      </c>
      <c r="B1495" s="116">
        <v>969.1</v>
      </c>
      <c r="C1495" s="116">
        <v>966.52499999999998</v>
      </c>
      <c r="D1495" s="116">
        <v>956.35</v>
      </c>
      <c r="E1495" s="116">
        <v>960.45</v>
      </c>
      <c r="F1495" s="116">
        <v>1933.05</v>
      </c>
      <c r="G1495">
        <v>299804</v>
      </c>
      <c r="H1495" s="116"/>
      <c r="I1495" s="116"/>
      <c r="L1495" s="170">
        <v>44204</v>
      </c>
      <c r="M1495" s="116">
        <v>966.85</v>
      </c>
      <c r="N1495" s="116">
        <v>969.2</v>
      </c>
      <c r="O1495" s="116">
        <v>956.05</v>
      </c>
      <c r="P1495" s="116">
        <v>959</v>
      </c>
      <c r="Q1495" s="116">
        <v>1933.7</v>
      </c>
      <c r="R1495">
        <v>12709792</v>
      </c>
    </row>
    <row r="1496" spans="1:18" x14ac:dyDescent="0.25">
      <c r="A1496" s="170">
        <v>44207</v>
      </c>
      <c r="B1496" s="116">
        <v>969.45</v>
      </c>
      <c r="C1496" s="116">
        <v>948.5</v>
      </c>
      <c r="D1496" s="116">
        <v>946.125</v>
      </c>
      <c r="E1496" s="116">
        <v>967.5</v>
      </c>
      <c r="F1496" s="116">
        <v>1897</v>
      </c>
      <c r="G1496">
        <v>415573</v>
      </c>
      <c r="H1496" s="116"/>
      <c r="I1496" s="116"/>
      <c r="L1496" s="170">
        <v>44207</v>
      </c>
      <c r="M1496" s="116">
        <v>948.625</v>
      </c>
      <c r="N1496" s="116">
        <v>969.4</v>
      </c>
      <c r="O1496" s="116">
        <v>946.25</v>
      </c>
      <c r="P1496" s="116">
        <v>969.4</v>
      </c>
      <c r="Q1496" s="116">
        <v>1897.25</v>
      </c>
      <c r="R1496">
        <v>15371556</v>
      </c>
    </row>
    <row r="1497" spans="1:18" x14ac:dyDescent="0.25">
      <c r="A1497" s="170">
        <v>44208</v>
      </c>
      <c r="B1497" s="116">
        <v>980</v>
      </c>
      <c r="C1497" s="116">
        <v>978.32500000000005</v>
      </c>
      <c r="D1497" s="116">
        <v>950</v>
      </c>
      <c r="E1497" s="116">
        <v>955</v>
      </c>
      <c r="F1497" s="116">
        <v>1956.65</v>
      </c>
      <c r="G1497">
        <v>497793</v>
      </c>
      <c r="H1497" s="116"/>
      <c r="I1497" s="116"/>
      <c r="L1497" s="170">
        <v>44208</v>
      </c>
      <c r="M1497" s="116">
        <v>978.52499999999998</v>
      </c>
      <c r="N1497" s="116">
        <v>980</v>
      </c>
      <c r="O1497" s="116">
        <v>949.95</v>
      </c>
      <c r="P1497" s="116">
        <v>951.5</v>
      </c>
      <c r="Q1497" s="116">
        <v>1957.05</v>
      </c>
      <c r="R1497">
        <v>18996047</v>
      </c>
    </row>
    <row r="1498" spans="1:18" x14ac:dyDescent="0.25">
      <c r="A1498" s="170">
        <v>44209</v>
      </c>
      <c r="B1498" s="116">
        <v>987.47500000000002</v>
      </c>
      <c r="C1498" s="116">
        <v>969.55</v>
      </c>
      <c r="D1498" s="116">
        <v>959.32500000000005</v>
      </c>
      <c r="E1498" s="116">
        <v>982.4</v>
      </c>
      <c r="F1498" s="116">
        <v>1939.1</v>
      </c>
      <c r="G1498">
        <v>474934</v>
      </c>
      <c r="H1498" s="116"/>
      <c r="I1498" s="116"/>
      <c r="L1498" s="170">
        <v>44209</v>
      </c>
      <c r="M1498" s="116">
        <v>969.4</v>
      </c>
      <c r="N1498" s="116">
        <v>987.47500000000002</v>
      </c>
      <c r="O1498" s="116">
        <v>959.22500000000002</v>
      </c>
      <c r="P1498" s="116">
        <v>981.77499999999998</v>
      </c>
      <c r="Q1498" s="116">
        <v>1938.8</v>
      </c>
      <c r="R1498">
        <v>12284876</v>
      </c>
    </row>
    <row r="1499" spans="1:18" x14ac:dyDescent="0.25">
      <c r="A1499" s="170">
        <v>44210</v>
      </c>
      <c r="B1499" s="116">
        <v>983.25</v>
      </c>
      <c r="C1499" s="116">
        <v>980.3</v>
      </c>
      <c r="D1499" s="116">
        <v>968.02499999999998</v>
      </c>
      <c r="E1499" s="116">
        <v>969.55</v>
      </c>
      <c r="F1499" s="116">
        <v>1960.6</v>
      </c>
      <c r="G1499">
        <v>1829840</v>
      </c>
      <c r="H1499" s="116"/>
      <c r="I1499" s="116"/>
      <c r="L1499" s="170">
        <v>44210</v>
      </c>
      <c r="M1499" s="116">
        <v>980.3</v>
      </c>
      <c r="N1499" s="116">
        <v>983.45</v>
      </c>
      <c r="O1499" s="116">
        <v>969.52499999999998</v>
      </c>
      <c r="P1499" s="116">
        <v>972.5</v>
      </c>
      <c r="Q1499" s="116">
        <v>1960.6</v>
      </c>
      <c r="R1499">
        <v>9946818</v>
      </c>
    </row>
    <row r="1500" spans="1:18" x14ac:dyDescent="0.25">
      <c r="A1500" s="170">
        <v>44211</v>
      </c>
      <c r="B1500" s="116">
        <v>986.57500000000005</v>
      </c>
      <c r="C1500" s="116">
        <v>968.8</v>
      </c>
      <c r="D1500" s="116">
        <v>960.07500000000005</v>
      </c>
      <c r="E1500" s="116">
        <v>980</v>
      </c>
      <c r="F1500" s="116">
        <v>1937.6</v>
      </c>
      <c r="G1500">
        <v>1266407</v>
      </c>
      <c r="H1500" s="116"/>
      <c r="I1500" s="116"/>
      <c r="L1500" s="170">
        <v>44211</v>
      </c>
      <c r="M1500" s="116">
        <v>968.72500000000002</v>
      </c>
      <c r="N1500" s="116">
        <v>986.9</v>
      </c>
      <c r="O1500" s="116">
        <v>960.02499999999998</v>
      </c>
      <c r="P1500" s="116">
        <v>980.3</v>
      </c>
      <c r="Q1500" s="116">
        <v>1937.45</v>
      </c>
      <c r="R1500">
        <v>9503790</v>
      </c>
    </row>
    <row r="1501" spans="1:18" x14ac:dyDescent="0.25">
      <c r="A1501" s="170">
        <v>44214</v>
      </c>
      <c r="B1501" s="116">
        <v>998.3</v>
      </c>
      <c r="C1501" s="116">
        <v>991.75</v>
      </c>
      <c r="D1501" s="116">
        <v>961.32500000000005</v>
      </c>
      <c r="E1501" s="116">
        <v>970</v>
      </c>
      <c r="F1501" s="116">
        <v>1983.5</v>
      </c>
      <c r="G1501">
        <v>1363505</v>
      </c>
      <c r="H1501" s="116"/>
      <c r="I1501" s="116"/>
      <c r="L1501" s="170">
        <v>44214</v>
      </c>
      <c r="M1501" s="116">
        <v>991.97500000000002</v>
      </c>
      <c r="N1501" s="116">
        <v>998.5</v>
      </c>
      <c r="O1501" s="116">
        <v>961.67499999999995</v>
      </c>
      <c r="P1501" s="116">
        <v>974.55</v>
      </c>
      <c r="Q1501" s="116">
        <v>1983.95</v>
      </c>
      <c r="R1501">
        <v>16198856</v>
      </c>
    </row>
    <row r="1502" spans="1:18" x14ac:dyDescent="0.25">
      <c r="A1502" s="170">
        <v>44215</v>
      </c>
      <c r="B1502" s="116">
        <v>1015.45</v>
      </c>
      <c r="C1502" s="116">
        <v>1008.15</v>
      </c>
      <c r="D1502" s="116">
        <v>996.82500000000005</v>
      </c>
      <c r="E1502" s="116">
        <v>997</v>
      </c>
      <c r="F1502" s="116">
        <v>2016.3</v>
      </c>
      <c r="G1502">
        <v>591919</v>
      </c>
      <c r="H1502" s="116"/>
      <c r="I1502" s="116"/>
      <c r="L1502" s="170">
        <v>44215</v>
      </c>
      <c r="M1502" s="116">
        <v>1008.2</v>
      </c>
      <c r="N1502" s="116">
        <v>1015.5</v>
      </c>
      <c r="O1502" s="116">
        <v>997.32500000000005</v>
      </c>
      <c r="P1502" s="116">
        <v>997.32500000000005</v>
      </c>
      <c r="Q1502" s="116">
        <v>2016.4</v>
      </c>
      <c r="R1502">
        <v>14771048</v>
      </c>
    </row>
    <row r="1503" spans="1:18" x14ac:dyDescent="0.25">
      <c r="A1503" s="170">
        <v>44216</v>
      </c>
      <c r="B1503" s="116">
        <v>1029.0250000000001</v>
      </c>
      <c r="C1503" s="116">
        <v>1027.425</v>
      </c>
      <c r="D1503" s="116">
        <v>1000.625</v>
      </c>
      <c r="E1503" s="116">
        <v>1011.25</v>
      </c>
      <c r="F1503" s="116">
        <v>2054.85</v>
      </c>
      <c r="G1503">
        <v>488577</v>
      </c>
      <c r="H1503" s="116"/>
      <c r="I1503" s="116"/>
      <c r="L1503" s="170">
        <v>44216</v>
      </c>
      <c r="M1503" s="116">
        <v>1027.3499999999999</v>
      </c>
      <c r="N1503" s="116">
        <v>1029</v>
      </c>
      <c r="O1503" s="116">
        <v>1000.7</v>
      </c>
      <c r="P1503" s="116">
        <v>1010.7</v>
      </c>
      <c r="Q1503" s="116">
        <v>2054.6999999999998</v>
      </c>
      <c r="R1503">
        <v>14271669</v>
      </c>
    </row>
    <row r="1504" spans="1:18" x14ac:dyDescent="0.25">
      <c r="A1504" s="170">
        <v>44217</v>
      </c>
      <c r="B1504" s="116">
        <v>1059.9000000000001</v>
      </c>
      <c r="C1504" s="116">
        <v>1048.925</v>
      </c>
      <c r="D1504" s="116">
        <v>1037.5</v>
      </c>
      <c r="E1504" s="116">
        <v>1041</v>
      </c>
      <c r="F1504" s="116">
        <v>2097.85</v>
      </c>
      <c r="G1504">
        <v>1545088</v>
      </c>
      <c r="H1504" s="116"/>
      <c r="I1504" s="116"/>
      <c r="L1504" s="170">
        <v>44217</v>
      </c>
      <c r="M1504" s="116">
        <v>1049.7</v>
      </c>
      <c r="N1504" s="116">
        <v>1060</v>
      </c>
      <c r="O1504" s="116">
        <v>1037.5</v>
      </c>
      <c r="P1504" s="116">
        <v>1041</v>
      </c>
      <c r="Q1504" s="116">
        <v>2099.4</v>
      </c>
      <c r="R1504">
        <v>18038987</v>
      </c>
    </row>
    <row r="1505" spans="1:18" x14ac:dyDescent="0.25">
      <c r="A1505" s="170">
        <v>44218</v>
      </c>
      <c r="B1505" s="116">
        <v>1057.95</v>
      </c>
      <c r="C1505" s="116">
        <v>1024.825</v>
      </c>
      <c r="D1505" s="116">
        <v>1017.6</v>
      </c>
      <c r="E1505" s="116">
        <v>1057.4000000000001</v>
      </c>
      <c r="F1505" s="116">
        <v>2049.65</v>
      </c>
      <c r="G1505">
        <v>507943</v>
      </c>
      <c r="H1505" s="116"/>
      <c r="I1505" s="116"/>
      <c r="L1505" s="170">
        <v>44218</v>
      </c>
      <c r="M1505" s="116">
        <v>1024.8</v>
      </c>
      <c r="N1505" s="116">
        <v>1057.675</v>
      </c>
      <c r="O1505" s="116">
        <v>1017.575</v>
      </c>
      <c r="P1505" s="116">
        <v>1055.5</v>
      </c>
      <c r="Q1505" s="116">
        <v>2049.6</v>
      </c>
      <c r="R1505">
        <v>14090818</v>
      </c>
    </row>
    <row r="1506" spans="1:18" x14ac:dyDescent="0.25">
      <c r="A1506" s="170">
        <v>44221</v>
      </c>
      <c r="B1506" s="116">
        <v>1026</v>
      </c>
      <c r="C1506" s="116">
        <v>969.85</v>
      </c>
      <c r="D1506" s="116">
        <v>966.1</v>
      </c>
      <c r="E1506" s="116">
        <v>1026</v>
      </c>
      <c r="F1506" s="116">
        <v>1939.7</v>
      </c>
      <c r="G1506">
        <v>1345520</v>
      </c>
      <c r="H1506" s="116"/>
      <c r="I1506" s="116"/>
      <c r="L1506" s="170">
        <v>44221</v>
      </c>
      <c r="M1506" s="116">
        <v>970.5</v>
      </c>
      <c r="N1506" s="116">
        <v>1017.475</v>
      </c>
      <c r="O1506" s="116">
        <v>966</v>
      </c>
      <c r="P1506" s="116">
        <v>1017.475</v>
      </c>
      <c r="Q1506" s="116">
        <v>1941</v>
      </c>
      <c r="R1506">
        <v>25016570</v>
      </c>
    </row>
    <row r="1507" spans="1:18" x14ac:dyDescent="0.25">
      <c r="A1507" s="170">
        <v>44223</v>
      </c>
      <c r="B1507" s="116">
        <v>965.1</v>
      </c>
      <c r="C1507" s="116">
        <v>947.625</v>
      </c>
      <c r="D1507" s="116">
        <v>944</v>
      </c>
      <c r="E1507" s="116">
        <v>965.1</v>
      </c>
      <c r="F1507" s="116">
        <v>1895.25</v>
      </c>
      <c r="G1507">
        <v>1740178</v>
      </c>
      <c r="H1507" s="116"/>
      <c r="I1507" s="116"/>
      <c r="L1507" s="170">
        <v>44223</v>
      </c>
      <c r="M1507" s="116">
        <v>947.5</v>
      </c>
      <c r="N1507" s="116">
        <v>962.5</v>
      </c>
      <c r="O1507" s="116">
        <v>944</v>
      </c>
      <c r="P1507" s="116">
        <v>962.5</v>
      </c>
      <c r="Q1507" s="116">
        <v>1895</v>
      </c>
      <c r="R1507">
        <v>19553809</v>
      </c>
    </row>
    <row r="1508" spans="1:18" x14ac:dyDescent="0.25">
      <c r="A1508" s="170">
        <v>44224</v>
      </c>
      <c r="B1508" s="116">
        <v>961.67499999999995</v>
      </c>
      <c r="C1508" s="116">
        <v>938.3</v>
      </c>
      <c r="D1508" s="116">
        <v>935.07500000000005</v>
      </c>
      <c r="E1508" s="116">
        <v>939.5</v>
      </c>
      <c r="F1508" s="116">
        <v>1876.6</v>
      </c>
      <c r="G1508">
        <v>2069380</v>
      </c>
      <c r="H1508" s="116"/>
      <c r="I1508" s="116"/>
      <c r="L1508" s="170">
        <v>44224</v>
      </c>
      <c r="M1508" s="116">
        <v>938.27499999999998</v>
      </c>
      <c r="N1508" s="116">
        <v>961.65</v>
      </c>
      <c r="O1508" s="116">
        <v>935</v>
      </c>
      <c r="P1508" s="116">
        <v>940.07500000000005</v>
      </c>
      <c r="Q1508" s="116">
        <v>1876.55</v>
      </c>
      <c r="R1508">
        <v>15722291</v>
      </c>
    </row>
    <row r="1509" spans="1:18" x14ac:dyDescent="0.25">
      <c r="A1509" s="170">
        <v>44225</v>
      </c>
      <c r="B1509" s="116">
        <v>955.875</v>
      </c>
      <c r="C1509" s="116">
        <v>921.57500000000005</v>
      </c>
      <c r="D1509" s="116">
        <v>915</v>
      </c>
      <c r="E1509" s="116">
        <v>948.35</v>
      </c>
      <c r="F1509" s="116">
        <v>1843.15</v>
      </c>
      <c r="G1509">
        <v>926815</v>
      </c>
      <c r="H1509" s="116"/>
      <c r="I1509" s="116"/>
      <c r="L1509" s="170">
        <v>44225</v>
      </c>
      <c r="M1509" s="116">
        <v>920.97500000000002</v>
      </c>
      <c r="N1509" s="116">
        <v>956.55</v>
      </c>
      <c r="O1509" s="116">
        <v>915</v>
      </c>
      <c r="P1509" s="116">
        <v>947.15</v>
      </c>
      <c r="Q1509" s="116">
        <v>1841.95</v>
      </c>
      <c r="R1509">
        <v>20173258</v>
      </c>
    </row>
    <row r="1510" spans="1:18" x14ac:dyDescent="0.25">
      <c r="A1510" s="170">
        <v>44228</v>
      </c>
      <c r="B1510" s="116">
        <v>952.35</v>
      </c>
      <c r="C1510" s="116">
        <v>947.67499999999995</v>
      </c>
      <c r="D1510" s="116">
        <v>922.6</v>
      </c>
      <c r="E1510" s="116">
        <v>922.6</v>
      </c>
      <c r="F1510" s="116">
        <v>1895.35</v>
      </c>
      <c r="G1510">
        <v>818509</v>
      </c>
      <c r="H1510" s="116"/>
      <c r="I1510" s="116"/>
      <c r="L1510" s="170">
        <v>44228</v>
      </c>
      <c r="M1510" s="116">
        <v>947.65</v>
      </c>
      <c r="N1510" s="116">
        <v>952.5</v>
      </c>
      <c r="O1510" s="116">
        <v>924</v>
      </c>
      <c r="P1510" s="116">
        <v>929.7</v>
      </c>
      <c r="Q1510" s="116">
        <v>1895.3</v>
      </c>
      <c r="R1510">
        <v>15774504</v>
      </c>
    </row>
    <row r="1511" spans="1:18" x14ac:dyDescent="0.25">
      <c r="A1511" s="170">
        <v>44229</v>
      </c>
      <c r="B1511" s="116">
        <v>969.15</v>
      </c>
      <c r="C1511" s="116">
        <v>963.22500000000002</v>
      </c>
      <c r="D1511" s="116">
        <v>927.5</v>
      </c>
      <c r="E1511" s="116">
        <v>957.85</v>
      </c>
      <c r="F1511" s="116">
        <v>1926.45</v>
      </c>
      <c r="G1511">
        <v>1088933</v>
      </c>
      <c r="H1511" s="116"/>
      <c r="I1511" s="116"/>
      <c r="L1511" s="170">
        <v>44229</v>
      </c>
      <c r="M1511" s="116">
        <v>962.9</v>
      </c>
      <c r="N1511" s="116">
        <v>970</v>
      </c>
      <c r="O1511" s="116">
        <v>927.47500000000002</v>
      </c>
      <c r="P1511" s="116">
        <v>957.125</v>
      </c>
      <c r="Q1511" s="116">
        <v>1925.8</v>
      </c>
      <c r="R1511">
        <v>19138414</v>
      </c>
    </row>
    <row r="1512" spans="1:18" x14ac:dyDescent="0.25">
      <c r="A1512" s="170">
        <v>44230</v>
      </c>
      <c r="B1512" s="116">
        <v>975.5</v>
      </c>
      <c r="C1512" s="116">
        <v>965.15</v>
      </c>
      <c r="D1512" s="116">
        <v>950</v>
      </c>
      <c r="E1512" s="116">
        <v>963.5</v>
      </c>
      <c r="F1512" s="116">
        <v>1930.3</v>
      </c>
      <c r="G1512">
        <v>921546</v>
      </c>
      <c r="H1512" s="116"/>
      <c r="I1512" s="116"/>
      <c r="L1512" s="170">
        <v>44230</v>
      </c>
      <c r="M1512" s="116">
        <v>965.32500000000005</v>
      </c>
      <c r="N1512" s="116">
        <v>976</v>
      </c>
      <c r="O1512" s="116">
        <v>950</v>
      </c>
      <c r="P1512" s="116">
        <v>964.15</v>
      </c>
      <c r="Q1512" s="116">
        <v>1930.65</v>
      </c>
      <c r="R1512">
        <v>13984228</v>
      </c>
    </row>
    <row r="1513" spans="1:18" x14ac:dyDescent="0.25">
      <c r="A1513" s="170">
        <v>44231</v>
      </c>
      <c r="B1513" s="116">
        <v>969.85</v>
      </c>
      <c r="C1513" s="116">
        <v>961.97500000000002</v>
      </c>
      <c r="D1513" s="116">
        <v>952.52499999999998</v>
      </c>
      <c r="E1513" s="116">
        <v>960.5</v>
      </c>
      <c r="F1513" s="116">
        <v>1923.95</v>
      </c>
      <c r="G1513">
        <v>1619015</v>
      </c>
      <c r="H1513" s="116"/>
      <c r="I1513" s="116"/>
      <c r="L1513" s="170">
        <v>44231</v>
      </c>
      <c r="M1513" s="116">
        <v>962.15</v>
      </c>
      <c r="N1513" s="116">
        <v>970</v>
      </c>
      <c r="O1513" s="116">
        <v>952.5</v>
      </c>
      <c r="P1513" s="116">
        <v>962</v>
      </c>
      <c r="Q1513" s="116">
        <v>1924.3</v>
      </c>
      <c r="R1513">
        <v>11826848</v>
      </c>
    </row>
    <row r="1514" spans="1:18" x14ac:dyDescent="0.25">
      <c r="A1514" s="170">
        <v>44232</v>
      </c>
      <c r="B1514" s="116">
        <v>972.1</v>
      </c>
      <c r="C1514" s="116">
        <v>962</v>
      </c>
      <c r="D1514" s="116">
        <v>960</v>
      </c>
      <c r="E1514" s="116">
        <v>966.5</v>
      </c>
      <c r="F1514" s="116">
        <v>1924</v>
      </c>
      <c r="G1514">
        <v>322014</v>
      </c>
      <c r="H1514" s="116"/>
      <c r="I1514" s="116"/>
      <c r="L1514" s="170">
        <v>44232</v>
      </c>
      <c r="M1514" s="116">
        <v>961.875</v>
      </c>
      <c r="N1514" s="116">
        <v>972.32500000000005</v>
      </c>
      <c r="O1514" s="116">
        <v>960</v>
      </c>
      <c r="P1514" s="116">
        <v>965.02499999999998</v>
      </c>
      <c r="Q1514" s="116">
        <v>1923.75</v>
      </c>
      <c r="R1514">
        <v>9344470</v>
      </c>
    </row>
    <row r="1515" spans="1:18" x14ac:dyDescent="0.25">
      <c r="A1515" s="170">
        <v>44235</v>
      </c>
      <c r="B1515" s="116">
        <v>984.125</v>
      </c>
      <c r="C1515" s="116">
        <v>975.75</v>
      </c>
      <c r="D1515" s="116">
        <v>964.52499999999998</v>
      </c>
      <c r="E1515" s="116">
        <v>965.6</v>
      </c>
      <c r="F1515" s="116">
        <v>1951.5</v>
      </c>
      <c r="G1515">
        <v>702232</v>
      </c>
      <c r="H1515" s="116"/>
      <c r="I1515" s="116"/>
      <c r="L1515" s="170">
        <v>44235</v>
      </c>
      <c r="M1515" s="116">
        <v>975.72500000000002</v>
      </c>
      <c r="N1515" s="116">
        <v>984.5</v>
      </c>
      <c r="O1515" s="116">
        <v>964.52499999999998</v>
      </c>
      <c r="P1515" s="116">
        <v>966.52499999999998</v>
      </c>
      <c r="Q1515" s="116">
        <v>1951.45</v>
      </c>
      <c r="R1515">
        <v>9776136</v>
      </c>
    </row>
    <row r="1516" spans="1:18" x14ac:dyDescent="0.25">
      <c r="A1516" s="170">
        <v>44236</v>
      </c>
      <c r="B1516" s="116">
        <v>995</v>
      </c>
      <c r="C1516" s="116">
        <v>977.97500000000002</v>
      </c>
      <c r="D1516" s="116">
        <v>976</v>
      </c>
      <c r="E1516" s="116">
        <v>983.85</v>
      </c>
      <c r="F1516" s="116">
        <v>1955.95</v>
      </c>
      <c r="G1516">
        <v>602162</v>
      </c>
      <c r="H1516" s="116"/>
      <c r="I1516" s="116"/>
      <c r="L1516" s="170">
        <v>44236</v>
      </c>
      <c r="M1516" s="116">
        <v>978.07500000000005</v>
      </c>
      <c r="N1516" s="116">
        <v>994.8</v>
      </c>
      <c r="O1516" s="116">
        <v>976.15</v>
      </c>
      <c r="P1516" s="116">
        <v>980.97500000000002</v>
      </c>
      <c r="Q1516" s="116">
        <v>1956.15</v>
      </c>
      <c r="R1516">
        <v>9047308</v>
      </c>
    </row>
    <row r="1517" spans="1:18" x14ac:dyDescent="0.25">
      <c r="A1517" s="170">
        <v>44237</v>
      </c>
      <c r="B1517" s="116">
        <v>991.97500000000002</v>
      </c>
      <c r="C1517" s="116">
        <v>987.625</v>
      </c>
      <c r="D1517" s="116">
        <v>964</v>
      </c>
      <c r="E1517" s="116">
        <v>978.85</v>
      </c>
      <c r="F1517" s="116">
        <v>1975.25</v>
      </c>
      <c r="G1517">
        <v>470988</v>
      </c>
      <c r="H1517" s="116"/>
      <c r="I1517" s="116"/>
      <c r="L1517" s="170">
        <v>44237</v>
      </c>
      <c r="M1517" s="116">
        <v>987.15</v>
      </c>
      <c r="N1517" s="116">
        <v>992.375</v>
      </c>
      <c r="O1517" s="116">
        <v>963.65</v>
      </c>
      <c r="P1517" s="116">
        <v>976.875</v>
      </c>
      <c r="Q1517" s="116">
        <v>1974.3</v>
      </c>
      <c r="R1517">
        <v>9799560</v>
      </c>
    </row>
    <row r="1518" spans="1:18" x14ac:dyDescent="0.25">
      <c r="A1518" s="170">
        <v>44238</v>
      </c>
      <c r="B1518" s="116">
        <v>1031.0999999999999</v>
      </c>
      <c r="C1518" s="116">
        <v>1027.7750000000001</v>
      </c>
      <c r="D1518" s="116">
        <v>985.6</v>
      </c>
      <c r="E1518" s="116">
        <v>988.72500000000002</v>
      </c>
      <c r="F1518" s="116">
        <v>2055.5500000000002</v>
      </c>
      <c r="G1518">
        <v>1942646</v>
      </c>
      <c r="H1518" s="116"/>
      <c r="I1518" s="116"/>
      <c r="L1518" s="170">
        <v>44238</v>
      </c>
      <c r="M1518" s="116">
        <v>1027.8499999999999</v>
      </c>
      <c r="N1518" s="116">
        <v>1032.0999999999999</v>
      </c>
      <c r="O1518" s="116">
        <v>986.125</v>
      </c>
      <c r="P1518" s="116">
        <v>990</v>
      </c>
      <c r="Q1518" s="116">
        <v>2055.6999999999998</v>
      </c>
      <c r="R1518">
        <v>19631870</v>
      </c>
    </row>
    <row r="1519" spans="1:18" x14ac:dyDescent="0.25">
      <c r="A1519" s="170">
        <v>44239</v>
      </c>
      <c r="B1519" s="116">
        <v>1038.75</v>
      </c>
      <c r="C1519" s="116">
        <v>1020.625</v>
      </c>
      <c r="D1519" s="116">
        <v>1007.775</v>
      </c>
      <c r="E1519" s="116">
        <v>1029.8499999999999</v>
      </c>
      <c r="F1519" s="116">
        <v>2041.25</v>
      </c>
      <c r="G1519">
        <v>640628</v>
      </c>
      <c r="H1519" s="116"/>
      <c r="I1519" s="116"/>
      <c r="L1519" s="170">
        <v>44239</v>
      </c>
      <c r="M1519" s="116">
        <v>1020.8</v>
      </c>
      <c r="N1519" s="116">
        <v>1039</v>
      </c>
      <c r="O1519" s="116">
        <v>1007.7</v>
      </c>
      <c r="P1519" s="116">
        <v>1027.75</v>
      </c>
      <c r="Q1519" s="116">
        <v>2041.6</v>
      </c>
      <c r="R1519">
        <v>14074374</v>
      </c>
    </row>
    <row r="1520" spans="1:18" x14ac:dyDescent="0.25">
      <c r="A1520" s="170">
        <v>44242</v>
      </c>
      <c r="B1520" s="116">
        <v>1030.2750000000001</v>
      </c>
      <c r="C1520" s="116">
        <v>1016.3</v>
      </c>
      <c r="D1520" s="116">
        <v>1012.7</v>
      </c>
      <c r="E1520" s="116">
        <v>1024.5</v>
      </c>
      <c r="F1520" s="116">
        <v>2032.6</v>
      </c>
      <c r="G1520">
        <v>325784</v>
      </c>
      <c r="H1520" s="116"/>
      <c r="I1520" s="116"/>
      <c r="L1520" s="170">
        <v>44242</v>
      </c>
      <c r="M1520" s="116">
        <v>1016.3</v>
      </c>
      <c r="N1520" s="116">
        <v>1030.6500000000001</v>
      </c>
      <c r="O1520" s="116">
        <v>1012.5</v>
      </c>
      <c r="P1520" s="116">
        <v>1024.0250000000001</v>
      </c>
      <c r="Q1520" s="116">
        <v>2032.6</v>
      </c>
      <c r="R1520">
        <v>7287590</v>
      </c>
    </row>
    <row r="1521" spans="1:18" x14ac:dyDescent="0.25">
      <c r="A1521" s="170">
        <v>44243</v>
      </c>
      <c r="B1521" s="116">
        <v>1039.5</v>
      </c>
      <c r="C1521" s="116">
        <v>1029.825</v>
      </c>
      <c r="D1521" s="116">
        <v>1018.75</v>
      </c>
      <c r="E1521" s="116">
        <v>1020</v>
      </c>
      <c r="F1521" s="116">
        <v>2059.65</v>
      </c>
      <c r="G1521">
        <v>361465</v>
      </c>
      <c r="H1521" s="116"/>
      <c r="I1521" s="116"/>
      <c r="L1521" s="170">
        <v>44243</v>
      </c>
      <c r="M1521" s="116">
        <v>1029.75</v>
      </c>
      <c r="N1521" s="116">
        <v>1039.7</v>
      </c>
      <c r="O1521" s="116">
        <v>1017.5</v>
      </c>
      <c r="P1521" s="116">
        <v>1019.875</v>
      </c>
      <c r="Q1521" s="116">
        <v>2059.5</v>
      </c>
      <c r="R1521">
        <v>9886093</v>
      </c>
    </row>
    <row r="1522" spans="1:18" x14ac:dyDescent="0.25">
      <c r="A1522" s="170">
        <v>44244</v>
      </c>
      <c r="B1522" s="116">
        <v>1047.5</v>
      </c>
      <c r="C1522" s="116">
        <v>1041.375</v>
      </c>
      <c r="D1522" s="116">
        <v>1025.425</v>
      </c>
      <c r="E1522" s="116">
        <v>1029</v>
      </c>
      <c r="F1522" s="116">
        <v>2082.75</v>
      </c>
      <c r="G1522">
        <v>692483</v>
      </c>
      <c r="H1522" s="116"/>
      <c r="I1522" s="116"/>
      <c r="L1522" s="170">
        <v>44244</v>
      </c>
      <c r="M1522" s="116">
        <v>1041.625</v>
      </c>
      <c r="N1522" s="116">
        <v>1047.9749999999999</v>
      </c>
      <c r="O1522" s="116">
        <v>1025.3</v>
      </c>
      <c r="P1522" s="116">
        <v>1030</v>
      </c>
      <c r="Q1522" s="116">
        <v>2083.25</v>
      </c>
      <c r="R1522">
        <v>10957388</v>
      </c>
    </row>
    <row r="1523" spans="1:18" x14ac:dyDescent="0.25">
      <c r="A1523" s="170">
        <v>44245</v>
      </c>
      <c r="B1523" s="116">
        <v>1053.8499999999999</v>
      </c>
      <c r="C1523" s="116">
        <v>1032.75</v>
      </c>
      <c r="D1523" s="116">
        <v>1029.8499999999999</v>
      </c>
      <c r="E1523" s="116">
        <v>1042.875</v>
      </c>
      <c r="F1523" s="116">
        <v>2065.5</v>
      </c>
      <c r="G1523">
        <v>298538</v>
      </c>
      <c r="H1523" s="116"/>
      <c r="I1523" s="116"/>
      <c r="L1523" s="170">
        <v>44245</v>
      </c>
      <c r="M1523" s="116">
        <v>1033.8499999999999</v>
      </c>
      <c r="N1523" s="116">
        <v>1054.2</v>
      </c>
      <c r="O1523" s="116">
        <v>1029.55</v>
      </c>
      <c r="P1523" s="116">
        <v>1042.5</v>
      </c>
      <c r="Q1523" s="116">
        <v>2067.6999999999998</v>
      </c>
      <c r="R1523">
        <v>8605531</v>
      </c>
    </row>
    <row r="1524" spans="1:18" x14ac:dyDescent="0.25">
      <c r="A1524" s="170">
        <v>44246</v>
      </c>
      <c r="B1524" s="116">
        <v>1052.4749999999999</v>
      </c>
      <c r="C1524" s="116">
        <v>1040.2750000000001</v>
      </c>
      <c r="D1524" s="116">
        <v>1029</v>
      </c>
      <c r="E1524" s="116">
        <v>1032.5</v>
      </c>
      <c r="F1524" s="116">
        <v>2080.5500000000002</v>
      </c>
      <c r="G1524">
        <v>398673</v>
      </c>
      <c r="H1524" s="116"/>
      <c r="I1524" s="116"/>
      <c r="L1524" s="170">
        <v>44246</v>
      </c>
      <c r="M1524" s="116">
        <v>1040.1500000000001</v>
      </c>
      <c r="N1524" s="116">
        <v>1052.4749999999999</v>
      </c>
      <c r="O1524" s="116">
        <v>1026.6500000000001</v>
      </c>
      <c r="P1524" s="116">
        <v>1028.5</v>
      </c>
      <c r="Q1524" s="116">
        <v>2080.3000000000002</v>
      </c>
      <c r="R1524">
        <v>10800704</v>
      </c>
    </row>
    <row r="1525" spans="1:18" x14ac:dyDescent="0.25">
      <c r="A1525" s="170">
        <v>44249</v>
      </c>
      <c r="B1525" s="116">
        <v>1044.8499999999999</v>
      </c>
      <c r="C1525" s="116">
        <v>1003.7</v>
      </c>
      <c r="D1525" s="116">
        <v>997.55</v>
      </c>
      <c r="E1525" s="116">
        <v>1040</v>
      </c>
      <c r="F1525" s="116">
        <v>2007.4</v>
      </c>
      <c r="G1525">
        <v>649015</v>
      </c>
      <c r="H1525" s="116"/>
      <c r="I1525" s="116"/>
      <c r="L1525" s="170">
        <v>44249</v>
      </c>
      <c r="M1525" s="116">
        <v>1004.05</v>
      </c>
      <c r="N1525" s="116">
        <v>1044.95</v>
      </c>
      <c r="O1525" s="116">
        <v>997.47500000000002</v>
      </c>
      <c r="P1525" s="116">
        <v>1040</v>
      </c>
      <c r="Q1525" s="116">
        <v>2008.1</v>
      </c>
      <c r="R1525">
        <v>10985697</v>
      </c>
    </row>
    <row r="1526" spans="1:18" x14ac:dyDescent="0.25">
      <c r="A1526" s="170">
        <v>44250</v>
      </c>
      <c r="B1526" s="116">
        <v>1026.55</v>
      </c>
      <c r="C1526" s="116">
        <v>1012.125</v>
      </c>
      <c r="D1526" s="116">
        <v>1006.9</v>
      </c>
      <c r="E1526" s="116">
        <v>1014</v>
      </c>
      <c r="F1526" s="116">
        <v>2024.25</v>
      </c>
      <c r="G1526">
        <v>420916</v>
      </c>
      <c r="H1526" s="116"/>
      <c r="I1526" s="116"/>
      <c r="L1526" s="170">
        <v>44250</v>
      </c>
      <c r="M1526" s="116">
        <v>1011.725</v>
      </c>
      <c r="N1526" s="116">
        <v>1026.45</v>
      </c>
      <c r="O1526" s="116">
        <v>1006.8</v>
      </c>
      <c r="P1526" s="116">
        <v>1024</v>
      </c>
      <c r="Q1526" s="116">
        <v>2023.45</v>
      </c>
      <c r="R1526">
        <v>11834752</v>
      </c>
    </row>
    <row r="1527" spans="1:18" x14ac:dyDescent="0.25">
      <c r="A1527" s="170">
        <v>44251</v>
      </c>
      <c r="B1527" s="116">
        <v>1040.75</v>
      </c>
      <c r="C1527" s="116">
        <v>1032.7750000000001</v>
      </c>
      <c r="D1527" s="116">
        <v>1000.275</v>
      </c>
      <c r="E1527" s="116">
        <v>1012.9</v>
      </c>
      <c r="F1527" s="116">
        <v>2065.5500000000002</v>
      </c>
      <c r="G1527">
        <v>1580996</v>
      </c>
      <c r="H1527" s="116"/>
      <c r="I1527" s="116"/>
      <c r="L1527" s="170">
        <v>44251</v>
      </c>
      <c r="M1527" s="116">
        <v>1030.5</v>
      </c>
      <c r="N1527" s="116">
        <v>1032.625</v>
      </c>
      <c r="O1527" s="116">
        <v>1013.075</v>
      </c>
      <c r="P1527" s="116">
        <v>1015</v>
      </c>
      <c r="Q1527" s="116">
        <v>2061</v>
      </c>
      <c r="R1527">
        <v>4987735</v>
      </c>
    </row>
    <row r="1528" spans="1:18" x14ac:dyDescent="0.25">
      <c r="A1528" s="170">
        <v>44252</v>
      </c>
      <c r="B1528" s="116">
        <v>1076.125</v>
      </c>
      <c r="C1528" s="116">
        <v>1072.425</v>
      </c>
      <c r="D1528" s="116">
        <v>1035.5</v>
      </c>
      <c r="E1528" s="116">
        <v>1039</v>
      </c>
      <c r="F1528" s="116">
        <v>2144.85</v>
      </c>
      <c r="G1528">
        <v>2401302</v>
      </c>
      <c r="H1528" s="116"/>
      <c r="I1528" s="116"/>
      <c r="L1528" s="170">
        <v>44252</v>
      </c>
      <c r="M1528" s="116">
        <v>1072.175</v>
      </c>
      <c r="N1528" s="116">
        <v>1076</v>
      </c>
      <c r="O1528" s="116">
        <v>1036.5</v>
      </c>
      <c r="P1528" s="116">
        <v>1038</v>
      </c>
      <c r="Q1528" s="116">
        <v>2144.35</v>
      </c>
      <c r="R1528">
        <v>16085897</v>
      </c>
    </row>
    <row r="1529" spans="1:18" x14ac:dyDescent="0.25">
      <c r="A1529" s="170">
        <v>44253</v>
      </c>
      <c r="B1529" s="116">
        <v>1066.7</v>
      </c>
      <c r="C1529" s="116">
        <v>1041.925</v>
      </c>
      <c r="D1529" s="116">
        <v>1035.075</v>
      </c>
      <c r="E1529" s="116">
        <v>1054.5</v>
      </c>
      <c r="F1529" s="116">
        <v>2083.85</v>
      </c>
      <c r="G1529">
        <v>902603</v>
      </c>
      <c r="H1529" s="116"/>
      <c r="I1529" s="116"/>
      <c r="L1529" s="170">
        <v>44253</v>
      </c>
      <c r="M1529" s="116">
        <v>1042.9000000000001</v>
      </c>
      <c r="N1529" s="116">
        <v>1066.95</v>
      </c>
      <c r="O1529" s="116">
        <v>1035.3499999999999</v>
      </c>
      <c r="P1529" s="116">
        <v>1058.5</v>
      </c>
      <c r="Q1529" s="116">
        <v>2085.8000000000002</v>
      </c>
      <c r="R1529">
        <v>17297575</v>
      </c>
    </row>
    <row r="1530" spans="1:18" x14ac:dyDescent="0.25">
      <c r="A1530" s="170">
        <v>44256</v>
      </c>
      <c r="B1530" s="116">
        <v>1057.2249999999999</v>
      </c>
      <c r="C1530" s="116">
        <v>1050.575</v>
      </c>
      <c r="D1530" s="116">
        <v>1031.5999999999999</v>
      </c>
      <c r="E1530" s="116">
        <v>1057.2249999999999</v>
      </c>
      <c r="F1530" s="116">
        <v>2101.15</v>
      </c>
      <c r="G1530">
        <v>366701</v>
      </c>
      <c r="H1530" s="116"/>
      <c r="I1530" s="116"/>
      <c r="L1530" s="170">
        <v>44256</v>
      </c>
      <c r="M1530" s="116">
        <v>1050.8499999999999</v>
      </c>
      <c r="N1530" s="116">
        <v>1056</v>
      </c>
      <c r="O1530" s="116">
        <v>1031.25</v>
      </c>
      <c r="P1530" s="116">
        <v>1055.0999999999999</v>
      </c>
      <c r="Q1530" s="116">
        <v>2101.6999999999998</v>
      </c>
      <c r="R1530">
        <v>8159670</v>
      </c>
    </row>
    <row r="1531" spans="1:18" x14ac:dyDescent="0.25">
      <c r="A1531" s="170">
        <v>44257</v>
      </c>
      <c r="B1531" s="116">
        <v>1065</v>
      </c>
      <c r="C1531" s="116">
        <v>1053.0999999999999</v>
      </c>
      <c r="D1531" s="116">
        <v>1044.625</v>
      </c>
      <c r="E1531" s="116">
        <v>1062</v>
      </c>
      <c r="F1531" s="116">
        <v>2106.1999999999998</v>
      </c>
      <c r="G1531">
        <v>269778</v>
      </c>
      <c r="H1531" s="116"/>
      <c r="I1531" s="116"/>
      <c r="L1531" s="170">
        <v>44257</v>
      </c>
      <c r="M1531" s="116">
        <v>1053</v>
      </c>
      <c r="N1531" s="116">
        <v>1065</v>
      </c>
      <c r="O1531" s="116">
        <v>1044.55</v>
      </c>
      <c r="P1531" s="116">
        <v>1061</v>
      </c>
      <c r="Q1531" s="116">
        <v>2106</v>
      </c>
      <c r="R1531">
        <v>7915073</v>
      </c>
    </row>
    <row r="1532" spans="1:18" x14ac:dyDescent="0.25">
      <c r="A1532" s="170">
        <v>44258</v>
      </c>
      <c r="B1532" s="116">
        <v>1110</v>
      </c>
      <c r="C1532" s="116">
        <v>1100.675</v>
      </c>
      <c r="D1532" s="116">
        <v>1053.5999999999999</v>
      </c>
      <c r="E1532" s="116">
        <v>1060.8499999999999</v>
      </c>
      <c r="F1532" s="116">
        <v>2201.35</v>
      </c>
      <c r="G1532">
        <v>1101111</v>
      </c>
      <c r="H1532" s="116"/>
      <c r="I1532" s="116"/>
      <c r="L1532" s="170">
        <v>44258</v>
      </c>
      <c r="M1532" s="116">
        <v>1101.05</v>
      </c>
      <c r="N1532" s="116">
        <v>1109.95</v>
      </c>
      <c r="O1532" s="116">
        <v>1053.5999999999999</v>
      </c>
      <c r="P1532" s="116">
        <v>1060.5250000000001</v>
      </c>
      <c r="Q1532" s="116">
        <v>2202.1</v>
      </c>
      <c r="R1532">
        <v>14733134</v>
      </c>
    </row>
    <row r="1533" spans="1:18" x14ac:dyDescent="0.25">
      <c r="A1533" s="170">
        <v>44259</v>
      </c>
      <c r="B1533" s="116">
        <v>1094.825</v>
      </c>
      <c r="C1533" s="116">
        <v>1087.8499999999999</v>
      </c>
      <c r="D1533" s="116">
        <v>1079</v>
      </c>
      <c r="E1533" s="116">
        <v>1089.8499999999999</v>
      </c>
      <c r="F1533" s="116">
        <v>2175.6999999999998</v>
      </c>
      <c r="G1533">
        <v>1316695</v>
      </c>
      <c r="H1533" s="116"/>
      <c r="I1533" s="116"/>
      <c r="L1533" s="170">
        <v>44259</v>
      </c>
      <c r="M1533" s="116">
        <v>1087.925</v>
      </c>
      <c r="N1533" s="116">
        <v>1094.9749999999999</v>
      </c>
      <c r="O1533" s="116">
        <v>1078.8499999999999</v>
      </c>
      <c r="P1533" s="116">
        <v>1090</v>
      </c>
      <c r="Q1533" s="116">
        <v>2175.85</v>
      </c>
      <c r="R1533">
        <v>9892597</v>
      </c>
    </row>
    <row r="1534" spans="1:18" x14ac:dyDescent="0.25">
      <c r="A1534" s="170">
        <v>44260</v>
      </c>
      <c r="B1534" s="116">
        <v>1106.25</v>
      </c>
      <c r="C1534" s="116">
        <v>1089.2750000000001</v>
      </c>
      <c r="D1534" s="116">
        <v>1077.5</v>
      </c>
      <c r="E1534" s="116">
        <v>1084</v>
      </c>
      <c r="F1534" s="116">
        <v>2178.5500000000002</v>
      </c>
      <c r="G1534">
        <v>430447</v>
      </c>
      <c r="H1534" s="116"/>
      <c r="I1534" s="116"/>
      <c r="L1534" s="170">
        <v>44260</v>
      </c>
      <c r="M1534" s="116">
        <v>1089.3499999999999</v>
      </c>
      <c r="N1534" s="116">
        <v>1105.9749999999999</v>
      </c>
      <c r="O1534" s="116">
        <v>1076.5250000000001</v>
      </c>
      <c r="P1534" s="116">
        <v>1078</v>
      </c>
      <c r="Q1534" s="116">
        <v>2178.6999999999998</v>
      </c>
      <c r="R1534">
        <v>11773630</v>
      </c>
    </row>
    <row r="1535" spans="1:18" x14ac:dyDescent="0.25">
      <c r="A1535" s="170">
        <v>44263</v>
      </c>
      <c r="B1535" s="116">
        <v>1115.5</v>
      </c>
      <c r="C1535" s="116">
        <v>1095.2249999999999</v>
      </c>
      <c r="D1535" s="116">
        <v>1084.7249999999999</v>
      </c>
      <c r="E1535" s="116">
        <v>1085.75</v>
      </c>
      <c r="F1535" s="116">
        <v>2190.4499999999998</v>
      </c>
      <c r="G1535">
        <v>375048</v>
      </c>
      <c r="H1535" s="116"/>
      <c r="I1535" s="116"/>
      <c r="L1535" s="170">
        <v>44263</v>
      </c>
      <c r="M1535" s="116">
        <v>1095.55</v>
      </c>
      <c r="N1535" s="116">
        <v>1115.95</v>
      </c>
      <c r="O1535" s="116">
        <v>1084</v>
      </c>
      <c r="P1535" s="116">
        <v>1084.25</v>
      </c>
      <c r="Q1535" s="116">
        <v>2191.1</v>
      </c>
      <c r="R1535">
        <v>9002404</v>
      </c>
    </row>
    <row r="1536" spans="1:18" x14ac:dyDescent="0.25">
      <c r="A1536" s="170">
        <v>44264</v>
      </c>
      <c r="B1536" s="116">
        <v>1107.3499999999999</v>
      </c>
      <c r="C1536" s="116">
        <v>1095.0999999999999</v>
      </c>
      <c r="D1536" s="116">
        <v>1073.0999999999999</v>
      </c>
      <c r="E1536" s="116">
        <v>1100</v>
      </c>
      <c r="F1536" s="116">
        <v>2190.1999999999998</v>
      </c>
      <c r="G1536">
        <v>312285</v>
      </c>
      <c r="H1536" s="116"/>
      <c r="I1536" s="116"/>
      <c r="L1536" s="170">
        <v>44264</v>
      </c>
      <c r="M1536" s="116">
        <v>1095.5250000000001</v>
      </c>
      <c r="N1536" s="116">
        <v>1106.9000000000001</v>
      </c>
      <c r="O1536" s="116">
        <v>1073.3</v>
      </c>
      <c r="P1536" s="116">
        <v>1100</v>
      </c>
      <c r="Q1536" s="116">
        <v>2191.0500000000002</v>
      </c>
      <c r="R1536">
        <v>6993792</v>
      </c>
    </row>
    <row r="1537" spans="1:18" x14ac:dyDescent="0.25">
      <c r="A1537" s="170">
        <v>44265</v>
      </c>
      <c r="B1537" s="116">
        <v>1107.875</v>
      </c>
      <c r="C1537" s="116">
        <v>1090.8499999999999</v>
      </c>
      <c r="D1537" s="116">
        <v>1085.075</v>
      </c>
      <c r="E1537" s="116">
        <v>1105.5</v>
      </c>
      <c r="F1537" s="116">
        <v>2181.6999999999998</v>
      </c>
      <c r="G1537">
        <v>249199</v>
      </c>
      <c r="H1537" s="116"/>
      <c r="I1537" s="116"/>
      <c r="L1537" s="170">
        <v>44265</v>
      </c>
      <c r="M1537" s="116">
        <v>1090.9749999999999</v>
      </c>
      <c r="N1537" s="116">
        <v>1107.55</v>
      </c>
      <c r="O1537" s="116">
        <v>1085.125</v>
      </c>
      <c r="P1537" s="116">
        <v>1103.5</v>
      </c>
      <c r="Q1537" s="116">
        <v>2181.9499999999998</v>
      </c>
      <c r="R1537">
        <v>5316182</v>
      </c>
    </row>
    <row r="1538" spans="1:18" x14ac:dyDescent="0.25">
      <c r="A1538" s="170">
        <v>44267</v>
      </c>
      <c r="B1538" s="116">
        <v>1102.5</v>
      </c>
      <c r="C1538" s="116">
        <v>1069.325</v>
      </c>
      <c r="D1538" s="116">
        <v>1061.825</v>
      </c>
      <c r="E1538" s="116">
        <v>1099.5</v>
      </c>
      <c r="F1538" s="116">
        <v>2138.65</v>
      </c>
      <c r="G1538">
        <v>298281</v>
      </c>
      <c r="H1538" s="116"/>
      <c r="I1538" s="116"/>
      <c r="L1538" s="170">
        <v>44267</v>
      </c>
      <c r="M1538" s="116">
        <v>1068.8</v>
      </c>
      <c r="N1538" s="116">
        <v>1103.2</v>
      </c>
      <c r="O1538" s="116">
        <v>1061.95</v>
      </c>
      <c r="P1538" s="116">
        <v>1097.5</v>
      </c>
      <c r="Q1538" s="116">
        <v>2137.6</v>
      </c>
      <c r="R1538">
        <v>7783173</v>
      </c>
    </row>
    <row r="1539" spans="1:18" x14ac:dyDescent="0.25">
      <c r="A1539" s="170">
        <v>44270</v>
      </c>
      <c r="B1539" s="116">
        <v>1074.4000000000001</v>
      </c>
      <c r="C1539" s="116">
        <v>1054.375</v>
      </c>
      <c r="D1539" s="116">
        <v>1040.45</v>
      </c>
      <c r="E1539" s="116">
        <v>1069.325</v>
      </c>
      <c r="F1539" s="116">
        <v>2108.75</v>
      </c>
      <c r="G1539">
        <v>513109</v>
      </c>
      <c r="H1539" s="116"/>
      <c r="I1539" s="116"/>
      <c r="L1539" s="170">
        <v>44270</v>
      </c>
      <c r="M1539" s="116">
        <v>1054.45</v>
      </c>
      <c r="N1539" s="116">
        <v>1074.45</v>
      </c>
      <c r="O1539" s="116">
        <v>1040.25</v>
      </c>
      <c r="P1539" s="116">
        <v>1070.0250000000001</v>
      </c>
      <c r="Q1539" s="116">
        <v>2108.9</v>
      </c>
      <c r="R1539">
        <v>7706302</v>
      </c>
    </row>
    <row r="1540" spans="1:18" x14ac:dyDescent="0.25">
      <c r="A1540" s="170">
        <v>44271</v>
      </c>
      <c r="B1540" s="116">
        <v>1062.9000000000001</v>
      </c>
      <c r="C1540" s="116">
        <v>1050.2249999999999</v>
      </c>
      <c r="D1540" s="116">
        <v>1048.0250000000001</v>
      </c>
      <c r="E1540" s="116">
        <v>1057.4000000000001</v>
      </c>
      <c r="F1540" s="116">
        <v>2100.4499999999998</v>
      </c>
      <c r="G1540">
        <v>223111</v>
      </c>
      <c r="H1540" s="116"/>
      <c r="I1540" s="116"/>
      <c r="L1540" s="170">
        <v>44271</v>
      </c>
      <c r="M1540" s="116">
        <v>1050.3</v>
      </c>
      <c r="N1540" s="116">
        <v>1063</v>
      </c>
      <c r="O1540" s="116">
        <v>1047.75</v>
      </c>
      <c r="P1540" s="116">
        <v>1057</v>
      </c>
      <c r="Q1540" s="116">
        <v>2100.6</v>
      </c>
      <c r="R1540">
        <v>6402757</v>
      </c>
    </row>
    <row r="1541" spans="1:18" x14ac:dyDescent="0.25">
      <c r="A1541" s="170">
        <v>44272</v>
      </c>
      <c r="B1541" s="116">
        <v>1051.875</v>
      </c>
      <c r="C1541" s="116">
        <v>1027.575</v>
      </c>
      <c r="D1541" s="116">
        <v>1017.675</v>
      </c>
      <c r="E1541" s="116">
        <v>1050</v>
      </c>
      <c r="F1541" s="116">
        <v>2055.15</v>
      </c>
      <c r="G1541">
        <v>243197</v>
      </c>
      <c r="H1541" s="116"/>
      <c r="I1541" s="116"/>
      <c r="L1541" s="170">
        <v>44272</v>
      </c>
      <c r="M1541" s="116">
        <v>1027.675</v>
      </c>
      <c r="N1541" s="116">
        <v>1051.5</v>
      </c>
      <c r="O1541" s="116">
        <v>1017.55</v>
      </c>
      <c r="P1541" s="116">
        <v>1049.0250000000001</v>
      </c>
      <c r="Q1541" s="116">
        <v>2055.35</v>
      </c>
      <c r="R1541">
        <v>8865521</v>
      </c>
    </row>
    <row r="1542" spans="1:18" x14ac:dyDescent="0.25">
      <c r="A1542" s="170">
        <v>44273</v>
      </c>
      <c r="B1542" s="116">
        <v>1042.5</v>
      </c>
      <c r="C1542" s="116">
        <v>1004.75</v>
      </c>
      <c r="D1542" s="116">
        <v>1000.5</v>
      </c>
      <c r="E1542" s="116">
        <v>1035.55</v>
      </c>
      <c r="F1542" s="116">
        <v>2009.5</v>
      </c>
      <c r="G1542">
        <v>975274</v>
      </c>
      <c r="H1542" s="116"/>
      <c r="I1542" s="116"/>
      <c r="L1542" s="170">
        <v>44273</v>
      </c>
      <c r="M1542" s="116">
        <v>1004.55</v>
      </c>
      <c r="N1542" s="116">
        <v>1042.4000000000001</v>
      </c>
      <c r="O1542" s="116">
        <v>1000.5</v>
      </c>
      <c r="P1542" s="116">
        <v>1036.45</v>
      </c>
      <c r="Q1542" s="116">
        <v>2009.1</v>
      </c>
      <c r="R1542">
        <v>9528809</v>
      </c>
    </row>
    <row r="1543" spans="1:18" x14ac:dyDescent="0.25">
      <c r="A1543" s="170">
        <v>44274</v>
      </c>
      <c r="B1543" s="116">
        <v>1047.5</v>
      </c>
      <c r="C1543" s="116">
        <v>1040.95</v>
      </c>
      <c r="D1543" s="116">
        <v>990.6</v>
      </c>
      <c r="E1543" s="116">
        <v>994.15</v>
      </c>
      <c r="F1543" s="116">
        <v>2081.9</v>
      </c>
      <c r="G1543">
        <v>729355</v>
      </c>
      <c r="H1543" s="116"/>
      <c r="I1543" s="116"/>
      <c r="L1543" s="170">
        <v>44274</v>
      </c>
      <c r="M1543" s="116">
        <v>1041</v>
      </c>
      <c r="N1543" s="116">
        <v>1047.925</v>
      </c>
      <c r="O1543" s="116">
        <v>991.4</v>
      </c>
      <c r="P1543" s="116">
        <v>995.5</v>
      </c>
      <c r="Q1543" s="116">
        <v>2082</v>
      </c>
      <c r="R1543">
        <v>19284892</v>
      </c>
    </row>
    <row r="1544" spans="1:18" x14ac:dyDescent="0.25">
      <c r="A1544" s="170">
        <v>44277</v>
      </c>
      <c r="B1544" s="116">
        <v>1037.5</v>
      </c>
      <c r="C1544" s="116">
        <v>1030.925</v>
      </c>
      <c r="D1544" s="116">
        <v>1016.95</v>
      </c>
      <c r="E1544" s="116">
        <v>1037.5</v>
      </c>
      <c r="F1544" s="116">
        <v>2061.85</v>
      </c>
      <c r="G1544">
        <v>317137</v>
      </c>
      <c r="H1544" s="116"/>
      <c r="I1544" s="116"/>
      <c r="L1544" s="170">
        <v>44277</v>
      </c>
      <c r="M1544" s="116">
        <v>1031.2</v>
      </c>
      <c r="N1544" s="116">
        <v>1037</v>
      </c>
      <c r="O1544" s="116">
        <v>1016.6</v>
      </c>
      <c r="P1544" s="116">
        <v>1035.5</v>
      </c>
      <c r="Q1544" s="116">
        <v>2062.4</v>
      </c>
      <c r="R1544">
        <v>8571196</v>
      </c>
    </row>
    <row r="1545" spans="1:18" x14ac:dyDescent="0.25">
      <c r="A1545" s="170">
        <v>44278</v>
      </c>
      <c r="B1545" s="116">
        <v>1054.95</v>
      </c>
      <c r="C1545" s="116">
        <v>1044.5250000000001</v>
      </c>
      <c r="D1545" s="116">
        <v>1028.625</v>
      </c>
      <c r="E1545" s="116">
        <v>1032</v>
      </c>
      <c r="F1545" s="116">
        <v>2089.0500000000002</v>
      </c>
      <c r="G1545">
        <v>578793</v>
      </c>
      <c r="H1545" s="116"/>
      <c r="I1545" s="116"/>
      <c r="L1545" s="170">
        <v>44278</v>
      </c>
      <c r="M1545" s="116">
        <v>1043.75</v>
      </c>
      <c r="N1545" s="116">
        <v>1054.8499999999999</v>
      </c>
      <c r="O1545" s="116">
        <v>1028</v>
      </c>
      <c r="P1545" s="116">
        <v>1030.9749999999999</v>
      </c>
      <c r="Q1545" s="116">
        <v>2087.5</v>
      </c>
      <c r="R1545">
        <v>8039865</v>
      </c>
    </row>
    <row r="1546" spans="1:18" x14ac:dyDescent="0.25">
      <c r="A1546" s="170">
        <v>44279</v>
      </c>
      <c r="B1546" s="116">
        <v>1040.2750000000001</v>
      </c>
      <c r="C1546" s="116">
        <v>1023.65</v>
      </c>
      <c r="D1546" s="116">
        <v>1020.4</v>
      </c>
      <c r="E1546" s="116">
        <v>1040.2750000000001</v>
      </c>
      <c r="F1546" s="116">
        <v>2047.3</v>
      </c>
      <c r="G1546">
        <v>307569</v>
      </c>
      <c r="H1546" s="116"/>
      <c r="I1546" s="116"/>
      <c r="L1546" s="170">
        <v>44279</v>
      </c>
      <c r="M1546" s="116">
        <v>1023.65</v>
      </c>
      <c r="N1546" s="116">
        <v>1039.875</v>
      </c>
      <c r="O1546" s="116">
        <v>1020.2</v>
      </c>
      <c r="P1546" s="116">
        <v>1039.875</v>
      </c>
      <c r="Q1546" s="116">
        <v>2047.3</v>
      </c>
      <c r="R1546">
        <v>7763726</v>
      </c>
    </row>
    <row r="1547" spans="1:18" x14ac:dyDescent="0.25">
      <c r="A1547" s="170">
        <v>44280</v>
      </c>
      <c r="B1547" s="116">
        <v>1028.7750000000001</v>
      </c>
      <c r="C1547" s="116">
        <v>996.375</v>
      </c>
      <c r="D1547" s="116">
        <v>992.5</v>
      </c>
      <c r="E1547" s="116">
        <v>1025.2750000000001</v>
      </c>
      <c r="F1547" s="116">
        <v>1992.75</v>
      </c>
      <c r="G1547">
        <v>309621</v>
      </c>
      <c r="H1547" s="116"/>
      <c r="I1547" s="116"/>
      <c r="L1547" s="170">
        <v>44280</v>
      </c>
      <c r="M1547" s="116">
        <v>995.72500000000002</v>
      </c>
      <c r="N1547" s="116">
        <v>1027</v>
      </c>
      <c r="O1547" s="116">
        <v>992.5</v>
      </c>
      <c r="P1547" s="116">
        <v>1027</v>
      </c>
      <c r="Q1547" s="116">
        <v>1991.45</v>
      </c>
      <c r="R1547">
        <v>10153757</v>
      </c>
    </row>
    <row r="1548" spans="1:18" x14ac:dyDescent="0.25">
      <c r="A1548" s="170">
        <v>44281</v>
      </c>
      <c r="B1548" s="116">
        <v>1007.475</v>
      </c>
      <c r="C1548" s="116">
        <v>997.125</v>
      </c>
      <c r="D1548" s="116">
        <v>986.52499999999998</v>
      </c>
      <c r="E1548" s="116">
        <v>1005</v>
      </c>
      <c r="F1548" s="116">
        <v>1994.25</v>
      </c>
      <c r="G1548">
        <v>800154</v>
      </c>
      <c r="H1548" s="116"/>
      <c r="I1548" s="116"/>
      <c r="L1548" s="170">
        <v>44281</v>
      </c>
      <c r="M1548" s="116">
        <v>997.32500000000005</v>
      </c>
      <c r="N1548" s="116">
        <v>1006.85</v>
      </c>
      <c r="O1548" s="116">
        <v>986.85</v>
      </c>
      <c r="P1548" s="116">
        <v>1006</v>
      </c>
      <c r="Q1548" s="116">
        <v>1994.65</v>
      </c>
      <c r="R1548">
        <v>9313160</v>
      </c>
    </row>
    <row r="1549" spans="1:18" x14ac:dyDescent="0.25">
      <c r="A1549" s="170">
        <v>44285</v>
      </c>
      <c r="B1549" s="116">
        <v>1024.25</v>
      </c>
      <c r="C1549" s="116">
        <v>1014.3</v>
      </c>
      <c r="D1549" s="116">
        <v>996</v>
      </c>
      <c r="E1549" s="116">
        <v>1004.85</v>
      </c>
      <c r="F1549" s="116">
        <v>2028.6</v>
      </c>
      <c r="G1549">
        <v>266010</v>
      </c>
      <c r="H1549" s="116"/>
      <c r="I1549" s="116"/>
      <c r="L1549" s="170">
        <v>44285</v>
      </c>
      <c r="M1549" s="116">
        <v>1014.65</v>
      </c>
      <c r="N1549" s="116">
        <v>1024.45</v>
      </c>
      <c r="O1549" s="116">
        <v>995.77499999999998</v>
      </c>
      <c r="P1549" s="116">
        <v>1004</v>
      </c>
      <c r="Q1549" s="116">
        <v>2029.3</v>
      </c>
      <c r="R1549">
        <v>9433850</v>
      </c>
    </row>
    <row r="1550" spans="1:18" x14ac:dyDescent="0.25">
      <c r="A1550" s="170">
        <v>44286</v>
      </c>
      <c r="B1550" s="116">
        <v>1024.95</v>
      </c>
      <c r="C1550" s="116">
        <v>1001.6</v>
      </c>
      <c r="D1550" s="116">
        <v>999.5</v>
      </c>
      <c r="E1550" s="116">
        <v>1007.675</v>
      </c>
      <c r="F1550" s="116">
        <v>2003.2</v>
      </c>
      <c r="G1550">
        <v>207901</v>
      </c>
      <c r="H1550" s="116"/>
      <c r="I1550" s="116"/>
      <c r="L1550" s="170">
        <v>44286</v>
      </c>
      <c r="M1550" s="116">
        <v>1001.55</v>
      </c>
      <c r="N1550" s="116">
        <v>1024.95</v>
      </c>
      <c r="O1550" s="116">
        <v>999.5</v>
      </c>
      <c r="P1550" s="116">
        <v>1009</v>
      </c>
      <c r="Q1550" s="116">
        <v>2003.1</v>
      </c>
      <c r="R1550">
        <v>7499740</v>
      </c>
    </row>
    <row r="1551" spans="1:18" x14ac:dyDescent="0.25">
      <c r="A1551" s="170">
        <v>44287</v>
      </c>
      <c r="B1551" s="116">
        <v>1015</v>
      </c>
      <c r="C1551" s="116">
        <v>1010.85</v>
      </c>
      <c r="D1551" s="116">
        <v>1001.675</v>
      </c>
      <c r="E1551" s="116">
        <v>1009.85</v>
      </c>
      <c r="F1551" s="116">
        <v>2021.7</v>
      </c>
      <c r="G1551">
        <v>246593</v>
      </c>
      <c r="H1551" s="116"/>
      <c r="I1551" s="116"/>
      <c r="L1551" s="170">
        <v>44287</v>
      </c>
      <c r="M1551" s="116">
        <v>1010.925</v>
      </c>
      <c r="N1551" s="116">
        <v>1015</v>
      </c>
      <c r="O1551" s="116">
        <v>1001.575</v>
      </c>
      <c r="P1551" s="116">
        <v>1009</v>
      </c>
      <c r="Q1551" s="116">
        <v>2021.85</v>
      </c>
      <c r="R1551">
        <v>5410307</v>
      </c>
    </row>
    <row r="1552" spans="1:18" x14ac:dyDescent="0.25">
      <c r="A1552" s="170">
        <v>44291</v>
      </c>
      <c r="B1552" s="116">
        <v>1012.5</v>
      </c>
      <c r="C1552" s="116">
        <v>996.4</v>
      </c>
      <c r="D1552" s="116">
        <v>980.92499999999995</v>
      </c>
      <c r="E1552" s="116">
        <v>1012.5</v>
      </c>
      <c r="F1552" s="116">
        <v>1992.8</v>
      </c>
      <c r="G1552">
        <v>253365</v>
      </c>
      <c r="H1552" s="116"/>
      <c r="I1552" s="116"/>
      <c r="L1552" s="170">
        <v>44291</v>
      </c>
      <c r="M1552" s="116">
        <v>996.3</v>
      </c>
      <c r="N1552" s="116">
        <v>1012.5</v>
      </c>
      <c r="O1552" s="116">
        <v>981.05</v>
      </c>
      <c r="P1552" s="116">
        <v>1012.475</v>
      </c>
      <c r="Q1552" s="116">
        <v>1992.6</v>
      </c>
      <c r="R1552">
        <v>6864856</v>
      </c>
    </row>
    <row r="1553" spans="1:18" x14ac:dyDescent="0.25">
      <c r="A1553" s="170">
        <v>44292</v>
      </c>
      <c r="B1553" s="116">
        <v>1002.5</v>
      </c>
      <c r="C1553" s="116">
        <v>991.82500000000005</v>
      </c>
      <c r="D1553" s="116">
        <v>985</v>
      </c>
      <c r="E1553" s="116">
        <v>1000.625</v>
      </c>
      <c r="F1553" s="116">
        <v>1983.65</v>
      </c>
      <c r="G1553">
        <v>337567</v>
      </c>
      <c r="H1553" s="116"/>
      <c r="I1553" s="116"/>
      <c r="L1553" s="170">
        <v>44292</v>
      </c>
      <c r="M1553" s="116">
        <v>992.15</v>
      </c>
      <c r="N1553" s="116">
        <v>1002.475</v>
      </c>
      <c r="O1553" s="116">
        <v>984.5</v>
      </c>
      <c r="P1553" s="116">
        <v>1002</v>
      </c>
      <c r="Q1553" s="116">
        <v>1984.3</v>
      </c>
      <c r="R1553">
        <v>6465241</v>
      </c>
    </row>
    <row r="1554" spans="1:18" x14ac:dyDescent="0.25">
      <c r="A1554" s="170">
        <v>44293</v>
      </c>
      <c r="B1554" s="116">
        <v>1023.05</v>
      </c>
      <c r="C1554" s="116">
        <v>1001.4</v>
      </c>
      <c r="D1554" s="116">
        <v>996.1</v>
      </c>
      <c r="E1554" s="116">
        <v>996.1</v>
      </c>
      <c r="F1554" s="116">
        <v>2002.8</v>
      </c>
      <c r="G1554">
        <v>281524</v>
      </c>
      <c r="H1554" s="116"/>
      <c r="I1554" s="116"/>
      <c r="L1554" s="170">
        <v>44293</v>
      </c>
      <c r="M1554" s="116">
        <v>1001.425</v>
      </c>
      <c r="N1554" s="116">
        <v>1023.45</v>
      </c>
      <c r="O1554" s="116">
        <v>996.65</v>
      </c>
      <c r="P1554" s="116">
        <v>1000</v>
      </c>
      <c r="Q1554" s="116">
        <v>2002.85</v>
      </c>
      <c r="R1554">
        <v>11198918</v>
      </c>
    </row>
    <row r="1555" spans="1:18" x14ac:dyDescent="0.25">
      <c r="A1555" s="170">
        <v>44294</v>
      </c>
      <c r="B1555" s="116">
        <v>1010.575</v>
      </c>
      <c r="C1555" s="116">
        <v>1002.5</v>
      </c>
      <c r="D1555" s="116">
        <v>996.75</v>
      </c>
      <c r="E1555" s="116">
        <v>1005.025</v>
      </c>
      <c r="F1555" s="116">
        <v>2005</v>
      </c>
      <c r="G1555">
        <v>1534983</v>
      </c>
      <c r="H1555" s="116"/>
      <c r="I1555" s="116"/>
      <c r="L1555" s="170">
        <v>44294</v>
      </c>
      <c r="M1555" s="116">
        <v>1002.675</v>
      </c>
      <c r="N1555" s="116">
        <v>1011</v>
      </c>
      <c r="O1555" s="116">
        <v>996.5</v>
      </c>
      <c r="P1555" s="116">
        <v>1005.5</v>
      </c>
      <c r="Q1555" s="116">
        <v>2005.35</v>
      </c>
      <c r="R1555">
        <v>7092878</v>
      </c>
    </row>
    <row r="1556" spans="1:18" x14ac:dyDescent="0.25">
      <c r="A1556" s="170">
        <v>44295</v>
      </c>
      <c r="B1556" s="116">
        <v>1003.4</v>
      </c>
      <c r="C1556" s="116">
        <v>991.32500000000005</v>
      </c>
      <c r="D1556" s="116">
        <v>990.05</v>
      </c>
      <c r="E1556" s="116">
        <v>1001.5</v>
      </c>
      <c r="F1556" s="116">
        <v>1982.65</v>
      </c>
      <c r="G1556">
        <v>241161</v>
      </c>
      <c r="H1556" s="116"/>
      <c r="I1556" s="116"/>
      <c r="L1556" s="170">
        <v>44295</v>
      </c>
      <c r="M1556" s="116">
        <v>991.02499999999998</v>
      </c>
      <c r="N1556" s="116">
        <v>1003.175</v>
      </c>
      <c r="O1556" s="116">
        <v>990</v>
      </c>
      <c r="P1556" s="116">
        <v>999.22500000000002</v>
      </c>
      <c r="Q1556" s="116">
        <v>1982.05</v>
      </c>
      <c r="R1556">
        <v>6478482</v>
      </c>
    </row>
    <row r="1557" spans="1:18" x14ac:dyDescent="0.25">
      <c r="A1557" s="170">
        <v>44298</v>
      </c>
      <c r="B1557" s="116">
        <v>983.125</v>
      </c>
      <c r="C1557" s="116">
        <v>955.65</v>
      </c>
      <c r="D1557" s="116">
        <v>950.27499999999998</v>
      </c>
      <c r="E1557" s="116">
        <v>978.02499999999998</v>
      </c>
      <c r="F1557" s="116">
        <v>1911.3</v>
      </c>
      <c r="G1557">
        <v>666100</v>
      </c>
      <c r="H1557" s="116"/>
      <c r="I1557" s="116"/>
      <c r="L1557" s="170">
        <v>44298</v>
      </c>
      <c r="M1557" s="116">
        <v>955.57500000000005</v>
      </c>
      <c r="N1557" s="116">
        <v>980.7</v>
      </c>
      <c r="O1557" s="116">
        <v>950.125</v>
      </c>
      <c r="P1557" s="116">
        <v>979.5</v>
      </c>
      <c r="Q1557" s="116">
        <v>1911.15</v>
      </c>
      <c r="R1557">
        <v>9646031</v>
      </c>
    </row>
    <row r="1558" spans="1:18" x14ac:dyDescent="0.25">
      <c r="A1558" s="170">
        <v>44299</v>
      </c>
      <c r="B1558" s="116">
        <v>970.07500000000005</v>
      </c>
      <c r="C1558" s="116">
        <v>965.95</v>
      </c>
      <c r="D1558" s="116">
        <v>959.17499999999995</v>
      </c>
      <c r="E1558" s="116">
        <v>962.5</v>
      </c>
      <c r="F1558" s="116">
        <v>1931.9</v>
      </c>
      <c r="G1558">
        <v>265483</v>
      </c>
      <c r="H1558" s="116"/>
      <c r="I1558" s="116"/>
      <c r="L1558" s="170">
        <v>44299</v>
      </c>
      <c r="M1558" s="116">
        <v>965.9</v>
      </c>
      <c r="N1558" s="116">
        <v>970.3</v>
      </c>
      <c r="O1558" s="116">
        <v>958.92499999999995</v>
      </c>
      <c r="P1558" s="116">
        <v>962</v>
      </c>
      <c r="Q1558" s="116">
        <v>1931.8</v>
      </c>
      <c r="R1558">
        <v>8958261</v>
      </c>
    </row>
    <row r="1559" spans="1:18" x14ac:dyDescent="0.25">
      <c r="A1559" s="170">
        <v>44301</v>
      </c>
      <c r="B1559" s="116">
        <v>980.32500000000005</v>
      </c>
      <c r="C1559" s="116">
        <v>971.95</v>
      </c>
      <c r="D1559" s="116">
        <v>956.8</v>
      </c>
      <c r="E1559" s="116">
        <v>960.25</v>
      </c>
      <c r="F1559" s="116">
        <v>1943.9</v>
      </c>
      <c r="G1559">
        <v>328742</v>
      </c>
      <c r="H1559" s="116"/>
      <c r="I1559" s="116"/>
      <c r="L1559" s="170">
        <v>44301</v>
      </c>
      <c r="M1559" s="116">
        <v>972.15</v>
      </c>
      <c r="N1559" s="116">
        <v>980.5</v>
      </c>
      <c r="O1559" s="116">
        <v>956.5</v>
      </c>
      <c r="P1559" s="116">
        <v>963.15</v>
      </c>
      <c r="Q1559" s="116">
        <v>1944.3</v>
      </c>
      <c r="R1559">
        <v>9102492</v>
      </c>
    </row>
    <row r="1560" spans="1:18" x14ac:dyDescent="0.25">
      <c r="A1560" s="170">
        <v>44302</v>
      </c>
      <c r="B1560" s="116">
        <v>974.75</v>
      </c>
      <c r="C1560" s="116">
        <v>967</v>
      </c>
      <c r="D1560" s="116">
        <v>963.3</v>
      </c>
      <c r="E1560" s="116">
        <v>972</v>
      </c>
      <c r="F1560" s="116">
        <v>1934</v>
      </c>
      <c r="G1560">
        <v>1494385</v>
      </c>
      <c r="H1560" s="116"/>
      <c r="I1560" s="116"/>
      <c r="L1560" s="170">
        <v>44302</v>
      </c>
      <c r="M1560" s="116">
        <v>966.05</v>
      </c>
      <c r="N1560" s="116">
        <v>974.95</v>
      </c>
      <c r="O1560" s="116">
        <v>963.22500000000002</v>
      </c>
      <c r="P1560" s="116">
        <v>968.3</v>
      </c>
      <c r="Q1560" s="116">
        <v>1932.1</v>
      </c>
      <c r="R1560">
        <v>7225679</v>
      </c>
    </row>
    <row r="1561" spans="1:18" x14ac:dyDescent="0.25">
      <c r="A1561" s="170">
        <v>44305</v>
      </c>
      <c r="B1561" s="116">
        <v>958.3</v>
      </c>
      <c r="C1561" s="116">
        <v>951.27499999999998</v>
      </c>
      <c r="D1561" s="116">
        <v>945.5</v>
      </c>
      <c r="E1561" s="116">
        <v>950.5</v>
      </c>
      <c r="F1561" s="116">
        <v>1902.55</v>
      </c>
      <c r="G1561">
        <v>485900</v>
      </c>
      <c r="H1561" s="116"/>
      <c r="I1561" s="116"/>
      <c r="L1561" s="170">
        <v>44305</v>
      </c>
      <c r="M1561" s="116">
        <v>950.85</v>
      </c>
      <c r="N1561" s="116">
        <v>958.2</v>
      </c>
      <c r="O1561" s="116">
        <v>945</v>
      </c>
      <c r="P1561" s="116">
        <v>952</v>
      </c>
      <c r="Q1561" s="116">
        <v>1901.7</v>
      </c>
      <c r="R1561">
        <v>8527967</v>
      </c>
    </row>
    <row r="1562" spans="1:18" x14ac:dyDescent="0.25">
      <c r="A1562" s="170">
        <v>44306</v>
      </c>
      <c r="B1562" s="116">
        <v>959.95</v>
      </c>
      <c r="C1562" s="116">
        <v>950.7</v>
      </c>
      <c r="D1562" s="116">
        <v>945.27499999999998</v>
      </c>
      <c r="E1562" s="116">
        <v>957.35</v>
      </c>
      <c r="F1562" s="116">
        <v>1901.4</v>
      </c>
      <c r="G1562">
        <v>414659</v>
      </c>
      <c r="H1562" s="116"/>
      <c r="I1562" s="116"/>
      <c r="L1562" s="170">
        <v>44306</v>
      </c>
      <c r="M1562" s="116">
        <v>950.57500000000005</v>
      </c>
      <c r="N1562" s="116">
        <v>959.5</v>
      </c>
      <c r="O1562" s="116">
        <v>945.22500000000002</v>
      </c>
      <c r="P1562" s="116">
        <v>955.25</v>
      </c>
      <c r="Q1562" s="116">
        <v>1901.15</v>
      </c>
      <c r="R1562">
        <v>7939490</v>
      </c>
    </row>
    <row r="1563" spans="1:18" x14ac:dyDescent="0.25">
      <c r="A1563" s="170">
        <v>44308</v>
      </c>
      <c r="B1563" s="116">
        <v>957.22500000000002</v>
      </c>
      <c r="C1563" s="116">
        <v>953.02499999999998</v>
      </c>
      <c r="D1563" s="116">
        <v>938.8</v>
      </c>
      <c r="E1563" s="116">
        <v>948</v>
      </c>
      <c r="F1563" s="116">
        <v>1906.05</v>
      </c>
      <c r="G1563">
        <v>1180007</v>
      </c>
      <c r="H1563" s="116"/>
      <c r="I1563" s="116"/>
      <c r="L1563" s="170">
        <v>44308</v>
      </c>
      <c r="M1563" s="116">
        <v>953.2</v>
      </c>
      <c r="N1563" s="116">
        <v>957.22500000000002</v>
      </c>
      <c r="O1563" s="116">
        <v>938.35</v>
      </c>
      <c r="P1563" s="116">
        <v>946.125</v>
      </c>
      <c r="Q1563" s="116">
        <v>1906.4</v>
      </c>
      <c r="R1563">
        <v>6687573</v>
      </c>
    </row>
    <row r="1564" spans="1:18" x14ac:dyDescent="0.25">
      <c r="A1564" s="170">
        <v>44309</v>
      </c>
      <c r="B1564" s="116">
        <v>959.5</v>
      </c>
      <c r="C1564" s="116">
        <v>952.2</v>
      </c>
      <c r="D1564" s="116">
        <v>948</v>
      </c>
      <c r="E1564" s="116">
        <v>951.5</v>
      </c>
      <c r="F1564" s="116">
        <v>1904.4</v>
      </c>
      <c r="G1564">
        <v>370043</v>
      </c>
      <c r="H1564" s="116"/>
      <c r="I1564" s="116"/>
      <c r="L1564" s="170">
        <v>44309</v>
      </c>
      <c r="M1564" s="116">
        <v>952.17499999999995</v>
      </c>
      <c r="N1564" s="116">
        <v>959.45</v>
      </c>
      <c r="O1564" s="116">
        <v>947.67499999999995</v>
      </c>
      <c r="P1564" s="116">
        <v>953</v>
      </c>
      <c r="Q1564" s="116">
        <v>1904.35</v>
      </c>
      <c r="R1564">
        <v>5459016</v>
      </c>
    </row>
    <row r="1565" spans="1:18" x14ac:dyDescent="0.25">
      <c r="A1565" s="170">
        <v>44312</v>
      </c>
      <c r="B1565" s="116">
        <v>980.5</v>
      </c>
      <c r="C1565" s="116">
        <v>968.72500000000002</v>
      </c>
      <c r="D1565" s="116">
        <v>955.92499999999995</v>
      </c>
      <c r="E1565" s="116">
        <v>958.125</v>
      </c>
      <c r="F1565" s="116">
        <v>1937.45</v>
      </c>
      <c r="G1565">
        <v>1330622</v>
      </c>
      <c r="H1565" s="116"/>
      <c r="I1565" s="116"/>
      <c r="L1565" s="170">
        <v>44312</v>
      </c>
      <c r="M1565" s="116">
        <v>968.92499999999995</v>
      </c>
      <c r="N1565" s="116">
        <v>981</v>
      </c>
      <c r="O1565" s="116">
        <v>955.75</v>
      </c>
      <c r="P1565" s="116">
        <v>960</v>
      </c>
      <c r="Q1565" s="116">
        <v>1937.85</v>
      </c>
      <c r="R1565">
        <v>9620785</v>
      </c>
    </row>
    <row r="1566" spans="1:18" x14ac:dyDescent="0.25">
      <c r="A1566" s="170">
        <v>44313</v>
      </c>
      <c r="B1566" s="116">
        <v>998.77499999999998</v>
      </c>
      <c r="C1566" s="116">
        <v>994.45</v>
      </c>
      <c r="D1566" s="116">
        <v>970.45</v>
      </c>
      <c r="E1566" s="116">
        <v>971.5</v>
      </c>
      <c r="F1566" s="116">
        <v>1988.9</v>
      </c>
      <c r="G1566">
        <v>348348</v>
      </c>
      <c r="H1566" s="116"/>
      <c r="I1566" s="116"/>
      <c r="L1566" s="170">
        <v>44313</v>
      </c>
      <c r="M1566" s="116">
        <v>994.32500000000005</v>
      </c>
      <c r="N1566" s="116">
        <v>998.6</v>
      </c>
      <c r="O1566" s="116">
        <v>969.125</v>
      </c>
      <c r="P1566" s="116">
        <v>970</v>
      </c>
      <c r="Q1566" s="116">
        <v>1988.65</v>
      </c>
      <c r="R1566">
        <v>9226547</v>
      </c>
    </row>
    <row r="1567" spans="1:18" x14ac:dyDescent="0.25">
      <c r="A1567" s="170">
        <v>44314</v>
      </c>
      <c r="B1567" s="116">
        <v>1003.7</v>
      </c>
      <c r="C1567" s="116">
        <v>998.02499999999998</v>
      </c>
      <c r="D1567" s="116">
        <v>990.375</v>
      </c>
      <c r="E1567" s="116">
        <v>999.72500000000002</v>
      </c>
      <c r="F1567" s="116">
        <v>1996.05</v>
      </c>
      <c r="G1567">
        <v>442402</v>
      </c>
      <c r="H1567" s="116"/>
      <c r="I1567" s="116"/>
      <c r="L1567" s="170">
        <v>44314</v>
      </c>
      <c r="M1567" s="116">
        <v>998.65</v>
      </c>
      <c r="N1567" s="116">
        <v>1004</v>
      </c>
      <c r="O1567" s="116">
        <v>990.07500000000005</v>
      </c>
      <c r="P1567" s="116">
        <v>998.92499999999995</v>
      </c>
      <c r="Q1567" s="116">
        <v>1997.3</v>
      </c>
      <c r="R1567">
        <v>7902002</v>
      </c>
    </row>
    <row r="1568" spans="1:18" x14ac:dyDescent="0.25">
      <c r="A1568" s="170">
        <v>44315</v>
      </c>
      <c r="B1568" s="116">
        <v>1022.5</v>
      </c>
      <c r="C1568" s="116">
        <v>1011.6</v>
      </c>
      <c r="D1568" s="116">
        <v>1004</v>
      </c>
      <c r="E1568" s="116">
        <v>1008.325</v>
      </c>
      <c r="F1568" s="116">
        <v>2023.2</v>
      </c>
      <c r="G1568">
        <v>253013</v>
      </c>
      <c r="H1568" s="116"/>
      <c r="I1568" s="116"/>
      <c r="L1568" s="170">
        <v>44315</v>
      </c>
      <c r="M1568" s="116">
        <v>1012.025</v>
      </c>
      <c r="N1568" s="116">
        <v>1022.25</v>
      </c>
      <c r="O1568" s="116">
        <v>1003.65</v>
      </c>
      <c r="P1568" s="116">
        <v>1011.45</v>
      </c>
      <c r="Q1568" s="116">
        <v>2024.05</v>
      </c>
      <c r="R1568">
        <v>8035915</v>
      </c>
    </row>
    <row r="1569" spans="1:18" x14ac:dyDescent="0.25">
      <c r="A1569" s="170">
        <v>44316</v>
      </c>
      <c r="B1569" s="116">
        <v>1018.2</v>
      </c>
      <c r="C1569" s="116">
        <v>997.22500000000002</v>
      </c>
      <c r="D1569" s="116">
        <v>993.7</v>
      </c>
      <c r="E1569" s="116">
        <v>1007.35</v>
      </c>
      <c r="F1569" s="116">
        <v>1994.45</v>
      </c>
      <c r="G1569">
        <v>321474</v>
      </c>
      <c r="H1569" s="116"/>
      <c r="I1569" s="116"/>
      <c r="L1569" s="170">
        <v>44316</v>
      </c>
      <c r="M1569" s="116">
        <v>997.25</v>
      </c>
      <c r="N1569" s="116">
        <v>1018</v>
      </c>
      <c r="O1569" s="116">
        <v>993.77499999999998</v>
      </c>
      <c r="P1569" s="116">
        <v>1004.25</v>
      </c>
      <c r="Q1569" s="116">
        <v>1994.5</v>
      </c>
      <c r="R1569">
        <v>9150974</v>
      </c>
    </row>
    <row r="1570" spans="1:18" x14ac:dyDescent="0.25">
      <c r="A1570" s="170">
        <v>44319</v>
      </c>
      <c r="B1570" s="116">
        <v>989.5</v>
      </c>
      <c r="C1570" s="116">
        <v>979.625</v>
      </c>
      <c r="D1570" s="116">
        <v>971.85</v>
      </c>
      <c r="E1570" s="116">
        <v>981.85</v>
      </c>
      <c r="F1570" s="116">
        <v>1959.25</v>
      </c>
      <c r="G1570">
        <v>693942</v>
      </c>
      <c r="H1570" s="116"/>
      <c r="I1570" s="116"/>
      <c r="L1570" s="170">
        <v>44319</v>
      </c>
      <c r="M1570" s="116">
        <v>979.52499999999998</v>
      </c>
      <c r="N1570" s="116">
        <v>989.5</v>
      </c>
      <c r="O1570" s="116">
        <v>971.55</v>
      </c>
      <c r="P1570" s="116">
        <v>983</v>
      </c>
      <c r="Q1570" s="116">
        <v>1959.05</v>
      </c>
      <c r="R1570">
        <v>10909942</v>
      </c>
    </row>
    <row r="1571" spans="1:18" x14ac:dyDescent="0.25">
      <c r="A1571" s="170">
        <v>44320</v>
      </c>
      <c r="B1571" s="116">
        <v>983.75</v>
      </c>
      <c r="C1571" s="116">
        <v>958.27499999999998</v>
      </c>
      <c r="D1571" s="116">
        <v>955.5</v>
      </c>
      <c r="E1571" s="116">
        <v>977</v>
      </c>
      <c r="F1571" s="116">
        <v>1916.55</v>
      </c>
      <c r="G1571">
        <v>1021839</v>
      </c>
      <c r="H1571" s="116"/>
      <c r="I1571" s="116"/>
      <c r="L1571" s="170">
        <v>44320</v>
      </c>
      <c r="M1571" s="116">
        <v>958.3</v>
      </c>
      <c r="N1571" s="116">
        <v>983.9</v>
      </c>
      <c r="O1571" s="116">
        <v>955.5</v>
      </c>
      <c r="P1571" s="116">
        <v>975</v>
      </c>
      <c r="Q1571" s="116">
        <v>1916.6</v>
      </c>
      <c r="R1571">
        <v>10083693</v>
      </c>
    </row>
    <row r="1572" spans="1:18" x14ac:dyDescent="0.25">
      <c r="A1572" s="170">
        <v>44321</v>
      </c>
      <c r="B1572" s="116">
        <v>968.95</v>
      </c>
      <c r="C1572" s="116">
        <v>959.875</v>
      </c>
      <c r="D1572" s="116">
        <v>954.07500000000005</v>
      </c>
      <c r="E1572" s="116">
        <v>959.85</v>
      </c>
      <c r="F1572" s="116">
        <v>1919.75</v>
      </c>
      <c r="G1572">
        <v>287285</v>
      </c>
      <c r="H1572" s="116"/>
      <c r="I1572" s="116"/>
      <c r="L1572" s="170">
        <v>44321</v>
      </c>
      <c r="M1572" s="116">
        <v>960.05</v>
      </c>
      <c r="N1572" s="116">
        <v>969.25</v>
      </c>
      <c r="O1572" s="116">
        <v>954.02499999999998</v>
      </c>
      <c r="P1572" s="116">
        <v>961.67499999999995</v>
      </c>
      <c r="Q1572" s="116">
        <v>1920.1</v>
      </c>
      <c r="R1572">
        <v>5719649</v>
      </c>
    </row>
    <row r="1573" spans="1:18" x14ac:dyDescent="0.25">
      <c r="A1573" s="170">
        <v>44322</v>
      </c>
      <c r="B1573" s="116">
        <v>967.07500000000005</v>
      </c>
      <c r="C1573" s="116">
        <v>964.95</v>
      </c>
      <c r="D1573" s="116">
        <v>953.625</v>
      </c>
      <c r="E1573" s="116">
        <v>963</v>
      </c>
      <c r="F1573" s="116">
        <v>1929.9</v>
      </c>
      <c r="G1573">
        <v>231521</v>
      </c>
      <c r="H1573" s="116"/>
      <c r="I1573" s="116"/>
      <c r="L1573" s="170">
        <v>44322</v>
      </c>
      <c r="M1573" s="116">
        <v>965.5</v>
      </c>
      <c r="N1573" s="116">
        <v>967.5</v>
      </c>
      <c r="O1573" s="116">
        <v>953.3</v>
      </c>
      <c r="P1573" s="116">
        <v>960.92499999999995</v>
      </c>
      <c r="Q1573" s="116">
        <v>1931</v>
      </c>
      <c r="R1573">
        <v>6749281</v>
      </c>
    </row>
    <row r="1574" spans="1:18" x14ac:dyDescent="0.25">
      <c r="A1574" s="170">
        <v>44323</v>
      </c>
      <c r="B1574" s="116">
        <v>977.72500000000002</v>
      </c>
      <c r="C1574" s="116">
        <v>965.65</v>
      </c>
      <c r="D1574" s="116">
        <v>962.95</v>
      </c>
      <c r="E1574" s="116">
        <v>970</v>
      </c>
      <c r="F1574" s="116">
        <v>1931.3</v>
      </c>
      <c r="G1574">
        <v>178669</v>
      </c>
      <c r="H1574" s="116"/>
      <c r="I1574" s="116"/>
      <c r="L1574" s="170">
        <v>44323</v>
      </c>
      <c r="M1574" s="116">
        <v>965.875</v>
      </c>
      <c r="N1574" s="116">
        <v>977.82500000000005</v>
      </c>
      <c r="O1574" s="116">
        <v>963</v>
      </c>
      <c r="P1574" s="116">
        <v>968.875</v>
      </c>
      <c r="Q1574" s="116">
        <v>1931.75</v>
      </c>
      <c r="R1574">
        <v>5671163</v>
      </c>
    </row>
    <row r="1575" spans="1:18" x14ac:dyDescent="0.25">
      <c r="A1575" s="170">
        <v>44326</v>
      </c>
      <c r="B1575" s="116">
        <v>973.05</v>
      </c>
      <c r="C1575" s="116">
        <v>962.85</v>
      </c>
      <c r="D1575" s="116">
        <v>960.2</v>
      </c>
      <c r="E1575" s="116">
        <v>971.875</v>
      </c>
      <c r="F1575" s="116">
        <v>1925.7</v>
      </c>
      <c r="G1575">
        <v>225581</v>
      </c>
      <c r="H1575" s="116"/>
      <c r="I1575" s="116"/>
      <c r="L1575" s="170">
        <v>44326</v>
      </c>
      <c r="M1575" s="116">
        <v>963.1</v>
      </c>
      <c r="N1575" s="116">
        <v>973.4</v>
      </c>
      <c r="O1575" s="116">
        <v>960.47500000000002</v>
      </c>
      <c r="P1575" s="116">
        <v>969.5</v>
      </c>
      <c r="Q1575" s="116">
        <v>1926.2</v>
      </c>
      <c r="R1575">
        <v>6433879</v>
      </c>
    </row>
    <row r="1576" spans="1:18" x14ac:dyDescent="0.25">
      <c r="A1576" s="170">
        <v>44327</v>
      </c>
      <c r="B1576" s="116">
        <v>969.32500000000005</v>
      </c>
      <c r="C1576" s="116">
        <v>966.85</v>
      </c>
      <c r="D1576" s="116">
        <v>955.02499999999998</v>
      </c>
      <c r="E1576" s="116">
        <v>958.5</v>
      </c>
      <c r="F1576" s="116">
        <v>1933.7</v>
      </c>
      <c r="G1576">
        <v>265869</v>
      </c>
      <c r="H1576" s="116"/>
      <c r="I1576" s="116"/>
      <c r="L1576" s="170">
        <v>44327</v>
      </c>
      <c r="M1576" s="116">
        <v>966.57500000000005</v>
      </c>
      <c r="N1576" s="116">
        <v>969.27499999999998</v>
      </c>
      <c r="O1576" s="116">
        <v>955</v>
      </c>
      <c r="P1576" s="116">
        <v>957.5</v>
      </c>
      <c r="Q1576" s="116">
        <v>1933.15</v>
      </c>
      <c r="R1576">
        <v>6220217</v>
      </c>
    </row>
    <row r="1577" spans="1:18" x14ac:dyDescent="0.25">
      <c r="A1577" s="170">
        <v>44328</v>
      </c>
      <c r="B1577" s="116">
        <v>967</v>
      </c>
      <c r="C1577" s="116">
        <v>956.77499999999998</v>
      </c>
      <c r="D1577" s="116">
        <v>953.875</v>
      </c>
      <c r="E1577" s="116">
        <v>967</v>
      </c>
      <c r="F1577" s="116">
        <v>1913.55</v>
      </c>
      <c r="G1577">
        <v>373114</v>
      </c>
      <c r="H1577" s="116"/>
      <c r="I1577" s="116"/>
      <c r="L1577" s="170">
        <v>44328</v>
      </c>
      <c r="M1577" s="116">
        <v>956.57500000000005</v>
      </c>
      <c r="N1577" s="116">
        <v>966.45</v>
      </c>
      <c r="O1577" s="116">
        <v>953.5</v>
      </c>
      <c r="P1577" s="116">
        <v>965.05</v>
      </c>
      <c r="Q1577" s="116">
        <v>1913.15</v>
      </c>
      <c r="R1577">
        <v>6081627</v>
      </c>
    </row>
    <row r="1578" spans="1:18" x14ac:dyDescent="0.25">
      <c r="A1578" s="170">
        <v>44330</v>
      </c>
      <c r="B1578" s="116">
        <v>970.75</v>
      </c>
      <c r="C1578" s="116">
        <v>968.42499999999995</v>
      </c>
      <c r="D1578" s="116">
        <v>953.25</v>
      </c>
      <c r="E1578" s="116">
        <v>962.55</v>
      </c>
      <c r="F1578" s="116">
        <v>1936.85</v>
      </c>
      <c r="G1578">
        <v>515884</v>
      </c>
      <c r="H1578" s="116"/>
      <c r="I1578" s="116"/>
      <c r="L1578" s="170">
        <v>44330</v>
      </c>
      <c r="M1578" s="116">
        <v>968.65</v>
      </c>
      <c r="N1578" s="116">
        <v>971</v>
      </c>
      <c r="O1578" s="116">
        <v>953</v>
      </c>
      <c r="P1578" s="116">
        <v>964.02499999999998</v>
      </c>
      <c r="Q1578" s="116">
        <v>1937.3</v>
      </c>
      <c r="R1578">
        <v>6134079</v>
      </c>
    </row>
    <row r="1579" spans="1:18" x14ac:dyDescent="0.25">
      <c r="A1579" s="170">
        <v>44333</v>
      </c>
      <c r="B1579" s="116">
        <v>981.57500000000005</v>
      </c>
      <c r="C1579" s="116">
        <v>980.27499999999998</v>
      </c>
      <c r="D1579" s="116">
        <v>965.5</v>
      </c>
      <c r="E1579" s="116">
        <v>969.35</v>
      </c>
      <c r="F1579" s="116">
        <v>1960.55</v>
      </c>
      <c r="G1579">
        <v>405141</v>
      </c>
      <c r="H1579" s="116"/>
      <c r="I1579" s="116"/>
      <c r="L1579" s="170">
        <v>44333</v>
      </c>
      <c r="M1579" s="116">
        <v>980.17499999999995</v>
      </c>
      <c r="N1579" s="116">
        <v>981.72500000000002</v>
      </c>
      <c r="O1579" s="116">
        <v>965.2</v>
      </c>
      <c r="P1579" s="116">
        <v>968.65</v>
      </c>
      <c r="Q1579" s="116">
        <v>1960.35</v>
      </c>
      <c r="R1579">
        <v>5479424</v>
      </c>
    </row>
    <row r="1580" spans="1:18" x14ac:dyDescent="0.25">
      <c r="A1580" s="170">
        <v>44334</v>
      </c>
      <c r="B1580" s="116">
        <v>1001.325</v>
      </c>
      <c r="C1580" s="116">
        <v>993.9</v>
      </c>
      <c r="D1580" s="116">
        <v>986.05</v>
      </c>
      <c r="E1580" s="116">
        <v>989</v>
      </c>
      <c r="F1580" s="116">
        <v>1987.8</v>
      </c>
      <c r="G1580">
        <v>578117</v>
      </c>
      <c r="H1580" s="116"/>
      <c r="I1580" s="116"/>
      <c r="L1580" s="170">
        <v>44334</v>
      </c>
      <c r="M1580" s="116">
        <v>993.97500000000002</v>
      </c>
      <c r="N1580" s="116">
        <v>1001.3</v>
      </c>
      <c r="O1580" s="116">
        <v>986.25</v>
      </c>
      <c r="P1580" s="116">
        <v>990.5</v>
      </c>
      <c r="Q1580" s="116">
        <v>1987.95</v>
      </c>
      <c r="R1580">
        <v>5567958</v>
      </c>
    </row>
    <row r="1581" spans="1:18" x14ac:dyDescent="0.25">
      <c r="A1581" s="170">
        <v>44335</v>
      </c>
      <c r="B1581" s="116">
        <v>1008.3</v>
      </c>
      <c r="C1581" s="116">
        <v>998.17499999999995</v>
      </c>
      <c r="D1581" s="116">
        <v>986.05</v>
      </c>
      <c r="E1581" s="116">
        <v>991</v>
      </c>
      <c r="F1581" s="116">
        <v>1996.35</v>
      </c>
      <c r="G1581">
        <v>563712</v>
      </c>
      <c r="H1581" s="116"/>
      <c r="I1581" s="116"/>
      <c r="L1581" s="170">
        <v>44335</v>
      </c>
      <c r="M1581" s="116">
        <v>998.52499999999998</v>
      </c>
      <c r="N1581" s="116">
        <v>1008.225</v>
      </c>
      <c r="O1581" s="116">
        <v>986</v>
      </c>
      <c r="P1581" s="116">
        <v>990</v>
      </c>
      <c r="Q1581" s="116">
        <v>1997.05</v>
      </c>
      <c r="R1581">
        <v>7530294</v>
      </c>
    </row>
    <row r="1582" spans="1:18" x14ac:dyDescent="0.25">
      <c r="A1582" s="170">
        <v>44336</v>
      </c>
      <c r="B1582" s="116">
        <v>1005.4</v>
      </c>
      <c r="C1582" s="116">
        <v>992.65</v>
      </c>
      <c r="D1582" s="116">
        <v>990.55</v>
      </c>
      <c r="E1582" s="116">
        <v>998.17499999999995</v>
      </c>
      <c r="F1582" s="116">
        <v>1985.3</v>
      </c>
      <c r="G1582">
        <v>276354</v>
      </c>
      <c r="H1582" s="116"/>
      <c r="I1582" s="116"/>
      <c r="L1582" s="170">
        <v>44336</v>
      </c>
      <c r="M1582" s="116">
        <v>992.7</v>
      </c>
      <c r="N1582" s="116">
        <v>1005.45</v>
      </c>
      <c r="O1582" s="116">
        <v>990.5</v>
      </c>
      <c r="P1582" s="116">
        <v>998.95</v>
      </c>
      <c r="Q1582" s="116">
        <v>1985.4</v>
      </c>
      <c r="R1582">
        <v>5271497</v>
      </c>
    </row>
    <row r="1583" spans="1:18" x14ac:dyDescent="0.25">
      <c r="A1583" s="170">
        <v>44337</v>
      </c>
      <c r="B1583" s="116">
        <v>1004.5</v>
      </c>
      <c r="C1583" s="116">
        <v>1000.45</v>
      </c>
      <c r="D1583" s="116">
        <v>990</v>
      </c>
      <c r="E1583" s="116">
        <v>997.85</v>
      </c>
      <c r="F1583" s="116">
        <v>2000.9</v>
      </c>
      <c r="G1583">
        <v>210603</v>
      </c>
      <c r="H1583" s="116"/>
      <c r="I1583" s="116"/>
      <c r="L1583" s="170">
        <v>44337</v>
      </c>
      <c r="M1583" s="116">
        <v>1001.275</v>
      </c>
      <c r="N1583" s="116">
        <v>1004.8</v>
      </c>
      <c r="O1583" s="116">
        <v>993</v>
      </c>
      <c r="P1583" s="116">
        <v>996</v>
      </c>
      <c r="Q1583" s="116">
        <v>2002.55</v>
      </c>
      <c r="R1583">
        <v>4977555</v>
      </c>
    </row>
    <row r="1584" spans="1:18" x14ac:dyDescent="0.25">
      <c r="A1584" s="170">
        <v>44340</v>
      </c>
      <c r="B1584" s="116">
        <v>1004.75</v>
      </c>
      <c r="C1584" s="116">
        <v>992.77499999999998</v>
      </c>
      <c r="D1584" s="116">
        <v>990.8</v>
      </c>
      <c r="E1584" s="116">
        <v>1003.7</v>
      </c>
      <c r="F1584" s="116">
        <v>1985.55</v>
      </c>
      <c r="G1584">
        <v>710011</v>
      </c>
      <c r="H1584" s="116"/>
      <c r="I1584" s="116"/>
      <c r="L1584" s="170">
        <v>44340</v>
      </c>
      <c r="M1584" s="116">
        <v>992.82500000000005</v>
      </c>
      <c r="N1584" s="116">
        <v>1004.9</v>
      </c>
      <c r="O1584" s="116">
        <v>991</v>
      </c>
      <c r="P1584" s="116">
        <v>1004</v>
      </c>
      <c r="Q1584" s="116">
        <v>1985.65</v>
      </c>
      <c r="R1584">
        <v>3946636</v>
      </c>
    </row>
    <row r="1585" spans="1:18" x14ac:dyDescent="0.25">
      <c r="A1585" s="170">
        <v>44341</v>
      </c>
      <c r="B1585" s="116">
        <v>998.5</v>
      </c>
      <c r="C1585" s="116">
        <v>982.25</v>
      </c>
      <c r="D1585" s="116">
        <v>980.05</v>
      </c>
      <c r="E1585" s="116">
        <v>995.02499999999998</v>
      </c>
      <c r="F1585" s="116">
        <v>1964.5</v>
      </c>
      <c r="G1585">
        <v>204518</v>
      </c>
      <c r="H1585" s="116"/>
      <c r="I1585" s="116"/>
      <c r="L1585" s="170">
        <v>44341</v>
      </c>
      <c r="M1585" s="116">
        <v>981.57500000000005</v>
      </c>
      <c r="N1585" s="116">
        <v>998.5</v>
      </c>
      <c r="O1585" s="116">
        <v>980</v>
      </c>
      <c r="P1585" s="116">
        <v>998.2</v>
      </c>
      <c r="Q1585" s="116">
        <v>1963.15</v>
      </c>
      <c r="R1585">
        <v>6821015</v>
      </c>
    </row>
    <row r="1586" spans="1:18" x14ac:dyDescent="0.25">
      <c r="A1586" s="170">
        <v>44342</v>
      </c>
      <c r="B1586" s="116">
        <v>992.45</v>
      </c>
      <c r="C1586" s="116">
        <v>984.82500000000005</v>
      </c>
      <c r="D1586" s="116">
        <v>983</v>
      </c>
      <c r="E1586" s="116">
        <v>992.45</v>
      </c>
      <c r="F1586" s="116">
        <v>1969.65</v>
      </c>
      <c r="G1586">
        <v>184227</v>
      </c>
      <c r="H1586" s="116"/>
      <c r="I1586" s="116"/>
      <c r="L1586" s="170">
        <v>44342</v>
      </c>
      <c r="M1586" s="116">
        <v>985.02499999999998</v>
      </c>
      <c r="N1586" s="116">
        <v>989.75</v>
      </c>
      <c r="O1586" s="116">
        <v>982.65</v>
      </c>
      <c r="P1586" s="116">
        <v>987.5</v>
      </c>
      <c r="Q1586" s="116">
        <v>1970.05</v>
      </c>
      <c r="R1586">
        <v>3452113</v>
      </c>
    </row>
    <row r="1587" spans="1:18" x14ac:dyDescent="0.25">
      <c r="A1587" s="170">
        <v>44343</v>
      </c>
      <c r="B1587" s="116">
        <v>996.1</v>
      </c>
      <c r="C1587" s="116">
        <v>989.1</v>
      </c>
      <c r="D1587" s="116">
        <v>981.55</v>
      </c>
      <c r="E1587" s="116">
        <v>985.45</v>
      </c>
      <c r="F1587" s="116">
        <v>1978.2</v>
      </c>
      <c r="G1587">
        <v>274228</v>
      </c>
      <c r="H1587" s="116"/>
      <c r="I1587" s="116"/>
      <c r="L1587" s="170">
        <v>44343</v>
      </c>
      <c r="M1587" s="116">
        <v>988.05</v>
      </c>
      <c r="N1587" s="116">
        <v>996.5</v>
      </c>
      <c r="O1587" s="116">
        <v>981.125</v>
      </c>
      <c r="P1587" s="116">
        <v>985.15</v>
      </c>
      <c r="Q1587" s="116">
        <v>1976.1</v>
      </c>
      <c r="R1587">
        <v>12377100</v>
      </c>
    </row>
    <row r="1588" spans="1:18" x14ac:dyDescent="0.25">
      <c r="A1588" s="170">
        <v>44344</v>
      </c>
      <c r="B1588" s="116">
        <v>1052.5</v>
      </c>
      <c r="C1588" s="116">
        <v>1047.45</v>
      </c>
      <c r="D1588" s="116">
        <v>992.55</v>
      </c>
      <c r="E1588" s="116">
        <v>995</v>
      </c>
      <c r="F1588" s="116">
        <v>2094.9</v>
      </c>
      <c r="G1588">
        <v>2158323</v>
      </c>
      <c r="H1588" s="116"/>
      <c r="I1588" s="116"/>
      <c r="L1588" s="170">
        <v>44344</v>
      </c>
      <c r="M1588" s="116">
        <v>1047.4000000000001</v>
      </c>
      <c r="N1588" s="116">
        <v>1052.5</v>
      </c>
      <c r="O1588" s="116">
        <v>995</v>
      </c>
      <c r="P1588" s="116">
        <v>995</v>
      </c>
      <c r="Q1588" s="116">
        <v>2094.8000000000002</v>
      </c>
      <c r="R1588">
        <v>26060864</v>
      </c>
    </row>
    <row r="1589" spans="1:18" x14ac:dyDescent="0.25">
      <c r="A1589" s="170">
        <v>44347</v>
      </c>
      <c r="B1589" s="116">
        <v>1095.75</v>
      </c>
      <c r="C1589" s="116">
        <v>1080.2249999999999</v>
      </c>
      <c r="D1589" s="116">
        <v>1041</v>
      </c>
      <c r="E1589" s="116">
        <v>1050.5</v>
      </c>
      <c r="F1589" s="116">
        <v>2160.4499999999998</v>
      </c>
      <c r="G1589">
        <v>2034450</v>
      </c>
      <c r="H1589" s="116"/>
      <c r="I1589" s="116"/>
      <c r="L1589" s="170">
        <v>44347</v>
      </c>
      <c r="M1589" s="116">
        <v>1080.1500000000001</v>
      </c>
      <c r="N1589" s="116">
        <v>1095.8499999999999</v>
      </c>
      <c r="O1589" s="116">
        <v>1042.5250000000001</v>
      </c>
      <c r="P1589" s="116">
        <v>1051</v>
      </c>
      <c r="Q1589" s="116">
        <v>2160.3000000000002</v>
      </c>
      <c r="R1589">
        <v>27285782</v>
      </c>
    </row>
    <row r="1590" spans="1:18" x14ac:dyDescent="0.25">
      <c r="A1590" s="170">
        <v>44348</v>
      </c>
      <c r="B1590" s="116">
        <v>1100.8499999999999</v>
      </c>
      <c r="C1590" s="116">
        <v>1084.125</v>
      </c>
      <c r="D1590" s="116">
        <v>1073.675</v>
      </c>
      <c r="E1590" s="116">
        <v>1082.05</v>
      </c>
      <c r="F1590" s="116">
        <v>2168.25</v>
      </c>
      <c r="G1590">
        <v>916472</v>
      </c>
      <c r="H1590" s="116"/>
      <c r="I1590" s="116"/>
      <c r="L1590" s="170">
        <v>44348</v>
      </c>
      <c r="M1590" s="116">
        <v>1084.45</v>
      </c>
      <c r="N1590" s="116">
        <v>1101</v>
      </c>
      <c r="O1590" s="116">
        <v>1073.25</v>
      </c>
      <c r="P1590" s="116">
        <v>1083</v>
      </c>
      <c r="Q1590" s="116">
        <v>2168.9</v>
      </c>
      <c r="R1590">
        <v>12928379</v>
      </c>
    </row>
    <row r="1591" spans="1:18" x14ac:dyDescent="0.25">
      <c r="A1591" s="170">
        <v>44349</v>
      </c>
      <c r="B1591" s="116">
        <v>1104.95</v>
      </c>
      <c r="C1591" s="116">
        <v>1100.6500000000001</v>
      </c>
      <c r="D1591" s="116">
        <v>1079.2750000000001</v>
      </c>
      <c r="E1591" s="116">
        <v>1079.95</v>
      </c>
      <c r="F1591" s="116">
        <v>2201.3000000000002</v>
      </c>
      <c r="G1591">
        <v>400317</v>
      </c>
      <c r="H1591" s="116"/>
      <c r="I1591" s="116"/>
      <c r="L1591" s="170">
        <v>44349</v>
      </c>
      <c r="M1591" s="116">
        <v>1100.625</v>
      </c>
      <c r="N1591" s="116">
        <v>1104.75</v>
      </c>
      <c r="O1591" s="116">
        <v>1078.5</v>
      </c>
      <c r="P1591" s="116">
        <v>1078.5</v>
      </c>
      <c r="Q1591" s="116">
        <v>2201.25</v>
      </c>
      <c r="R1591">
        <v>11366816</v>
      </c>
    </row>
    <row r="1592" spans="1:18" x14ac:dyDescent="0.25">
      <c r="A1592" s="170">
        <v>44350</v>
      </c>
      <c r="B1592" s="116">
        <v>1125</v>
      </c>
      <c r="C1592" s="116">
        <v>1104.625</v>
      </c>
      <c r="D1592" s="116">
        <v>1098.05</v>
      </c>
      <c r="E1592" s="116">
        <v>1111</v>
      </c>
      <c r="F1592" s="116">
        <v>2209.25</v>
      </c>
      <c r="G1592">
        <v>760173</v>
      </c>
      <c r="H1592" s="116"/>
      <c r="I1592" s="116"/>
      <c r="L1592" s="170">
        <v>44350</v>
      </c>
      <c r="M1592" s="116">
        <v>1104.825</v>
      </c>
      <c r="N1592" s="116">
        <v>1125</v>
      </c>
      <c r="O1592" s="116">
        <v>1098.05</v>
      </c>
      <c r="P1592" s="116">
        <v>1110.5</v>
      </c>
      <c r="Q1592" s="116">
        <v>2209.65</v>
      </c>
      <c r="R1592">
        <v>11064116</v>
      </c>
    </row>
    <row r="1593" spans="1:18" x14ac:dyDescent="0.25">
      <c r="A1593" s="170">
        <v>44351</v>
      </c>
      <c r="B1593" s="116">
        <v>1109.5</v>
      </c>
      <c r="C1593" s="116">
        <v>1095.3</v>
      </c>
      <c r="D1593" s="116">
        <v>1091.9000000000001</v>
      </c>
      <c r="E1593" s="116">
        <v>1109.5</v>
      </c>
      <c r="F1593" s="116">
        <v>2190.6</v>
      </c>
      <c r="G1593">
        <v>261311</v>
      </c>
      <c r="H1593" s="116"/>
      <c r="I1593" s="116"/>
      <c r="L1593" s="170">
        <v>44351</v>
      </c>
      <c r="M1593" s="116">
        <v>1095.25</v>
      </c>
      <c r="N1593" s="116">
        <v>1108.2249999999999</v>
      </c>
      <c r="O1593" s="116">
        <v>1092.125</v>
      </c>
      <c r="P1593" s="116">
        <v>1107.4000000000001</v>
      </c>
      <c r="Q1593" s="116">
        <v>2190.5</v>
      </c>
      <c r="R1593">
        <v>6677278</v>
      </c>
    </row>
    <row r="1594" spans="1:18" x14ac:dyDescent="0.25">
      <c r="A1594" s="170">
        <v>44354</v>
      </c>
      <c r="B1594" s="116">
        <v>1120.9000000000001</v>
      </c>
      <c r="C1594" s="116">
        <v>1113.6500000000001</v>
      </c>
      <c r="D1594" s="116">
        <v>1092.3</v>
      </c>
      <c r="E1594" s="116">
        <v>1102.95</v>
      </c>
      <c r="F1594" s="116">
        <v>2227.3000000000002</v>
      </c>
      <c r="G1594">
        <v>615525</v>
      </c>
      <c r="H1594" s="116"/>
      <c r="I1594" s="116"/>
      <c r="L1594" s="170">
        <v>44354</v>
      </c>
      <c r="M1594" s="116">
        <v>1113.7</v>
      </c>
      <c r="N1594" s="116">
        <v>1121</v>
      </c>
      <c r="O1594" s="116">
        <v>1092.5</v>
      </c>
      <c r="P1594" s="116">
        <v>1101</v>
      </c>
      <c r="Q1594" s="116">
        <v>2227.4</v>
      </c>
      <c r="R1594">
        <v>7539326</v>
      </c>
    </row>
    <row r="1595" spans="1:18" x14ac:dyDescent="0.25">
      <c r="A1595" s="170">
        <v>44355</v>
      </c>
      <c r="B1595" s="116">
        <v>1113.5</v>
      </c>
      <c r="C1595" s="116">
        <v>1107.3499999999999</v>
      </c>
      <c r="D1595" s="116">
        <v>1099.2</v>
      </c>
      <c r="E1595" s="116">
        <v>1112.325</v>
      </c>
      <c r="F1595" s="116">
        <v>2214.6999999999998</v>
      </c>
      <c r="G1595">
        <v>152318</v>
      </c>
      <c r="H1595" s="116"/>
      <c r="I1595" s="116"/>
      <c r="L1595" s="170">
        <v>44355</v>
      </c>
      <c r="M1595" s="116">
        <v>1107.3</v>
      </c>
      <c r="N1595" s="116">
        <v>1113.575</v>
      </c>
      <c r="O1595" s="116">
        <v>1099.075</v>
      </c>
      <c r="P1595" s="116">
        <v>1113.3</v>
      </c>
      <c r="Q1595" s="116">
        <v>2214.6</v>
      </c>
      <c r="R1595">
        <v>4464889</v>
      </c>
    </row>
    <row r="1596" spans="1:18" x14ac:dyDescent="0.25">
      <c r="A1596" s="170">
        <v>44356</v>
      </c>
      <c r="B1596" s="116">
        <v>1110.8</v>
      </c>
      <c r="C1596" s="116">
        <v>1087.375</v>
      </c>
      <c r="D1596" s="116">
        <v>1079.125</v>
      </c>
      <c r="E1596" s="116">
        <v>1109.95</v>
      </c>
      <c r="F1596" s="116">
        <v>2174.75</v>
      </c>
      <c r="G1596">
        <v>359005</v>
      </c>
      <c r="H1596" s="116"/>
      <c r="I1596" s="116"/>
      <c r="L1596" s="170">
        <v>44356</v>
      </c>
      <c r="M1596" s="116">
        <v>1087.5</v>
      </c>
      <c r="N1596" s="116">
        <v>1110.5</v>
      </c>
      <c r="O1596" s="116">
        <v>1078.9749999999999</v>
      </c>
      <c r="P1596" s="116">
        <v>1109.5</v>
      </c>
      <c r="Q1596" s="116">
        <v>2175</v>
      </c>
      <c r="R1596">
        <v>5265326</v>
      </c>
    </row>
    <row r="1597" spans="1:18" x14ac:dyDescent="0.25">
      <c r="A1597" s="170">
        <v>44357</v>
      </c>
      <c r="B1597" s="116">
        <v>1114.9749999999999</v>
      </c>
      <c r="C1597" s="116">
        <v>1091.3499999999999</v>
      </c>
      <c r="D1597" s="116">
        <v>1088.5999999999999</v>
      </c>
      <c r="E1597" s="116">
        <v>1096.0999999999999</v>
      </c>
      <c r="F1597" s="116">
        <v>2182.6999999999998</v>
      </c>
      <c r="G1597">
        <v>268564</v>
      </c>
      <c r="H1597" s="116"/>
      <c r="I1597" s="116"/>
      <c r="L1597" s="170">
        <v>44357</v>
      </c>
      <c r="M1597" s="116">
        <v>1091.5</v>
      </c>
      <c r="N1597" s="116">
        <v>1115</v>
      </c>
      <c r="O1597" s="116">
        <v>1088.7750000000001</v>
      </c>
      <c r="P1597" s="116">
        <v>1096.7</v>
      </c>
      <c r="Q1597" s="116">
        <v>2183</v>
      </c>
      <c r="R1597">
        <v>6532832</v>
      </c>
    </row>
    <row r="1598" spans="1:18" x14ac:dyDescent="0.25">
      <c r="A1598" s="170">
        <v>44358</v>
      </c>
      <c r="B1598" s="116">
        <v>1113.95</v>
      </c>
      <c r="C1598" s="116">
        <v>1106.5</v>
      </c>
      <c r="D1598" s="116">
        <v>1091.3499999999999</v>
      </c>
      <c r="E1598" s="116">
        <v>1093.3499999999999</v>
      </c>
      <c r="F1598" s="116">
        <v>2213</v>
      </c>
      <c r="G1598">
        <v>229252</v>
      </c>
      <c r="H1598" s="116"/>
      <c r="I1598" s="116"/>
      <c r="L1598" s="170">
        <v>44358</v>
      </c>
      <c r="M1598" s="116">
        <v>1106.575</v>
      </c>
      <c r="N1598" s="116">
        <v>1114</v>
      </c>
      <c r="O1598" s="116">
        <v>1090.05</v>
      </c>
      <c r="P1598" s="116">
        <v>1091.45</v>
      </c>
      <c r="Q1598" s="116">
        <v>2213.15</v>
      </c>
      <c r="R1598">
        <v>6351520</v>
      </c>
    </row>
    <row r="1599" spans="1:18" x14ac:dyDescent="0.25">
      <c r="A1599" s="170">
        <v>44361</v>
      </c>
      <c r="B1599" s="116">
        <v>1129.1500000000001</v>
      </c>
      <c r="C1599" s="116">
        <v>1122.6500000000001</v>
      </c>
      <c r="D1599" s="116">
        <v>1098</v>
      </c>
      <c r="E1599" s="116">
        <v>1107</v>
      </c>
      <c r="F1599" s="116">
        <v>2245.3000000000002</v>
      </c>
      <c r="G1599">
        <v>386196</v>
      </c>
      <c r="H1599" s="116"/>
      <c r="I1599" s="116"/>
      <c r="L1599" s="170">
        <v>44361</v>
      </c>
      <c r="M1599" s="116">
        <v>1122.45</v>
      </c>
      <c r="N1599" s="116">
        <v>1129.125</v>
      </c>
      <c r="O1599" s="116">
        <v>1097.5250000000001</v>
      </c>
      <c r="P1599" s="116">
        <v>1107.5</v>
      </c>
      <c r="Q1599" s="116">
        <v>2244.9</v>
      </c>
      <c r="R1599">
        <v>9383416</v>
      </c>
    </row>
    <row r="1600" spans="1:18" x14ac:dyDescent="0.25">
      <c r="A1600" s="170">
        <v>44362</v>
      </c>
      <c r="B1600" s="116">
        <v>1137.25</v>
      </c>
      <c r="C1600" s="116">
        <v>1124.8499999999999</v>
      </c>
      <c r="D1600" s="116">
        <v>1120.5999999999999</v>
      </c>
      <c r="E1600" s="116">
        <v>1128.125</v>
      </c>
      <c r="F1600" s="116">
        <v>2249.6999999999998</v>
      </c>
      <c r="G1600">
        <v>634070</v>
      </c>
      <c r="H1600" s="116"/>
      <c r="I1600" s="116"/>
      <c r="L1600" s="170">
        <v>44362</v>
      </c>
      <c r="M1600" s="116">
        <v>1125</v>
      </c>
      <c r="N1600" s="116">
        <v>1137.45</v>
      </c>
      <c r="O1600" s="116">
        <v>1120.1500000000001</v>
      </c>
      <c r="P1600" s="116">
        <v>1130.5</v>
      </c>
      <c r="Q1600" s="116">
        <v>2250</v>
      </c>
      <c r="R1600">
        <v>7002898</v>
      </c>
    </row>
    <row r="1601" spans="1:18" x14ac:dyDescent="0.25">
      <c r="A1601" s="170">
        <v>44363</v>
      </c>
      <c r="B1601" s="116">
        <v>1124</v>
      </c>
      <c r="C1601" s="116">
        <v>1105.825</v>
      </c>
      <c r="D1601" s="116">
        <v>1103.375</v>
      </c>
      <c r="E1601" s="116">
        <v>1124</v>
      </c>
      <c r="F1601" s="116">
        <v>2211.65</v>
      </c>
      <c r="G1601">
        <v>497096</v>
      </c>
      <c r="H1601" s="116"/>
      <c r="I1601" s="116"/>
      <c r="L1601" s="170">
        <v>44363</v>
      </c>
      <c r="M1601" s="116">
        <v>1105.8</v>
      </c>
      <c r="N1601" s="116">
        <v>1123.5250000000001</v>
      </c>
      <c r="O1601" s="116">
        <v>1102.925</v>
      </c>
      <c r="P1601" s="116">
        <v>1122.45</v>
      </c>
      <c r="Q1601" s="116">
        <v>2211.6</v>
      </c>
      <c r="R1601">
        <v>4982975</v>
      </c>
    </row>
    <row r="1602" spans="1:18" x14ac:dyDescent="0.25">
      <c r="A1602" s="170">
        <v>44364</v>
      </c>
      <c r="B1602" s="116">
        <v>1117.5</v>
      </c>
      <c r="C1602" s="116">
        <v>1107.7750000000001</v>
      </c>
      <c r="D1602" s="116">
        <v>1089.925</v>
      </c>
      <c r="E1602" s="116">
        <v>1100.125</v>
      </c>
      <c r="F1602" s="116">
        <v>2215.5500000000002</v>
      </c>
      <c r="G1602">
        <v>351428</v>
      </c>
      <c r="H1602" s="116"/>
      <c r="I1602" s="116"/>
      <c r="L1602" s="170">
        <v>44364</v>
      </c>
      <c r="M1602" s="116">
        <v>1107.825</v>
      </c>
      <c r="N1602" s="116">
        <v>1117.5</v>
      </c>
      <c r="O1602" s="116">
        <v>1089.95</v>
      </c>
      <c r="P1602" s="116">
        <v>1100</v>
      </c>
      <c r="Q1602" s="116">
        <v>2215.65</v>
      </c>
      <c r="R1602">
        <v>7266765</v>
      </c>
    </row>
    <row r="1603" spans="1:18" x14ac:dyDescent="0.25">
      <c r="A1603" s="170">
        <v>44365</v>
      </c>
      <c r="B1603" s="116">
        <v>1117.4749999999999</v>
      </c>
      <c r="C1603" s="116">
        <v>1112.5250000000001</v>
      </c>
      <c r="D1603" s="116">
        <v>1092.125</v>
      </c>
      <c r="E1603" s="116">
        <v>1108.625</v>
      </c>
      <c r="F1603" s="116">
        <v>2225.0500000000002</v>
      </c>
      <c r="G1603">
        <v>267640</v>
      </c>
      <c r="H1603" s="116"/>
      <c r="I1603" s="116"/>
      <c r="L1603" s="170">
        <v>44365</v>
      </c>
      <c r="M1603" s="116">
        <v>1112.825</v>
      </c>
      <c r="N1603" s="116">
        <v>1117.5</v>
      </c>
      <c r="O1603" s="116">
        <v>1092.175</v>
      </c>
      <c r="P1603" s="116">
        <v>1112.75</v>
      </c>
      <c r="Q1603" s="116">
        <v>2225.65</v>
      </c>
      <c r="R1603">
        <v>13553801</v>
      </c>
    </row>
    <row r="1604" spans="1:18" x14ac:dyDescent="0.25">
      <c r="A1604" s="170">
        <v>44368</v>
      </c>
      <c r="B1604" s="116">
        <v>1123.8499999999999</v>
      </c>
      <c r="C1604" s="116">
        <v>1118.8</v>
      </c>
      <c r="D1604" s="116">
        <v>1100.4749999999999</v>
      </c>
      <c r="E1604" s="116">
        <v>1102.175</v>
      </c>
      <c r="F1604" s="116">
        <v>2237.6</v>
      </c>
      <c r="G1604">
        <v>243713</v>
      </c>
      <c r="H1604" s="116"/>
      <c r="I1604" s="116"/>
      <c r="L1604" s="170">
        <v>44368</v>
      </c>
      <c r="M1604" s="116">
        <v>1118.625</v>
      </c>
      <c r="N1604" s="116">
        <v>1123.75</v>
      </c>
      <c r="O1604" s="116">
        <v>1100.075</v>
      </c>
      <c r="P1604" s="116">
        <v>1101.75</v>
      </c>
      <c r="Q1604" s="116">
        <v>2237.25</v>
      </c>
      <c r="R1604">
        <v>5624044</v>
      </c>
    </row>
    <row r="1605" spans="1:18" x14ac:dyDescent="0.25">
      <c r="A1605" s="170">
        <v>44369</v>
      </c>
      <c r="B1605" s="116">
        <v>1130.375</v>
      </c>
      <c r="C1605" s="116">
        <v>1113</v>
      </c>
      <c r="D1605" s="116">
        <v>1110</v>
      </c>
      <c r="E1605" s="116">
        <v>1127.3499999999999</v>
      </c>
      <c r="F1605" s="116">
        <v>2226</v>
      </c>
      <c r="G1605">
        <v>271039</v>
      </c>
      <c r="H1605" s="116"/>
      <c r="I1605" s="116"/>
      <c r="L1605" s="170">
        <v>44369</v>
      </c>
      <c r="M1605" s="116">
        <v>1112.875</v>
      </c>
      <c r="N1605" s="116">
        <v>1130.5</v>
      </c>
      <c r="O1605" s="116">
        <v>1109.675</v>
      </c>
      <c r="P1605" s="116">
        <v>1127</v>
      </c>
      <c r="Q1605" s="116">
        <v>2225.75</v>
      </c>
      <c r="R1605">
        <v>5940386</v>
      </c>
    </row>
    <row r="1606" spans="1:18" x14ac:dyDescent="0.25">
      <c r="A1606" s="170">
        <v>44370</v>
      </c>
      <c r="B1606" s="116">
        <v>1125</v>
      </c>
      <c r="C1606" s="116">
        <v>1102.55</v>
      </c>
      <c r="D1606" s="116">
        <v>1100.7249999999999</v>
      </c>
      <c r="E1606" s="116">
        <v>1124.5</v>
      </c>
      <c r="F1606" s="116">
        <v>2205.1</v>
      </c>
      <c r="G1606">
        <v>674944</v>
      </c>
      <c r="H1606" s="116"/>
      <c r="I1606" s="116"/>
      <c r="L1606" s="170">
        <v>44370</v>
      </c>
      <c r="M1606" s="116">
        <v>1102.675</v>
      </c>
      <c r="N1606" s="116">
        <v>1125.3</v>
      </c>
      <c r="O1606" s="116">
        <v>1100.8499999999999</v>
      </c>
      <c r="P1606" s="116">
        <v>1125</v>
      </c>
      <c r="Q1606" s="116">
        <v>2205.35</v>
      </c>
      <c r="R1606">
        <v>7685796</v>
      </c>
    </row>
    <row r="1607" spans="1:18" x14ac:dyDescent="0.25">
      <c r="A1607" s="170">
        <v>44371</v>
      </c>
      <c r="B1607" s="116">
        <v>1107.5</v>
      </c>
      <c r="C1607" s="116">
        <v>1076.675</v>
      </c>
      <c r="D1607" s="116">
        <v>1070</v>
      </c>
      <c r="E1607" s="116">
        <v>1107.4000000000001</v>
      </c>
      <c r="F1607" s="116">
        <v>2153.35</v>
      </c>
      <c r="G1607">
        <v>1045454</v>
      </c>
      <c r="H1607" s="116"/>
      <c r="I1607" s="116"/>
      <c r="L1607" s="170">
        <v>44371</v>
      </c>
      <c r="M1607" s="116">
        <v>1076.75</v>
      </c>
      <c r="N1607" s="116">
        <v>1107.3</v>
      </c>
      <c r="O1607" s="116">
        <v>1070</v>
      </c>
      <c r="P1607" s="116">
        <v>1103.425</v>
      </c>
      <c r="Q1607" s="116">
        <v>2153.5</v>
      </c>
      <c r="R1607">
        <v>42209687</v>
      </c>
    </row>
    <row r="1608" spans="1:18" x14ac:dyDescent="0.25">
      <c r="A1608" s="170">
        <v>44372</v>
      </c>
      <c r="B1608" s="116">
        <v>1079.9000000000001</v>
      </c>
      <c r="C1608" s="116">
        <v>1052.1500000000001</v>
      </c>
      <c r="D1608" s="116">
        <v>1040.575</v>
      </c>
      <c r="E1608" s="116">
        <v>1079.9000000000001</v>
      </c>
      <c r="F1608" s="116">
        <v>2104.3000000000002</v>
      </c>
      <c r="G1608">
        <v>835596</v>
      </c>
      <c r="H1608" s="116"/>
      <c r="I1608" s="116"/>
      <c r="L1608" s="170">
        <v>44372</v>
      </c>
      <c r="M1608" s="116">
        <v>1052.2249999999999</v>
      </c>
      <c r="N1608" s="116">
        <v>1076.75</v>
      </c>
      <c r="O1608" s="116">
        <v>1040.55</v>
      </c>
      <c r="P1608" s="116">
        <v>1076.75</v>
      </c>
      <c r="Q1608" s="116">
        <v>2104.4499999999998</v>
      </c>
      <c r="R1608">
        <v>25546334</v>
      </c>
    </row>
    <row r="1609" spans="1:18" x14ac:dyDescent="0.25">
      <c r="A1609" s="170">
        <v>44375</v>
      </c>
      <c r="B1609" s="116">
        <v>1063.55</v>
      </c>
      <c r="C1609" s="116">
        <v>1043</v>
      </c>
      <c r="D1609" s="116">
        <v>1040.55</v>
      </c>
      <c r="E1609" s="116">
        <v>1062</v>
      </c>
      <c r="F1609" s="116">
        <v>2086</v>
      </c>
      <c r="G1609">
        <v>663274</v>
      </c>
      <c r="H1609" s="116"/>
      <c r="I1609" s="116"/>
      <c r="L1609" s="170">
        <v>44375</v>
      </c>
      <c r="M1609" s="116">
        <v>1043</v>
      </c>
      <c r="N1609" s="116">
        <v>1063.25</v>
      </c>
      <c r="O1609" s="116">
        <v>1040.5</v>
      </c>
      <c r="P1609" s="116">
        <v>1061</v>
      </c>
      <c r="Q1609" s="116">
        <v>2086</v>
      </c>
      <c r="R1609">
        <v>9357852</v>
      </c>
    </row>
    <row r="1610" spans="1:18" x14ac:dyDescent="0.25">
      <c r="A1610" s="170">
        <v>44376</v>
      </c>
      <c r="B1610" s="116">
        <v>1054.5</v>
      </c>
      <c r="C1610" s="116">
        <v>1043.5999999999999</v>
      </c>
      <c r="D1610" s="116">
        <v>1041.6500000000001</v>
      </c>
      <c r="E1610" s="116">
        <v>1044.5</v>
      </c>
      <c r="F1610" s="116">
        <v>2087.1999999999998</v>
      </c>
      <c r="G1610">
        <v>447665</v>
      </c>
      <c r="H1610" s="116"/>
      <c r="I1610" s="116"/>
      <c r="L1610" s="170">
        <v>44376</v>
      </c>
      <c r="M1610" s="116">
        <v>1043.9000000000001</v>
      </c>
      <c r="N1610" s="116">
        <v>1054.5</v>
      </c>
      <c r="O1610" s="116">
        <v>1042.05</v>
      </c>
      <c r="P1610" s="116">
        <v>1044.75</v>
      </c>
      <c r="Q1610" s="116">
        <v>2087.8000000000002</v>
      </c>
      <c r="R1610">
        <v>12526981</v>
      </c>
    </row>
    <row r="1611" spans="1:18" x14ac:dyDescent="0.25">
      <c r="A1611" s="170">
        <v>44377</v>
      </c>
      <c r="B1611" s="116">
        <v>1061.75</v>
      </c>
      <c r="C1611" s="116">
        <v>1055.45</v>
      </c>
      <c r="D1611" s="116">
        <v>1045.9749999999999</v>
      </c>
      <c r="E1611" s="116">
        <v>1047.5</v>
      </c>
      <c r="F1611" s="116">
        <v>2110.9</v>
      </c>
      <c r="G1611">
        <v>426251</v>
      </c>
      <c r="H1611" s="116"/>
      <c r="I1611" s="116"/>
      <c r="L1611" s="170">
        <v>44377</v>
      </c>
      <c r="M1611" s="116">
        <v>1055.325</v>
      </c>
      <c r="N1611" s="116">
        <v>1061.325</v>
      </c>
      <c r="O1611" s="116">
        <v>1045.5250000000001</v>
      </c>
      <c r="P1611" s="116">
        <v>1048.125</v>
      </c>
      <c r="Q1611" s="116">
        <v>2110.65</v>
      </c>
      <c r="R1611">
        <v>9120556</v>
      </c>
    </row>
    <row r="1612" spans="1:18" x14ac:dyDescent="0.25">
      <c r="A1612" s="170">
        <v>44378</v>
      </c>
      <c r="B1612" s="116">
        <v>1061</v>
      </c>
      <c r="C1612" s="116">
        <v>1048.875</v>
      </c>
      <c r="D1612" s="116">
        <v>1047.2750000000001</v>
      </c>
      <c r="E1612" s="116">
        <v>1057.05</v>
      </c>
      <c r="F1612" s="116">
        <v>2097.75</v>
      </c>
      <c r="G1612">
        <v>425382</v>
      </c>
      <c r="H1612" s="116"/>
      <c r="I1612" s="116"/>
      <c r="L1612" s="170">
        <v>44378</v>
      </c>
      <c r="M1612" s="116">
        <v>1048.9749999999999</v>
      </c>
      <c r="N1612" s="116">
        <v>1061.575</v>
      </c>
      <c r="O1612" s="116">
        <v>1047.5</v>
      </c>
      <c r="P1612" s="116">
        <v>1059</v>
      </c>
      <c r="Q1612" s="116">
        <v>2097.9499999999998</v>
      </c>
      <c r="R1612">
        <v>5784627</v>
      </c>
    </row>
    <row r="1613" spans="1:18" x14ac:dyDescent="0.25">
      <c r="A1613" s="170">
        <v>44379</v>
      </c>
      <c r="B1613" s="116">
        <v>1066.625</v>
      </c>
      <c r="C1613" s="116">
        <v>1064.5999999999999</v>
      </c>
      <c r="D1613" s="116">
        <v>1047.125</v>
      </c>
      <c r="E1613" s="116">
        <v>1049.95</v>
      </c>
      <c r="F1613" s="116">
        <v>2129.1999999999998</v>
      </c>
      <c r="G1613">
        <v>227146</v>
      </c>
      <c r="H1613" s="116"/>
      <c r="I1613" s="116"/>
      <c r="L1613" s="170">
        <v>44379</v>
      </c>
      <c r="M1613" s="116">
        <v>1064.5250000000001</v>
      </c>
      <c r="N1613" s="116">
        <v>1066.45</v>
      </c>
      <c r="O1613" s="116">
        <v>1046.4749999999999</v>
      </c>
      <c r="P1613" s="116">
        <v>1048.5</v>
      </c>
      <c r="Q1613" s="116">
        <v>2129.0500000000002</v>
      </c>
      <c r="R1613">
        <v>6500973</v>
      </c>
    </row>
    <row r="1614" spans="1:18" x14ac:dyDescent="0.25">
      <c r="A1614" s="170">
        <v>44382</v>
      </c>
      <c r="B1614" s="116">
        <v>1076.5</v>
      </c>
      <c r="C1614" s="116">
        <v>1074.95</v>
      </c>
      <c r="D1614" s="116">
        <v>1065.75</v>
      </c>
      <c r="E1614" s="116">
        <v>1068.9000000000001</v>
      </c>
      <c r="F1614" s="116">
        <v>2149.9</v>
      </c>
      <c r="G1614">
        <v>461608</v>
      </c>
      <c r="H1614" s="116"/>
      <c r="I1614" s="116"/>
      <c r="L1614" s="170">
        <v>44382</v>
      </c>
      <c r="M1614" s="116">
        <v>1075.0999999999999</v>
      </c>
      <c r="N1614" s="116">
        <v>1076.7750000000001</v>
      </c>
      <c r="O1614" s="116">
        <v>1065.75</v>
      </c>
      <c r="P1614" s="116">
        <v>1068.2249999999999</v>
      </c>
      <c r="Q1614" s="116">
        <v>2150.1999999999998</v>
      </c>
      <c r="R1614">
        <v>5400604</v>
      </c>
    </row>
    <row r="1615" spans="1:18" x14ac:dyDescent="0.25">
      <c r="A1615" s="170">
        <v>44383</v>
      </c>
      <c r="B1615" s="116">
        <v>1075.0250000000001</v>
      </c>
      <c r="C1615" s="116">
        <v>1062.9749999999999</v>
      </c>
      <c r="D1615" s="116">
        <v>1060.5</v>
      </c>
      <c r="E1615" s="116">
        <v>1075</v>
      </c>
      <c r="F1615" s="116">
        <v>2125.9499999999998</v>
      </c>
      <c r="G1615">
        <v>277840</v>
      </c>
      <c r="H1615" s="116"/>
      <c r="I1615" s="116"/>
      <c r="L1615" s="170">
        <v>44383</v>
      </c>
      <c r="M1615" s="116">
        <v>1062.4000000000001</v>
      </c>
      <c r="N1615" s="116">
        <v>1074.45</v>
      </c>
      <c r="O1615" s="116">
        <v>1060.0999999999999</v>
      </c>
      <c r="P1615" s="116">
        <v>1072.4749999999999</v>
      </c>
      <c r="Q1615" s="116">
        <v>2124.8000000000002</v>
      </c>
      <c r="R1615">
        <v>4647361</v>
      </c>
    </row>
    <row r="1616" spans="1:18" x14ac:dyDescent="0.25">
      <c r="A1616" s="170">
        <v>44384</v>
      </c>
      <c r="B1616" s="116">
        <v>1063.875</v>
      </c>
      <c r="C1616" s="116">
        <v>1055.075</v>
      </c>
      <c r="D1616" s="116">
        <v>1049.3499999999999</v>
      </c>
      <c r="E1616" s="116">
        <v>1063.175</v>
      </c>
      <c r="F1616" s="116">
        <v>2110.15</v>
      </c>
      <c r="G1616">
        <v>432960</v>
      </c>
      <c r="H1616" s="116"/>
      <c r="I1616" s="116"/>
      <c r="L1616" s="170">
        <v>44384</v>
      </c>
      <c r="M1616" s="116">
        <v>1055.0250000000001</v>
      </c>
      <c r="N1616" s="116">
        <v>1063.875</v>
      </c>
      <c r="O1616" s="116">
        <v>1049</v>
      </c>
      <c r="P1616" s="116">
        <v>1063.875</v>
      </c>
      <c r="Q1616" s="116">
        <v>2110.0500000000002</v>
      </c>
      <c r="R1616">
        <v>4824931</v>
      </c>
    </row>
    <row r="1617" spans="1:18" x14ac:dyDescent="0.25">
      <c r="A1617" s="170">
        <v>44385</v>
      </c>
      <c r="B1617" s="116">
        <v>1057.9000000000001</v>
      </c>
      <c r="C1617" s="116">
        <v>1046.45</v>
      </c>
      <c r="D1617" s="116">
        <v>1040.5</v>
      </c>
      <c r="E1617" s="116">
        <v>1057.5</v>
      </c>
      <c r="F1617" s="116">
        <v>2092.9</v>
      </c>
      <c r="G1617">
        <v>319555</v>
      </c>
      <c r="H1617" s="116"/>
      <c r="I1617" s="116"/>
      <c r="L1617" s="170">
        <v>44385</v>
      </c>
      <c r="M1617" s="116">
        <v>1046.3</v>
      </c>
      <c r="N1617" s="116">
        <v>1058.4749999999999</v>
      </c>
      <c r="O1617" s="116">
        <v>1040.5</v>
      </c>
      <c r="P1617" s="116">
        <v>1058.4749999999999</v>
      </c>
      <c r="Q1617" s="116">
        <v>2092.6</v>
      </c>
      <c r="R1617">
        <v>5162088</v>
      </c>
    </row>
    <row r="1618" spans="1:18" x14ac:dyDescent="0.25">
      <c r="A1618" s="170">
        <v>44386</v>
      </c>
      <c r="B1618" s="116">
        <v>1045.5999999999999</v>
      </c>
      <c r="C1618" s="116">
        <v>1036.5999999999999</v>
      </c>
      <c r="D1618" s="116">
        <v>1032.9749999999999</v>
      </c>
      <c r="E1618" s="116">
        <v>1043.45</v>
      </c>
      <c r="F1618" s="116">
        <v>2073.1999999999998</v>
      </c>
      <c r="G1618">
        <v>439784</v>
      </c>
      <c r="H1618" s="116"/>
      <c r="I1618" s="116"/>
      <c r="L1618" s="170">
        <v>44386</v>
      </c>
      <c r="M1618" s="116">
        <v>1035.5999999999999</v>
      </c>
      <c r="N1618" s="116">
        <v>1045.8499999999999</v>
      </c>
      <c r="O1618" s="116">
        <v>1033.05</v>
      </c>
      <c r="P1618" s="116">
        <v>1044</v>
      </c>
      <c r="Q1618" s="116">
        <v>2071.1999999999998</v>
      </c>
      <c r="R1618">
        <v>4170886</v>
      </c>
    </row>
    <row r="1619" spans="1:18" x14ac:dyDescent="0.25">
      <c r="A1619" s="170">
        <v>44389</v>
      </c>
      <c r="B1619" s="116">
        <v>1050.875</v>
      </c>
      <c r="C1619" s="116">
        <v>1042.2249999999999</v>
      </c>
      <c r="D1619" s="116">
        <v>1037.575</v>
      </c>
      <c r="E1619" s="116">
        <v>1040.9000000000001</v>
      </c>
      <c r="F1619" s="116">
        <v>2084.4499999999998</v>
      </c>
      <c r="G1619">
        <v>1575869</v>
      </c>
      <c r="H1619" s="116"/>
      <c r="I1619" s="116"/>
      <c r="L1619" s="170">
        <v>44389</v>
      </c>
      <c r="M1619" s="116">
        <v>1042.05</v>
      </c>
      <c r="N1619" s="116">
        <v>1050.75</v>
      </c>
      <c r="O1619" s="116">
        <v>1037.25</v>
      </c>
      <c r="P1619" s="116">
        <v>1039.875</v>
      </c>
      <c r="Q1619" s="116">
        <v>2084.1</v>
      </c>
      <c r="R1619">
        <v>3962111</v>
      </c>
    </row>
    <row r="1620" spans="1:18" x14ac:dyDescent="0.25">
      <c r="A1620" s="170">
        <v>44390</v>
      </c>
      <c r="B1620" s="116">
        <v>1051.6500000000001</v>
      </c>
      <c r="C1620" s="116">
        <v>1049.7750000000001</v>
      </c>
      <c r="D1620" s="116">
        <v>1044.05</v>
      </c>
      <c r="E1620" s="116">
        <v>1050</v>
      </c>
      <c r="F1620" s="116">
        <v>2099.5500000000002</v>
      </c>
      <c r="G1620">
        <v>356025</v>
      </c>
      <c r="H1620" s="116"/>
      <c r="I1620" s="116"/>
      <c r="L1620" s="170">
        <v>44390</v>
      </c>
      <c r="M1620" s="116">
        <v>1049.8499999999999</v>
      </c>
      <c r="N1620" s="116">
        <v>1051.5250000000001</v>
      </c>
      <c r="O1620" s="116">
        <v>1044.0250000000001</v>
      </c>
      <c r="P1620" s="116">
        <v>1050</v>
      </c>
      <c r="Q1620" s="116">
        <v>2099.6999999999998</v>
      </c>
      <c r="R1620">
        <v>3099956</v>
      </c>
    </row>
    <row r="1621" spans="1:18" x14ac:dyDescent="0.25">
      <c r="A1621" s="170">
        <v>44391</v>
      </c>
      <c r="B1621" s="116">
        <v>1053.4000000000001</v>
      </c>
      <c r="C1621" s="116">
        <v>1043</v>
      </c>
      <c r="D1621" s="116">
        <v>1041</v>
      </c>
      <c r="E1621" s="116">
        <v>1051.3499999999999</v>
      </c>
      <c r="F1621" s="116">
        <v>2086</v>
      </c>
      <c r="G1621">
        <v>143306</v>
      </c>
      <c r="H1621" s="116"/>
      <c r="I1621" s="116"/>
      <c r="L1621" s="170">
        <v>44391</v>
      </c>
      <c r="M1621" s="116">
        <v>1043</v>
      </c>
      <c r="N1621" s="116">
        <v>1053.425</v>
      </c>
      <c r="O1621" s="116">
        <v>1040.625</v>
      </c>
      <c r="P1621" s="116">
        <v>1050.175</v>
      </c>
      <c r="Q1621" s="116">
        <v>2086</v>
      </c>
      <c r="R1621">
        <v>3937768</v>
      </c>
    </row>
    <row r="1622" spans="1:18" x14ac:dyDescent="0.25">
      <c r="A1622" s="170">
        <v>44392</v>
      </c>
      <c r="B1622" s="116">
        <v>1048</v>
      </c>
      <c r="C1622" s="116">
        <v>1041.625</v>
      </c>
      <c r="D1622" s="116">
        <v>1039.325</v>
      </c>
      <c r="E1622" s="116">
        <v>1048</v>
      </c>
      <c r="F1622" s="116">
        <v>2083.25</v>
      </c>
      <c r="G1622">
        <v>211763</v>
      </c>
      <c r="H1622" s="116"/>
      <c r="I1622" s="116"/>
      <c r="L1622" s="170">
        <v>44392</v>
      </c>
      <c r="M1622" s="116">
        <v>1041.175</v>
      </c>
      <c r="N1622" s="116">
        <v>1047.5</v>
      </c>
      <c r="O1622" s="116">
        <v>1039.25</v>
      </c>
      <c r="P1622" s="116">
        <v>1047.5</v>
      </c>
      <c r="Q1622" s="116">
        <v>2082.35</v>
      </c>
      <c r="R1622">
        <v>4360415</v>
      </c>
    </row>
    <row r="1623" spans="1:18" x14ac:dyDescent="0.25">
      <c r="A1623" s="170">
        <v>44393</v>
      </c>
      <c r="B1623" s="116">
        <v>1057.25</v>
      </c>
      <c r="C1623" s="116">
        <v>1055.9000000000001</v>
      </c>
      <c r="D1623" s="116">
        <v>1042.5</v>
      </c>
      <c r="E1623" s="116">
        <v>1042.5</v>
      </c>
      <c r="F1623" s="116">
        <v>2111.8000000000002</v>
      </c>
      <c r="G1623">
        <v>333073</v>
      </c>
      <c r="H1623" s="116"/>
      <c r="I1623" s="116"/>
      <c r="L1623" s="170">
        <v>44393</v>
      </c>
      <c r="M1623" s="116">
        <v>1056.2</v>
      </c>
      <c r="N1623" s="116">
        <v>1057.375</v>
      </c>
      <c r="O1623" s="116">
        <v>1043.8</v>
      </c>
      <c r="P1623" s="116">
        <v>1043.875</v>
      </c>
      <c r="Q1623" s="116">
        <v>2112.4</v>
      </c>
      <c r="R1623">
        <v>4074206</v>
      </c>
    </row>
    <row r="1624" spans="1:18" x14ac:dyDescent="0.25">
      <c r="A1624" s="170">
        <v>44396</v>
      </c>
      <c r="B1624" s="116">
        <v>1062</v>
      </c>
      <c r="C1624" s="116">
        <v>1049.55</v>
      </c>
      <c r="D1624" s="116">
        <v>1046.5</v>
      </c>
      <c r="E1624" s="116">
        <v>1052</v>
      </c>
      <c r="F1624" s="116">
        <v>2099.1</v>
      </c>
      <c r="G1624">
        <v>1466286</v>
      </c>
      <c r="H1624" s="116"/>
      <c r="I1624" s="116"/>
      <c r="L1624" s="170">
        <v>44396</v>
      </c>
      <c r="M1624" s="116">
        <v>1049.4749999999999</v>
      </c>
      <c r="N1624" s="116">
        <v>1062</v>
      </c>
      <c r="O1624" s="116">
        <v>1046.125</v>
      </c>
      <c r="P1624" s="116">
        <v>1050</v>
      </c>
      <c r="Q1624" s="116">
        <v>2098.9499999999998</v>
      </c>
      <c r="R1624">
        <v>3855577</v>
      </c>
    </row>
    <row r="1625" spans="1:18" x14ac:dyDescent="0.25">
      <c r="A1625" s="170">
        <v>44397</v>
      </c>
      <c r="B1625" s="116">
        <v>1054.05</v>
      </c>
      <c r="C1625" s="116">
        <v>1046.8</v>
      </c>
      <c r="D1625" s="116">
        <v>1042</v>
      </c>
      <c r="E1625" s="116">
        <v>1048.675</v>
      </c>
      <c r="F1625" s="116">
        <v>2093.6</v>
      </c>
      <c r="G1625">
        <v>262169</v>
      </c>
      <c r="H1625" s="116"/>
      <c r="I1625" s="116"/>
      <c r="L1625" s="170">
        <v>44397</v>
      </c>
      <c r="M1625" s="116">
        <v>1046.9000000000001</v>
      </c>
      <c r="N1625" s="116">
        <v>1054</v>
      </c>
      <c r="O1625" s="116">
        <v>1042</v>
      </c>
      <c r="P1625" s="116">
        <v>1049.75</v>
      </c>
      <c r="Q1625" s="116">
        <v>2093.8000000000002</v>
      </c>
      <c r="R1625">
        <v>3111185</v>
      </c>
    </row>
    <row r="1626" spans="1:18" x14ac:dyDescent="0.25">
      <c r="A1626" s="170">
        <v>44399</v>
      </c>
      <c r="B1626" s="116">
        <v>1062.05</v>
      </c>
      <c r="C1626" s="116">
        <v>1060.5</v>
      </c>
      <c r="D1626" s="116">
        <v>1049.4000000000001</v>
      </c>
      <c r="E1626" s="116">
        <v>1055.5999999999999</v>
      </c>
      <c r="F1626" s="116">
        <v>2121</v>
      </c>
      <c r="G1626">
        <v>170937</v>
      </c>
      <c r="H1626" s="116"/>
      <c r="I1626" s="116"/>
      <c r="L1626" s="170">
        <v>44399</v>
      </c>
      <c r="M1626" s="116">
        <v>1060.3499999999999</v>
      </c>
      <c r="N1626" s="116">
        <v>1061.95</v>
      </c>
      <c r="O1626" s="116">
        <v>1049.075</v>
      </c>
      <c r="P1626" s="116">
        <v>1059.5</v>
      </c>
      <c r="Q1626" s="116">
        <v>2120.6999999999998</v>
      </c>
      <c r="R1626">
        <v>3679260</v>
      </c>
    </row>
    <row r="1627" spans="1:18" x14ac:dyDescent="0.25">
      <c r="A1627" s="170">
        <v>44400</v>
      </c>
      <c r="B1627" s="116">
        <v>1067.5</v>
      </c>
      <c r="C1627" s="116">
        <v>1052.5999999999999</v>
      </c>
      <c r="D1627" s="116">
        <v>1051.425</v>
      </c>
      <c r="E1627" s="116">
        <v>1067.5</v>
      </c>
      <c r="F1627" s="116">
        <v>2105.1999999999998</v>
      </c>
      <c r="G1627">
        <v>253418</v>
      </c>
      <c r="H1627" s="116"/>
      <c r="I1627" s="116"/>
      <c r="L1627" s="170">
        <v>44400</v>
      </c>
      <c r="M1627" s="116">
        <v>1052.8499999999999</v>
      </c>
      <c r="N1627" s="116">
        <v>1067.2249999999999</v>
      </c>
      <c r="O1627" s="116">
        <v>1051.0250000000001</v>
      </c>
      <c r="P1627" s="116">
        <v>1067.2249999999999</v>
      </c>
      <c r="Q1627" s="116">
        <v>2105.6999999999998</v>
      </c>
      <c r="R1627">
        <v>4585938</v>
      </c>
    </row>
    <row r="1628" spans="1:18" x14ac:dyDescent="0.25">
      <c r="A1628" s="170">
        <v>44403</v>
      </c>
      <c r="B1628" s="116">
        <v>1060.8</v>
      </c>
      <c r="C1628" s="116">
        <v>1038.8499999999999</v>
      </c>
      <c r="D1628" s="116">
        <v>1035.8499999999999</v>
      </c>
      <c r="E1628" s="116">
        <v>1055</v>
      </c>
      <c r="F1628" s="116">
        <v>2077.6999999999998</v>
      </c>
      <c r="G1628">
        <v>378150</v>
      </c>
      <c r="H1628" s="116"/>
      <c r="I1628" s="116"/>
      <c r="L1628" s="170">
        <v>44403</v>
      </c>
      <c r="M1628" s="116">
        <v>1038.425</v>
      </c>
      <c r="N1628" s="116">
        <v>1060.5</v>
      </c>
      <c r="O1628" s="116">
        <v>1035.55</v>
      </c>
      <c r="P1628" s="116">
        <v>1054</v>
      </c>
      <c r="Q1628" s="116">
        <v>2076.85</v>
      </c>
      <c r="R1628">
        <v>5717830</v>
      </c>
    </row>
    <row r="1629" spans="1:18" x14ac:dyDescent="0.25">
      <c r="A1629" s="170">
        <v>44404</v>
      </c>
      <c r="B1629" s="116">
        <v>1041.75</v>
      </c>
      <c r="C1629" s="116">
        <v>1027.1500000000001</v>
      </c>
      <c r="D1629" s="116">
        <v>1020.6</v>
      </c>
      <c r="E1629" s="116">
        <v>1039.5</v>
      </c>
      <c r="F1629" s="116">
        <v>2054.3000000000002</v>
      </c>
      <c r="G1629">
        <v>271432</v>
      </c>
      <c r="H1629" s="116"/>
      <c r="I1629" s="116"/>
      <c r="L1629" s="170">
        <v>44404</v>
      </c>
      <c r="M1629" s="116">
        <v>1027.5</v>
      </c>
      <c r="N1629" s="116">
        <v>1041.8499999999999</v>
      </c>
      <c r="O1629" s="116">
        <v>1021</v>
      </c>
      <c r="P1629" s="116">
        <v>1038.4000000000001</v>
      </c>
      <c r="Q1629" s="116">
        <v>2055</v>
      </c>
      <c r="R1629">
        <v>4995516</v>
      </c>
    </row>
    <row r="1630" spans="1:18" x14ac:dyDescent="0.25">
      <c r="A1630" s="170">
        <v>44405</v>
      </c>
      <c r="B1630" s="116">
        <v>1030.075</v>
      </c>
      <c r="C1630" s="116">
        <v>1018.425</v>
      </c>
      <c r="D1630" s="116">
        <v>1008.3</v>
      </c>
      <c r="E1630" s="116">
        <v>1030.05</v>
      </c>
      <c r="F1630" s="116">
        <v>2036.85</v>
      </c>
      <c r="G1630">
        <v>207230</v>
      </c>
      <c r="H1630" s="116"/>
      <c r="I1630" s="116"/>
      <c r="L1630" s="170">
        <v>44405</v>
      </c>
      <c r="M1630" s="116">
        <v>1018.675</v>
      </c>
      <c r="N1630" s="116">
        <v>1029</v>
      </c>
      <c r="O1630" s="116">
        <v>1008.125</v>
      </c>
      <c r="P1630" s="116">
        <v>1029</v>
      </c>
      <c r="Q1630" s="116">
        <v>2037.35</v>
      </c>
      <c r="R1630">
        <v>5952355</v>
      </c>
    </row>
    <row r="1631" spans="1:18" x14ac:dyDescent="0.25">
      <c r="A1631" s="170">
        <v>44406</v>
      </c>
      <c r="B1631" s="116">
        <v>1037.2</v>
      </c>
      <c r="C1631" s="116">
        <v>1027.625</v>
      </c>
      <c r="D1631" s="116">
        <v>1021.875</v>
      </c>
      <c r="E1631" s="116">
        <v>1025</v>
      </c>
      <c r="F1631" s="116">
        <v>2055.25</v>
      </c>
      <c r="G1631">
        <v>142646</v>
      </c>
      <c r="H1631" s="116"/>
      <c r="I1631" s="116"/>
      <c r="L1631" s="170">
        <v>44406</v>
      </c>
      <c r="M1631" s="116">
        <v>1026.625</v>
      </c>
      <c r="N1631" s="116">
        <v>1037.2</v>
      </c>
      <c r="O1631" s="116">
        <v>1021.7</v>
      </c>
      <c r="P1631" s="116">
        <v>1027</v>
      </c>
      <c r="Q1631" s="116">
        <v>2053.25</v>
      </c>
      <c r="R1631">
        <v>6352886</v>
      </c>
    </row>
    <row r="1632" spans="1:18" x14ac:dyDescent="0.25">
      <c r="A1632" s="170">
        <v>44407</v>
      </c>
      <c r="B1632" s="116">
        <v>1034.075</v>
      </c>
      <c r="C1632" s="116">
        <v>1017.7</v>
      </c>
      <c r="D1632" s="116">
        <v>1015.2</v>
      </c>
      <c r="E1632" s="116">
        <v>1027.625</v>
      </c>
      <c r="F1632" s="116">
        <v>2035.4</v>
      </c>
      <c r="G1632">
        <v>228312</v>
      </c>
      <c r="H1632" s="116"/>
      <c r="I1632" s="116"/>
      <c r="L1632" s="170">
        <v>44407</v>
      </c>
      <c r="M1632" s="116">
        <v>1017.65</v>
      </c>
      <c r="N1632" s="116">
        <v>1033.9749999999999</v>
      </c>
      <c r="O1632" s="116">
        <v>1015.55</v>
      </c>
      <c r="P1632" s="116">
        <v>1029</v>
      </c>
      <c r="Q1632" s="116">
        <v>2035.3</v>
      </c>
      <c r="R1632">
        <v>5238304</v>
      </c>
    </row>
    <row r="1633" spans="1:18" x14ac:dyDescent="0.25">
      <c r="A1633" s="170">
        <v>44410</v>
      </c>
      <c r="B1633" s="116">
        <v>1039.5</v>
      </c>
      <c r="C1633" s="116">
        <v>1035.75</v>
      </c>
      <c r="D1633" s="116">
        <v>1020.5</v>
      </c>
      <c r="E1633" s="116">
        <v>1023.6</v>
      </c>
      <c r="F1633" s="116">
        <v>2071.5</v>
      </c>
      <c r="G1633">
        <v>406792</v>
      </c>
      <c r="H1633" s="116"/>
      <c r="I1633" s="116"/>
      <c r="L1633" s="170">
        <v>44410</v>
      </c>
      <c r="M1633" s="116">
        <v>1036.25</v>
      </c>
      <c r="N1633" s="116">
        <v>1039.7</v>
      </c>
      <c r="O1633" s="116">
        <v>1020.575</v>
      </c>
      <c r="P1633" s="116">
        <v>1027.1500000000001</v>
      </c>
      <c r="Q1633" s="116">
        <v>2072.5</v>
      </c>
      <c r="R1633">
        <v>5041934</v>
      </c>
    </row>
    <row r="1634" spans="1:18" x14ac:dyDescent="0.25">
      <c r="A1634" s="170">
        <v>44411</v>
      </c>
      <c r="B1634" s="116">
        <v>1045.625</v>
      </c>
      <c r="C1634" s="116">
        <v>1043.45</v>
      </c>
      <c r="D1634" s="116">
        <v>1032.075</v>
      </c>
      <c r="E1634" s="116">
        <v>1042.5</v>
      </c>
      <c r="F1634" s="116">
        <v>2086.9</v>
      </c>
      <c r="G1634">
        <v>318185</v>
      </c>
      <c r="H1634" s="116"/>
      <c r="I1634" s="116"/>
      <c r="L1634" s="170">
        <v>44411</v>
      </c>
      <c r="M1634" s="116">
        <v>1043.875</v>
      </c>
      <c r="N1634" s="116">
        <v>1045.5</v>
      </c>
      <c r="O1634" s="116">
        <v>1032.0999999999999</v>
      </c>
      <c r="P1634" s="116">
        <v>1045</v>
      </c>
      <c r="Q1634" s="116">
        <v>2087.75</v>
      </c>
      <c r="R1634">
        <v>5453682</v>
      </c>
    </row>
    <row r="1635" spans="1:18" x14ac:dyDescent="0.25">
      <c r="A1635" s="170">
        <v>44412</v>
      </c>
      <c r="B1635" s="116">
        <v>1057.05</v>
      </c>
      <c r="C1635" s="116">
        <v>1051.7750000000001</v>
      </c>
      <c r="D1635" s="116">
        <v>1043.5</v>
      </c>
      <c r="E1635" s="116">
        <v>1048.8</v>
      </c>
      <c r="F1635" s="116">
        <v>2103.5500000000002</v>
      </c>
      <c r="G1635">
        <v>297852</v>
      </c>
      <c r="H1635" s="116"/>
      <c r="I1635" s="116"/>
      <c r="L1635" s="170">
        <v>44412</v>
      </c>
      <c r="M1635" s="116">
        <v>1051.875</v>
      </c>
      <c r="N1635" s="116">
        <v>1057</v>
      </c>
      <c r="O1635" s="116">
        <v>1043.5</v>
      </c>
      <c r="P1635" s="116">
        <v>1047.2</v>
      </c>
      <c r="Q1635" s="116">
        <v>2103.75</v>
      </c>
      <c r="R1635">
        <v>6077861</v>
      </c>
    </row>
    <row r="1636" spans="1:18" x14ac:dyDescent="0.25">
      <c r="A1636" s="170">
        <v>44413</v>
      </c>
      <c r="B1636" s="116">
        <v>1077.3</v>
      </c>
      <c r="C1636" s="116">
        <v>1066.6500000000001</v>
      </c>
      <c r="D1636" s="116">
        <v>1052.1500000000001</v>
      </c>
      <c r="E1636" s="116">
        <v>1058.45</v>
      </c>
      <c r="F1636" s="116">
        <v>2133.3000000000002</v>
      </c>
      <c r="G1636">
        <v>357064</v>
      </c>
      <c r="H1636" s="116"/>
      <c r="I1636" s="116"/>
      <c r="L1636" s="170">
        <v>44413</v>
      </c>
      <c r="M1636" s="116">
        <v>1067.125</v>
      </c>
      <c r="N1636" s="116">
        <v>1077.4000000000001</v>
      </c>
      <c r="O1636" s="116">
        <v>1052.125</v>
      </c>
      <c r="P1636" s="116">
        <v>1057.1500000000001</v>
      </c>
      <c r="Q1636" s="116">
        <v>2134.25</v>
      </c>
      <c r="R1636">
        <v>9807831</v>
      </c>
    </row>
    <row r="1637" spans="1:18" x14ac:dyDescent="0.25">
      <c r="A1637" s="170">
        <v>44414</v>
      </c>
      <c r="B1637" s="116">
        <v>1073</v>
      </c>
      <c r="C1637" s="116">
        <v>1044.5250000000001</v>
      </c>
      <c r="D1637" s="116">
        <v>1039.5999999999999</v>
      </c>
      <c r="E1637" s="116">
        <v>1062.5999999999999</v>
      </c>
      <c r="F1637" s="116">
        <v>2089.0500000000002</v>
      </c>
      <c r="G1637">
        <v>336073</v>
      </c>
      <c r="H1637" s="116"/>
      <c r="I1637" s="116"/>
      <c r="L1637" s="170">
        <v>44414</v>
      </c>
      <c r="M1637" s="116">
        <v>1044.5250000000001</v>
      </c>
      <c r="N1637" s="116">
        <v>1073.4749999999999</v>
      </c>
      <c r="O1637" s="116">
        <v>1039.375</v>
      </c>
      <c r="P1637" s="116">
        <v>1064.9749999999999</v>
      </c>
      <c r="Q1637" s="116">
        <v>2089.0500000000002</v>
      </c>
      <c r="R1637">
        <v>7670583</v>
      </c>
    </row>
    <row r="1638" spans="1:18" x14ac:dyDescent="0.25">
      <c r="A1638" s="170">
        <v>44417</v>
      </c>
      <c r="B1638" s="116">
        <v>1044.75</v>
      </c>
      <c r="C1638" s="116">
        <v>1038.625</v>
      </c>
      <c r="D1638" s="116">
        <v>1032.9000000000001</v>
      </c>
      <c r="E1638" s="116">
        <v>1038.0999999999999</v>
      </c>
      <c r="F1638" s="116">
        <v>2077.25</v>
      </c>
      <c r="G1638">
        <v>236037</v>
      </c>
      <c r="H1638" s="116"/>
      <c r="I1638" s="116"/>
      <c r="L1638" s="170">
        <v>44417</v>
      </c>
      <c r="M1638" s="116">
        <v>1038.575</v>
      </c>
      <c r="N1638" s="116">
        <v>1044.9000000000001</v>
      </c>
      <c r="O1638" s="116">
        <v>1033.25</v>
      </c>
      <c r="P1638" s="116">
        <v>1040.5</v>
      </c>
      <c r="Q1638" s="116">
        <v>2077.15</v>
      </c>
      <c r="R1638">
        <v>3458546</v>
      </c>
    </row>
    <row r="1639" spans="1:18" x14ac:dyDescent="0.25">
      <c r="A1639" s="170">
        <v>44418</v>
      </c>
      <c r="B1639" s="116">
        <v>1056.4000000000001</v>
      </c>
      <c r="C1639" s="116">
        <v>1044.2</v>
      </c>
      <c r="D1639" s="116">
        <v>1036.7750000000001</v>
      </c>
      <c r="E1639" s="116">
        <v>1042.3499999999999</v>
      </c>
      <c r="F1639" s="116">
        <v>2088.4</v>
      </c>
      <c r="G1639">
        <v>415981</v>
      </c>
      <c r="H1639" s="116"/>
      <c r="I1639" s="116"/>
      <c r="L1639" s="170">
        <v>44418</v>
      </c>
      <c r="M1639" s="116">
        <v>1044.0250000000001</v>
      </c>
      <c r="N1639" s="116">
        <v>1056.5</v>
      </c>
      <c r="O1639" s="116">
        <v>1036.875</v>
      </c>
      <c r="P1639" s="116">
        <v>1041</v>
      </c>
      <c r="Q1639" s="116">
        <v>2088.0500000000002</v>
      </c>
      <c r="R1639">
        <v>5500708</v>
      </c>
    </row>
    <row r="1640" spans="1:18" x14ac:dyDescent="0.25">
      <c r="A1640" s="170">
        <v>44419</v>
      </c>
      <c r="B1640" s="116">
        <v>1059.75</v>
      </c>
      <c r="C1640" s="116">
        <v>1058.05</v>
      </c>
      <c r="D1640" s="116">
        <v>1041.2750000000001</v>
      </c>
      <c r="E1640" s="116">
        <v>1049.5</v>
      </c>
      <c r="F1640" s="116">
        <v>2116.1</v>
      </c>
      <c r="G1640">
        <v>346083</v>
      </c>
      <c r="H1640" s="116"/>
      <c r="I1640" s="116"/>
      <c r="L1640" s="170">
        <v>44419</v>
      </c>
      <c r="M1640" s="116">
        <v>1058.6500000000001</v>
      </c>
      <c r="N1640" s="116">
        <v>1060</v>
      </c>
      <c r="O1640" s="116">
        <v>1041.7</v>
      </c>
      <c r="P1640" s="116">
        <v>1048.4749999999999</v>
      </c>
      <c r="Q1640" s="116">
        <v>2117.3000000000002</v>
      </c>
      <c r="R1640">
        <v>4238859</v>
      </c>
    </row>
    <row r="1641" spans="1:18" x14ac:dyDescent="0.25">
      <c r="A1641" s="170">
        <v>44420</v>
      </c>
      <c r="B1641" s="116">
        <v>1063.375</v>
      </c>
      <c r="C1641" s="116">
        <v>1055.125</v>
      </c>
      <c r="D1641" s="116">
        <v>1052.7</v>
      </c>
      <c r="E1641" s="116">
        <v>1062.5250000000001</v>
      </c>
      <c r="F1641" s="116">
        <v>2110.25</v>
      </c>
      <c r="G1641">
        <v>235334</v>
      </c>
      <c r="H1641" s="116"/>
      <c r="I1641" s="116"/>
      <c r="L1641" s="170">
        <v>44420</v>
      </c>
      <c r="M1641" s="116">
        <v>1055.25</v>
      </c>
      <c r="N1641" s="116">
        <v>1063.0999999999999</v>
      </c>
      <c r="O1641" s="116">
        <v>1052.5</v>
      </c>
      <c r="P1641" s="116">
        <v>1062.45</v>
      </c>
      <c r="Q1641" s="116">
        <v>2110.5</v>
      </c>
      <c r="R1641">
        <v>3755507</v>
      </c>
    </row>
    <row r="1642" spans="1:18" x14ac:dyDescent="0.25">
      <c r="A1642" s="170">
        <v>44421</v>
      </c>
      <c r="B1642" s="116">
        <v>1074.9000000000001</v>
      </c>
      <c r="C1642" s="116">
        <v>1072.375</v>
      </c>
      <c r="D1642" s="116">
        <v>1055.075</v>
      </c>
      <c r="E1642" s="116">
        <v>1057.9000000000001</v>
      </c>
      <c r="F1642" s="116">
        <v>2144.75</v>
      </c>
      <c r="G1642">
        <v>208107</v>
      </c>
      <c r="H1642" s="116"/>
      <c r="I1642" s="116"/>
      <c r="L1642" s="170">
        <v>44421</v>
      </c>
      <c r="M1642" s="116">
        <v>1072.825</v>
      </c>
      <c r="N1642" s="116">
        <v>1074.95</v>
      </c>
      <c r="O1642" s="116">
        <v>1054.4749999999999</v>
      </c>
      <c r="P1642" s="116">
        <v>1058.6500000000001</v>
      </c>
      <c r="Q1642" s="116">
        <v>2145.65</v>
      </c>
      <c r="R1642">
        <v>5898384</v>
      </c>
    </row>
    <row r="1643" spans="1:18" x14ac:dyDescent="0.25">
      <c r="A1643" s="170">
        <v>44424</v>
      </c>
      <c r="B1643" s="116">
        <v>1101</v>
      </c>
      <c r="C1643" s="116">
        <v>1086.2249999999999</v>
      </c>
      <c r="D1643" s="116">
        <v>1064.3499999999999</v>
      </c>
      <c r="E1643" s="116">
        <v>1073.25</v>
      </c>
      <c r="F1643" s="116">
        <v>2172.4499999999998</v>
      </c>
      <c r="G1643">
        <v>361511</v>
      </c>
      <c r="H1643" s="116"/>
      <c r="I1643" s="116"/>
      <c r="L1643" s="170">
        <v>44424</v>
      </c>
      <c r="M1643" s="116">
        <v>1086.75</v>
      </c>
      <c r="N1643" s="116">
        <v>1101.5</v>
      </c>
      <c r="O1643" s="116">
        <v>1064.075</v>
      </c>
      <c r="P1643" s="116">
        <v>1074.675</v>
      </c>
      <c r="Q1643" s="116">
        <v>2173.5</v>
      </c>
      <c r="R1643">
        <v>10123204</v>
      </c>
    </row>
    <row r="1644" spans="1:18" x14ac:dyDescent="0.25">
      <c r="A1644" s="170">
        <v>44425</v>
      </c>
      <c r="B1644" s="116">
        <v>1092.5</v>
      </c>
      <c r="C1644" s="116">
        <v>1081.9749999999999</v>
      </c>
      <c r="D1644" s="116">
        <v>1074.1500000000001</v>
      </c>
      <c r="E1644" s="116">
        <v>1085</v>
      </c>
      <c r="F1644" s="116">
        <v>2163.9499999999998</v>
      </c>
      <c r="G1644">
        <v>183210</v>
      </c>
      <c r="H1644" s="116"/>
      <c r="I1644" s="116"/>
      <c r="L1644" s="170">
        <v>44425</v>
      </c>
      <c r="M1644" s="116">
        <v>1082.125</v>
      </c>
      <c r="N1644" s="116">
        <v>1092.5999999999999</v>
      </c>
      <c r="O1644" s="116">
        <v>1073.925</v>
      </c>
      <c r="P1644" s="116">
        <v>1084.425</v>
      </c>
      <c r="Q1644" s="116">
        <v>2164.25</v>
      </c>
      <c r="R1644">
        <v>5841743</v>
      </c>
    </row>
    <row r="1645" spans="1:18" x14ac:dyDescent="0.25">
      <c r="A1645" s="170">
        <v>44426</v>
      </c>
      <c r="B1645" s="116">
        <v>1093</v>
      </c>
      <c r="C1645" s="116">
        <v>1085.7750000000001</v>
      </c>
      <c r="D1645" s="116">
        <v>1076.3499999999999</v>
      </c>
      <c r="E1645" s="116">
        <v>1087.5</v>
      </c>
      <c r="F1645" s="116">
        <v>2171.5500000000002</v>
      </c>
      <c r="G1645">
        <v>148076</v>
      </c>
      <c r="H1645" s="116"/>
      <c r="I1645" s="116"/>
      <c r="L1645" s="170">
        <v>44426</v>
      </c>
      <c r="M1645" s="116">
        <v>1086.325</v>
      </c>
      <c r="N1645" s="116">
        <v>1093.4000000000001</v>
      </c>
      <c r="O1645" s="116">
        <v>1076.3</v>
      </c>
      <c r="P1645" s="116">
        <v>1087</v>
      </c>
      <c r="Q1645" s="116">
        <v>2172.65</v>
      </c>
      <c r="R1645">
        <v>4650008</v>
      </c>
    </row>
    <row r="1646" spans="1:18" x14ac:dyDescent="0.25">
      <c r="A1646" s="170">
        <v>44428</v>
      </c>
      <c r="B1646" s="116">
        <v>1085.8499999999999</v>
      </c>
      <c r="C1646" s="116">
        <v>1073.0999999999999</v>
      </c>
      <c r="D1646" s="116">
        <v>1069</v>
      </c>
      <c r="E1646" s="116">
        <v>1074</v>
      </c>
      <c r="F1646" s="116">
        <v>2146.1999999999998</v>
      </c>
      <c r="G1646">
        <v>254217</v>
      </c>
      <c r="H1646" s="116"/>
      <c r="I1646" s="116"/>
      <c r="L1646" s="170">
        <v>44428</v>
      </c>
      <c r="M1646" s="116">
        <v>1074.125</v>
      </c>
      <c r="N1646" s="116">
        <v>1086</v>
      </c>
      <c r="O1646" s="116">
        <v>1068.5</v>
      </c>
      <c r="P1646" s="116">
        <v>1071.5</v>
      </c>
      <c r="Q1646" s="116">
        <v>2148.25</v>
      </c>
      <c r="R1646">
        <v>4350228</v>
      </c>
    </row>
    <row r="1647" spans="1:18" x14ac:dyDescent="0.25">
      <c r="A1647" s="170">
        <v>44431</v>
      </c>
      <c r="B1647" s="116">
        <v>1085.9749999999999</v>
      </c>
      <c r="C1647" s="116">
        <v>1081.2</v>
      </c>
      <c r="D1647" s="116">
        <v>1066.2249999999999</v>
      </c>
      <c r="E1647" s="116">
        <v>1084</v>
      </c>
      <c r="F1647" s="116">
        <v>2162.4</v>
      </c>
      <c r="G1647">
        <v>133580</v>
      </c>
      <c r="H1647" s="116"/>
      <c r="I1647" s="116"/>
      <c r="L1647" s="170">
        <v>44431</v>
      </c>
      <c r="M1647" s="116">
        <v>1081.175</v>
      </c>
      <c r="N1647" s="116">
        <v>1087</v>
      </c>
      <c r="O1647" s="116">
        <v>1066.1500000000001</v>
      </c>
      <c r="P1647" s="116">
        <v>1087</v>
      </c>
      <c r="Q1647" s="116">
        <v>2162.35</v>
      </c>
      <c r="R1647">
        <v>4547802</v>
      </c>
    </row>
    <row r="1648" spans="1:18" x14ac:dyDescent="0.25">
      <c r="A1648" s="170">
        <v>44432</v>
      </c>
      <c r="B1648" s="116">
        <v>1095.95</v>
      </c>
      <c r="C1648" s="116">
        <v>1091.4000000000001</v>
      </c>
      <c r="D1648" s="116">
        <v>1077.7249999999999</v>
      </c>
      <c r="E1648" s="116">
        <v>1081.95</v>
      </c>
      <c r="F1648" s="116">
        <v>2182.8000000000002</v>
      </c>
      <c r="G1648">
        <v>270903</v>
      </c>
      <c r="H1648" s="116"/>
      <c r="I1648" s="116"/>
      <c r="L1648" s="170">
        <v>44432</v>
      </c>
      <c r="M1648" s="116">
        <v>1091.8499999999999</v>
      </c>
      <c r="N1648" s="116">
        <v>1096</v>
      </c>
      <c r="O1648" s="116">
        <v>1077.8</v>
      </c>
      <c r="P1648" s="116">
        <v>1082.5250000000001</v>
      </c>
      <c r="Q1648" s="116">
        <v>2183.6999999999998</v>
      </c>
      <c r="R1648">
        <v>5475452</v>
      </c>
    </row>
    <row r="1649" spans="1:18" x14ac:dyDescent="0.25">
      <c r="A1649" s="170">
        <v>44433</v>
      </c>
      <c r="B1649" s="116">
        <v>1109.95</v>
      </c>
      <c r="C1649" s="116">
        <v>1101.1500000000001</v>
      </c>
      <c r="D1649" s="116">
        <v>1090</v>
      </c>
      <c r="E1649" s="116">
        <v>1091.8499999999999</v>
      </c>
      <c r="F1649" s="116">
        <v>2202.3000000000002</v>
      </c>
      <c r="G1649">
        <v>208006</v>
      </c>
      <c r="H1649" s="116"/>
      <c r="I1649" s="116"/>
      <c r="L1649" s="170">
        <v>44433</v>
      </c>
      <c r="M1649" s="116">
        <v>1101.3</v>
      </c>
      <c r="N1649" s="116">
        <v>1110</v>
      </c>
      <c r="O1649" s="116">
        <v>1090.05</v>
      </c>
      <c r="P1649" s="116">
        <v>1092.7</v>
      </c>
      <c r="Q1649" s="116">
        <v>2202.6</v>
      </c>
      <c r="R1649">
        <v>6175126</v>
      </c>
    </row>
    <row r="1650" spans="1:18" x14ac:dyDescent="0.25">
      <c r="A1650" s="170">
        <v>44434</v>
      </c>
      <c r="B1650" s="116">
        <v>1122.425</v>
      </c>
      <c r="C1650" s="116">
        <v>1115.325</v>
      </c>
      <c r="D1650" s="116">
        <v>1102.45</v>
      </c>
      <c r="E1650" s="116">
        <v>1103.5</v>
      </c>
      <c r="F1650" s="116">
        <v>2230.65</v>
      </c>
      <c r="G1650">
        <v>213604</v>
      </c>
      <c r="H1650" s="116"/>
      <c r="I1650" s="116"/>
      <c r="L1650" s="170">
        <v>44434</v>
      </c>
      <c r="M1650" s="116">
        <v>1115.2249999999999</v>
      </c>
      <c r="N1650" s="116">
        <v>1122.45</v>
      </c>
      <c r="O1650" s="116">
        <v>1102.5</v>
      </c>
      <c r="P1650" s="116">
        <v>1104</v>
      </c>
      <c r="Q1650" s="116">
        <v>2230.4499999999998</v>
      </c>
      <c r="R1650">
        <v>8579105</v>
      </c>
    </row>
    <row r="1651" spans="1:18" x14ac:dyDescent="0.25">
      <c r="A1651" s="170">
        <v>44435</v>
      </c>
      <c r="B1651" s="116">
        <v>1121.175</v>
      </c>
      <c r="C1651" s="116">
        <v>1113.375</v>
      </c>
      <c r="D1651" s="116">
        <v>1107.95</v>
      </c>
      <c r="E1651" s="116">
        <v>1116</v>
      </c>
      <c r="F1651" s="116">
        <v>2226.75</v>
      </c>
      <c r="G1651">
        <v>178133</v>
      </c>
      <c r="H1651" s="116"/>
      <c r="I1651" s="116"/>
      <c r="L1651" s="170">
        <v>44435</v>
      </c>
      <c r="M1651" s="116">
        <v>1113.7</v>
      </c>
      <c r="N1651" s="116">
        <v>1121.375</v>
      </c>
      <c r="O1651" s="116">
        <v>1108.0250000000001</v>
      </c>
      <c r="P1651" s="116">
        <v>1118.5</v>
      </c>
      <c r="Q1651" s="116">
        <v>2227.4</v>
      </c>
      <c r="R1651">
        <v>4836812</v>
      </c>
    </row>
    <row r="1652" spans="1:18" x14ac:dyDescent="0.25">
      <c r="A1652" s="170">
        <v>44438</v>
      </c>
      <c r="B1652" s="116">
        <v>1137.5</v>
      </c>
      <c r="C1652" s="116">
        <v>1135.0250000000001</v>
      </c>
      <c r="D1652" s="116">
        <v>1119.8</v>
      </c>
      <c r="E1652" s="116">
        <v>1120</v>
      </c>
      <c r="F1652" s="116">
        <v>2270.0500000000002</v>
      </c>
      <c r="G1652">
        <v>161691</v>
      </c>
      <c r="H1652" s="116"/>
      <c r="I1652" s="116"/>
      <c r="L1652" s="170">
        <v>44438</v>
      </c>
      <c r="M1652" s="116">
        <v>1135.125</v>
      </c>
      <c r="N1652" s="116">
        <v>1137.925</v>
      </c>
      <c r="O1652" s="116">
        <v>1118.4000000000001</v>
      </c>
      <c r="P1652" s="116">
        <v>1125</v>
      </c>
      <c r="Q1652" s="116">
        <v>2270.25</v>
      </c>
      <c r="R1652">
        <v>6473487</v>
      </c>
    </row>
    <row r="1653" spans="1:18" x14ac:dyDescent="0.25">
      <c r="A1653" s="170">
        <v>44439</v>
      </c>
      <c r="B1653" s="116">
        <v>1141.5</v>
      </c>
      <c r="C1653" s="116">
        <v>1129.6500000000001</v>
      </c>
      <c r="D1653" s="116">
        <v>1121.25</v>
      </c>
      <c r="E1653" s="116">
        <v>1137.625</v>
      </c>
      <c r="F1653" s="116">
        <v>2259.3000000000002</v>
      </c>
      <c r="G1653">
        <v>376864</v>
      </c>
      <c r="H1653" s="116"/>
      <c r="I1653" s="116"/>
      <c r="L1653" s="170">
        <v>44439</v>
      </c>
      <c r="M1653" s="116">
        <v>1129.075</v>
      </c>
      <c r="N1653" s="116">
        <v>1141.875</v>
      </c>
      <c r="O1653" s="116">
        <v>1121.125</v>
      </c>
      <c r="P1653" s="116">
        <v>1138.45</v>
      </c>
      <c r="Q1653" s="116">
        <v>2258.15</v>
      </c>
      <c r="R1653">
        <v>12223037</v>
      </c>
    </row>
    <row r="1654" spans="1:18" x14ac:dyDescent="0.25">
      <c r="A1654" s="170">
        <v>44440</v>
      </c>
      <c r="B1654" s="116">
        <v>1146.45</v>
      </c>
      <c r="C1654" s="116">
        <v>1134.875</v>
      </c>
      <c r="D1654" s="116">
        <v>1065</v>
      </c>
      <c r="E1654" s="116">
        <v>1137.5</v>
      </c>
      <c r="F1654" s="116">
        <v>2269.75</v>
      </c>
      <c r="G1654">
        <v>299873</v>
      </c>
      <c r="H1654" s="116"/>
      <c r="I1654" s="116"/>
      <c r="L1654" s="170">
        <v>44440</v>
      </c>
      <c r="M1654" s="116">
        <v>1133.55</v>
      </c>
      <c r="N1654" s="116">
        <v>1146.45</v>
      </c>
      <c r="O1654" s="116">
        <v>1131.5</v>
      </c>
      <c r="P1654" s="116">
        <v>1136.5</v>
      </c>
      <c r="Q1654" s="116">
        <v>2267.1</v>
      </c>
      <c r="R1654">
        <v>5143640</v>
      </c>
    </row>
    <row r="1655" spans="1:18" x14ac:dyDescent="0.25">
      <c r="A1655" s="170">
        <v>44441</v>
      </c>
      <c r="B1655" s="116">
        <v>1153.5</v>
      </c>
      <c r="C1655" s="116">
        <v>1146.825</v>
      </c>
      <c r="D1655" s="116">
        <v>1129.2249999999999</v>
      </c>
      <c r="E1655" s="116">
        <v>1130</v>
      </c>
      <c r="F1655" s="116">
        <v>2293.65</v>
      </c>
      <c r="G1655">
        <v>293438</v>
      </c>
      <c r="H1655" s="116"/>
      <c r="I1655" s="116"/>
      <c r="L1655" s="170">
        <v>44441</v>
      </c>
      <c r="M1655" s="116">
        <v>1147.2</v>
      </c>
      <c r="N1655" s="116">
        <v>1153.9000000000001</v>
      </c>
      <c r="O1655" s="116">
        <v>1127.5</v>
      </c>
      <c r="P1655" s="116">
        <v>1127.5</v>
      </c>
      <c r="Q1655" s="116">
        <v>2294.4</v>
      </c>
      <c r="R1655">
        <v>4595048</v>
      </c>
    </row>
    <row r="1656" spans="1:18" x14ac:dyDescent="0.25">
      <c r="A1656" s="170">
        <v>44442</v>
      </c>
      <c r="B1656" s="116">
        <v>1197.1500000000001</v>
      </c>
      <c r="C1656" s="116">
        <v>1194.125</v>
      </c>
      <c r="D1656" s="116">
        <v>1153.4000000000001</v>
      </c>
      <c r="E1656" s="116">
        <v>1153.75</v>
      </c>
      <c r="F1656" s="116">
        <v>2388.25</v>
      </c>
      <c r="G1656">
        <v>543323</v>
      </c>
      <c r="H1656" s="116"/>
      <c r="I1656" s="116"/>
      <c r="L1656" s="170">
        <v>44442</v>
      </c>
      <c r="M1656" s="116">
        <v>1194.25</v>
      </c>
      <c r="N1656" s="116">
        <v>1197.5</v>
      </c>
      <c r="O1656" s="116">
        <v>1151.25</v>
      </c>
      <c r="P1656" s="116">
        <v>1155</v>
      </c>
      <c r="Q1656" s="116">
        <v>2388.5</v>
      </c>
      <c r="R1656">
        <v>14151629</v>
      </c>
    </row>
    <row r="1657" spans="1:18" x14ac:dyDescent="0.25">
      <c r="A1657" s="170">
        <v>44445</v>
      </c>
      <c r="B1657" s="116">
        <v>1239.925</v>
      </c>
      <c r="C1657" s="116">
        <v>1212.2750000000001</v>
      </c>
      <c r="D1657" s="116">
        <v>1206.675</v>
      </c>
      <c r="E1657" s="116">
        <v>1207</v>
      </c>
      <c r="F1657" s="116">
        <v>2424.5500000000002</v>
      </c>
      <c r="G1657">
        <v>601994</v>
      </c>
      <c r="H1657" s="116"/>
      <c r="I1657" s="116"/>
      <c r="L1657" s="170">
        <v>44445</v>
      </c>
      <c r="M1657" s="116">
        <v>1212.8</v>
      </c>
      <c r="N1657" s="116">
        <v>1240</v>
      </c>
      <c r="O1657" s="116">
        <v>1206</v>
      </c>
      <c r="P1657" s="116">
        <v>1206.5</v>
      </c>
      <c r="Q1657" s="116">
        <v>2425.6</v>
      </c>
      <c r="R1657">
        <v>15525644</v>
      </c>
    </row>
    <row r="1658" spans="1:18" x14ac:dyDescent="0.25">
      <c r="A1658" s="170">
        <v>44446</v>
      </c>
      <c r="B1658" s="116">
        <v>1229</v>
      </c>
      <c r="C1658" s="116">
        <v>1220.6500000000001</v>
      </c>
      <c r="D1658" s="116">
        <v>1206</v>
      </c>
      <c r="E1658" s="116">
        <v>1214.55</v>
      </c>
      <c r="F1658" s="116">
        <v>2441.3000000000002</v>
      </c>
      <c r="G1658">
        <v>276017</v>
      </c>
      <c r="H1658" s="116"/>
      <c r="I1658" s="116"/>
      <c r="L1658" s="170">
        <v>44446</v>
      </c>
      <c r="M1658" s="116">
        <v>1220.45</v>
      </c>
      <c r="N1658" s="116">
        <v>1229</v>
      </c>
      <c r="O1658" s="116">
        <v>1206</v>
      </c>
      <c r="P1658" s="116">
        <v>1215</v>
      </c>
      <c r="Q1658" s="116">
        <v>2440.9</v>
      </c>
      <c r="R1658">
        <v>8006968</v>
      </c>
    </row>
    <row r="1659" spans="1:18" x14ac:dyDescent="0.25">
      <c r="A1659" s="170">
        <v>44447</v>
      </c>
      <c r="B1659" s="116">
        <v>1227.5</v>
      </c>
      <c r="C1659" s="116">
        <v>1215.3</v>
      </c>
      <c r="D1659" s="116">
        <v>1203.075</v>
      </c>
      <c r="E1659" s="116">
        <v>1227</v>
      </c>
      <c r="F1659" s="116">
        <v>2430.6</v>
      </c>
      <c r="G1659">
        <v>233017</v>
      </c>
      <c r="H1659" s="116"/>
      <c r="I1659" s="116"/>
      <c r="L1659" s="170">
        <v>44447</v>
      </c>
      <c r="M1659" s="116">
        <v>1215.675</v>
      </c>
      <c r="N1659" s="116">
        <v>1227</v>
      </c>
      <c r="O1659" s="116">
        <v>1203.325</v>
      </c>
      <c r="P1659" s="116">
        <v>1226</v>
      </c>
      <c r="Q1659" s="116">
        <v>2431.35</v>
      </c>
      <c r="R1659">
        <v>6600210</v>
      </c>
    </row>
    <row r="1660" spans="1:18" x14ac:dyDescent="0.25">
      <c r="A1660" s="170">
        <v>44448</v>
      </c>
      <c r="B1660" s="116">
        <v>1219.1500000000001</v>
      </c>
      <c r="C1660" s="116">
        <v>1212.7249999999999</v>
      </c>
      <c r="D1660" s="116">
        <v>1208</v>
      </c>
      <c r="E1660" s="116">
        <v>1215.4749999999999</v>
      </c>
      <c r="F1660" s="116">
        <v>2425.4499999999998</v>
      </c>
      <c r="G1660">
        <v>102685</v>
      </c>
      <c r="H1660" s="116"/>
      <c r="I1660" s="116"/>
      <c r="L1660" s="170">
        <v>44448</v>
      </c>
      <c r="M1660" s="116">
        <v>1212.8</v>
      </c>
      <c r="N1660" s="116">
        <v>1218.925</v>
      </c>
      <c r="O1660" s="116">
        <v>1208.05</v>
      </c>
      <c r="P1660" s="116">
        <v>1213.95</v>
      </c>
      <c r="Q1660" s="116">
        <v>2425.6</v>
      </c>
      <c r="R1660">
        <v>4136538</v>
      </c>
    </row>
    <row r="1661" spans="1:18" x14ac:dyDescent="0.25">
      <c r="A1661" s="170">
        <v>44452</v>
      </c>
      <c r="B1661" s="116">
        <v>1215</v>
      </c>
      <c r="C1661" s="116">
        <v>1185.7750000000001</v>
      </c>
      <c r="D1661" s="116">
        <v>1184.05</v>
      </c>
      <c r="E1661" s="116">
        <v>1214</v>
      </c>
      <c r="F1661" s="116">
        <v>2371.5500000000002</v>
      </c>
      <c r="G1661">
        <v>224625</v>
      </c>
      <c r="H1661" s="116"/>
      <c r="I1661" s="116"/>
      <c r="L1661" s="170">
        <v>44452</v>
      </c>
      <c r="M1661" s="116">
        <v>1185.7750000000001</v>
      </c>
      <c r="N1661" s="116">
        <v>1216.5</v>
      </c>
      <c r="O1661" s="116">
        <v>1184.0250000000001</v>
      </c>
      <c r="P1661" s="116">
        <v>1216.5</v>
      </c>
      <c r="Q1661" s="116">
        <v>2371.5500000000002</v>
      </c>
      <c r="R1661">
        <v>7527598</v>
      </c>
    </row>
    <row r="1662" spans="1:18" x14ac:dyDescent="0.25">
      <c r="A1662" s="170">
        <v>44453</v>
      </c>
      <c r="B1662" s="116">
        <v>1197</v>
      </c>
      <c r="C1662" s="116">
        <v>1184.1500000000001</v>
      </c>
      <c r="D1662" s="116">
        <v>1183.05</v>
      </c>
      <c r="E1662" s="116">
        <v>1189</v>
      </c>
      <c r="F1662" s="116">
        <v>2368.3000000000002</v>
      </c>
      <c r="G1662">
        <v>241961</v>
      </c>
      <c r="H1662" s="116"/>
      <c r="I1662" s="116"/>
      <c r="L1662" s="170">
        <v>44453</v>
      </c>
      <c r="M1662" s="116">
        <v>1184.2249999999999</v>
      </c>
      <c r="N1662" s="116">
        <v>1197</v>
      </c>
      <c r="O1662" s="116">
        <v>1183</v>
      </c>
      <c r="P1662" s="116">
        <v>1187.5</v>
      </c>
      <c r="Q1662" s="116">
        <v>2368.4499999999998</v>
      </c>
      <c r="R1662">
        <v>4111205</v>
      </c>
    </row>
    <row r="1663" spans="1:18" x14ac:dyDescent="0.25">
      <c r="A1663" s="170">
        <v>44454</v>
      </c>
      <c r="B1663" s="116">
        <v>1197.625</v>
      </c>
      <c r="C1663" s="116">
        <v>1189.4749999999999</v>
      </c>
      <c r="D1663" s="116">
        <v>1184.425</v>
      </c>
      <c r="E1663" s="116">
        <v>1186</v>
      </c>
      <c r="F1663" s="116">
        <v>2378.9499999999998</v>
      </c>
      <c r="G1663">
        <v>76028</v>
      </c>
      <c r="H1663" s="116"/>
      <c r="I1663" s="116"/>
      <c r="L1663" s="170">
        <v>44454</v>
      </c>
      <c r="M1663" s="116">
        <v>1189.1500000000001</v>
      </c>
      <c r="N1663" s="116">
        <v>1197.875</v>
      </c>
      <c r="O1663" s="116">
        <v>1184.25</v>
      </c>
      <c r="P1663" s="116">
        <v>1184.25</v>
      </c>
      <c r="Q1663" s="116">
        <v>2378.3000000000002</v>
      </c>
      <c r="R1663">
        <v>4186300</v>
      </c>
    </row>
    <row r="1664" spans="1:18" x14ac:dyDescent="0.25">
      <c r="A1664" s="170">
        <v>44455</v>
      </c>
      <c r="B1664" s="116">
        <v>1218</v>
      </c>
      <c r="C1664" s="116">
        <v>1214.05</v>
      </c>
      <c r="D1664" s="116">
        <v>1183.5</v>
      </c>
      <c r="E1664" s="116">
        <v>1189.5</v>
      </c>
      <c r="F1664" s="116">
        <v>2428.1</v>
      </c>
      <c r="G1664">
        <v>408347</v>
      </c>
      <c r="H1664" s="116"/>
      <c r="I1664" s="116"/>
      <c r="L1664" s="170">
        <v>44455</v>
      </c>
      <c r="M1664" s="116">
        <v>1214.0999999999999</v>
      </c>
      <c r="N1664" s="116">
        <v>1218.375</v>
      </c>
      <c r="O1664" s="116">
        <v>1183.5</v>
      </c>
      <c r="P1664" s="116">
        <v>1190.7750000000001</v>
      </c>
      <c r="Q1664" s="116">
        <v>2428.1999999999998</v>
      </c>
      <c r="R1664">
        <v>6206657</v>
      </c>
    </row>
    <row r="1665" spans="1:18" x14ac:dyDescent="0.25">
      <c r="A1665" s="170">
        <v>44456</v>
      </c>
      <c r="B1665" s="116">
        <v>1227.9000000000001</v>
      </c>
      <c r="C1665" s="116">
        <v>1195.2</v>
      </c>
      <c r="D1665" s="116">
        <v>1189.4000000000001</v>
      </c>
      <c r="E1665" s="116">
        <v>1222.5</v>
      </c>
      <c r="F1665" s="116">
        <v>2390.4</v>
      </c>
      <c r="G1665">
        <v>231182</v>
      </c>
      <c r="H1665" s="116"/>
      <c r="I1665" s="116"/>
      <c r="L1665" s="170">
        <v>44456</v>
      </c>
      <c r="M1665" s="116">
        <v>1195.2750000000001</v>
      </c>
      <c r="N1665" s="116">
        <v>1227.925</v>
      </c>
      <c r="O1665" s="116">
        <v>1187.8</v>
      </c>
      <c r="P1665" s="116">
        <v>1223</v>
      </c>
      <c r="Q1665" s="116">
        <v>2390.5500000000002</v>
      </c>
      <c r="R1665">
        <v>16098099</v>
      </c>
    </row>
    <row r="1666" spans="1:18" x14ac:dyDescent="0.25">
      <c r="A1666" s="170">
        <v>44459</v>
      </c>
      <c r="B1666" s="116">
        <v>1209</v>
      </c>
      <c r="C1666" s="116">
        <v>1196.95</v>
      </c>
      <c r="D1666" s="116">
        <v>1185</v>
      </c>
      <c r="E1666" s="116">
        <v>1187.5</v>
      </c>
      <c r="F1666" s="116">
        <v>2393.9</v>
      </c>
      <c r="G1666">
        <v>215248</v>
      </c>
      <c r="H1666" s="116"/>
      <c r="I1666" s="116"/>
      <c r="L1666" s="170">
        <v>44459</v>
      </c>
      <c r="M1666" s="116">
        <v>1197.175</v>
      </c>
      <c r="N1666" s="116">
        <v>1209.175</v>
      </c>
      <c r="O1666" s="116">
        <v>1185</v>
      </c>
      <c r="P1666" s="116">
        <v>1186.05</v>
      </c>
      <c r="Q1666" s="116">
        <v>2394.35</v>
      </c>
      <c r="R1666">
        <v>5436385</v>
      </c>
    </row>
    <row r="1667" spans="1:18" x14ac:dyDescent="0.25">
      <c r="A1667" s="170">
        <v>44460</v>
      </c>
      <c r="B1667" s="116">
        <v>1208</v>
      </c>
      <c r="C1667" s="116">
        <v>1202.075</v>
      </c>
      <c r="D1667" s="116">
        <v>1192.325</v>
      </c>
      <c r="E1667" s="116">
        <v>1205.5</v>
      </c>
      <c r="F1667" s="116">
        <v>2404.15</v>
      </c>
      <c r="G1667">
        <v>376728</v>
      </c>
      <c r="H1667" s="116"/>
      <c r="I1667" s="116"/>
      <c r="L1667" s="170">
        <v>44460</v>
      </c>
      <c r="M1667" s="116">
        <v>1202.3499999999999</v>
      </c>
      <c r="N1667" s="116">
        <v>1208.3</v>
      </c>
      <c r="O1667" s="116">
        <v>1192</v>
      </c>
      <c r="P1667" s="116">
        <v>1202.5</v>
      </c>
      <c r="Q1667" s="116">
        <v>2404.6999999999998</v>
      </c>
      <c r="R1667">
        <v>4576111</v>
      </c>
    </row>
    <row r="1668" spans="1:18" x14ac:dyDescent="0.25">
      <c r="A1668" s="170">
        <v>44461</v>
      </c>
      <c r="B1668" s="116">
        <v>1220.625</v>
      </c>
      <c r="C1668" s="116">
        <v>1215.3</v>
      </c>
      <c r="D1668" s="116">
        <v>1199.075</v>
      </c>
      <c r="E1668" s="116">
        <v>1204.5</v>
      </c>
      <c r="F1668" s="116">
        <v>2430.6</v>
      </c>
      <c r="G1668">
        <v>272044</v>
      </c>
      <c r="H1668" s="116"/>
      <c r="I1668" s="116"/>
      <c r="L1668" s="170">
        <v>44461</v>
      </c>
      <c r="M1668" s="116">
        <v>1215.25</v>
      </c>
      <c r="N1668" s="116">
        <v>1221</v>
      </c>
      <c r="O1668" s="116">
        <v>1199.125</v>
      </c>
      <c r="P1668" s="116">
        <v>1204</v>
      </c>
      <c r="Q1668" s="116">
        <v>2430.5</v>
      </c>
      <c r="R1668">
        <v>5074612</v>
      </c>
    </row>
    <row r="1669" spans="1:18" x14ac:dyDescent="0.25">
      <c r="A1669" s="170">
        <v>44462</v>
      </c>
      <c r="B1669" s="116">
        <v>1248.4749999999999</v>
      </c>
      <c r="C1669" s="116">
        <v>1244.825</v>
      </c>
      <c r="D1669" s="116">
        <v>1222.5</v>
      </c>
      <c r="E1669" s="116">
        <v>1222.5</v>
      </c>
      <c r="F1669" s="116">
        <v>2489.65</v>
      </c>
      <c r="G1669">
        <v>3174137</v>
      </c>
      <c r="H1669" s="116"/>
      <c r="I1669" s="116"/>
      <c r="L1669" s="170">
        <v>44462</v>
      </c>
      <c r="M1669" s="116">
        <v>1244.95</v>
      </c>
      <c r="N1669" s="116">
        <v>1248.5</v>
      </c>
      <c r="O1669" s="116">
        <v>1222.75</v>
      </c>
      <c r="P1669" s="116">
        <v>1223.7</v>
      </c>
      <c r="Q1669" s="116">
        <v>2489.9</v>
      </c>
      <c r="R1669">
        <v>7267883</v>
      </c>
    </row>
    <row r="1670" spans="1:18" x14ac:dyDescent="0.25">
      <c r="A1670" s="170">
        <v>44463</v>
      </c>
      <c r="B1670" s="116">
        <v>1252.3499999999999</v>
      </c>
      <c r="C1670" s="116">
        <v>1241.4749999999999</v>
      </c>
      <c r="D1670" s="116">
        <v>1236</v>
      </c>
      <c r="E1670" s="116">
        <v>1250</v>
      </c>
      <c r="F1670" s="116">
        <v>2482.9499999999998</v>
      </c>
      <c r="G1670">
        <v>288081</v>
      </c>
      <c r="H1670" s="116"/>
      <c r="I1670" s="116"/>
      <c r="L1670" s="170">
        <v>44463</v>
      </c>
      <c r="M1670" s="116">
        <v>1241.3499999999999</v>
      </c>
      <c r="N1670" s="116">
        <v>1252.7249999999999</v>
      </c>
      <c r="O1670" s="116">
        <v>1236</v>
      </c>
      <c r="P1670" s="116">
        <v>1251.7750000000001</v>
      </c>
      <c r="Q1670" s="116">
        <v>2482.6999999999998</v>
      </c>
      <c r="R1670">
        <v>7011181</v>
      </c>
    </row>
    <row r="1671" spans="1:18" x14ac:dyDescent="0.25">
      <c r="A1671" s="170">
        <v>44466</v>
      </c>
      <c r="B1671" s="116">
        <v>1264.5</v>
      </c>
      <c r="C1671" s="116">
        <v>1262.5999999999999</v>
      </c>
      <c r="D1671" s="116">
        <v>1237.75</v>
      </c>
      <c r="E1671" s="116">
        <v>1242.0999999999999</v>
      </c>
      <c r="F1671" s="116">
        <v>2525.1999999999998</v>
      </c>
      <c r="G1671">
        <v>314356</v>
      </c>
      <c r="H1671" s="116"/>
      <c r="I1671" s="116"/>
      <c r="L1671" s="170">
        <v>44466</v>
      </c>
      <c r="M1671" s="116">
        <v>1262.2249999999999</v>
      </c>
      <c r="N1671" s="116">
        <v>1264.95</v>
      </c>
      <c r="O1671" s="116">
        <v>1237.6500000000001</v>
      </c>
      <c r="P1671" s="116">
        <v>1243.5</v>
      </c>
      <c r="Q1671" s="116">
        <v>2524.4499999999998</v>
      </c>
      <c r="R1671">
        <v>7095022</v>
      </c>
    </row>
    <row r="1672" spans="1:18" x14ac:dyDescent="0.25">
      <c r="A1672" s="170">
        <v>44467</v>
      </c>
      <c r="B1672" s="116">
        <v>1282.5</v>
      </c>
      <c r="C1672" s="116">
        <v>1274.0250000000001</v>
      </c>
      <c r="D1672" s="116">
        <v>1256.0999999999999</v>
      </c>
      <c r="E1672" s="116">
        <v>1265.5</v>
      </c>
      <c r="F1672" s="116">
        <v>2548.0500000000002</v>
      </c>
      <c r="G1672">
        <v>1214524</v>
      </c>
      <c r="H1672" s="116"/>
      <c r="I1672" s="116"/>
      <c r="L1672" s="170">
        <v>44467</v>
      </c>
      <c r="M1672" s="116">
        <v>1274.0250000000001</v>
      </c>
      <c r="N1672" s="116">
        <v>1282.45</v>
      </c>
      <c r="O1672" s="116">
        <v>1256.4000000000001</v>
      </c>
      <c r="P1672" s="116">
        <v>1267</v>
      </c>
      <c r="Q1672" s="116">
        <v>2548.0500000000002</v>
      </c>
      <c r="R1672">
        <v>8323269</v>
      </c>
    </row>
    <row r="1673" spans="1:18" x14ac:dyDescent="0.25">
      <c r="A1673" s="170">
        <v>44468</v>
      </c>
      <c r="B1673" s="116">
        <v>1281.95</v>
      </c>
      <c r="C1673" s="116">
        <v>1263.625</v>
      </c>
      <c r="D1673" s="116">
        <v>1260</v>
      </c>
      <c r="E1673" s="116">
        <v>1281</v>
      </c>
      <c r="F1673" s="116">
        <v>2527.25</v>
      </c>
      <c r="G1673">
        <v>2433923</v>
      </c>
      <c r="H1673" s="116"/>
      <c r="I1673" s="116"/>
      <c r="L1673" s="170">
        <v>44468</v>
      </c>
      <c r="M1673" s="116">
        <v>1263.925</v>
      </c>
      <c r="N1673" s="116">
        <v>1285</v>
      </c>
      <c r="O1673" s="116">
        <v>1260.0250000000001</v>
      </c>
      <c r="P1673" s="116">
        <v>1285</v>
      </c>
      <c r="Q1673" s="116">
        <v>2527.85</v>
      </c>
      <c r="R1673">
        <v>4485721</v>
      </c>
    </row>
    <row r="1674" spans="1:18" x14ac:dyDescent="0.25">
      <c r="A1674" s="170">
        <v>44469</v>
      </c>
      <c r="B1674" s="116">
        <v>1267.05</v>
      </c>
      <c r="C1674" s="116">
        <v>1258.5</v>
      </c>
      <c r="D1674" s="116">
        <v>1250.375</v>
      </c>
      <c r="E1674" s="116">
        <v>1263.925</v>
      </c>
      <c r="F1674" s="116">
        <v>2517</v>
      </c>
      <c r="G1674">
        <v>270456</v>
      </c>
      <c r="H1674" s="116"/>
      <c r="I1674" s="116"/>
      <c r="L1674" s="170">
        <v>44469</v>
      </c>
      <c r="M1674" s="116">
        <v>1259.625</v>
      </c>
      <c r="N1674" s="116">
        <v>1267.3</v>
      </c>
      <c r="O1674" s="116">
        <v>1250.175</v>
      </c>
      <c r="P1674" s="116">
        <v>1262.5</v>
      </c>
      <c r="Q1674" s="116">
        <v>2519.25</v>
      </c>
      <c r="R1674">
        <v>6272085</v>
      </c>
    </row>
    <row r="1675" spans="1:18" x14ac:dyDescent="0.25">
      <c r="A1675" s="170">
        <v>44470</v>
      </c>
      <c r="B1675" s="116">
        <v>1269.925</v>
      </c>
      <c r="C1675" s="116">
        <v>1261.425</v>
      </c>
      <c r="D1675" s="116">
        <v>1247.925</v>
      </c>
      <c r="E1675" s="116">
        <v>1253</v>
      </c>
      <c r="F1675" s="116">
        <v>2522.85</v>
      </c>
      <c r="G1675">
        <v>2866109</v>
      </c>
      <c r="H1675" s="116"/>
      <c r="I1675" s="116"/>
      <c r="L1675" s="170">
        <v>44470</v>
      </c>
      <c r="M1675" s="116">
        <v>1261.8499999999999</v>
      </c>
      <c r="N1675" s="116">
        <v>1269.9000000000001</v>
      </c>
      <c r="O1675" s="116">
        <v>1247.5</v>
      </c>
      <c r="P1675" s="116">
        <v>1250.9749999999999</v>
      </c>
      <c r="Q1675" s="116">
        <v>2523.6999999999998</v>
      </c>
      <c r="R1675">
        <v>4134544</v>
      </c>
    </row>
    <row r="1676" spans="1:18" x14ac:dyDescent="0.25">
      <c r="A1676" s="170">
        <v>44473</v>
      </c>
      <c r="B1676" s="116">
        <v>1287.325</v>
      </c>
      <c r="C1676" s="116">
        <v>1277.925</v>
      </c>
      <c r="D1676" s="116">
        <v>1268.7750000000001</v>
      </c>
      <c r="E1676" s="116">
        <v>1274.95</v>
      </c>
      <c r="F1676" s="116">
        <v>2555.85</v>
      </c>
      <c r="G1676">
        <v>1315342</v>
      </c>
      <c r="H1676" s="116"/>
      <c r="I1676" s="116"/>
      <c r="L1676" s="170">
        <v>44473</v>
      </c>
      <c r="M1676" s="116">
        <v>1278.075</v>
      </c>
      <c r="N1676" s="116">
        <v>1287.425</v>
      </c>
      <c r="O1676" s="116">
        <v>1268.5250000000001</v>
      </c>
      <c r="P1676" s="116">
        <v>1276.5</v>
      </c>
      <c r="Q1676" s="116">
        <v>2556.15</v>
      </c>
      <c r="R1676">
        <v>5038910</v>
      </c>
    </row>
    <row r="1677" spans="1:18" x14ac:dyDescent="0.25">
      <c r="A1677" s="170">
        <v>44474</v>
      </c>
      <c r="B1677" s="116">
        <v>1306</v>
      </c>
      <c r="C1677" s="116">
        <v>1304.55</v>
      </c>
      <c r="D1677" s="116">
        <v>1273.6500000000001</v>
      </c>
      <c r="E1677" s="116">
        <v>1282.5</v>
      </c>
      <c r="F1677" s="116">
        <v>2609.1</v>
      </c>
      <c r="G1677">
        <v>287513</v>
      </c>
      <c r="H1677" s="116"/>
      <c r="I1677" s="116"/>
      <c r="L1677" s="170">
        <v>44474</v>
      </c>
      <c r="M1677" s="116">
        <v>1304.5999999999999</v>
      </c>
      <c r="N1677" s="116">
        <v>1306</v>
      </c>
      <c r="O1677" s="116">
        <v>1273.675</v>
      </c>
      <c r="P1677" s="116">
        <v>1277.55</v>
      </c>
      <c r="Q1677" s="116">
        <v>2609.1999999999998</v>
      </c>
      <c r="R1677">
        <v>6245770</v>
      </c>
    </row>
    <row r="1678" spans="1:18" x14ac:dyDescent="0.25">
      <c r="A1678" s="170">
        <v>44475</v>
      </c>
      <c r="B1678" s="116">
        <v>1311.5</v>
      </c>
      <c r="C1678" s="116">
        <v>1280.0999999999999</v>
      </c>
      <c r="D1678" s="116">
        <v>1275.0250000000001</v>
      </c>
      <c r="E1678" s="116">
        <v>1311.5</v>
      </c>
      <c r="F1678" s="116">
        <v>2560.1999999999998</v>
      </c>
      <c r="G1678">
        <v>134604</v>
      </c>
      <c r="H1678" s="116"/>
      <c r="I1678" s="116"/>
      <c r="L1678" s="170">
        <v>44475</v>
      </c>
      <c r="M1678" s="116">
        <v>1279.925</v>
      </c>
      <c r="N1678" s="116">
        <v>1309.9749999999999</v>
      </c>
      <c r="O1678" s="116">
        <v>1275.55</v>
      </c>
      <c r="P1678" s="116">
        <v>1309.9749999999999</v>
      </c>
      <c r="Q1678" s="116">
        <v>2559.85</v>
      </c>
      <c r="R1678">
        <v>4734472</v>
      </c>
    </row>
    <row r="1679" spans="1:18" x14ac:dyDescent="0.25">
      <c r="A1679" s="170">
        <v>44476</v>
      </c>
      <c r="B1679" s="116">
        <v>1300</v>
      </c>
      <c r="C1679" s="116">
        <v>1286.075</v>
      </c>
      <c r="D1679" s="116">
        <v>1284.05</v>
      </c>
      <c r="E1679" s="116">
        <v>1300</v>
      </c>
      <c r="F1679" s="116">
        <v>2572.15</v>
      </c>
      <c r="G1679">
        <v>133140</v>
      </c>
      <c r="H1679" s="116"/>
      <c r="I1679" s="116"/>
      <c r="L1679" s="170">
        <v>44476</v>
      </c>
      <c r="M1679" s="116">
        <v>1286.2</v>
      </c>
      <c r="N1679" s="116">
        <v>1299.375</v>
      </c>
      <c r="O1679" s="116">
        <v>1283.8499999999999</v>
      </c>
      <c r="P1679" s="116">
        <v>1297.5</v>
      </c>
      <c r="Q1679" s="116">
        <v>2572.4</v>
      </c>
      <c r="R1679">
        <v>2924370</v>
      </c>
    </row>
    <row r="1680" spans="1:18" x14ac:dyDescent="0.25">
      <c r="A1680" s="170">
        <v>44477</v>
      </c>
      <c r="B1680" s="116">
        <v>1341.95</v>
      </c>
      <c r="C1680" s="116">
        <v>1335.425</v>
      </c>
      <c r="D1680" s="116">
        <v>1290</v>
      </c>
      <c r="E1680" s="116">
        <v>1290</v>
      </c>
      <c r="F1680" s="116">
        <v>2670.85</v>
      </c>
      <c r="G1680">
        <v>328023</v>
      </c>
      <c r="H1680" s="116"/>
      <c r="I1680" s="116"/>
      <c r="L1680" s="170">
        <v>44477</v>
      </c>
      <c r="M1680" s="116">
        <v>1335.625</v>
      </c>
      <c r="N1680" s="116">
        <v>1342.2</v>
      </c>
      <c r="O1680" s="116">
        <v>1290.75</v>
      </c>
      <c r="P1680" s="116">
        <v>1292.625</v>
      </c>
      <c r="Q1680" s="116">
        <v>2671.25</v>
      </c>
      <c r="R1680">
        <v>7279003</v>
      </c>
    </row>
    <row r="1681" spans="1:18" x14ac:dyDescent="0.25">
      <c r="A1681" s="170">
        <v>44480</v>
      </c>
      <c r="B1681" s="116">
        <v>1362.35</v>
      </c>
      <c r="C1681" s="116">
        <v>1325.575</v>
      </c>
      <c r="D1681" s="116">
        <v>1322.5250000000001</v>
      </c>
      <c r="E1681" s="116">
        <v>1362.35</v>
      </c>
      <c r="F1681" s="116">
        <v>2651.15</v>
      </c>
      <c r="G1681">
        <v>2880808</v>
      </c>
      <c r="H1681" s="116"/>
      <c r="I1681" s="116"/>
      <c r="L1681" s="170">
        <v>44480</v>
      </c>
      <c r="M1681" s="116">
        <v>1326.325</v>
      </c>
      <c r="N1681" s="116">
        <v>1360</v>
      </c>
      <c r="O1681" s="116">
        <v>1322.675</v>
      </c>
      <c r="P1681" s="116">
        <v>1350.7</v>
      </c>
      <c r="Q1681" s="116">
        <v>2652.65</v>
      </c>
      <c r="R1681">
        <v>6815737</v>
      </c>
    </row>
    <row r="1682" spans="1:18" x14ac:dyDescent="0.25">
      <c r="A1682" s="170">
        <v>44481</v>
      </c>
      <c r="B1682" s="116">
        <v>1341.375</v>
      </c>
      <c r="C1682" s="116">
        <v>1334.2750000000001</v>
      </c>
      <c r="D1682" s="116">
        <v>1320.5</v>
      </c>
      <c r="E1682" s="116">
        <v>1320.5</v>
      </c>
      <c r="F1682" s="116">
        <v>2668.55</v>
      </c>
      <c r="G1682">
        <v>129947</v>
      </c>
      <c r="H1682" s="116"/>
      <c r="I1682" s="116"/>
      <c r="L1682" s="170">
        <v>44481</v>
      </c>
      <c r="M1682" s="116">
        <v>1333.9</v>
      </c>
      <c r="N1682" s="116">
        <v>1341.5</v>
      </c>
      <c r="O1682" s="116">
        <v>1320.625</v>
      </c>
      <c r="P1682" s="116">
        <v>1322.5</v>
      </c>
      <c r="Q1682" s="116">
        <v>2667.8</v>
      </c>
      <c r="R1682">
        <v>3083747</v>
      </c>
    </row>
    <row r="1683" spans="1:18" x14ac:dyDescent="0.25">
      <c r="A1683" s="170">
        <v>44482</v>
      </c>
      <c r="B1683" s="116">
        <v>1359.75</v>
      </c>
      <c r="C1683" s="116">
        <v>1347.95</v>
      </c>
      <c r="D1683" s="116">
        <v>1334.5</v>
      </c>
      <c r="E1683" s="116">
        <v>1341.5</v>
      </c>
      <c r="F1683" s="116">
        <v>2695.9</v>
      </c>
      <c r="G1683">
        <v>229201</v>
      </c>
      <c r="H1683" s="116"/>
      <c r="I1683" s="116"/>
      <c r="L1683" s="170">
        <v>44482</v>
      </c>
      <c r="M1683" s="116">
        <v>1347.4749999999999</v>
      </c>
      <c r="N1683" s="116">
        <v>1359.75</v>
      </c>
      <c r="O1683" s="116">
        <v>1334.65</v>
      </c>
      <c r="P1683" s="116">
        <v>1339.5</v>
      </c>
      <c r="Q1683" s="116">
        <v>2694.95</v>
      </c>
      <c r="R1683">
        <v>4596429</v>
      </c>
    </row>
    <row r="1684" spans="1:18" x14ac:dyDescent="0.25">
      <c r="A1684" s="170">
        <v>44483</v>
      </c>
      <c r="B1684" s="116">
        <v>1358.85</v>
      </c>
      <c r="C1684" s="116">
        <v>1349.925</v>
      </c>
      <c r="D1684" s="116">
        <v>1343.575</v>
      </c>
      <c r="E1684" s="116">
        <v>1352.5</v>
      </c>
      <c r="F1684" s="116">
        <v>2699.85</v>
      </c>
      <c r="G1684">
        <v>152754</v>
      </c>
      <c r="H1684" s="116"/>
      <c r="I1684" s="116"/>
      <c r="L1684" s="170">
        <v>44483</v>
      </c>
      <c r="M1684" s="116">
        <v>1350.2</v>
      </c>
      <c r="N1684" s="116">
        <v>1358.7249999999999</v>
      </c>
      <c r="O1684" s="116">
        <v>1343.6</v>
      </c>
      <c r="P1684" s="116">
        <v>1350.175</v>
      </c>
      <c r="Q1684" s="116">
        <v>2700.4</v>
      </c>
      <c r="R1684">
        <v>3979730</v>
      </c>
    </row>
    <row r="1685" spans="1:18" x14ac:dyDescent="0.25">
      <c r="A1685" s="170">
        <v>44487</v>
      </c>
      <c r="B1685" s="116">
        <v>1372.4749999999999</v>
      </c>
      <c r="C1685" s="116">
        <v>1353.5</v>
      </c>
      <c r="D1685" s="116">
        <v>1330</v>
      </c>
      <c r="E1685" s="116">
        <v>1342</v>
      </c>
      <c r="F1685" s="116">
        <v>2707</v>
      </c>
      <c r="G1685">
        <v>161592</v>
      </c>
      <c r="H1685" s="116"/>
      <c r="I1685" s="116"/>
      <c r="L1685" s="170">
        <v>44487</v>
      </c>
      <c r="M1685" s="116">
        <v>1353.8</v>
      </c>
      <c r="N1685" s="116">
        <v>1372.5</v>
      </c>
      <c r="O1685" s="116">
        <v>1331.15</v>
      </c>
      <c r="P1685" s="116">
        <v>1334.3</v>
      </c>
      <c r="Q1685" s="116">
        <v>2707.6</v>
      </c>
      <c r="R1685">
        <v>6273850</v>
      </c>
    </row>
    <row r="1686" spans="1:18" x14ac:dyDescent="0.25">
      <c r="A1686" s="170">
        <v>44488</v>
      </c>
      <c r="B1686" s="116">
        <v>1375</v>
      </c>
      <c r="C1686" s="116">
        <v>1365.75</v>
      </c>
      <c r="D1686" s="116">
        <v>1354</v>
      </c>
      <c r="E1686" s="116">
        <v>1363</v>
      </c>
      <c r="F1686" s="116">
        <v>2731.5</v>
      </c>
      <c r="G1686">
        <v>108463</v>
      </c>
      <c r="H1686" s="116"/>
      <c r="I1686" s="116"/>
      <c r="L1686" s="170">
        <v>44488</v>
      </c>
      <c r="M1686" s="116">
        <v>1365.925</v>
      </c>
      <c r="N1686" s="116">
        <v>1375.675</v>
      </c>
      <c r="O1686" s="116">
        <v>1354</v>
      </c>
      <c r="P1686" s="116">
        <v>1361.9</v>
      </c>
      <c r="Q1686" s="116">
        <v>2731.85</v>
      </c>
      <c r="R1686">
        <v>4076617</v>
      </c>
    </row>
    <row r="1687" spans="1:18" x14ac:dyDescent="0.25">
      <c r="A1687" s="170">
        <v>44489</v>
      </c>
      <c r="B1687" s="116">
        <v>1372.05</v>
      </c>
      <c r="C1687" s="116">
        <v>1349.95</v>
      </c>
      <c r="D1687" s="116">
        <v>1345.7249999999999</v>
      </c>
      <c r="E1687" s="116">
        <v>1370</v>
      </c>
      <c r="F1687" s="116">
        <v>2699.9</v>
      </c>
      <c r="G1687">
        <v>2747085</v>
      </c>
      <c r="H1687" s="116"/>
      <c r="I1687" s="116"/>
      <c r="L1687" s="170">
        <v>44489</v>
      </c>
      <c r="M1687" s="116">
        <v>1350.2</v>
      </c>
      <c r="N1687" s="116">
        <v>1371.375</v>
      </c>
      <c r="O1687" s="116">
        <v>1345.75</v>
      </c>
      <c r="P1687" s="116">
        <v>1371.375</v>
      </c>
      <c r="Q1687" s="116">
        <v>2700.4</v>
      </c>
      <c r="R1687">
        <v>5865926</v>
      </c>
    </row>
    <row r="1688" spans="1:18" x14ac:dyDescent="0.25">
      <c r="A1688" s="170">
        <v>44490</v>
      </c>
      <c r="B1688" s="116">
        <v>1362.9749999999999</v>
      </c>
      <c r="C1688" s="116">
        <v>1311.5</v>
      </c>
      <c r="D1688" s="116">
        <v>1301.5</v>
      </c>
      <c r="E1688" s="116">
        <v>1362.9749999999999</v>
      </c>
      <c r="F1688" s="116">
        <v>2623</v>
      </c>
      <c r="G1688">
        <v>395833</v>
      </c>
      <c r="H1688" s="116"/>
      <c r="I1688" s="116"/>
      <c r="L1688" s="170">
        <v>44490</v>
      </c>
      <c r="M1688" s="116">
        <v>1311.25</v>
      </c>
      <c r="N1688" s="116">
        <v>1364</v>
      </c>
      <c r="O1688" s="116">
        <v>1301.5999999999999</v>
      </c>
      <c r="P1688" s="116">
        <v>1363.7</v>
      </c>
      <c r="Q1688" s="116">
        <v>2622.5</v>
      </c>
      <c r="R1688">
        <v>9613812</v>
      </c>
    </row>
    <row r="1689" spans="1:18" x14ac:dyDescent="0.25">
      <c r="A1689" s="170">
        <v>44491</v>
      </c>
      <c r="B1689" s="116">
        <v>1332.35</v>
      </c>
      <c r="C1689" s="116">
        <v>1313.5250000000001</v>
      </c>
      <c r="D1689" s="116">
        <v>1305.7</v>
      </c>
      <c r="E1689" s="116">
        <v>1311.9</v>
      </c>
      <c r="F1689" s="116">
        <v>2627.05</v>
      </c>
      <c r="G1689">
        <v>299137</v>
      </c>
      <c r="H1689" s="116"/>
      <c r="I1689" s="116"/>
      <c r="L1689" s="170">
        <v>44491</v>
      </c>
      <c r="M1689" s="116">
        <v>1313.7</v>
      </c>
      <c r="N1689" s="116">
        <v>1332.45</v>
      </c>
      <c r="O1689" s="116">
        <v>1305.75</v>
      </c>
      <c r="P1689" s="116">
        <v>1310</v>
      </c>
      <c r="Q1689" s="116">
        <v>2627.4</v>
      </c>
      <c r="R1689">
        <v>5089178</v>
      </c>
    </row>
    <row r="1690" spans="1:18" x14ac:dyDescent="0.25">
      <c r="A1690" s="170">
        <v>44494</v>
      </c>
      <c r="B1690" s="116">
        <v>1349.5</v>
      </c>
      <c r="C1690" s="116">
        <v>1300.825</v>
      </c>
      <c r="D1690" s="116">
        <v>1285.05</v>
      </c>
      <c r="E1690" s="116">
        <v>1349.5</v>
      </c>
      <c r="F1690" s="116">
        <v>2601.65</v>
      </c>
      <c r="G1690">
        <v>424305</v>
      </c>
      <c r="H1690" s="116"/>
      <c r="I1690" s="116"/>
      <c r="L1690" s="170">
        <v>44494</v>
      </c>
      <c r="M1690" s="116">
        <v>1300.9000000000001</v>
      </c>
      <c r="N1690" s="116">
        <v>1340</v>
      </c>
      <c r="O1690" s="116">
        <v>1285</v>
      </c>
      <c r="P1690" s="116">
        <v>1340</v>
      </c>
      <c r="Q1690" s="116">
        <v>2601.8000000000002</v>
      </c>
      <c r="R1690">
        <v>7937067</v>
      </c>
    </row>
    <row r="1691" spans="1:18" x14ac:dyDescent="0.25">
      <c r="A1691" s="170">
        <v>44495</v>
      </c>
      <c r="B1691" s="116">
        <v>1334.425</v>
      </c>
      <c r="C1691" s="116">
        <v>1330.75</v>
      </c>
      <c r="D1691" s="116">
        <v>1301.675</v>
      </c>
      <c r="E1691" s="116">
        <v>1307.2249999999999</v>
      </c>
      <c r="F1691" s="116">
        <v>2661.5</v>
      </c>
      <c r="G1691">
        <v>387791</v>
      </c>
      <c r="H1691" s="116"/>
      <c r="I1691" s="116"/>
      <c r="L1691" s="170">
        <v>44495</v>
      </c>
      <c r="M1691" s="116">
        <v>1330.5250000000001</v>
      </c>
      <c r="N1691" s="116">
        <v>1334.45</v>
      </c>
      <c r="O1691" s="116">
        <v>1301.575</v>
      </c>
      <c r="P1691" s="116">
        <v>1308.55</v>
      </c>
      <c r="Q1691" s="116">
        <v>2661.05</v>
      </c>
      <c r="R1691">
        <v>4499706</v>
      </c>
    </row>
    <row r="1692" spans="1:18" x14ac:dyDescent="0.25">
      <c r="A1692" s="170">
        <v>44496</v>
      </c>
      <c r="B1692" s="116">
        <v>1338.5</v>
      </c>
      <c r="C1692" s="116">
        <v>1316.325</v>
      </c>
      <c r="D1692" s="116">
        <v>1310</v>
      </c>
      <c r="E1692" s="116">
        <v>1329.9</v>
      </c>
      <c r="F1692" s="116">
        <v>2632.65</v>
      </c>
      <c r="G1692">
        <v>240760</v>
      </c>
      <c r="H1692" s="116"/>
      <c r="I1692" s="116"/>
      <c r="L1692" s="170">
        <v>44496</v>
      </c>
      <c r="M1692" s="116">
        <v>1313.7</v>
      </c>
      <c r="N1692" s="116">
        <v>1338.4</v>
      </c>
      <c r="O1692" s="116">
        <v>1309.9749999999999</v>
      </c>
      <c r="P1692" s="116">
        <v>1326</v>
      </c>
      <c r="Q1692" s="116">
        <v>2627.4</v>
      </c>
      <c r="R1692">
        <v>4567140</v>
      </c>
    </row>
    <row r="1693" spans="1:18" x14ac:dyDescent="0.25">
      <c r="A1693" s="170">
        <v>44497</v>
      </c>
      <c r="B1693" s="116">
        <v>1318.9</v>
      </c>
      <c r="C1693" s="116">
        <v>1299.675</v>
      </c>
      <c r="D1693" s="116">
        <v>1295.55</v>
      </c>
      <c r="E1693" s="116">
        <v>1310.5</v>
      </c>
      <c r="F1693" s="116">
        <v>2599.35</v>
      </c>
      <c r="G1693">
        <v>404017</v>
      </c>
      <c r="H1693" s="116"/>
      <c r="I1693" s="116"/>
      <c r="L1693" s="170">
        <v>44497</v>
      </c>
      <c r="M1693" s="116">
        <v>1299.3</v>
      </c>
      <c r="N1693" s="116">
        <v>1318.9749999999999</v>
      </c>
      <c r="O1693" s="116">
        <v>1295.25</v>
      </c>
      <c r="P1693" s="116">
        <v>1310</v>
      </c>
      <c r="Q1693" s="116">
        <v>2598.6</v>
      </c>
      <c r="R1693">
        <v>4562471</v>
      </c>
    </row>
    <row r="1694" spans="1:18" x14ac:dyDescent="0.25">
      <c r="A1694" s="170">
        <v>44498</v>
      </c>
      <c r="B1694" s="116">
        <v>1297.575</v>
      </c>
      <c r="C1694" s="116">
        <v>1268.8</v>
      </c>
      <c r="D1694" s="116">
        <v>1251.2750000000001</v>
      </c>
      <c r="E1694" s="116">
        <v>1293</v>
      </c>
      <c r="F1694" s="116">
        <v>2537.6</v>
      </c>
      <c r="G1694">
        <v>340018</v>
      </c>
      <c r="H1694" s="116"/>
      <c r="I1694" s="116"/>
      <c r="L1694" s="170">
        <v>44498</v>
      </c>
      <c r="M1694" s="116">
        <v>1268.125</v>
      </c>
      <c r="N1694" s="116">
        <v>1298.075</v>
      </c>
      <c r="O1694" s="116">
        <v>1250.8499999999999</v>
      </c>
      <c r="P1694" s="116">
        <v>1298.075</v>
      </c>
      <c r="Q1694" s="116">
        <v>2536.25</v>
      </c>
      <c r="R1694">
        <v>6568539</v>
      </c>
    </row>
    <row r="1695" spans="1:18" x14ac:dyDescent="0.25">
      <c r="A1695" s="170">
        <v>44501</v>
      </c>
      <c r="B1695" s="116">
        <v>1277.5</v>
      </c>
      <c r="C1695" s="116">
        <v>1268.675</v>
      </c>
      <c r="D1695" s="116">
        <v>1247</v>
      </c>
      <c r="E1695" s="116">
        <v>1265.5999999999999</v>
      </c>
      <c r="F1695" s="116">
        <v>2537.35</v>
      </c>
      <c r="G1695">
        <v>347023</v>
      </c>
      <c r="H1695" s="116"/>
      <c r="I1695" s="116"/>
      <c r="L1695" s="170">
        <v>44501</v>
      </c>
      <c r="M1695" s="116">
        <v>1268.9000000000001</v>
      </c>
      <c r="N1695" s="116">
        <v>1278</v>
      </c>
      <c r="O1695" s="116">
        <v>1247.05</v>
      </c>
      <c r="P1695" s="116">
        <v>1268.125</v>
      </c>
      <c r="Q1695" s="116">
        <v>2537.8000000000002</v>
      </c>
      <c r="R1695">
        <v>7144532</v>
      </c>
    </row>
    <row r="1696" spans="1:18" x14ac:dyDescent="0.25">
      <c r="A1696" s="170">
        <v>44502</v>
      </c>
      <c r="B1696" s="116">
        <v>1275.95</v>
      </c>
      <c r="C1696" s="116">
        <v>1250.45</v>
      </c>
      <c r="D1696" s="116">
        <v>1248.5</v>
      </c>
      <c r="E1696" s="116">
        <v>1275.95</v>
      </c>
      <c r="F1696" s="116">
        <v>2500.9</v>
      </c>
      <c r="G1696">
        <v>416615</v>
      </c>
      <c r="H1696" s="116"/>
      <c r="I1696" s="116"/>
      <c r="L1696" s="170">
        <v>44502</v>
      </c>
      <c r="M1696" s="116">
        <v>1250.4000000000001</v>
      </c>
      <c r="N1696" s="116">
        <v>1274</v>
      </c>
      <c r="O1696" s="116">
        <v>1247.625</v>
      </c>
      <c r="P1696" s="116">
        <v>1272.5</v>
      </c>
      <c r="Q1696" s="116">
        <v>2500.8000000000002</v>
      </c>
      <c r="R1696">
        <v>4877652</v>
      </c>
    </row>
    <row r="1697" spans="1:18" x14ac:dyDescent="0.25">
      <c r="A1697" s="170">
        <v>44503</v>
      </c>
      <c r="B1697" s="116">
        <v>1260.2249999999999</v>
      </c>
      <c r="C1697" s="116">
        <v>1241.925</v>
      </c>
      <c r="D1697" s="116">
        <v>1230.5</v>
      </c>
      <c r="E1697" s="116">
        <v>1252.375</v>
      </c>
      <c r="F1697" s="116">
        <v>2483.85</v>
      </c>
      <c r="G1697">
        <v>249022</v>
      </c>
      <c r="H1697" s="116"/>
      <c r="I1697" s="116"/>
      <c r="L1697" s="170">
        <v>44503</v>
      </c>
      <c r="M1697" s="116">
        <v>1241.8</v>
      </c>
      <c r="N1697" s="116">
        <v>1260</v>
      </c>
      <c r="O1697" s="116">
        <v>1230.5</v>
      </c>
      <c r="P1697" s="116">
        <v>1253.0250000000001</v>
      </c>
      <c r="Q1697" s="116">
        <v>2483.6</v>
      </c>
      <c r="R1697">
        <v>5533120</v>
      </c>
    </row>
    <row r="1698" spans="1:18" x14ac:dyDescent="0.25">
      <c r="A1698" s="170">
        <v>44504</v>
      </c>
      <c r="B1698" s="116">
        <v>1252.5</v>
      </c>
      <c r="C1698" s="116">
        <v>1249.4000000000001</v>
      </c>
      <c r="D1698" s="116">
        <v>1245.0250000000001</v>
      </c>
      <c r="E1698" s="116">
        <v>1247.45</v>
      </c>
      <c r="F1698" s="116">
        <v>2498.8000000000002</v>
      </c>
      <c r="G1698">
        <v>64847</v>
      </c>
      <c r="H1698" s="116"/>
      <c r="I1698" s="116"/>
      <c r="L1698" s="170">
        <v>44504</v>
      </c>
      <c r="M1698" s="116">
        <v>1249.425</v>
      </c>
      <c r="N1698" s="116">
        <v>1252.45</v>
      </c>
      <c r="O1698" s="116">
        <v>1245</v>
      </c>
      <c r="P1698" s="116">
        <v>1246.4749999999999</v>
      </c>
      <c r="Q1698" s="116">
        <v>2498.85</v>
      </c>
      <c r="R1698">
        <v>787160</v>
      </c>
    </row>
    <row r="1699" spans="1:18" x14ac:dyDescent="0.25">
      <c r="A1699" s="170">
        <v>44508</v>
      </c>
      <c r="B1699" s="116">
        <v>1261</v>
      </c>
      <c r="C1699" s="116">
        <v>1251</v>
      </c>
      <c r="D1699" s="116">
        <v>1228.825</v>
      </c>
      <c r="E1699" s="116">
        <v>1255.05</v>
      </c>
      <c r="F1699" s="116">
        <v>2502</v>
      </c>
      <c r="G1699">
        <v>183715</v>
      </c>
      <c r="H1699" s="116"/>
      <c r="I1699" s="116"/>
      <c r="L1699" s="170">
        <v>44508</v>
      </c>
      <c r="M1699" s="116">
        <v>1250.9749999999999</v>
      </c>
      <c r="N1699" s="116">
        <v>1260</v>
      </c>
      <c r="O1699" s="116">
        <v>1228.2</v>
      </c>
      <c r="P1699" s="116">
        <v>1259.7</v>
      </c>
      <c r="Q1699" s="116">
        <v>2501.9499999999998</v>
      </c>
      <c r="R1699">
        <v>9385607</v>
      </c>
    </row>
    <row r="1700" spans="1:18" x14ac:dyDescent="0.25">
      <c r="A1700" s="170">
        <v>44509</v>
      </c>
      <c r="B1700" s="116">
        <v>1264.4749999999999</v>
      </c>
      <c r="C1700" s="116">
        <v>1260.0250000000001</v>
      </c>
      <c r="D1700" s="116">
        <v>1243.3499999999999</v>
      </c>
      <c r="E1700" s="116">
        <v>1251</v>
      </c>
      <c r="F1700" s="116">
        <v>2520.0500000000002</v>
      </c>
      <c r="G1700">
        <v>282251</v>
      </c>
      <c r="H1700" s="116"/>
      <c r="I1700" s="116"/>
      <c r="L1700" s="170">
        <v>44509</v>
      </c>
      <c r="M1700" s="116">
        <v>1260.8499999999999</v>
      </c>
      <c r="N1700" s="116">
        <v>1264.45</v>
      </c>
      <c r="O1700" s="116">
        <v>1243.5250000000001</v>
      </c>
      <c r="P1700" s="116">
        <v>1252.5</v>
      </c>
      <c r="Q1700" s="116">
        <v>2521.6999999999998</v>
      </c>
      <c r="R1700">
        <v>7237470</v>
      </c>
    </row>
    <row r="1701" spans="1:18" x14ac:dyDescent="0.25">
      <c r="A1701" s="170">
        <v>44510</v>
      </c>
      <c r="B1701" s="116">
        <v>1279</v>
      </c>
      <c r="C1701" s="116">
        <v>1274.7</v>
      </c>
      <c r="D1701" s="116">
        <v>1251.925</v>
      </c>
      <c r="E1701" s="116">
        <v>1259.45</v>
      </c>
      <c r="F1701" s="116">
        <v>2549.4</v>
      </c>
      <c r="G1701">
        <v>108322</v>
      </c>
      <c r="H1701" s="116"/>
      <c r="I1701" s="116"/>
      <c r="L1701" s="170">
        <v>44510</v>
      </c>
      <c r="M1701" s="116">
        <v>1274.95</v>
      </c>
      <c r="N1701" s="116">
        <v>1279</v>
      </c>
      <c r="O1701" s="116">
        <v>1251.825</v>
      </c>
      <c r="P1701" s="116">
        <v>1258.3499999999999</v>
      </c>
      <c r="Q1701" s="116">
        <v>2549.9</v>
      </c>
      <c r="R1701">
        <v>4731975</v>
      </c>
    </row>
    <row r="1702" spans="1:18" x14ac:dyDescent="0.25">
      <c r="A1702" s="170">
        <v>44511</v>
      </c>
      <c r="B1702" s="116">
        <v>1285.5</v>
      </c>
      <c r="C1702" s="116">
        <v>1277.4749999999999</v>
      </c>
      <c r="D1702" s="116">
        <v>1267.9749999999999</v>
      </c>
      <c r="E1702" s="116">
        <v>1274.7</v>
      </c>
      <c r="F1702" s="116">
        <v>2554.9499999999998</v>
      </c>
      <c r="G1702">
        <v>266898</v>
      </c>
      <c r="H1702" s="116"/>
      <c r="I1702" s="116"/>
      <c r="L1702" s="170">
        <v>44511</v>
      </c>
      <c r="M1702" s="116">
        <v>1277.2750000000001</v>
      </c>
      <c r="N1702" s="116">
        <v>1285.25</v>
      </c>
      <c r="O1702" s="116">
        <v>1267.7750000000001</v>
      </c>
      <c r="P1702" s="116">
        <v>1270.0250000000001</v>
      </c>
      <c r="Q1702" s="116">
        <v>2554.5500000000002</v>
      </c>
      <c r="R1702">
        <v>4948422</v>
      </c>
    </row>
    <row r="1703" spans="1:18" x14ac:dyDescent="0.25">
      <c r="A1703" s="170">
        <v>44512</v>
      </c>
      <c r="B1703" s="116">
        <v>1299.4000000000001</v>
      </c>
      <c r="C1703" s="116">
        <v>1296.25</v>
      </c>
      <c r="D1703" s="116">
        <v>1278.5</v>
      </c>
      <c r="E1703" s="116">
        <v>1280</v>
      </c>
      <c r="F1703" s="116">
        <v>2592.5</v>
      </c>
      <c r="G1703">
        <v>283433</v>
      </c>
      <c r="H1703" s="116"/>
      <c r="I1703" s="116"/>
      <c r="L1703" s="170">
        <v>44512</v>
      </c>
      <c r="M1703" s="116">
        <v>1296.55</v>
      </c>
      <c r="N1703" s="116">
        <v>1299.375</v>
      </c>
      <c r="O1703" s="116">
        <v>1278.5</v>
      </c>
      <c r="P1703" s="116">
        <v>1281.45</v>
      </c>
      <c r="Q1703" s="116">
        <v>2593.1</v>
      </c>
      <c r="R1703">
        <v>4020744</v>
      </c>
    </row>
    <row r="1704" spans="1:18" x14ac:dyDescent="0.25">
      <c r="A1704" s="170">
        <v>44515</v>
      </c>
      <c r="B1704" s="116">
        <v>1301.05</v>
      </c>
      <c r="C1704" s="116">
        <v>1289.2750000000001</v>
      </c>
      <c r="D1704" s="116">
        <v>1285</v>
      </c>
      <c r="E1704" s="116">
        <v>1300</v>
      </c>
      <c r="F1704" s="116">
        <v>2578.5500000000002</v>
      </c>
      <c r="G1704">
        <v>104839</v>
      </c>
      <c r="H1704" s="116"/>
      <c r="I1704" s="116"/>
      <c r="L1704" s="170">
        <v>44515</v>
      </c>
      <c r="M1704" s="116">
        <v>1288.9000000000001</v>
      </c>
      <c r="N1704" s="116">
        <v>1301.0999999999999</v>
      </c>
      <c r="O1704" s="116">
        <v>1285</v>
      </c>
      <c r="P1704" s="116">
        <v>1300</v>
      </c>
      <c r="Q1704" s="116">
        <v>2577.8000000000002</v>
      </c>
      <c r="R1704">
        <v>2216708</v>
      </c>
    </row>
    <row r="1705" spans="1:18" x14ac:dyDescent="0.25">
      <c r="A1705" s="170">
        <v>44516</v>
      </c>
      <c r="B1705" s="116">
        <v>1288</v>
      </c>
      <c r="C1705" s="116">
        <v>1256.05</v>
      </c>
      <c r="D1705" s="116">
        <v>1247.5</v>
      </c>
      <c r="E1705" s="116">
        <v>1286.5</v>
      </c>
      <c r="F1705" s="116">
        <v>2512.1</v>
      </c>
      <c r="G1705">
        <v>245061</v>
      </c>
      <c r="H1705" s="116"/>
      <c r="I1705" s="116"/>
      <c r="L1705" s="170">
        <v>44516</v>
      </c>
      <c r="M1705" s="116">
        <v>1258.95</v>
      </c>
      <c r="N1705" s="116">
        <v>1287.5</v>
      </c>
      <c r="O1705" s="116">
        <v>1247.5</v>
      </c>
      <c r="P1705" s="116">
        <v>1286.0250000000001</v>
      </c>
      <c r="Q1705" s="116">
        <v>2517.9</v>
      </c>
      <c r="R1705">
        <v>5232292</v>
      </c>
    </row>
    <row r="1706" spans="1:18" x14ac:dyDescent="0.25">
      <c r="A1706" s="170">
        <v>44517</v>
      </c>
      <c r="B1706" s="116">
        <v>1250</v>
      </c>
      <c r="C1706" s="116">
        <v>1232.0250000000001</v>
      </c>
      <c r="D1706" s="116">
        <v>1230.175</v>
      </c>
      <c r="E1706" s="116">
        <v>1249.8499999999999</v>
      </c>
      <c r="F1706" s="116">
        <v>2464.0500000000002</v>
      </c>
      <c r="G1706">
        <v>370002</v>
      </c>
      <c r="H1706" s="116"/>
      <c r="I1706" s="116"/>
      <c r="L1706" s="170">
        <v>44517</v>
      </c>
      <c r="M1706" s="116">
        <v>1232</v>
      </c>
      <c r="N1706" s="116">
        <v>1249.4749999999999</v>
      </c>
      <c r="O1706" s="116">
        <v>1230.5</v>
      </c>
      <c r="P1706" s="116">
        <v>1249.4749999999999</v>
      </c>
      <c r="Q1706" s="116">
        <v>2464</v>
      </c>
      <c r="R1706">
        <v>4708235</v>
      </c>
    </row>
    <row r="1707" spans="1:18" x14ac:dyDescent="0.25">
      <c r="A1707" s="170">
        <v>44518</v>
      </c>
      <c r="B1707" s="116">
        <v>1244.5</v>
      </c>
      <c r="C1707" s="116">
        <v>1236.375</v>
      </c>
      <c r="D1707" s="116">
        <v>1225.3</v>
      </c>
      <c r="E1707" s="116">
        <v>1229.95</v>
      </c>
      <c r="F1707" s="116">
        <v>2472.75</v>
      </c>
      <c r="G1707">
        <v>242463</v>
      </c>
      <c r="H1707" s="116"/>
      <c r="I1707" s="116"/>
      <c r="L1707" s="170">
        <v>44518</v>
      </c>
      <c r="M1707" s="116">
        <v>1236.6500000000001</v>
      </c>
      <c r="N1707" s="116">
        <v>1244.5</v>
      </c>
      <c r="O1707" s="116">
        <v>1225.0250000000001</v>
      </c>
      <c r="P1707" s="116">
        <v>1230</v>
      </c>
      <c r="Q1707" s="116">
        <v>2473.3000000000002</v>
      </c>
      <c r="R1707">
        <v>3925345</v>
      </c>
    </row>
    <row r="1708" spans="1:18" x14ac:dyDescent="0.25">
      <c r="A1708" s="170">
        <v>44522</v>
      </c>
      <c r="B1708" s="116">
        <v>1223.125</v>
      </c>
      <c r="C1708" s="116">
        <v>1181.7</v>
      </c>
      <c r="D1708" s="116">
        <v>1175.5</v>
      </c>
      <c r="E1708" s="116">
        <v>1220</v>
      </c>
      <c r="F1708" s="116">
        <v>2363.4</v>
      </c>
      <c r="G1708">
        <v>416968</v>
      </c>
      <c r="H1708" s="116"/>
      <c r="I1708" s="116"/>
      <c r="L1708" s="170">
        <v>44522</v>
      </c>
      <c r="M1708" s="116">
        <v>1181.875</v>
      </c>
      <c r="N1708" s="116">
        <v>1224.5</v>
      </c>
      <c r="O1708" s="116">
        <v>1175.5</v>
      </c>
      <c r="P1708" s="116">
        <v>1218.05</v>
      </c>
      <c r="Q1708" s="116">
        <v>2363.75</v>
      </c>
      <c r="R1708">
        <v>11133364</v>
      </c>
    </row>
    <row r="1709" spans="1:18" x14ac:dyDescent="0.25">
      <c r="A1709" s="170">
        <v>44523</v>
      </c>
      <c r="B1709" s="116">
        <v>1200.75</v>
      </c>
      <c r="C1709" s="116">
        <v>1193.075</v>
      </c>
      <c r="D1709" s="116">
        <v>1154.7</v>
      </c>
      <c r="E1709" s="116">
        <v>1169.5</v>
      </c>
      <c r="F1709" s="116">
        <v>2386.15</v>
      </c>
      <c r="G1709">
        <v>457139</v>
      </c>
      <c r="H1709" s="116"/>
      <c r="I1709" s="116"/>
      <c r="L1709" s="170">
        <v>44523</v>
      </c>
      <c r="M1709" s="116">
        <v>1192.925</v>
      </c>
      <c r="N1709" s="116">
        <v>1200.625</v>
      </c>
      <c r="O1709" s="116">
        <v>1154.5</v>
      </c>
      <c r="P1709" s="116">
        <v>1166.5250000000001</v>
      </c>
      <c r="Q1709" s="116">
        <v>2385.85</v>
      </c>
      <c r="R1709">
        <v>11688406</v>
      </c>
    </row>
    <row r="1710" spans="1:18" x14ac:dyDescent="0.25">
      <c r="A1710" s="170">
        <v>44524</v>
      </c>
      <c r="B1710" s="116">
        <v>1205.425</v>
      </c>
      <c r="C1710" s="116">
        <v>1175.45</v>
      </c>
      <c r="D1710" s="116">
        <v>1172</v>
      </c>
      <c r="E1710" s="116">
        <v>1190.7</v>
      </c>
      <c r="F1710" s="116">
        <v>2350.9</v>
      </c>
      <c r="G1710">
        <v>1856369</v>
      </c>
      <c r="H1710" s="116"/>
      <c r="I1710" s="116"/>
      <c r="L1710" s="170">
        <v>44524</v>
      </c>
      <c r="M1710" s="116">
        <v>1175.7</v>
      </c>
      <c r="N1710" s="116">
        <v>1204.95</v>
      </c>
      <c r="O1710" s="116">
        <v>1171.7750000000001</v>
      </c>
      <c r="P1710" s="116">
        <v>1190</v>
      </c>
      <c r="Q1710" s="116">
        <v>2351.4</v>
      </c>
      <c r="R1710">
        <v>7762564</v>
      </c>
    </row>
    <row r="1711" spans="1:18" x14ac:dyDescent="0.25">
      <c r="A1711" s="170">
        <v>44525</v>
      </c>
      <c r="B1711" s="116">
        <v>1251.4000000000001</v>
      </c>
      <c r="C1711" s="116">
        <v>1247.2</v>
      </c>
      <c r="D1711" s="116">
        <v>1179</v>
      </c>
      <c r="E1711" s="116">
        <v>1187.75</v>
      </c>
      <c r="F1711" s="116">
        <v>2494.4</v>
      </c>
      <c r="G1711">
        <v>476931</v>
      </c>
      <c r="H1711" s="116"/>
      <c r="I1711" s="116"/>
      <c r="L1711" s="170">
        <v>44525</v>
      </c>
      <c r="M1711" s="116">
        <v>1246.4749999999999</v>
      </c>
      <c r="N1711" s="116">
        <v>1251</v>
      </c>
      <c r="O1711" s="116">
        <v>1178.575</v>
      </c>
      <c r="P1711" s="116">
        <v>1186.5</v>
      </c>
      <c r="Q1711" s="116">
        <v>2492.9499999999998</v>
      </c>
      <c r="R1711">
        <v>19568487</v>
      </c>
    </row>
    <row r="1712" spans="1:18" x14ac:dyDescent="0.25">
      <c r="A1712" s="170">
        <v>44526</v>
      </c>
      <c r="B1712" s="116">
        <v>1238.7249999999999</v>
      </c>
      <c r="C1712" s="116">
        <v>1206.075</v>
      </c>
      <c r="D1712" s="116">
        <v>1201.5</v>
      </c>
      <c r="E1712" s="116">
        <v>1235</v>
      </c>
      <c r="F1712" s="116">
        <v>2412.15</v>
      </c>
      <c r="G1712">
        <v>397321</v>
      </c>
      <c r="H1712" s="116"/>
      <c r="I1712" s="116"/>
      <c r="L1712" s="170">
        <v>44526</v>
      </c>
      <c r="M1712" s="116">
        <v>1206.3</v>
      </c>
      <c r="N1712" s="116">
        <v>1238.8</v>
      </c>
      <c r="O1712" s="116">
        <v>1200.75</v>
      </c>
      <c r="P1712" s="116">
        <v>1233.9000000000001</v>
      </c>
      <c r="Q1712" s="116">
        <v>2412.6</v>
      </c>
      <c r="R1712">
        <v>7274686</v>
      </c>
    </row>
    <row r="1713" spans="1:18" x14ac:dyDescent="0.25">
      <c r="A1713" s="170">
        <v>44529</v>
      </c>
      <c r="B1713" s="116">
        <v>1250</v>
      </c>
      <c r="C1713" s="116">
        <v>1221.25</v>
      </c>
      <c r="D1713" s="116">
        <v>1200</v>
      </c>
      <c r="E1713" s="116">
        <v>1206</v>
      </c>
      <c r="F1713" s="116">
        <v>2442.5</v>
      </c>
      <c r="G1713">
        <v>451870</v>
      </c>
      <c r="H1713" s="116"/>
      <c r="I1713" s="116"/>
      <c r="L1713" s="170">
        <v>44529</v>
      </c>
      <c r="M1713" s="116">
        <v>1220.75</v>
      </c>
      <c r="N1713" s="116">
        <v>1250</v>
      </c>
      <c r="O1713" s="116">
        <v>1199.55</v>
      </c>
      <c r="P1713" s="116">
        <v>1219.55</v>
      </c>
      <c r="Q1713" s="116">
        <v>2441.5</v>
      </c>
      <c r="R1713">
        <v>11226147</v>
      </c>
    </row>
    <row r="1714" spans="1:18" x14ac:dyDescent="0.25">
      <c r="A1714" s="170">
        <v>44530</v>
      </c>
      <c r="B1714" s="116">
        <v>1237.95</v>
      </c>
      <c r="C1714" s="116">
        <v>1203.375</v>
      </c>
      <c r="D1714" s="116">
        <v>1195</v>
      </c>
      <c r="E1714" s="116">
        <v>1233</v>
      </c>
      <c r="F1714" s="116">
        <v>2406.75</v>
      </c>
      <c r="G1714">
        <v>568273</v>
      </c>
      <c r="H1714" s="116"/>
      <c r="I1714" s="116"/>
      <c r="L1714" s="170">
        <v>44530</v>
      </c>
      <c r="M1714" s="116">
        <v>1202.7</v>
      </c>
      <c r="N1714" s="116">
        <v>1237.95</v>
      </c>
      <c r="O1714" s="116">
        <v>1194.425</v>
      </c>
      <c r="P1714" s="116">
        <v>1234</v>
      </c>
      <c r="Q1714" s="116">
        <v>2405.4</v>
      </c>
      <c r="R1714">
        <v>14847511</v>
      </c>
    </row>
    <row r="1715" spans="1:18" x14ac:dyDescent="0.25">
      <c r="A1715" s="170">
        <v>44531</v>
      </c>
      <c r="B1715" s="116">
        <v>1237.3</v>
      </c>
      <c r="C1715" s="116">
        <v>1233.45</v>
      </c>
      <c r="D1715" s="116">
        <v>1212.75</v>
      </c>
      <c r="E1715" s="116">
        <v>1212.75</v>
      </c>
      <c r="F1715" s="116">
        <v>2466.9</v>
      </c>
      <c r="G1715">
        <v>334818</v>
      </c>
      <c r="H1715" s="116"/>
      <c r="I1715" s="116"/>
      <c r="L1715" s="170">
        <v>44531</v>
      </c>
      <c r="M1715" s="116">
        <v>1233.5</v>
      </c>
      <c r="N1715" s="116">
        <v>1237</v>
      </c>
      <c r="O1715" s="116">
        <v>1212.55</v>
      </c>
      <c r="P1715" s="116">
        <v>1216.5</v>
      </c>
      <c r="Q1715" s="116">
        <v>2467</v>
      </c>
      <c r="R1715">
        <v>4663276</v>
      </c>
    </row>
    <row r="1716" spans="1:18" x14ac:dyDescent="0.25">
      <c r="A1716" s="170">
        <v>44532</v>
      </c>
      <c r="B1716" s="116">
        <v>1248</v>
      </c>
      <c r="C1716" s="116">
        <v>1241.9000000000001</v>
      </c>
      <c r="D1716" s="116">
        <v>1230.5999999999999</v>
      </c>
      <c r="E1716" s="116">
        <v>1233.45</v>
      </c>
      <c r="F1716" s="116">
        <v>2483.8000000000002</v>
      </c>
      <c r="G1716">
        <v>212570</v>
      </c>
      <c r="H1716" s="116"/>
      <c r="I1716" s="116"/>
      <c r="L1716" s="170">
        <v>44532</v>
      </c>
      <c r="M1716" s="116">
        <v>1241.425</v>
      </c>
      <c r="N1716" s="116">
        <v>1248.0999999999999</v>
      </c>
      <c r="O1716" s="116">
        <v>1230.8</v>
      </c>
      <c r="P1716" s="116">
        <v>1234.8499999999999</v>
      </c>
      <c r="Q1716" s="116">
        <v>2482.85</v>
      </c>
      <c r="R1716">
        <v>5870468</v>
      </c>
    </row>
    <row r="1717" spans="1:18" x14ac:dyDescent="0.25">
      <c r="A1717" s="170">
        <v>44533</v>
      </c>
      <c r="B1717" s="116">
        <v>1247.4749999999999</v>
      </c>
      <c r="C1717" s="116">
        <v>1204.075</v>
      </c>
      <c r="D1717" s="116">
        <v>1200.05</v>
      </c>
      <c r="E1717" s="116">
        <v>1245.075</v>
      </c>
      <c r="F1717" s="116">
        <v>2408.15</v>
      </c>
      <c r="G1717">
        <v>385570</v>
      </c>
      <c r="H1717" s="116"/>
      <c r="I1717" s="116"/>
      <c r="L1717" s="170">
        <v>44533</v>
      </c>
      <c r="M1717" s="116">
        <v>1204.125</v>
      </c>
      <c r="N1717" s="116">
        <v>1249.25</v>
      </c>
      <c r="O1717" s="116">
        <v>1200</v>
      </c>
      <c r="P1717" s="116">
        <v>1249.2</v>
      </c>
      <c r="Q1717" s="116">
        <v>2408.25</v>
      </c>
      <c r="R1717">
        <v>8871172</v>
      </c>
    </row>
    <row r="1718" spans="1:18" x14ac:dyDescent="0.25">
      <c r="A1718" s="170">
        <v>44536</v>
      </c>
      <c r="B1718" s="116">
        <v>1212.2750000000001</v>
      </c>
      <c r="C1718" s="116">
        <v>1181.6500000000001</v>
      </c>
      <c r="D1718" s="116">
        <v>1178.575</v>
      </c>
      <c r="E1718" s="116">
        <v>1210.5</v>
      </c>
      <c r="F1718" s="116">
        <v>2363.3000000000002</v>
      </c>
      <c r="G1718">
        <v>406872</v>
      </c>
      <c r="H1718" s="116"/>
      <c r="I1718" s="116"/>
      <c r="L1718" s="170">
        <v>44536</v>
      </c>
      <c r="M1718" s="116">
        <v>1181.3</v>
      </c>
      <c r="N1718" s="116">
        <v>1212.5</v>
      </c>
      <c r="O1718" s="116">
        <v>1178.575</v>
      </c>
      <c r="P1718" s="116">
        <v>1208</v>
      </c>
      <c r="Q1718" s="116">
        <v>2362.6</v>
      </c>
      <c r="R1718">
        <v>4768334</v>
      </c>
    </row>
    <row r="1719" spans="1:18" x14ac:dyDescent="0.25">
      <c r="A1719" s="170">
        <v>44537</v>
      </c>
      <c r="B1719" s="116">
        <v>1201.875</v>
      </c>
      <c r="C1719" s="116">
        <v>1190.8</v>
      </c>
      <c r="D1719" s="116">
        <v>1186.7750000000001</v>
      </c>
      <c r="E1719" s="116">
        <v>1190.8499999999999</v>
      </c>
      <c r="F1719" s="116">
        <v>2381.6</v>
      </c>
      <c r="G1719">
        <v>243374</v>
      </c>
      <c r="H1719" s="116"/>
      <c r="I1719" s="116"/>
      <c r="L1719" s="170">
        <v>44537</v>
      </c>
      <c r="M1719" s="116">
        <v>1190.925</v>
      </c>
      <c r="N1719" s="116">
        <v>1202</v>
      </c>
      <c r="O1719" s="116">
        <v>1180</v>
      </c>
      <c r="P1719" s="116">
        <v>1188.075</v>
      </c>
      <c r="Q1719" s="116">
        <v>2381.85</v>
      </c>
      <c r="R1719">
        <v>5185007</v>
      </c>
    </row>
    <row r="1720" spans="1:18" x14ac:dyDescent="0.25">
      <c r="A1720" s="170">
        <v>44538</v>
      </c>
      <c r="B1720" s="116">
        <v>1215.7249999999999</v>
      </c>
      <c r="C1720" s="116">
        <v>1208.7</v>
      </c>
      <c r="D1720" s="116">
        <v>1203.55</v>
      </c>
      <c r="E1720" s="116">
        <v>1213.5</v>
      </c>
      <c r="F1720" s="116">
        <v>2417.4</v>
      </c>
      <c r="G1720">
        <v>655272</v>
      </c>
      <c r="H1720" s="116"/>
      <c r="I1720" s="116"/>
      <c r="L1720" s="170">
        <v>44538</v>
      </c>
      <c r="M1720" s="116">
        <v>1209.05</v>
      </c>
      <c r="N1720" s="116">
        <v>1215.9000000000001</v>
      </c>
      <c r="O1720" s="116">
        <v>1203.1500000000001</v>
      </c>
      <c r="P1720" s="116">
        <v>1212.05</v>
      </c>
      <c r="Q1720" s="116">
        <v>2418.1</v>
      </c>
      <c r="R1720">
        <v>4035437</v>
      </c>
    </row>
    <row r="1721" spans="1:18" x14ac:dyDescent="0.25">
      <c r="A1721" s="170">
        <v>44539</v>
      </c>
      <c r="B1721" s="116">
        <v>1237.45</v>
      </c>
      <c r="C1721" s="116">
        <v>1227.925</v>
      </c>
      <c r="D1721" s="116">
        <v>1212.7249999999999</v>
      </c>
      <c r="E1721" s="116">
        <v>1215.55</v>
      </c>
      <c r="F1721" s="116">
        <v>2455.85</v>
      </c>
      <c r="G1721">
        <v>170477</v>
      </c>
      <c r="H1721" s="116"/>
      <c r="I1721" s="116"/>
      <c r="L1721" s="170">
        <v>44539</v>
      </c>
      <c r="M1721" s="116">
        <v>1228.2249999999999</v>
      </c>
      <c r="N1721" s="116">
        <v>1237.45</v>
      </c>
      <c r="O1721" s="116">
        <v>1212.5</v>
      </c>
      <c r="P1721" s="116">
        <v>1217.5</v>
      </c>
      <c r="Q1721" s="116">
        <v>2456.4499999999998</v>
      </c>
      <c r="R1721">
        <v>6098050</v>
      </c>
    </row>
    <row r="1722" spans="1:18" x14ac:dyDescent="0.25">
      <c r="A1722" s="170">
        <v>44540</v>
      </c>
      <c r="B1722" s="116">
        <v>1233.05</v>
      </c>
      <c r="C1722" s="116">
        <v>1229.4749999999999</v>
      </c>
      <c r="D1722" s="116">
        <v>1215.25</v>
      </c>
      <c r="E1722" s="116">
        <v>1222</v>
      </c>
      <c r="F1722" s="116">
        <v>2458.9499999999998</v>
      </c>
      <c r="G1722">
        <v>127783</v>
      </c>
      <c r="H1722" s="116"/>
      <c r="I1722" s="116"/>
      <c r="L1722" s="170">
        <v>44540</v>
      </c>
      <c r="M1722" s="116">
        <v>1229.4749999999999</v>
      </c>
      <c r="N1722" s="116">
        <v>1233</v>
      </c>
      <c r="O1722" s="116">
        <v>1215.175</v>
      </c>
      <c r="P1722" s="116">
        <v>1220.125</v>
      </c>
      <c r="Q1722" s="116">
        <v>2458.9499999999998</v>
      </c>
      <c r="R1722">
        <v>3860176</v>
      </c>
    </row>
    <row r="1723" spans="1:18" x14ac:dyDescent="0.25">
      <c r="A1723" s="170">
        <v>44543</v>
      </c>
      <c r="B1723" s="116">
        <v>1237.25</v>
      </c>
      <c r="C1723" s="116">
        <v>1204.9000000000001</v>
      </c>
      <c r="D1723" s="116">
        <v>1202.5</v>
      </c>
      <c r="E1723" s="116">
        <v>1235</v>
      </c>
      <c r="F1723" s="116">
        <v>2409.8000000000002</v>
      </c>
      <c r="G1723">
        <v>285664</v>
      </c>
      <c r="H1723" s="116"/>
      <c r="I1723" s="116"/>
      <c r="L1723" s="170">
        <v>44543</v>
      </c>
      <c r="M1723" s="116">
        <v>1204.825</v>
      </c>
      <c r="N1723" s="116">
        <v>1237.05</v>
      </c>
      <c r="O1723" s="116">
        <v>1202</v>
      </c>
      <c r="P1723" s="116">
        <v>1236.75</v>
      </c>
      <c r="Q1723" s="116">
        <v>2409.65</v>
      </c>
      <c r="R1723">
        <v>5954148</v>
      </c>
    </row>
    <row r="1724" spans="1:18" x14ac:dyDescent="0.25">
      <c r="A1724" s="170">
        <v>44544</v>
      </c>
      <c r="B1724" s="116">
        <v>1203</v>
      </c>
      <c r="C1724" s="116">
        <v>1190.2</v>
      </c>
      <c r="D1724" s="116">
        <v>1186.75</v>
      </c>
      <c r="E1724" s="116">
        <v>1194.5</v>
      </c>
      <c r="F1724" s="116">
        <v>2380.4</v>
      </c>
      <c r="G1724">
        <v>286591</v>
      </c>
      <c r="H1724" s="116"/>
      <c r="I1724" s="116"/>
      <c r="L1724" s="170">
        <v>44544</v>
      </c>
      <c r="M1724" s="116">
        <v>1190.075</v>
      </c>
      <c r="N1724" s="116">
        <v>1203</v>
      </c>
      <c r="O1724" s="116">
        <v>1186.7</v>
      </c>
      <c r="P1724" s="116">
        <v>1190</v>
      </c>
      <c r="Q1724" s="116">
        <v>2380.15</v>
      </c>
      <c r="R1724">
        <v>5995586</v>
      </c>
    </row>
    <row r="1725" spans="1:18" x14ac:dyDescent="0.25">
      <c r="A1725" s="170">
        <v>44545</v>
      </c>
      <c r="B1725" s="116">
        <v>1202.25</v>
      </c>
      <c r="C1725" s="116">
        <v>1186.25</v>
      </c>
      <c r="D1725" s="116">
        <v>1180.875</v>
      </c>
      <c r="E1725" s="116">
        <v>1192.425</v>
      </c>
      <c r="F1725" s="116">
        <v>2372.5</v>
      </c>
      <c r="G1725">
        <v>271038</v>
      </c>
      <c r="H1725" s="116"/>
      <c r="I1725" s="116"/>
      <c r="L1725" s="170">
        <v>44545</v>
      </c>
      <c r="M1725" s="116">
        <v>1186.5999999999999</v>
      </c>
      <c r="N1725" s="116">
        <v>1202.5</v>
      </c>
      <c r="O1725" s="116">
        <v>1180.55</v>
      </c>
      <c r="P1725" s="116">
        <v>1192</v>
      </c>
      <c r="Q1725" s="116">
        <v>2373.1999999999998</v>
      </c>
      <c r="R1725">
        <v>4322855</v>
      </c>
    </row>
    <row r="1726" spans="1:18" x14ac:dyDescent="0.25">
      <c r="A1726" s="170">
        <v>44546</v>
      </c>
      <c r="B1726" s="116">
        <v>1207.25</v>
      </c>
      <c r="C1726" s="116">
        <v>1202.2249999999999</v>
      </c>
      <c r="D1726" s="116">
        <v>1184.5</v>
      </c>
      <c r="E1726" s="116">
        <v>1202</v>
      </c>
      <c r="F1726" s="116">
        <v>2404.4499999999998</v>
      </c>
      <c r="G1726">
        <v>147405</v>
      </c>
      <c r="H1726" s="116"/>
      <c r="I1726" s="116"/>
      <c r="L1726" s="170">
        <v>44546</v>
      </c>
      <c r="M1726" s="116">
        <v>1201.95</v>
      </c>
      <c r="N1726" s="116">
        <v>1207.75</v>
      </c>
      <c r="O1726" s="116">
        <v>1184.325</v>
      </c>
      <c r="P1726" s="116">
        <v>1202.8499999999999</v>
      </c>
      <c r="Q1726" s="116">
        <v>2403.9</v>
      </c>
      <c r="R1726">
        <v>4504829</v>
      </c>
    </row>
    <row r="1727" spans="1:18" x14ac:dyDescent="0.25">
      <c r="A1727" s="170">
        <v>44547</v>
      </c>
      <c r="B1727" s="116">
        <v>1204.375</v>
      </c>
      <c r="C1727" s="116">
        <v>1170.575</v>
      </c>
      <c r="D1727" s="116">
        <v>1160</v>
      </c>
      <c r="E1727" s="116">
        <v>1197.5</v>
      </c>
      <c r="F1727" s="116">
        <v>2341.15</v>
      </c>
      <c r="G1727">
        <v>426622</v>
      </c>
      <c r="H1727" s="116"/>
      <c r="I1727" s="116"/>
      <c r="L1727" s="170">
        <v>44547</v>
      </c>
      <c r="M1727" s="116">
        <v>1170.2249999999999</v>
      </c>
      <c r="N1727" s="116">
        <v>1204</v>
      </c>
      <c r="O1727" s="116">
        <v>1160</v>
      </c>
      <c r="P1727" s="116">
        <v>1199.0250000000001</v>
      </c>
      <c r="Q1727" s="116">
        <v>2340.4499999999998</v>
      </c>
      <c r="R1727">
        <v>9714489</v>
      </c>
    </row>
    <row r="1728" spans="1:18" x14ac:dyDescent="0.25">
      <c r="A1728" s="170">
        <v>44550</v>
      </c>
      <c r="B1728" s="116">
        <v>1160.45</v>
      </c>
      <c r="C1728" s="116">
        <v>1138.5999999999999</v>
      </c>
      <c r="D1728" s="116">
        <v>1124</v>
      </c>
      <c r="E1728" s="116">
        <v>1157.5</v>
      </c>
      <c r="F1728" s="116">
        <v>2277.1999999999998</v>
      </c>
      <c r="G1728">
        <v>1104898</v>
      </c>
      <c r="H1728" s="116"/>
      <c r="I1728" s="116"/>
      <c r="L1728" s="170">
        <v>44550</v>
      </c>
      <c r="M1728" s="116">
        <v>1138.675</v>
      </c>
      <c r="N1728" s="116">
        <v>1158.925</v>
      </c>
      <c r="O1728" s="116">
        <v>1123.55</v>
      </c>
      <c r="P1728" s="116">
        <v>1158.925</v>
      </c>
      <c r="Q1728" s="116">
        <v>2277.35</v>
      </c>
      <c r="R1728">
        <v>6611376</v>
      </c>
    </row>
    <row r="1729" spans="1:18" x14ac:dyDescent="0.25">
      <c r="A1729" s="170">
        <v>44551</v>
      </c>
      <c r="B1729" s="116">
        <v>1172.5</v>
      </c>
      <c r="C1729" s="116">
        <v>1155.05</v>
      </c>
      <c r="D1729" s="116">
        <v>1146.5</v>
      </c>
      <c r="E1729" s="116">
        <v>1152.3</v>
      </c>
      <c r="F1729" s="116">
        <v>2310.1</v>
      </c>
      <c r="G1729">
        <v>165141</v>
      </c>
      <c r="H1729" s="116"/>
      <c r="I1729" s="116"/>
      <c r="L1729" s="170">
        <v>44551</v>
      </c>
      <c r="M1729" s="116">
        <v>1155.625</v>
      </c>
      <c r="N1729" s="116">
        <v>1173</v>
      </c>
      <c r="O1729" s="116">
        <v>1146.0999999999999</v>
      </c>
      <c r="P1729" s="116">
        <v>1155.675</v>
      </c>
      <c r="Q1729" s="116">
        <v>2311.25</v>
      </c>
      <c r="R1729">
        <v>5924071</v>
      </c>
    </row>
    <row r="1730" spans="1:18" x14ac:dyDescent="0.25">
      <c r="A1730" s="170">
        <v>44552</v>
      </c>
      <c r="B1730" s="116">
        <v>1186</v>
      </c>
      <c r="C1730" s="116">
        <v>1182.9749999999999</v>
      </c>
      <c r="D1730" s="116">
        <v>1157.25</v>
      </c>
      <c r="E1730" s="116">
        <v>1157.25</v>
      </c>
      <c r="F1730" s="116">
        <v>2365.9499999999998</v>
      </c>
      <c r="G1730">
        <v>244736</v>
      </c>
      <c r="H1730" s="116"/>
      <c r="I1730" s="116"/>
      <c r="L1730" s="170">
        <v>44552</v>
      </c>
      <c r="M1730" s="116">
        <v>1183.05</v>
      </c>
      <c r="N1730" s="116">
        <v>1185.95</v>
      </c>
      <c r="O1730" s="116">
        <v>1161</v>
      </c>
      <c r="P1730" s="116">
        <v>1162.45</v>
      </c>
      <c r="Q1730" s="116">
        <v>2366.1</v>
      </c>
      <c r="R1730">
        <v>8149415</v>
      </c>
    </row>
    <row r="1731" spans="1:18" x14ac:dyDescent="0.25">
      <c r="A1731" s="170">
        <v>44553</v>
      </c>
      <c r="B1731" s="116">
        <v>1190</v>
      </c>
      <c r="C1731" s="116">
        <v>1182.325</v>
      </c>
      <c r="D1731" s="116">
        <v>1179.4749999999999</v>
      </c>
      <c r="E1731" s="116">
        <v>1186</v>
      </c>
      <c r="F1731" s="116">
        <v>2364.65</v>
      </c>
      <c r="G1731">
        <v>127047</v>
      </c>
      <c r="H1731" s="116"/>
      <c r="I1731" s="116"/>
      <c r="L1731" s="170">
        <v>44553</v>
      </c>
      <c r="M1731" s="116">
        <v>1182.625</v>
      </c>
      <c r="N1731" s="116">
        <v>1190</v>
      </c>
      <c r="O1731" s="116">
        <v>1179.0250000000001</v>
      </c>
      <c r="P1731" s="116">
        <v>1187</v>
      </c>
      <c r="Q1731" s="116">
        <v>2365.25</v>
      </c>
      <c r="R1731">
        <v>4186912</v>
      </c>
    </row>
    <row r="1732" spans="1:18" x14ac:dyDescent="0.25">
      <c r="A1732" s="170">
        <v>44554</v>
      </c>
      <c r="B1732" s="116">
        <v>1195.95</v>
      </c>
      <c r="C1732" s="116">
        <v>1186.125</v>
      </c>
      <c r="D1732" s="116">
        <v>1168.825</v>
      </c>
      <c r="E1732" s="116">
        <v>1183.5</v>
      </c>
      <c r="F1732" s="116">
        <v>2372.25</v>
      </c>
      <c r="G1732">
        <v>182225</v>
      </c>
      <c r="H1732" s="116"/>
      <c r="I1732" s="116"/>
      <c r="L1732" s="170">
        <v>44554</v>
      </c>
      <c r="M1732" s="116">
        <v>1186.4000000000001</v>
      </c>
      <c r="N1732" s="116">
        <v>1196</v>
      </c>
      <c r="O1732" s="116">
        <v>1168.7750000000001</v>
      </c>
      <c r="P1732" s="116">
        <v>1185</v>
      </c>
      <c r="Q1732" s="116">
        <v>2372.8000000000002</v>
      </c>
      <c r="R1732">
        <v>3639616</v>
      </c>
    </row>
    <row r="1733" spans="1:18" x14ac:dyDescent="0.25">
      <c r="A1733" s="170">
        <v>44557</v>
      </c>
      <c r="B1733" s="116">
        <v>1188.875</v>
      </c>
      <c r="C1733" s="116">
        <v>1184.9000000000001</v>
      </c>
      <c r="D1733" s="116">
        <v>1174.4749999999999</v>
      </c>
      <c r="E1733" s="116">
        <v>1181.45</v>
      </c>
      <c r="F1733" s="116">
        <v>2369.8000000000002</v>
      </c>
      <c r="G1733">
        <v>79886</v>
      </c>
      <c r="H1733" s="116"/>
      <c r="I1733" s="116"/>
      <c r="L1733" s="170">
        <v>44557</v>
      </c>
      <c r="M1733" s="116">
        <v>1185.125</v>
      </c>
      <c r="N1733" s="116">
        <v>1189</v>
      </c>
      <c r="O1733" s="116">
        <v>1174.05</v>
      </c>
      <c r="P1733" s="116">
        <v>1180.7750000000001</v>
      </c>
      <c r="Q1733" s="116">
        <v>2370.25</v>
      </c>
      <c r="R1733">
        <v>1853948</v>
      </c>
    </row>
    <row r="1734" spans="1:18" x14ac:dyDescent="0.25">
      <c r="A1734" s="170">
        <v>44558</v>
      </c>
      <c r="B1734" s="116">
        <v>1202.5</v>
      </c>
      <c r="C1734" s="116">
        <v>1198.8499999999999</v>
      </c>
      <c r="D1734" s="116">
        <v>1187.175</v>
      </c>
      <c r="E1734" s="116">
        <v>1192</v>
      </c>
      <c r="F1734" s="116">
        <v>2397.6999999999998</v>
      </c>
      <c r="G1734">
        <v>100293</v>
      </c>
      <c r="H1734" s="116"/>
      <c r="I1734" s="116"/>
      <c r="L1734" s="170">
        <v>44558</v>
      </c>
      <c r="M1734" s="116">
        <v>1199.2</v>
      </c>
      <c r="N1734" s="116">
        <v>1202.425</v>
      </c>
      <c r="O1734" s="116">
        <v>1186.5250000000001</v>
      </c>
      <c r="P1734" s="116">
        <v>1187.8</v>
      </c>
      <c r="Q1734" s="116">
        <v>2398.4</v>
      </c>
      <c r="R1734">
        <v>2941883</v>
      </c>
    </row>
    <row r="1735" spans="1:18" x14ac:dyDescent="0.25">
      <c r="A1735" s="170">
        <v>44559</v>
      </c>
      <c r="B1735" s="116">
        <v>1209.2</v>
      </c>
      <c r="C1735" s="116">
        <v>1201.5250000000001</v>
      </c>
      <c r="D1735" s="116">
        <v>1191.2249999999999</v>
      </c>
      <c r="E1735" s="116">
        <v>1195.95</v>
      </c>
      <c r="F1735" s="116">
        <v>2403.0500000000002</v>
      </c>
      <c r="G1735">
        <v>136021</v>
      </c>
      <c r="H1735" s="116"/>
      <c r="I1735" s="116"/>
      <c r="L1735" s="170">
        <v>44559</v>
      </c>
      <c r="M1735" s="116">
        <v>1201.25</v>
      </c>
      <c r="N1735" s="116">
        <v>1209.5</v>
      </c>
      <c r="O1735" s="116">
        <v>1191.05</v>
      </c>
      <c r="P1735" s="116">
        <v>1195.5</v>
      </c>
      <c r="Q1735" s="116">
        <v>2402.5</v>
      </c>
      <c r="R1735">
        <v>7118779</v>
      </c>
    </row>
    <row r="1736" spans="1:18" x14ac:dyDescent="0.25">
      <c r="A1736" s="170">
        <v>44560</v>
      </c>
      <c r="B1736" s="116">
        <v>1202.625</v>
      </c>
      <c r="C1736" s="116">
        <v>1178.2249999999999</v>
      </c>
      <c r="D1736" s="116">
        <v>1173</v>
      </c>
      <c r="E1736" s="116">
        <v>1199</v>
      </c>
      <c r="F1736" s="116">
        <v>2356.4499999999998</v>
      </c>
      <c r="G1736">
        <v>395909</v>
      </c>
      <c r="H1736" s="116"/>
      <c r="I1736" s="116"/>
      <c r="L1736" s="170">
        <v>44560</v>
      </c>
      <c r="M1736" s="116">
        <v>1179.55</v>
      </c>
      <c r="N1736" s="116">
        <v>1202.4749999999999</v>
      </c>
      <c r="O1736" s="116">
        <v>1172.8</v>
      </c>
      <c r="P1736" s="116">
        <v>1200</v>
      </c>
      <c r="Q1736" s="116">
        <v>2359.1</v>
      </c>
      <c r="R1736">
        <v>13537254</v>
      </c>
    </row>
    <row r="1737" spans="1:18" x14ac:dyDescent="0.25">
      <c r="A1737" s="170">
        <v>44561</v>
      </c>
      <c r="B1737" s="116">
        <v>1192.1500000000001</v>
      </c>
      <c r="C1737" s="116">
        <v>1184.075</v>
      </c>
      <c r="D1737" s="116">
        <v>1180.0250000000001</v>
      </c>
      <c r="E1737" s="116">
        <v>1185</v>
      </c>
      <c r="F1737" s="116">
        <v>2368.15</v>
      </c>
      <c r="G1737">
        <v>181300</v>
      </c>
      <c r="H1737" s="116"/>
      <c r="I1737" s="116"/>
      <c r="L1737" s="170">
        <v>44561</v>
      </c>
      <c r="M1737" s="116">
        <v>1184.075</v>
      </c>
      <c r="N1737" s="116">
        <v>1191.95</v>
      </c>
      <c r="O1737" s="116">
        <v>1180</v>
      </c>
      <c r="P1737" s="116">
        <v>1186.5</v>
      </c>
      <c r="Q1737" s="116">
        <v>2368.15</v>
      </c>
      <c r="R1737">
        <v>4373768</v>
      </c>
    </row>
    <row r="1738" spans="1:18" x14ac:dyDescent="0.25">
      <c r="A1738" s="170">
        <v>44564</v>
      </c>
      <c r="B1738" s="116">
        <v>1204.4749999999999</v>
      </c>
      <c r="C1738" s="116">
        <v>1202.175</v>
      </c>
      <c r="D1738" s="116">
        <v>1182.4749999999999</v>
      </c>
      <c r="E1738" s="116">
        <v>1183.75</v>
      </c>
      <c r="F1738" s="116">
        <v>2404.35</v>
      </c>
      <c r="G1738">
        <v>272926</v>
      </c>
      <c r="H1738" s="116"/>
      <c r="I1738" s="116"/>
      <c r="L1738" s="170">
        <v>44564</v>
      </c>
      <c r="M1738" s="116">
        <v>1201.925</v>
      </c>
      <c r="N1738" s="116">
        <v>1203.9749999999999</v>
      </c>
      <c r="O1738" s="116">
        <v>1181.7750000000001</v>
      </c>
      <c r="P1738" s="116">
        <v>1182.5</v>
      </c>
      <c r="Q1738" s="116">
        <v>2403.85</v>
      </c>
      <c r="R1738">
        <v>2502073</v>
      </c>
    </row>
    <row r="1739" spans="1:18" x14ac:dyDescent="0.25">
      <c r="A1739" s="170">
        <v>44565</v>
      </c>
      <c r="B1739" s="116">
        <v>1230.9749999999999</v>
      </c>
      <c r="C1739" s="116">
        <v>1228.875</v>
      </c>
      <c r="D1739" s="116">
        <v>1201.5</v>
      </c>
      <c r="E1739" s="116">
        <v>1205</v>
      </c>
      <c r="F1739" s="116">
        <v>2457.75</v>
      </c>
      <c r="G1739">
        <v>559316</v>
      </c>
      <c r="H1739" s="116"/>
      <c r="I1739" s="116"/>
      <c r="L1739" s="170">
        <v>44565</v>
      </c>
      <c r="M1739" s="116">
        <v>1229.05</v>
      </c>
      <c r="N1739" s="116">
        <v>1230.5</v>
      </c>
      <c r="O1739" s="116">
        <v>1202</v>
      </c>
      <c r="P1739" s="116">
        <v>1207.95</v>
      </c>
      <c r="Q1739" s="116">
        <v>2458.1</v>
      </c>
      <c r="R1739">
        <v>5006225</v>
      </c>
    </row>
    <row r="1740" spans="1:18" x14ac:dyDescent="0.25">
      <c r="A1740" s="170">
        <v>44566</v>
      </c>
      <c r="B1740" s="116">
        <v>1238.1500000000001</v>
      </c>
      <c r="C1740" s="116">
        <v>1233.0250000000001</v>
      </c>
      <c r="D1740" s="116">
        <v>1216.5</v>
      </c>
      <c r="E1740" s="116">
        <v>1230.075</v>
      </c>
      <c r="F1740" s="116">
        <v>2466.0500000000002</v>
      </c>
      <c r="G1740">
        <v>256771</v>
      </c>
      <c r="H1740" s="116"/>
      <c r="I1740" s="116"/>
      <c r="L1740" s="170">
        <v>44566</v>
      </c>
      <c r="M1740" s="116">
        <v>1234.8</v>
      </c>
      <c r="N1740" s="116">
        <v>1238.5</v>
      </c>
      <c r="O1740" s="116">
        <v>1216.4749999999999</v>
      </c>
      <c r="P1740" s="116">
        <v>1231</v>
      </c>
      <c r="Q1740" s="116">
        <v>2469.6</v>
      </c>
      <c r="R1740">
        <v>5373618</v>
      </c>
    </row>
    <row r="1741" spans="1:18" x14ac:dyDescent="0.25">
      <c r="A1741" s="170">
        <v>44567</v>
      </c>
      <c r="B1741" s="116">
        <v>1227</v>
      </c>
      <c r="C1741" s="116">
        <v>1208.3</v>
      </c>
      <c r="D1741" s="116">
        <v>1204.5</v>
      </c>
      <c r="E1741" s="116">
        <v>1227</v>
      </c>
      <c r="F1741" s="116">
        <v>2416.6</v>
      </c>
      <c r="G1741">
        <v>311647</v>
      </c>
      <c r="H1741" s="116"/>
      <c r="I1741" s="116"/>
      <c r="L1741" s="170">
        <v>44567</v>
      </c>
      <c r="M1741" s="116">
        <v>1208.25</v>
      </c>
      <c r="N1741" s="116">
        <v>1227</v>
      </c>
      <c r="O1741" s="116">
        <v>1204.5</v>
      </c>
      <c r="P1741" s="116">
        <v>1225.5999999999999</v>
      </c>
      <c r="Q1741" s="116">
        <v>2416.5</v>
      </c>
      <c r="R1741">
        <v>6667483</v>
      </c>
    </row>
    <row r="1742" spans="1:18" x14ac:dyDescent="0.25">
      <c r="A1742" s="170">
        <v>44568</v>
      </c>
      <c r="B1742" s="116">
        <v>1228.825</v>
      </c>
      <c r="C1742" s="116">
        <v>1217.9749999999999</v>
      </c>
      <c r="D1742" s="116">
        <v>1205.75</v>
      </c>
      <c r="E1742" s="116">
        <v>1218</v>
      </c>
      <c r="F1742" s="116">
        <v>2435.9499999999998</v>
      </c>
      <c r="G1742">
        <v>371610</v>
      </c>
      <c r="H1742" s="116"/>
      <c r="I1742" s="116"/>
      <c r="L1742" s="170">
        <v>44568</v>
      </c>
      <c r="M1742" s="116">
        <v>1218</v>
      </c>
      <c r="N1742" s="116">
        <v>1229.0250000000001</v>
      </c>
      <c r="O1742" s="116">
        <v>1205.7750000000001</v>
      </c>
      <c r="P1742" s="116">
        <v>1215.4749999999999</v>
      </c>
      <c r="Q1742" s="116">
        <v>2436</v>
      </c>
      <c r="R1742">
        <v>6051239</v>
      </c>
    </row>
    <row r="1743" spans="1:18" x14ac:dyDescent="0.25">
      <c r="A1743" s="170">
        <v>44571</v>
      </c>
      <c r="B1743" s="116">
        <v>1228.2249999999999</v>
      </c>
      <c r="C1743" s="116">
        <v>1218.825</v>
      </c>
      <c r="D1743" s="116">
        <v>1208.2750000000001</v>
      </c>
      <c r="E1743" s="116">
        <v>1226.9749999999999</v>
      </c>
      <c r="F1743" s="116">
        <v>2437.65</v>
      </c>
      <c r="G1743">
        <v>166454</v>
      </c>
      <c r="H1743" s="116"/>
      <c r="I1743" s="116"/>
      <c r="L1743" s="170">
        <v>44571</v>
      </c>
      <c r="M1743" s="116">
        <v>1219</v>
      </c>
      <c r="N1743" s="116">
        <v>1228.5</v>
      </c>
      <c r="O1743" s="116">
        <v>1208.0250000000001</v>
      </c>
      <c r="P1743" s="116">
        <v>1226</v>
      </c>
      <c r="Q1743" s="116">
        <v>2438</v>
      </c>
      <c r="R1743">
        <v>4267365</v>
      </c>
    </row>
    <row r="1744" spans="1:18" x14ac:dyDescent="0.25">
      <c r="A1744" s="170">
        <v>44572</v>
      </c>
      <c r="B1744" s="116">
        <v>1237.05</v>
      </c>
      <c r="C1744" s="116">
        <v>1227.45</v>
      </c>
      <c r="D1744" s="116">
        <v>1215.55</v>
      </c>
      <c r="E1744" s="116">
        <v>1215.55</v>
      </c>
      <c r="F1744" s="116">
        <v>2454.9</v>
      </c>
      <c r="G1744">
        <v>334250</v>
      </c>
      <c r="H1744" s="116"/>
      <c r="I1744" s="116"/>
      <c r="L1744" s="170">
        <v>44572</v>
      </c>
      <c r="M1744" s="116">
        <v>1227.7750000000001</v>
      </c>
      <c r="N1744" s="116">
        <v>1237.4749999999999</v>
      </c>
      <c r="O1744" s="116">
        <v>1217.5</v>
      </c>
      <c r="P1744" s="116">
        <v>1218</v>
      </c>
      <c r="Q1744" s="116">
        <v>2455.5500000000002</v>
      </c>
      <c r="R1744">
        <v>7478681</v>
      </c>
    </row>
    <row r="1745" spans="1:18" x14ac:dyDescent="0.25">
      <c r="A1745" s="170">
        <v>44573</v>
      </c>
      <c r="B1745" s="116">
        <v>1262.175</v>
      </c>
      <c r="C1745" s="116">
        <v>1260.3</v>
      </c>
      <c r="D1745" s="116">
        <v>1232.7</v>
      </c>
      <c r="E1745" s="116">
        <v>1236.2249999999999</v>
      </c>
      <c r="F1745" s="116">
        <v>2520.6</v>
      </c>
      <c r="G1745">
        <v>196309</v>
      </c>
      <c r="H1745" s="116"/>
      <c r="I1745" s="116"/>
      <c r="L1745" s="170">
        <v>44573</v>
      </c>
      <c r="M1745" s="116">
        <v>1260.55</v>
      </c>
      <c r="N1745" s="116">
        <v>1262.4749999999999</v>
      </c>
      <c r="O1745" s="116">
        <v>1232.5</v>
      </c>
      <c r="P1745" s="116">
        <v>1235.6500000000001</v>
      </c>
      <c r="Q1745" s="116">
        <v>2521.1</v>
      </c>
      <c r="R1745">
        <v>6830402</v>
      </c>
    </row>
    <row r="1746" spans="1:18" x14ac:dyDescent="0.25">
      <c r="A1746" s="170">
        <v>44574</v>
      </c>
      <c r="B1746" s="116">
        <v>1270.4749999999999</v>
      </c>
      <c r="C1746" s="116">
        <v>1267.675</v>
      </c>
      <c r="D1746" s="116">
        <v>1254.4000000000001</v>
      </c>
      <c r="E1746" s="116">
        <v>1261.8499999999999</v>
      </c>
      <c r="F1746" s="116">
        <v>2535.35</v>
      </c>
      <c r="G1746">
        <v>272194</v>
      </c>
      <c r="H1746" s="116"/>
      <c r="I1746" s="116"/>
      <c r="L1746" s="170">
        <v>44574</v>
      </c>
      <c r="M1746" s="116">
        <v>1267.6500000000001</v>
      </c>
      <c r="N1746" s="116">
        <v>1270.5</v>
      </c>
      <c r="O1746" s="116">
        <v>1254.2</v>
      </c>
      <c r="P1746" s="116">
        <v>1260.625</v>
      </c>
      <c r="Q1746" s="116">
        <v>2535.3000000000002</v>
      </c>
      <c r="R1746">
        <v>5471871</v>
      </c>
    </row>
    <row r="1747" spans="1:18" x14ac:dyDescent="0.25">
      <c r="A1747" s="170">
        <v>44575</v>
      </c>
      <c r="B1747" s="116">
        <v>1283.25</v>
      </c>
      <c r="C1747" s="116">
        <v>1269.3499999999999</v>
      </c>
      <c r="D1747" s="116">
        <v>1262.9000000000001</v>
      </c>
      <c r="E1747" s="116">
        <v>1265</v>
      </c>
      <c r="F1747" s="116">
        <v>2538.6999999999998</v>
      </c>
      <c r="G1747">
        <v>233864</v>
      </c>
      <c r="H1747" s="116"/>
      <c r="I1747" s="116"/>
      <c r="L1747" s="170">
        <v>44575</v>
      </c>
      <c r="M1747" s="116">
        <v>1269.5</v>
      </c>
      <c r="N1747" s="116">
        <v>1283.6500000000001</v>
      </c>
      <c r="O1747" s="116">
        <v>1262.925</v>
      </c>
      <c r="P1747" s="116">
        <v>1267.5</v>
      </c>
      <c r="Q1747" s="116">
        <v>2539</v>
      </c>
      <c r="R1747">
        <v>9197773</v>
      </c>
    </row>
    <row r="1748" spans="1:18" x14ac:dyDescent="0.25">
      <c r="A1748" s="170">
        <v>44578</v>
      </c>
      <c r="B1748" s="116">
        <v>1282.5</v>
      </c>
      <c r="C1748" s="116">
        <v>1276.1500000000001</v>
      </c>
      <c r="D1748" s="116">
        <v>1269.375</v>
      </c>
      <c r="E1748" s="116">
        <v>1269.8</v>
      </c>
      <c r="F1748" s="116">
        <v>2552.3000000000002</v>
      </c>
      <c r="G1748">
        <v>102051</v>
      </c>
      <c r="H1748" s="116"/>
      <c r="I1748" s="116"/>
      <c r="L1748" s="170">
        <v>44578</v>
      </c>
      <c r="M1748" s="116">
        <v>1276.125</v>
      </c>
      <c r="N1748" s="116">
        <v>1282.5</v>
      </c>
      <c r="O1748" s="116">
        <v>1268.5</v>
      </c>
      <c r="P1748" s="116">
        <v>1269</v>
      </c>
      <c r="Q1748" s="116">
        <v>2552.25</v>
      </c>
      <c r="R1748">
        <v>3708822</v>
      </c>
    </row>
    <row r="1749" spans="1:18" x14ac:dyDescent="0.25">
      <c r="A1749" s="170">
        <v>44579</v>
      </c>
      <c r="B1749" s="116">
        <v>1281.4000000000001</v>
      </c>
      <c r="C1749" s="116">
        <v>1260.425</v>
      </c>
      <c r="D1749" s="116">
        <v>1257.75</v>
      </c>
      <c r="E1749" s="116">
        <v>1276.5</v>
      </c>
      <c r="F1749" s="116">
        <v>2520.85</v>
      </c>
      <c r="G1749">
        <v>194301</v>
      </c>
      <c r="H1749" s="116"/>
      <c r="I1749" s="116"/>
      <c r="L1749" s="170">
        <v>44579</v>
      </c>
      <c r="M1749" s="116">
        <v>1260.9000000000001</v>
      </c>
      <c r="N1749" s="116">
        <v>1281.175</v>
      </c>
      <c r="O1749" s="116">
        <v>1257.875</v>
      </c>
      <c r="P1749" s="116">
        <v>1277.375</v>
      </c>
      <c r="Q1749" s="116">
        <v>2521.8000000000002</v>
      </c>
      <c r="R1749">
        <v>2868235</v>
      </c>
    </row>
    <row r="1750" spans="1:18" x14ac:dyDescent="0.25">
      <c r="A1750" s="170">
        <v>44580</v>
      </c>
      <c r="B1750" s="116">
        <v>1270.825</v>
      </c>
      <c r="C1750" s="116">
        <v>1260.7</v>
      </c>
      <c r="D1750" s="116">
        <v>1254.4000000000001</v>
      </c>
      <c r="E1750" s="116">
        <v>1263.1500000000001</v>
      </c>
      <c r="F1750" s="116">
        <v>2521.4</v>
      </c>
      <c r="G1750">
        <v>132491</v>
      </c>
      <c r="H1750" s="116"/>
      <c r="I1750" s="116"/>
      <c r="L1750" s="170">
        <v>44580</v>
      </c>
      <c r="M1750" s="116">
        <v>1260.8</v>
      </c>
      <c r="N1750" s="116">
        <v>1271</v>
      </c>
      <c r="O1750" s="116">
        <v>1254.5</v>
      </c>
      <c r="P1750" s="116">
        <v>1265</v>
      </c>
      <c r="Q1750" s="116">
        <v>2521.6</v>
      </c>
      <c r="R1750">
        <v>4502155</v>
      </c>
    </row>
    <row r="1751" spans="1:18" x14ac:dyDescent="0.25">
      <c r="A1751" s="170">
        <v>44581</v>
      </c>
      <c r="B1751" s="116">
        <v>1255.625</v>
      </c>
      <c r="C1751" s="116">
        <v>1239.4000000000001</v>
      </c>
      <c r="D1751" s="116">
        <v>1227.5</v>
      </c>
      <c r="E1751" s="116">
        <v>1248.5</v>
      </c>
      <c r="F1751" s="116">
        <v>2478.8000000000002</v>
      </c>
      <c r="G1751">
        <v>202569</v>
      </c>
      <c r="H1751" s="116"/>
      <c r="I1751" s="116"/>
      <c r="L1751" s="170">
        <v>44581</v>
      </c>
      <c r="M1751" s="116">
        <v>1238.7249999999999</v>
      </c>
      <c r="N1751" s="116">
        <v>1254.9749999999999</v>
      </c>
      <c r="O1751" s="116">
        <v>1227.5</v>
      </c>
      <c r="P1751" s="116">
        <v>1250.0250000000001</v>
      </c>
      <c r="Q1751" s="116">
        <v>2477.4499999999998</v>
      </c>
      <c r="R1751">
        <v>7612203</v>
      </c>
    </row>
    <row r="1752" spans="1:18" x14ac:dyDescent="0.25">
      <c r="A1752" s="170">
        <v>44582</v>
      </c>
      <c r="B1752" s="116">
        <v>1250.9749999999999</v>
      </c>
      <c r="C1752" s="116">
        <v>1239.05</v>
      </c>
      <c r="D1752" s="116">
        <v>1225.075</v>
      </c>
      <c r="E1752" s="116">
        <v>1225.075</v>
      </c>
      <c r="F1752" s="116">
        <v>2478.1</v>
      </c>
      <c r="G1752">
        <v>320142</v>
      </c>
      <c r="H1752" s="116"/>
      <c r="I1752" s="116"/>
      <c r="L1752" s="170">
        <v>44582</v>
      </c>
      <c r="M1752" s="116">
        <v>1238.925</v>
      </c>
      <c r="N1752" s="116">
        <v>1251.125</v>
      </c>
      <c r="O1752" s="116">
        <v>1226</v>
      </c>
      <c r="P1752" s="116">
        <v>1226</v>
      </c>
      <c r="Q1752" s="116">
        <v>2477.85</v>
      </c>
      <c r="R1752">
        <v>6155759</v>
      </c>
    </row>
    <row r="1753" spans="1:18" x14ac:dyDescent="0.25">
      <c r="A1753" s="170">
        <v>44585</v>
      </c>
      <c r="B1753" s="116">
        <v>1252.05</v>
      </c>
      <c r="C1753" s="116">
        <v>1188.7750000000001</v>
      </c>
      <c r="D1753" s="116">
        <v>1176.3499999999999</v>
      </c>
      <c r="E1753" s="116">
        <v>1239.05</v>
      </c>
      <c r="F1753" s="116">
        <v>2377.5500000000002</v>
      </c>
      <c r="G1753">
        <v>579337</v>
      </c>
      <c r="H1753" s="116"/>
      <c r="I1753" s="116"/>
      <c r="L1753" s="170">
        <v>44585</v>
      </c>
      <c r="M1753" s="116">
        <v>1188.95</v>
      </c>
      <c r="N1753" s="116">
        <v>1252.375</v>
      </c>
      <c r="O1753" s="116">
        <v>1177.55</v>
      </c>
      <c r="P1753" s="116">
        <v>1237.5</v>
      </c>
      <c r="Q1753" s="116">
        <v>2377.9</v>
      </c>
      <c r="R1753">
        <v>10092511</v>
      </c>
    </row>
    <row r="1754" spans="1:18" x14ac:dyDescent="0.25">
      <c r="A1754" s="170">
        <v>44586</v>
      </c>
      <c r="B1754" s="116">
        <v>1194.3</v>
      </c>
      <c r="C1754" s="116">
        <v>1186.8499999999999</v>
      </c>
      <c r="D1754" s="116">
        <v>1152.5250000000001</v>
      </c>
      <c r="E1754" s="116">
        <v>1182.3499999999999</v>
      </c>
      <c r="F1754" s="116">
        <v>2373.6999999999998</v>
      </c>
      <c r="G1754">
        <v>439517</v>
      </c>
      <c r="H1754" s="116"/>
      <c r="I1754" s="116"/>
      <c r="L1754" s="170">
        <v>44586</v>
      </c>
      <c r="M1754" s="116">
        <v>1186.625</v>
      </c>
      <c r="N1754" s="116">
        <v>1194.325</v>
      </c>
      <c r="O1754" s="116">
        <v>1152.5</v>
      </c>
      <c r="P1754" s="116">
        <v>1174.7750000000001</v>
      </c>
      <c r="Q1754" s="116">
        <v>2373.25</v>
      </c>
      <c r="R1754">
        <v>11311456</v>
      </c>
    </row>
    <row r="1755" spans="1:18" x14ac:dyDescent="0.25">
      <c r="A1755" s="170">
        <v>44588</v>
      </c>
      <c r="B1755" s="116">
        <v>1177.7750000000001</v>
      </c>
      <c r="C1755" s="116">
        <v>1169.125</v>
      </c>
      <c r="D1755" s="116">
        <v>1156</v>
      </c>
      <c r="E1755" s="116">
        <v>1172.5</v>
      </c>
      <c r="F1755" s="116">
        <v>2338.25</v>
      </c>
      <c r="G1755">
        <v>385697</v>
      </c>
      <c r="H1755" s="116"/>
      <c r="I1755" s="116"/>
      <c r="L1755" s="170">
        <v>44588</v>
      </c>
      <c r="M1755" s="116">
        <v>1169.05</v>
      </c>
      <c r="N1755" s="116">
        <v>1178.05</v>
      </c>
      <c r="O1755" s="116">
        <v>1155.5250000000001</v>
      </c>
      <c r="P1755" s="116">
        <v>1168</v>
      </c>
      <c r="Q1755" s="116">
        <v>2338.1</v>
      </c>
      <c r="R1755">
        <v>9239426</v>
      </c>
    </row>
    <row r="1756" spans="1:18" x14ac:dyDescent="0.25">
      <c r="A1756" s="170">
        <v>44589</v>
      </c>
      <c r="B1756" s="116">
        <v>1186.2</v>
      </c>
      <c r="C1756" s="116">
        <v>1167.7</v>
      </c>
      <c r="D1756" s="116">
        <v>1164.5</v>
      </c>
      <c r="E1756" s="116">
        <v>1182.5</v>
      </c>
      <c r="F1756" s="116">
        <v>2335.4</v>
      </c>
      <c r="G1756">
        <v>2787192</v>
      </c>
      <c r="H1756" s="116"/>
      <c r="I1756" s="116"/>
      <c r="L1756" s="170">
        <v>44589</v>
      </c>
      <c r="M1756" s="116">
        <v>1167.925</v>
      </c>
      <c r="N1756" s="116">
        <v>1187.95</v>
      </c>
      <c r="O1756" s="116">
        <v>1164.2</v>
      </c>
      <c r="P1756" s="116">
        <v>1182.5</v>
      </c>
      <c r="Q1756" s="116">
        <v>2335.85</v>
      </c>
      <c r="R1756">
        <v>6769154</v>
      </c>
    </row>
    <row r="1757" spans="1:18" x14ac:dyDescent="0.25">
      <c r="A1757" s="170">
        <v>44592</v>
      </c>
      <c r="B1757" s="116">
        <v>1203.175</v>
      </c>
      <c r="C1757" s="116">
        <v>1193.175</v>
      </c>
      <c r="D1757" s="116">
        <v>1177.5</v>
      </c>
      <c r="E1757" s="116">
        <v>1177.5</v>
      </c>
      <c r="F1757" s="116">
        <v>2386.35</v>
      </c>
      <c r="G1757">
        <v>185589</v>
      </c>
      <c r="H1757" s="116"/>
      <c r="I1757" s="116"/>
      <c r="L1757" s="170">
        <v>44592</v>
      </c>
      <c r="M1757" s="116">
        <v>1193.3</v>
      </c>
      <c r="N1757" s="116">
        <v>1203.2</v>
      </c>
      <c r="O1757" s="116">
        <v>1178.0999999999999</v>
      </c>
      <c r="P1757" s="116">
        <v>1180.0999999999999</v>
      </c>
      <c r="Q1757" s="116">
        <v>2386.6</v>
      </c>
      <c r="R1757">
        <v>5604308</v>
      </c>
    </row>
    <row r="1758" spans="1:18" x14ac:dyDescent="0.25">
      <c r="A1758" s="170">
        <v>44593</v>
      </c>
      <c r="B1758" s="116">
        <v>1210.2750000000001</v>
      </c>
      <c r="C1758" s="116">
        <v>1190.2249999999999</v>
      </c>
      <c r="D1758" s="116">
        <v>1173.825</v>
      </c>
      <c r="E1758" s="116">
        <v>1205</v>
      </c>
      <c r="F1758" s="116">
        <v>2380.4499999999998</v>
      </c>
      <c r="G1758">
        <v>2496945</v>
      </c>
      <c r="H1758" s="116"/>
      <c r="I1758" s="116"/>
      <c r="L1758" s="170">
        <v>44593</v>
      </c>
      <c r="M1758" s="116">
        <v>1189.3499999999999</v>
      </c>
      <c r="N1758" s="116">
        <v>1210.3</v>
      </c>
      <c r="O1758" s="116">
        <v>1173.55</v>
      </c>
      <c r="P1758" s="116">
        <v>1204</v>
      </c>
      <c r="Q1758" s="116">
        <v>2378.6999999999998</v>
      </c>
      <c r="R1758">
        <v>6092033</v>
      </c>
    </row>
    <row r="1759" spans="1:18" x14ac:dyDescent="0.25">
      <c r="A1759" s="170">
        <v>44594</v>
      </c>
      <c r="B1759" s="116">
        <v>1205.2</v>
      </c>
      <c r="C1759" s="116">
        <v>1191.75</v>
      </c>
      <c r="D1759" s="116">
        <v>1188</v>
      </c>
      <c r="E1759" s="116">
        <v>1205.2</v>
      </c>
      <c r="F1759" s="116">
        <v>2383.5</v>
      </c>
      <c r="G1759">
        <v>337670</v>
      </c>
      <c r="H1759" s="116"/>
      <c r="I1759" s="116"/>
      <c r="L1759" s="170">
        <v>44594</v>
      </c>
      <c r="M1759" s="116">
        <v>1191.7750000000001</v>
      </c>
      <c r="N1759" s="116">
        <v>1203.5</v>
      </c>
      <c r="O1759" s="116">
        <v>1187.55</v>
      </c>
      <c r="P1759" s="116">
        <v>1203.5</v>
      </c>
      <c r="Q1759" s="116">
        <v>2383.5500000000002</v>
      </c>
      <c r="R1759">
        <v>4623163</v>
      </c>
    </row>
    <row r="1760" spans="1:18" x14ac:dyDescent="0.25">
      <c r="A1760" s="170">
        <v>44595</v>
      </c>
      <c r="B1760" s="116">
        <v>1200.7750000000001</v>
      </c>
      <c r="C1760" s="116">
        <v>1176.3499999999999</v>
      </c>
      <c r="D1760" s="116">
        <v>1174</v>
      </c>
      <c r="E1760" s="116">
        <v>1192</v>
      </c>
      <c r="F1760" s="116">
        <v>2352.6999999999998</v>
      </c>
      <c r="G1760">
        <v>136394</v>
      </c>
      <c r="H1760" s="116"/>
      <c r="I1760" s="116"/>
      <c r="L1760" s="170">
        <v>44595</v>
      </c>
      <c r="M1760" s="116">
        <v>1176.375</v>
      </c>
      <c r="N1760" s="116">
        <v>1200.7249999999999</v>
      </c>
      <c r="O1760" s="116">
        <v>1173.5999999999999</v>
      </c>
      <c r="P1760" s="116">
        <v>1196</v>
      </c>
      <c r="Q1760" s="116">
        <v>2352.75</v>
      </c>
      <c r="R1760">
        <v>4417864</v>
      </c>
    </row>
    <row r="1761" spans="1:18" x14ac:dyDescent="0.25">
      <c r="A1761" s="170">
        <v>44596</v>
      </c>
      <c r="B1761" s="116">
        <v>1174.7750000000001</v>
      </c>
      <c r="C1761" s="116">
        <v>1165.9000000000001</v>
      </c>
      <c r="D1761" s="116">
        <v>1161</v>
      </c>
      <c r="E1761" s="116">
        <v>1174.5</v>
      </c>
      <c r="F1761" s="116">
        <v>2331.8000000000002</v>
      </c>
      <c r="G1761">
        <v>330454</v>
      </c>
      <c r="H1761" s="116"/>
      <c r="I1761" s="116"/>
      <c r="L1761" s="170">
        <v>44596</v>
      </c>
      <c r="M1761" s="116">
        <v>1165.6500000000001</v>
      </c>
      <c r="N1761" s="116">
        <v>1174.2249999999999</v>
      </c>
      <c r="O1761" s="116">
        <v>1160.55</v>
      </c>
      <c r="P1761" s="116">
        <v>1170.5</v>
      </c>
      <c r="Q1761" s="116">
        <v>2331.3000000000002</v>
      </c>
      <c r="R1761">
        <v>5104761</v>
      </c>
    </row>
    <row r="1762" spans="1:18" x14ac:dyDescent="0.25">
      <c r="A1762" s="170">
        <v>44599</v>
      </c>
      <c r="B1762" s="116">
        <v>1178.4000000000001</v>
      </c>
      <c r="C1762" s="116">
        <v>1158.825</v>
      </c>
      <c r="D1762" s="116">
        <v>1152.5250000000001</v>
      </c>
      <c r="E1762" s="116">
        <v>1169</v>
      </c>
      <c r="F1762" s="116">
        <v>2317.65</v>
      </c>
      <c r="G1762">
        <v>1643527</v>
      </c>
      <c r="H1762" s="116"/>
      <c r="I1762" s="116"/>
      <c r="L1762" s="170">
        <v>44599</v>
      </c>
      <c r="M1762" s="116">
        <v>1158.55</v>
      </c>
      <c r="N1762" s="116">
        <v>1178.4000000000001</v>
      </c>
      <c r="O1762" s="116">
        <v>1152.5</v>
      </c>
      <c r="P1762" s="116">
        <v>1171</v>
      </c>
      <c r="Q1762" s="116">
        <v>2317.1</v>
      </c>
      <c r="R1762">
        <v>4944725</v>
      </c>
    </row>
    <row r="1763" spans="1:18" x14ac:dyDescent="0.25">
      <c r="A1763" s="170">
        <v>44600</v>
      </c>
      <c r="B1763" s="116">
        <v>1179.9749999999999</v>
      </c>
      <c r="C1763" s="116">
        <v>1177.8</v>
      </c>
      <c r="D1763" s="116">
        <v>1155</v>
      </c>
      <c r="E1763" s="116">
        <v>1166.5</v>
      </c>
      <c r="F1763" s="116">
        <v>2355.6</v>
      </c>
      <c r="G1763">
        <v>1601702</v>
      </c>
      <c r="H1763" s="116"/>
      <c r="I1763" s="116"/>
      <c r="L1763" s="170">
        <v>44600</v>
      </c>
      <c r="M1763" s="116">
        <v>1178.0250000000001</v>
      </c>
      <c r="N1763" s="116">
        <v>1180</v>
      </c>
      <c r="O1763" s="116">
        <v>1155</v>
      </c>
      <c r="P1763" s="116">
        <v>1165.325</v>
      </c>
      <c r="Q1763" s="116">
        <v>2356.0500000000002</v>
      </c>
      <c r="R1763">
        <v>5566080</v>
      </c>
    </row>
    <row r="1764" spans="1:18" x14ac:dyDescent="0.25">
      <c r="A1764" s="170">
        <v>44601</v>
      </c>
      <c r="B1764" s="116">
        <v>1193.3</v>
      </c>
      <c r="C1764" s="116">
        <v>1191.9749999999999</v>
      </c>
      <c r="D1764" s="116">
        <v>1179.3</v>
      </c>
      <c r="E1764" s="116">
        <v>1183.55</v>
      </c>
      <c r="F1764" s="116">
        <v>2383.9499999999998</v>
      </c>
      <c r="G1764">
        <v>1356126</v>
      </c>
      <c r="H1764" s="116"/>
      <c r="I1764" s="116"/>
      <c r="L1764" s="170">
        <v>44601</v>
      </c>
      <c r="M1764" s="116">
        <v>1191.75</v>
      </c>
      <c r="N1764" s="116">
        <v>1193.5999999999999</v>
      </c>
      <c r="O1764" s="116">
        <v>1179</v>
      </c>
      <c r="P1764" s="116">
        <v>1185.575</v>
      </c>
      <c r="Q1764" s="116">
        <v>2383.5</v>
      </c>
      <c r="R1764">
        <v>5300891</v>
      </c>
    </row>
    <row r="1765" spans="1:18" x14ac:dyDescent="0.25">
      <c r="A1765" s="170">
        <v>44602</v>
      </c>
      <c r="B1765" s="116">
        <v>1198.7</v>
      </c>
      <c r="C1765" s="116">
        <v>1189.5</v>
      </c>
      <c r="D1765" s="116">
        <v>1182.5</v>
      </c>
      <c r="E1765" s="116">
        <v>1198.7</v>
      </c>
      <c r="F1765" s="116">
        <v>2379</v>
      </c>
      <c r="G1765">
        <v>226054</v>
      </c>
      <c r="H1765" s="116"/>
      <c r="I1765" s="116"/>
      <c r="L1765" s="170">
        <v>44602</v>
      </c>
      <c r="M1765" s="116">
        <v>1190.5250000000001</v>
      </c>
      <c r="N1765" s="116">
        <v>1197.8499999999999</v>
      </c>
      <c r="O1765" s="116">
        <v>1182.55</v>
      </c>
      <c r="P1765" s="116">
        <v>1197.8499999999999</v>
      </c>
      <c r="Q1765" s="116">
        <v>2381.0500000000002</v>
      </c>
      <c r="R1765">
        <v>5752361</v>
      </c>
    </row>
    <row r="1766" spans="1:18" x14ac:dyDescent="0.25">
      <c r="A1766" s="170">
        <v>44603</v>
      </c>
      <c r="B1766" s="116">
        <v>1192</v>
      </c>
      <c r="C1766" s="116">
        <v>1188.425</v>
      </c>
      <c r="D1766" s="116">
        <v>1171.9749999999999</v>
      </c>
      <c r="E1766" s="116">
        <v>1187</v>
      </c>
      <c r="F1766" s="116">
        <v>2376.85</v>
      </c>
      <c r="G1766">
        <v>192243</v>
      </c>
      <c r="H1766" s="116"/>
      <c r="I1766" s="116"/>
      <c r="L1766" s="170">
        <v>44603</v>
      </c>
      <c r="M1766" s="116">
        <v>1188.2</v>
      </c>
      <c r="N1766" s="116">
        <v>1192.25</v>
      </c>
      <c r="O1766" s="116">
        <v>1172.05</v>
      </c>
      <c r="P1766" s="116">
        <v>1186.625</v>
      </c>
      <c r="Q1766" s="116">
        <v>2376.4</v>
      </c>
      <c r="R1766">
        <v>7357863</v>
      </c>
    </row>
    <row r="1767" spans="1:18" x14ac:dyDescent="0.25">
      <c r="A1767" s="170">
        <v>44606</v>
      </c>
      <c r="B1767" s="116">
        <v>1177</v>
      </c>
      <c r="C1767" s="116">
        <v>1169.4000000000001</v>
      </c>
      <c r="D1767" s="116">
        <v>1150</v>
      </c>
      <c r="E1767" s="116">
        <v>1150</v>
      </c>
      <c r="F1767" s="116">
        <v>2338.8000000000002</v>
      </c>
      <c r="G1767">
        <v>310248</v>
      </c>
      <c r="H1767" s="116"/>
      <c r="I1767" s="116"/>
      <c r="L1767" s="170">
        <v>44606</v>
      </c>
      <c r="M1767" s="116">
        <v>1169.2750000000001</v>
      </c>
      <c r="N1767" s="116">
        <v>1177.4749999999999</v>
      </c>
      <c r="O1767" s="116">
        <v>1156.5</v>
      </c>
      <c r="P1767" s="116">
        <v>1170.125</v>
      </c>
      <c r="Q1767" s="116">
        <v>2338.5500000000002</v>
      </c>
      <c r="R1767">
        <v>4947109</v>
      </c>
    </row>
    <row r="1768" spans="1:18" x14ac:dyDescent="0.25">
      <c r="A1768" s="170">
        <v>44607</v>
      </c>
      <c r="B1768" s="116">
        <v>1212</v>
      </c>
      <c r="C1768" s="116">
        <v>1208.675</v>
      </c>
      <c r="D1768" s="116">
        <v>1167.925</v>
      </c>
      <c r="E1768" s="116">
        <v>1176</v>
      </c>
      <c r="F1768" s="116">
        <v>2417.35</v>
      </c>
      <c r="G1768">
        <v>389799</v>
      </c>
      <c r="H1768" s="116"/>
      <c r="I1768" s="116"/>
      <c r="L1768" s="170">
        <v>44607</v>
      </c>
      <c r="M1768" s="116">
        <v>1208.9749999999999</v>
      </c>
      <c r="N1768" s="116">
        <v>1211.95</v>
      </c>
      <c r="O1768" s="116">
        <v>1167.8499999999999</v>
      </c>
      <c r="P1768" s="116">
        <v>1175.5999999999999</v>
      </c>
      <c r="Q1768" s="116">
        <v>2417.9499999999998</v>
      </c>
      <c r="R1768">
        <v>5174646</v>
      </c>
    </row>
    <row r="1769" spans="1:18" x14ac:dyDescent="0.25">
      <c r="A1769" s="170">
        <v>44608</v>
      </c>
      <c r="B1769" s="116">
        <v>1216.0250000000001</v>
      </c>
      <c r="C1769" s="116">
        <v>1206.175</v>
      </c>
      <c r="D1769" s="116">
        <v>1198</v>
      </c>
      <c r="E1769" s="116">
        <v>1213.7750000000001</v>
      </c>
      <c r="F1769" s="116">
        <v>2412.35</v>
      </c>
      <c r="G1769">
        <v>241833</v>
      </c>
      <c r="H1769" s="116"/>
      <c r="I1769" s="116"/>
      <c r="L1769" s="170">
        <v>44608</v>
      </c>
      <c r="M1769" s="116">
        <v>1206.4749999999999</v>
      </c>
      <c r="N1769" s="116">
        <v>1216.5</v>
      </c>
      <c r="O1769" s="116">
        <v>1197.9749999999999</v>
      </c>
      <c r="P1769" s="116">
        <v>1215</v>
      </c>
      <c r="Q1769" s="116">
        <v>2412.9499999999998</v>
      </c>
      <c r="R1769">
        <v>4796294</v>
      </c>
    </row>
    <row r="1770" spans="1:18" x14ac:dyDescent="0.25">
      <c r="A1770" s="170">
        <v>44609</v>
      </c>
      <c r="B1770" s="116">
        <v>1227.2</v>
      </c>
      <c r="C1770" s="116">
        <v>1222.45</v>
      </c>
      <c r="D1770" s="116">
        <v>1205.25</v>
      </c>
      <c r="E1770" s="116">
        <v>1209</v>
      </c>
      <c r="F1770" s="116">
        <v>2444.9</v>
      </c>
      <c r="G1770">
        <v>248666</v>
      </c>
      <c r="H1770" s="116"/>
      <c r="I1770" s="116"/>
      <c r="L1770" s="170">
        <v>44609</v>
      </c>
      <c r="M1770" s="116">
        <v>1221.75</v>
      </c>
      <c r="N1770" s="116">
        <v>1227.45</v>
      </c>
      <c r="O1770" s="116">
        <v>1205</v>
      </c>
      <c r="P1770" s="116">
        <v>1210.05</v>
      </c>
      <c r="Q1770" s="116">
        <v>2443.5</v>
      </c>
      <c r="R1770">
        <v>5931774</v>
      </c>
    </row>
    <row r="1771" spans="1:18" x14ac:dyDescent="0.25">
      <c r="A1771" s="170">
        <v>44610</v>
      </c>
      <c r="B1771" s="116">
        <v>1228</v>
      </c>
      <c r="C1771" s="116">
        <v>1212.075</v>
      </c>
      <c r="D1771" s="116">
        <v>1210.5</v>
      </c>
      <c r="E1771" s="116">
        <v>1217.5</v>
      </c>
      <c r="F1771" s="116">
        <v>2424.15</v>
      </c>
      <c r="G1771">
        <v>242341</v>
      </c>
      <c r="H1771" s="116"/>
      <c r="I1771" s="116"/>
      <c r="L1771" s="170">
        <v>44610</v>
      </c>
      <c r="M1771" s="116">
        <v>1212.2</v>
      </c>
      <c r="N1771" s="116">
        <v>1228.2</v>
      </c>
      <c r="O1771" s="116">
        <v>1210.075</v>
      </c>
      <c r="P1771" s="116">
        <v>1222.2</v>
      </c>
      <c r="Q1771" s="116">
        <v>2424.4</v>
      </c>
      <c r="R1771">
        <v>3126873</v>
      </c>
    </row>
    <row r="1772" spans="1:18" x14ac:dyDescent="0.25">
      <c r="A1772" s="170">
        <v>44613</v>
      </c>
      <c r="B1772" s="116">
        <v>1218.4000000000001</v>
      </c>
      <c r="C1772" s="116">
        <v>1200.075</v>
      </c>
      <c r="D1772" s="116">
        <v>1192.5</v>
      </c>
      <c r="E1772" s="116">
        <v>1207.45</v>
      </c>
      <c r="F1772" s="116">
        <v>2400.15</v>
      </c>
      <c r="G1772">
        <v>248274</v>
      </c>
      <c r="H1772" s="116"/>
      <c r="I1772" s="116"/>
      <c r="L1772" s="170">
        <v>44613</v>
      </c>
      <c r="M1772" s="116">
        <v>1199.95</v>
      </c>
      <c r="N1772" s="116">
        <v>1218.75</v>
      </c>
      <c r="O1772" s="116">
        <v>1192.3</v>
      </c>
      <c r="P1772" s="116">
        <v>1206</v>
      </c>
      <c r="Q1772" s="116">
        <v>2399.9</v>
      </c>
      <c r="R1772">
        <v>5125968</v>
      </c>
    </row>
    <row r="1773" spans="1:18" x14ac:dyDescent="0.25">
      <c r="A1773" s="170">
        <v>44614</v>
      </c>
      <c r="B1773" s="116">
        <v>1197.8499999999999</v>
      </c>
      <c r="C1773" s="116">
        <v>1194.0999999999999</v>
      </c>
      <c r="D1773" s="116">
        <v>1173.375</v>
      </c>
      <c r="E1773" s="116">
        <v>1176</v>
      </c>
      <c r="F1773" s="116">
        <v>2388.1999999999998</v>
      </c>
      <c r="G1773">
        <v>388107</v>
      </c>
      <c r="H1773" s="116"/>
      <c r="I1773" s="116"/>
      <c r="L1773" s="170">
        <v>44614</v>
      </c>
      <c r="M1773" s="116">
        <v>1194.5</v>
      </c>
      <c r="N1773" s="116">
        <v>1197.95</v>
      </c>
      <c r="O1773" s="116">
        <v>1173.575</v>
      </c>
      <c r="P1773" s="116">
        <v>1176.45</v>
      </c>
      <c r="Q1773" s="116">
        <v>2389</v>
      </c>
      <c r="R1773">
        <v>6227901</v>
      </c>
    </row>
    <row r="1774" spans="1:18" x14ac:dyDescent="0.25">
      <c r="A1774" s="170">
        <v>44615</v>
      </c>
      <c r="B1774" s="116">
        <v>1203.0250000000001</v>
      </c>
      <c r="C1774" s="116">
        <v>1186.9000000000001</v>
      </c>
      <c r="D1774" s="116">
        <v>1183.95</v>
      </c>
      <c r="E1774" s="116">
        <v>1199.3</v>
      </c>
      <c r="F1774" s="116">
        <v>2373.8000000000002</v>
      </c>
      <c r="G1774">
        <v>187278</v>
      </c>
      <c r="H1774" s="116"/>
      <c r="I1774" s="116"/>
      <c r="L1774" s="170">
        <v>44615</v>
      </c>
      <c r="M1774" s="116">
        <v>1187.0250000000001</v>
      </c>
      <c r="N1774" s="116">
        <v>1203.2750000000001</v>
      </c>
      <c r="O1774" s="116">
        <v>1184</v>
      </c>
      <c r="P1774" s="116">
        <v>1200.55</v>
      </c>
      <c r="Q1774" s="116">
        <v>2374.0500000000002</v>
      </c>
      <c r="R1774">
        <v>3373615</v>
      </c>
    </row>
    <row r="1775" spans="1:18" x14ac:dyDescent="0.25">
      <c r="A1775" s="170">
        <v>44616</v>
      </c>
      <c r="B1775" s="116">
        <v>1169.925</v>
      </c>
      <c r="C1775" s="116">
        <v>1127.8</v>
      </c>
      <c r="D1775" s="116">
        <v>1121.25</v>
      </c>
      <c r="E1775" s="116">
        <v>1157</v>
      </c>
      <c r="F1775" s="116">
        <v>2255.6</v>
      </c>
      <c r="G1775">
        <v>550535</v>
      </c>
      <c r="H1775" s="116"/>
      <c r="I1775" s="116"/>
      <c r="L1775" s="170">
        <v>44616</v>
      </c>
      <c r="M1775" s="116">
        <v>1127.875</v>
      </c>
      <c r="N1775" s="116">
        <v>1169.95</v>
      </c>
      <c r="O1775" s="116">
        <v>1121.7</v>
      </c>
      <c r="P1775" s="116">
        <v>1152.5</v>
      </c>
      <c r="Q1775" s="116">
        <v>2255.75</v>
      </c>
      <c r="R1775">
        <v>11466725</v>
      </c>
    </row>
    <row r="1776" spans="1:18" x14ac:dyDescent="0.25">
      <c r="A1776" s="170">
        <v>44617</v>
      </c>
      <c r="B1776" s="116">
        <v>1153.5</v>
      </c>
      <c r="C1776" s="116">
        <v>1141.9749999999999</v>
      </c>
      <c r="D1776" s="116">
        <v>1137.8</v>
      </c>
      <c r="E1776" s="116">
        <v>1137.8</v>
      </c>
      <c r="F1776" s="116">
        <v>2283.9499999999998</v>
      </c>
      <c r="G1776">
        <v>234948</v>
      </c>
      <c r="H1776" s="116"/>
      <c r="I1776" s="116"/>
      <c r="L1776" s="170">
        <v>44617</v>
      </c>
      <c r="M1776" s="116">
        <v>1141.9749999999999</v>
      </c>
      <c r="N1776" s="116">
        <v>1153.9749999999999</v>
      </c>
      <c r="O1776" s="116">
        <v>1138.125</v>
      </c>
      <c r="P1776" s="116">
        <v>1140.05</v>
      </c>
      <c r="Q1776" s="116">
        <v>2283.9499999999998</v>
      </c>
      <c r="R1776">
        <v>6724094</v>
      </c>
    </row>
    <row r="1777" spans="1:18" x14ac:dyDescent="0.25">
      <c r="A1777" s="170">
        <v>44620</v>
      </c>
      <c r="B1777" s="116">
        <v>1183.5</v>
      </c>
      <c r="C1777" s="116">
        <v>1179.55</v>
      </c>
      <c r="D1777" s="116">
        <v>1122.5</v>
      </c>
      <c r="E1777" s="116">
        <v>1123.5250000000001</v>
      </c>
      <c r="F1777" s="116">
        <v>2359.1</v>
      </c>
      <c r="G1777">
        <v>361763</v>
      </c>
      <c r="H1777" s="116"/>
      <c r="I1777" s="116"/>
      <c r="L1777" s="170">
        <v>44620</v>
      </c>
      <c r="M1777" s="116">
        <v>1179.7750000000001</v>
      </c>
      <c r="N1777" s="116">
        <v>1183.675</v>
      </c>
      <c r="O1777" s="116">
        <v>1121.5</v>
      </c>
      <c r="P1777" s="116">
        <v>1121.5</v>
      </c>
      <c r="Q1777" s="116">
        <v>2359.5500000000002</v>
      </c>
      <c r="R1777">
        <v>9828768</v>
      </c>
    </row>
    <row r="1778" spans="1:18" x14ac:dyDescent="0.25">
      <c r="A1778" s="170">
        <v>44622</v>
      </c>
      <c r="B1778" s="116">
        <v>1200.2249999999999</v>
      </c>
      <c r="C1778" s="116">
        <v>1199.2</v>
      </c>
      <c r="D1778" s="116">
        <v>1165.55</v>
      </c>
      <c r="E1778" s="116">
        <v>1174.55</v>
      </c>
      <c r="F1778" s="116">
        <v>2398.4</v>
      </c>
      <c r="G1778">
        <v>298733</v>
      </c>
      <c r="H1778" s="116"/>
      <c r="I1778" s="116"/>
      <c r="L1778" s="170">
        <v>44622</v>
      </c>
      <c r="M1778" s="116">
        <v>1199.2750000000001</v>
      </c>
      <c r="N1778" s="116">
        <v>1200.5</v>
      </c>
      <c r="O1778" s="116">
        <v>1164.5999999999999</v>
      </c>
      <c r="P1778" s="116">
        <v>1167.2249999999999</v>
      </c>
      <c r="Q1778" s="116">
        <v>2398.5500000000002</v>
      </c>
      <c r="R1778">
        <v>9909226</v>
      </c>
    </row>
    <row r="1779" spans="1:18" x14ac:dyDescent="0.25">
      <c r="A1779" s="170">
        <v>44623</v>
      </c>
      <c r="B1779" s="116">
        <v>1207.2249999999999</v>
      </c>
      <c r="C1779" s="116">
        <v>1189.0999999999999</v>
      </c>
      <c r="D1779" s="116">
        <v>1185</v>
      </c>
      <c r="E1779" s="116">
        <v>1205.5</v>
      </c>
      <c r="F1779" s="116">
        <v>2378.1999999999998</v>
      </c>
      <c r="G1779">
        <v>232245</v>
      </c>
      <c r="H1779" s="116"/>
      <c r="I1779" s="116"/>
      <c r="L1779" s="170">
        <v>44623</v>
      </c>
      <c r="M1779" s="116">
        <v>1189.1500000000001</v>
      </c>
      <c r="N1779" s="116">
        <v>1207.425</v>
      </c>
      <c r="O1779" s="116">
        <v>1185.0250000000001</v>
      </c>
      <c r="P1779" s="116">
        <v>1200</v>
      </c>
      <c r="Q1779" s="116">
        <v>2378.3000000000002</v>
      </c>
      <c r="R1779">
        <v>4701183</v>
      </c>
    </row>
    <row r="1780" spans="1:18" x14ac:dyDescent="0.25">
      <c r="A1780" s="170">
        <v>44624</v>
      </c>
      <c r="B1780" s="116">
        <v>1182.3499999999999</v>
      </c>
      <c r="C1780" s="116">
        <v>1162.675</v>
      </c>
      <c r="D1780" s="116">
        <v>1160.2750000000001</v>
      </c>
      <c r="E1780" s="116">
        <v>1177.5</v>
      </c>
      <c r="F1780" s="116">
        <v>2325.35</v>
      </c>
      <c r="G1780">
        <v>206310</v>
      </c>
      <c r="H1780" s="116"/>
      <c r="I1780" s="116"/>
      <c r="L1780" s="170">
        <v>44624</v>
      </c>
      <c r="M1780" s="116">
        <v>1162.7750000000001</v>
      </c>
      <c r="N1780" s="116">
        <v>1182.1500000000001</v>
      </c>
      <c r="O1780" s="116">
        <v>1160.175</v>
      </c>
      <c r="P1780" s="116">
        <v>1176.5</v>
      </c>
      <c r="Q1780" s="116">
        <v>2325.5500000000002</v>
      </c>
      <c r="R1780">
        <v>4986814</v>
      </c>
    </row>
    <row r="1781" spans="1:18" x14ac:dyDescent="0.25">
      <c r="A1781" s="170">
        <v>44627</v>
      </c>
      <c r="B1781" s="116">
        <v>1155.925</v>
      </c>
      <c r="C1781" s="116">
        <v>1119.9749999999999</v>
      </c>
      <c r="D1781" s="116">
        <v>1111.325</v>
      </c>
      <c r="E1781" s="116">
        <v>1148</v>
      </c>
      <c r="F1781" s="116">
        <v>2239.9499999999998</v>
      </c>
      <c r="G1781">
        <v>577322</v>
      </c>
      <c r="H1781" s="116"/>
      <c r="I1781" s="116"/>
      <c r="L1781" s="170">
        <v>44627</v>
      </c>
      <c r="M1781" s="116">
        <v>1119.7750000000001</v>
      </c>
      <c r="N1781" s="116">
        <v>1156.05</v>
      </c>
      <c r="O1781" s="116">
        <v>1111</v>
      </c>
      <c r="P1781" s="116">
        <v>1139.3499999999999</v>
      </c>
      <c r="Q1781" s="116">
        <v>2239.5500000000002</v>
      </c>
      <c r="R1781">
        <v>8299295</v>
      </c>
    </row>
    <row r="1782" spans="1:18" x14ac:dyDescent="0.25">
      <c r="A1782" s="170">
        <v>44628</v>
      </c>
      <c r="B1782" s="116">
        <v>1122.9000000000001</v>
      </c>
      <c r="C1782" s="116">
        <v>1118.3499999999999</v>
      </c>
      <c r="D1782" s="116">
        <v>1090.5</v>
      </c>
      <c r="E1782" s="116">
        <v>1102.5</v>
      </c>
      <c r="F1782" s="116">
        <v>2236.6999999999998</v>
      </c>
      <c r="G1782">
        <v>665930</v>
      </c>
      <c r="H1782" s="116"/>
      <c r="I1782" s="116"/>
      <c r="L1782" s="170">
        <v>44628</v>
      </c>
      <c r="M1782" s="116">
        <v>1117.75</v>
      </c>
      <c r="N1782" s="116">
        <v>1123</v>
      </c>
      <c r="O1782" s="116">
        <v>1090</v>
      </c>
      <c r="P1782" s="116">
        <v>1105.75</v>
      </c>
      <c r="Q1782" s="116">
        <v>2235.5</v>
      </c>
      <c r="R1782">
        <v>9825043</v>
      </c>
    </row>
    <row r="1783" spans="1:18" x14ac:dyDescent="0.25">
      <c r="A1783" s="170">
        <v>44629</v>
      </c>
      <c r="B1783" s="116">
        <v>1183.3499999999999</v>
      </c>
      <c r="C1783" s="116">
        <v>1176.9000000000001</v>
      </c>
      <c r="D1783" s="116">
        <v>1116.9749999999999</v>
      </c>
      <c r="E1783" s="116">
        <v>1124.5</v>
      </c>
      <c r="F1783" s="116">
        <v>2353.8000000000002</v>
      </c>
      <c r="G1783">
        <v>430958</v>
      </c>
      <c r="H1783" s="116"/>
      <c r="I1783" s="116"/>
      <c r="L1783" s="170">
        <v>44629</v>
      </c>
      <c r="M1783" s="116">
        <v>1177.05</v>
      </c>
      <c r="N1783" s="116">
        <v>1183.5</v>
      </c>
      <c r="O1783" s="116">
        <v>1117.075</v>
      </c>
      <c r="P1783" s="116">
        <v>1118</v>
      </c>
      <c r="Q1783" s="116">
        <v>2354.1</v>
      </c>
      <c r="R1783">
        <v>9421163</v>
      </c>
    </row>
    <row r="1784" spans="1:18" x14ac:dyDescent="0.25">
      <c r="A1784" s="170">
        <v>44630</v>
      </c>
      <c r="B1784" s="116">
        <v>1207.5</v>
      </c>
      <c r="C1784" s="116">
        <v>1196.625</v>
      </c>
      <c r="D1784" s="116">
        <v>1180</v>
      </c>
      <c r="E1784" s="116">
        <v>1207.5</v>
      </c>
      <c r="F1784" s="116">
        <v>2393.25</v>
      </c>
      <c r="G1784">
        <v>481296</v>
      </c>
      <c r="H1784" s="116"/>
      <c r="I1784" s="116"/>
      <c r="L1784" s="170">
        <v>44630</v>
      </c>
      <c r="M1784" s="116">
        <v>1196.125</v>
      </c>
      <c r="N1784" s="116">
        <v>1202.5</v>
      </c>
      <c r="O1784" s="116">
        <v>1180</v>
      </c>
      <c r="P1784" s="116">
        <v>1200</v>
      </c>
      <c r="Q1784" s="116">
        <v>2392.25</v>
      </c>
      <c r="R1784">
        <v>8297995</v>
      </c>
    </row>
    <row r="1785" spans="1:18" x14ac:dyDescent="0.25">
      <c r="A1785" s="170">
        <v>44631</v>
      </c>
      <c r="B1785" s="116">
        <v>1205.2</v>
      </c>
      <c r="C1785" s="116">
        <v>1199.25</v>
      </c>
      <c r="D1785" s="116">
        <v>1186</v>
      </c>
      <c r="E1785" s="116">
        <v>1186</v>
      </c>
      <c r="F1785" s="116">
        <v>2398.5</v>
      </c>
      <c r="G1785">
        <v>292287</v>
      </c>
      <c r="H1785" s="116"/>
      <c r="I1785" s="116"/>
      <c r="L1785" s="170">
        <v>44631</v>
      </c>
      <c r="M1785" s="116">
        <v>1199.575</v>
      </c>
      <c r="N1785" s="116">
        <v>1205.5</v>
      </c>
      <c r="O1785" s="116">
        <v>1188.0250000000001</v>
      </c>
      <c r="P1785" s="116">
        <v>1188.0250000000001</v>
      </c>
      <c r="Q1785" s="116">
        <v>2399.15</v>
      </c>
      <c r="R1785">
        <v>5656799</v>
      </c>
    </row>
    <row r="1786" spans="1:18" x14ac:dyDescent="0.25">
      <c r="A1786" s="170">
        <v>44634</v>
      </c>
      <c r="B1786" s="116">
        <v>1212.175</v>
      </c>
      <c r="C1786" s="116">
        <v>1209.2750000000001</v>
      </c>
      <c r="D1786" s="116">
        <v>1187.5</v>
      </c>
      <c r="E1786" s="116">
        <v>1197</v>
      </c>
      <c r="F1786" s="116">
        <v>2418.5500000000002</v>
      </c>
      <c r="G1786">
        <v>316063</v>
      </c>
      <c r="H1786" s="116"/>
      <c r="I1786" s="116"/>
      <c r="L1786" s="170">
        <v>44634</v>
      </c>
      <c r="M1786" s="116">
        <v>1209.425</v>
      </c>
      <c r="N1786" s="116">
        <v>1212.2</v>
      </c>
      <c r="O1786" s="116">
        <v>1187</v>
      </c>
      <c r="P1786" s="116">
        <v>1193.45</v>
      </c>
      <c r="Q1786" s="116">
        <v>2418.85</v>
      </c>
      <c r="R1786">
        <v>3849222</v>
      </c>
    </row>
    <row r="1787" spans="1:18" x14ac:dyDescent="0.25">
      <c r="A1787" s="170">
        <v>44635</v>
      </c>
      <c r="B1787" s="116">
        <v>1215.9000000000001</v>
      </c>
      <c r="C1787" s="116">
        <v>1181.7249999999999</v>
      </c>
      <c r="D1787" s="116">
        <v>1170.5999999999999</v>
      </c>
      <c r="E1787" s="116">
        <v>1215.9000000000001</v>
      </c>
      <c r="F1787" s="116">
        <v>2363.4499999999998</v>
      </c>
      <c r="G1787">
        <v>412984</v>
      </c>
      <c r="H1787" s="116"/>
      <c r="I1787" s="116"/>
      <c r="L1787" s="170">
        <v>44635</v>
      </c>
      <c r="M1787" s="116">
        <v>1181.7249999999999</v>
      </c>
      <c r="N1787" s="116">
        <v>1213.9749999999999</v>
      </c>
      <c r="O1787" s="116">
        <v>1170.425</v>
      </c>
      <c r="P1787" s="116">
        <v>1213.9749999999999</v>
      </c>
      <c r="Q1787" s="116">
        <v>2363.4499999999998</v>
      </c>
      <c r="R1787">
        <v>7349740</v>
      </c>
    </row>
    <row r="1788" spans="1:18" x14ac:dyDescent="0.25">
      <c r="A1788" s="170">
        <v>44636</v>
      </c>
      <c r="B1788" s="116">
        <v>1203.5250000000001</v>
      </c>
      <c r="C1788" s="116">
        <v>1201.625</v>
      </c>
      <c r="D1788" s="116">
        <v>1188.2249999999999</v>
      </c>
      <c r="E1788" s="116">
        <v>1193.9749999999999</v>
      </c>
      <c r="F1788" s="116">
        <v>2403.25</v>
      </c>
      <c r="G1788">
        <v>276207</v>
      </c>
      <c r="H1788" s="116"/>
      <c r="I1788" s="116"/>
      <c r="L1788" s="170">
        <v>44636</v>
      </c>
      <c r="M1788" s="116">
        <v>1201.675</v>
      </c>
      <c r="N1788" s="116">
        <v>1203.95</v>
      </c>
      <c r="O1788" s="116">
        <v>1188.55</v>
      </c>
      <c r="P1788" s="116">
        <v>1191</v>
      </c>
      <c r="Q1788" s="116">
        <v>2403.35</v>
      </c>
      <c r="R1788">
        <v>5145644</v>
      </c>
    </row>
    <row r="1789" spans="1:18" x14ac:dyDescent="0.25">
      <c r="A1789" s="170">
        <v>44637</v>
      </c>
      <c r="B1789" s="116">
        <v>1248.45</v>
      </c>
      <c r="C1789" s="116">
        <v>1239.825</v>
      </c>
      <c r="D1789" s="116">
        <v>1200.575</v>
      </c>
      <c r="E1789" s="116">
        <v>1219</v>
      </c>
      <c r="F1789" s="116">
        <v>2479.65</v>
      </c>
      <c r="G1789">
        <v>286443</v>
      </c>
      <c r="H1789" s="116"/>
      <c r="I1789" s="116"/>
      <c r="L1789" s="170">
        <v>44637</v>
      </c>
      <c r="M1789" s="116">
        <v>1240.8499999999999</v>
      </c>
      <c r="N1789" s="116">
        <v>1248.7</v>
      </c>
      <c r="O1789" s="116">
        <v>1207.55</v>
      </c>
      <c r="P1789" s="116">
        <v>1216.375</v>
      </c>
      <c r="Q1789" s="116">
        <v>2481.6999999999998</v>
      </c>
      <c r="R1789">
        <v>9886295</v>
      </c>
    </row>
    <row r="1790" spans="1:18" x14ac:dyDescent="0.25">
      <c r="A1790" s="170">
        <v>44641</v>
      </c>
      <c r="B1790" s="116">
        <v>1241.8499999999999</v>
      </c>
      <c r="C1790" s="116">
        <v>1233.575</v>
      </c>
      <c r="D1790" s="116">
        <v>1221</v>
      </c>
      <c r="E1790" s="116">
        <v>1226</v>
      </c>
      <c r="F1790" s="116">
        <v>2467.15</v>
      </c>
      <c r="G1790">
        <v>207916</v>
      </c>
      <c r="H1790" s="116"/>
      <c r="I1790" s="116"/>
      <c r="L1790" s="170">
        <v>44641</v>
      </c>
      <c r="M1790" s="116">
        <v>1233.7</v>
      </c>
      <c r="N1790" s="116">
        <v>1242</v>
      </c>
      <c r="O1790" s="116">
        <v>1219.5</v>
      </c>
      <c r="P1790" s="116">
        <v>1222</v>
      </c>
      <c r="Q1790" s="116">
        <v>2467.4</v>
      </c>
      <c r="R1790">
        <v>5537752</v>
      </c>
    </row>
    <row r="1791" spans="1:18" x14ac:dyDescent="0.25">
      <c r="A1791" s="170">
        <v>44642</v>
      </c>
      <c r="B1791" s="116">
        <v>1267.5</v>
      </c>
      <c r="C1791" s="116">
        <v>1265.55</v>
      </c>
      <c r="D1791" s="116">
        <v>1227</v>
      </c>
      <c r="E1791" s="116">
        <v>1231.8499999999999</v>
      </c>
      <c r="F1791" s="116">
        <v>2531.1</v>
      </c>
      <c r="G1791">
        <v>304284</v>
      </c>
      <c r="H1791" s="116"/>
      <c r="I1791" s="116"/>
      <c r="L1791" s="170">
        <v>44642</v>
      </c>
      <c r="M1791" s="116">
        <v>1265.575</v>
      </c>
      <c r="N1791" s="116">
        <v>1267.4749999999999</v>
      </c>
      <c r="O1791" s="116">
        <v>1226.8</v>
      </c>
      <c r="P1791" s="116">
        <v>1230.05</v>
      </c>
      <c r="Q1791" s="116">
        <v>2531.15</v>
      </c>
      <c r="R1791">
        <v>10410082</v>
      </c>
    </row>
    <row r="1792" spans="1:18" x14ac:dyDescent="0.25">
      <c r="A1792" s="170">
        <v>44643</v>
      </c>
      <c r="B1792" s="116">
        <v>1282.5</v>
      </c>
      <c r="C1792" s="116">
        <v>1269.8499999999999</v>
      </c>
      <c r="D1792" s="116">
        <v>1263.0999999999999</v>
      </c>
      <c r="E1792" s="116">
        <v>1263.0999999999999</v>
      </c>
      <c r="F1792" s="116">
        <v>2539.6999999999998</v>
      </c>
      <c r="G1792">
        <v>200221</v>
      </c>
      <c r="H1792" s="116"/>
      <c r="I1792" s="116"/>
      <c r="L1792" s="170">
        <v>44643</v>
      </c>
      <c r="M1792" s="116">
        <v>1269.5999999999999</v>
      </c>
      <c r="N1792" s="116">
        <v>1282.425</v>
      </c>
      <c r="O1792" s="116">
        <v>1261.5</v>
      </c>
      <c r="P1792" s="116">
        <v>1261.5</v>
      </c>
      <c r="Q1792" s="116">
        <v>2539.1999999999998</v>
      </c>
      <c r="R1792">
        <v>7135797</v>
      </c>
    </row>
    <row r="1793" spans="1:18" x14ac:dyDescent="0.25">
      <c r="A1793" s="170">
        <v>44644</v>
      </c>
      <c r="B1793" s="116">
        <v>1291.75</v>
      </c>
      <c r="C1793" s="116">
        <v>1288.95</v>
      </c>
      <c r="D1793" s="116">
        <v>1256.0250000000001</v>
      </c>
      <c r="E1793" s="116">
        <v>1257.5</v>
      </c>
      <c r="F1793" s="116">
        <v>2577.9</v>
      </c>
      <c r="G1793">
        <v>327758</v>
      </c>
      <c r="H1793" s="116"/>
      <c r="I1793" s="116"/>
      <c r="L1793" s="170">
        <v>44644</v>
      </c>
      <c r="M1793" s="116">
        <v>1289.325</v>
      </c>
      <c r="N1793" s="116">
        <v>1292.075</v>
      </c>
      <c r="O1793" s="116">
        <v>1255</v>
      </c>
      <c r="P1793" s="116">
        <v>1255</v>
      </c>
      <c r="Q1793" s="116">
        <v>2578.65</v>
      </c>
      <c r="R1793">
        <v>6077153</v>
      </c>
    </row>
    <row r="1794" spans="1:18" x14ac:dyDescent="0.25">
      <c r="A1794" s="170">
        <v>44645</v>
      </c>
      <c r="B1794" s="116">
        <v>1307.5</v>
      </c>
      <c r="C1794" s="116">
        <v>1298.3499999999999</v>
      </c>
      <c r="D1794" s="116">
        <v>1288.5</v>
      </c>
      <c r="E1794" s="116">
        <v>1288.95</v>
      </c>
      <c r="F1794" s="116">
        <v>2596.6999999999998</v>
      </c>
      <c r="G1794">
        <v>195991</v>
      </c>
      <c r="H1794" s="116"/>
      <c r="I1794" s="116"/>
      <c r="L1794" s="170">
        <v>44645</v>
      </c>
      <c r="M1794" s="116">
        <v>1297.925</v>
      </c>
      <c r="N1794" s="116">
        <v>1308</v>
      </c>
      <c r="O1794" s="116">
        <v>1288.5</v>
      </c>
      <c r="P1794" s="116">
        <v>1291.25</v>
      </c>
      <c r="Q1794" s="116">
        <v>2595.85</v>
      </c>
      <c r="R1794">
        <v>6563676</v>
      </c>
    </row>
    <row r="1795" spans="1:18" x14ac:dyDescent="0.25">
      <c r="A1795" s="170">
        <v>44648</v>
      </c>
      <c r="B1795" s="116">
        <v>1314.575</v>
      </c>
      <c r="C1795" s="116">
        <v>1310.825</v>
      </c>
      <c r="D1795" s="116">
        <v>1293.45</v>
      </c>
      <c r="E1795" s="116">
        <v>1305.5</v>
      </c>
      <c r="F1795" s="116">
        <v>2621.65</v>
      </c>
      <c r="G1795">
        <v>342191</v>
      </c>
      <c r="H1795" s="116"/>
      <c r="I1795" s="116"/>
      <c r="L1795" s="170">
        <v>44648</v>
      </c>
      <c r="M1795" s="116">
        <v>1310.9749999999999</v>
      </c>
      <c r="N1795" s="116">
        <v>1314.875</v>
      </c>
      <c r="O1795" s="116">
        <v>1293.25</v>
      </c>
      <c r="P1795" s="116">
        <v>1305</v>
      </c>
      <c r="Q1795" s="116">
        <v>2621.95</v>
      </c>
      <c r="R1795">
        <v>4564891</v>
      </c>
    </row>
    <row r="1796" spans="1:18" x14ac:dyDescent="0.25">
      <c r="A1796" s="170">
        <v>44649</v>
      </c>
      <c r="B1796" s="116">
        <v>1318.5</v>
      </c>
      <c r="C1796" s="116">
        <v>1311.075</v>
      </c>
      <c r="D1796" s="116">
        <v>1304.0999999999999</v>
      </c>
      <c r="E1796" s="116">
        <v>1318.5</v>
      </c>
      <c r="F1796" s="116">
        <v>2622.15</v>
      </c>
      <c r="G1796">
        <v>128043</v>
      </c>
      <c r="H1796" s="116"/>
      <c r="I1796" s="116"/>
      <c r="L1796" s="170">
        <v>44649</v>
      </c>
      <c r="M1796" s="116">
        <v>1311.2750000000001</v>
      </c>
      <c r="N1796" s="116">
        <v>1319</v>
      </c>
      <c r="O1796" s="116">
        <v>1303.7</v>
      </c>
      <c r="P1796" s="116">
        <v>1319</v>
      </c>
      <c r="Q1796" s="116">
        <v>2622.55</v>
      </c>
      <c r="R1796">
        <v>4007695</v>
      </c>
    </row>
    <row r="1797" spans="1:18" x14ac:dyDescent="0.25">
      <c r="A1797" s="170">
        <v>44650</v>
      </c>
      <c r="B1797" s="116">
        <v>1344</v>
      </c>
      <c r="C1797" s="116">
        <v>1336.5</v>
      </c>
      <c r="D1797" s="116">
        <v>1308.875</v>
      </c>
      <c r="E1797" s="116">
        <v>1318.95</v>
      </c>
      <c r="F1797" s="116">
        <v>2673</v>
      </c>
      <c r="G1797">
        <v>154596</v>
      </c>
      <c r="H1797" s="116"/>
      <c r="I1797" s="116"/>
      <c r="L1797" s="170">
        <v>44650</v>
      </c>
      <c r="M1797" s="116">
        <v>1336.4749999999999</v>
      </c>
      <c r="N1797" s="116">
        <v>1344</v>
      </c>
      <c r="O1797" s="116">
        <v>1308.55</v>
      </c>
      <c r="P1797" s="116">
        <v>1319.95</v>
      </c>
      <c r="Q1797" s="116">
        <v>2672.95</v>
      </c>
      <c r="R1797">
        <v>7297028</v>
      </c>
    </row>
    <row r="1798" spans="1:18" x14ac:dyDescent="0.25">
      <c r="A1798" s="170">
        <v>44651</v>
      </c>
      <c r="B1798" s="116">
        <v>1336.5</v>
      </c>
      <c r="C1798" s="116">
        <v>1316.9749999999999</v>
      </c>
      <c r="D1798" s="116">
        <v>1314.45</v>
      </c>
      <c r="E1798" s="116">
        <v>1336.5</v>
      </c>
      <c r="F1798" s="116">
        <v>2633.95</v>
      </c>
      <c r="G1798">
        <v>188426</v>
      </c>
      <c r="H1798" s="116"/>
      <c r="I1798" s="116"/>
      <c r="L1798" s="170">
        <v>44651</v>
      </c>
      <c r="M1798" s="116">
        <v>1317.375</v>
      </c>
      <c r="N1798" s="116">
        <v>1334.85</v>
      </c>
      <c r="O1798" s="116">
        <v>1314.3</v>
      </c>
      <c r="P1798" s="116">
        <v>1332.4749999999999</v>
      </c>
      <c r="Q1798" s="116">
        <v>2634.75</v>
      </c>
      <c r="R1798">
        <v>6102744</v>
      </c>
    </row>
    <row r="1799" spans="1:18" x14ac:dyDescent="0.25">
      <c r="A1799" s="170">
        <v>44652</v>
      </c>
      <c r="B1799" s="116">
        <v>1332.4</v>
      </c>
      <c r="C1799" s="116">
        <v>1327.2249999999999</v>
      </c>
      <c r="D1799" s="116">
        <v>1311.25</v>
      </c>
      <c r="E1799" s="116">
        <v>1320.65</v>
      </c>
      <c r="F1799" s="116">
        <v>2654.45</v>
      </c>
      <c r="G1799">
        <v>84826</v>
      </c>
      <c r="H1799" s="116"/>
      <c r="I1799" s="116"/>
      <c r="L1799" s="170">
        <v>44652</v>
      </c>
      <c r="M1799" s="116">
        <v>1327.925</v>
      </c>
      <c r="N1799" s="116">
        <v>1332.575</v>
      </c>
      <c r="O1799" s="116">
        <v>1311</v>
      </c>
      <c r="P1799" s="116">
        <v>1318</v>
      </c>
      <c r="Q1799" s="116">
        <v>2655.85</v>
      </c>
      <c r="R1799">
        <v>3656408</v>
      </c>
    </row>
    <row r="1800" spans="1:18" x14ac:dyDescent="0.25">
      <c r="A1800" s="170">
        <v>44655</v>
      </c>
      <c r="B1800" s="116">
        <v>1337.5</v>
      </c>
      <c r="C1800" s="116">
        <v>1331.5250000000001</v>
      </c>
      <c r="D1800" s="116">
        <v>1322.125</v>
      </c>
      <c r="E1800" s="116">
        <v>1328.5</v>
      </c>
      <c r="F1800" s="116">
        <v>2663.05</v>
      </c>
      <c r="G1800">
        <v>137978</v>
      </c>
      <c r="H1800" s="116"/>
      <c r="I1800" s="116"/>
      <c r="L1800" s="170">
        <v>44655</v>
      </c>
      <c r="M1800" s="116">
        <v>1331.85</v>
      </c>
      <c r="N1800" s="116">
        <v>1337.5</v>
      </c>
      <c r="O1800" s="116">
        <v>1320.825</v>
      </c>
      <c r="P1800" s="116">
        <v>1327.7249999999999</v>
      </c>
      <c r="Q1800" s="116">
        <v>2663.7</v>
      </c>
      <c r="R1800">
        <v>3659307</v>
      </c>
    </row>
    <row r="1801" spans="1:18" x14ac:dyDescent="0.25">
      <c r="A1801" s="170">
        <v>44656</v>
      </c>
      <c r="B1801" s="116">
        <v>1334.425</v>
      </c>
      <c r="C1801" s="116">
        <v>1312.7</v>
      </c>
      <c r="D1801" s="116">
        <v>1310.575</v>
      </c>
      <c r="E1801" s="116">
        <v>1327.5</v>
      </c>
      <c r="F1801" s="116">
        <v>2625.4</v>
      </c>
      <c r="G1801">
        <v>112402</v>
      </c>
      <c r="H1801" s="116"/>
      <c r="I1801" s="116"/>
      <c r="L1801" s="170">
        <v>44656</v>
      </c>
      <c r="M1801" s="116">
        <v>1313.0250000000001</v>
      </c>
      <c r="N1801" s="116">
        <v>1334.95</v>
      </c>
      <c r="O1801" s="116">
        <v>1310.3499999999999</v>
      </c>
      <c r="P1801" s="116">
        <v>1325.55</v>
      </c>
      <c r="Q1801" s="116">
        <v>2626.05</v>
      </c>
      <c r="R1801">
        <v>6068663</v>
      </c>
    </row>
    <row r="1802" spans="1:18" x14ac:dyDescent="0.25">
      <c r="A1802" s="170">
        <v>44657</v>
      </c>
      <c r="B1802" s="116">
        <v>1317.0250000000001</v>
      </c>
      <c r="C1802" s="116">
        <v>1309.675</v>
      </c>
      <c r="D1802" s="116">
        <v>1294.3</v>
      </c>
      <c r="E1802" s="116">
        <v>1294.325</v>
      </c>
      <c r="F1802" s="116">
        <v>2619.35</v>
      </c>
      <c r="G1802">
        <v>146948</v>
      </c>
      <c r="H1802" s="116"/>
      <c r="I1802" s="116"/>
      <c r="L1802" s="170">
        <v>44657</v>
      </c>
      <c r="M1802" s="116">
        <v>1309.5250000000001</v>
      </c>
      <c r="N1802" s="116">
        <v>1317.25</v>
      </c>
      <c r="O1802" s="116">
        <v>1293.55</v>
      </c>
      <c r="P1802" s="116">
        <v>1293.55</v>
      </c>
      <c r="Q1802" s="116">
        <v>2619.0500000000002</v>
      </c>
      <c r="R1802">
        <v>5656703</v>
      </c>
    </row>
    <row r="1803" spans="1:18" x14ac:dyDescent="0.25">
      <c r="A1803" s="170">
        <v>44658</v>
      </c>
      <c r="B1803" s="116">
        <v>1301.625</v>
      </c>
      <c r="C1803" s="116">
        <v>1285.875</v>
      </c>
      <c r="D1803" s="116">
        <v>1283.5</v>
      </c>
      <c r="E1803" s="116">
        <v>1299.75</v>
      </c>
      <c r="F1803" s="116">
        <v>2571.75</v>
      </c>
      <c r="G1803">
        <v>244738</v>
      </c>
      <c r="H1803" s="116"/>
      <c r="I1803" s="116"/>
      <c r="L1803" s="170">
        <v>44658</v>
      </c>
      <c r="M1803" s="116">
        <v>1286.425</v>
      </c>
      <c r="N1803" s="116">
        <v>1303</v>
      </c>
      <c r="O1803" s="116">
        <v>1283.5</v>
      </c>
      <c r="P1803" s="116">
        <v>1297.55</v>
      </c>
      <c r="Q1803" s="116">
        <v>2572.85</v>
      </c>
      <c r="R1803">
        <v>7151632</v>
      </c>
    </row>
    <row r="1804" spans="1:18" x14ac:dyDescent="0.25">
      <c r="A1804" s="170">
        <v>44659</v>
      </c>
      <c r="B1804" s="116">
        <v>1312.5</v>
      </c>
      <c r="C1804" s="116">
        <v>1308.375</v>
      </c>
      <c r="D1804" s="116">
        <v>1281.3</v>
      </c>
      <c r="E1804" s="116">
        <v>1281.5</v>
      </c>
      <c r="F1804" s="116">
        <v>2616.75</v>
      </c>
      <c r="G1804">
        <v>265594</v>
      </c>
      <c r="H1804" s="116"/>
      <c r="I1804" s="116"/>
      <c r="L1804" s="170">
        <v>44659</v>
      </c>
      <c r="M1804" s="116">
        <v>1307.825</v>
      </c>
      <c r="N1804" s="116">
        <v>1312.5</v>
      </c>
      <c r="O1804" s="116">
        <v>1280</v>
      </c>
      <c r="P1804" s="116">
        <v>1280</v>
      </c>
      <c r="Q1804" s="116">
        <v>2615.65</v>
      </c>
      <c r="R1804">
        <v>6992874</v>
      </c>
    </row>
    <row r="1805" spans="1:18" x14ac:dyDescent="0.25">
      <c r="A1805" s="170">
        <v>44662</v>
      </c>
      <c r="B1805" s="116">
        <v>1319</v>
      </c>
      <c r="C1805" s="116">
        <v>1304.9000000000001</v>
      </c>
      <c r="D1805" s="116">
        <v>1291.325</v>
      </c>
      <c r="E1805" s="116">
        <v>1299.5</v>
      </c>
      <c r="F1805" s="116">
        <v>2609.8000000000002</v>
      </c>
      <c r="G1805">
        <v>209888</v>
      </c>
      <c r="H1805" s="116"/>
      <c r="I1805" s="116"/>
      <c r="L1805" s="170">
        <v>44662</v>
      </c>
      <c r="M1805" s="116">
        <v>1305.0999999999999</v>
      </c>
      <c r="N1805" s="116">
        <v>1319.2750000000001</v>
      </c>
      <c r="O1805" s="116">
        <v>1291.5</v>
      </c>
      <c r="P1805" s="116">
        <v>1300</v>
      </c>
      <c r="Q1805" s="116">
        <v>2610.1999999999998</v>
      </c>
      <c r="R1805">
        <v>4270816</v>
      </c>
    </row>
    <row r="1806" spans="1:18" x14ac:dyDescent="0.25">
      <c r="A1806" s="170">
        <v>44663</v>
      </c>
      <c r="B1806" s="116">
        <v>1301.2</v>
      </c>
      <c r="C1806" s="116">
        <v>1280.075</v>
      </c>
      <c r="D1806" s="116">
        <v>1278</v>
      </c>
      <c r="E1806" s="116">
        <v>1294</v>
      </c>
      <c r="F1806" s="116">
        <v>2560.15</v>
      </c>
      <c r="G1806">
        <v>213157</v>
      </c>
      <c r="H1806" s="116"/>
      <c r="I1806" s="116"/>
      <c r="L1806" s="170">
        <v>44663</v>
      </c>
      <c r="M1806" s="116">
        <v>1280.5250000000001</v>
      </c>
      <c r="N1806" s="116">
        <v>1301.3</v>
      </c>
      <c r="O1806" s="116">
        <v>1277.7</v>
      </c>
      <c r="P1806" s="116">
        <v>1293.5</v>
      </c>
      <c r="Q1806" s="116">
        <v>2561.0500000000002</v>
      </c>
      <c r="R1806">
        <v>6099986</v>
      </c>
    </row>
    <row r="1807" spans="1:18" x14ac:dyDescent="0.25">
      <c r="A1807" s="170">
        <v>44664</v>
      </c>
      <c r="B1807" s="116">
        <v>1296.45</v>
      </c>
      <c r="C1807" s="116">
        <v>1276.2249999999999</v>
      </c>
      <c r="D1807" s="116">
        <v>1273</v>
      </c>
      <c r="E1807" s="116">
        <v>1288.5</v>
      </c>
      <c r="F1807" s="116">
        <v>2552.4499999999998</v>
      </c>
      <c r="G1807">
        <v>156923</v>
      </c>
      <c r="H1807" s="116"/>
      <c r="I1807" s="116"/>
      <c r="L1807" s="170">
        <v>44664</v>
      </c>
      <c r="M1807" s="116">
        <v>1275.825</v>
      </c>
      <c r="N1807" s="116">
        <v>1296.3</v>
      </c>
      <c r="O1807" s="116">
        <v>1272.75</v>
      </c>
      <c r="P1807" s="116">
        <v>1287.25</v>
      </c>
      <c r="Q1807" s="116">
        <v>2551.65</v>
      </c>
      <c r="R1807">
        <v>4778478</v>
      </c>
    </row>
    <row r="1808" spans="1:18" x14ac:dyDescent="0.25">
      <c r="A1808" s="170">
        <v>44669</v>
      </c>
      <c r="B1808" s="116">
        <v>1279.5250000000001</v>
      </c>
      <c r="C1808" s="116">
        <v>1272.075</v>
      </c>
      <c r="D1808" s="116">
        <v>1261.3</v>
      </c>
      <c r="E1808" s="116">
        <v>1265.125</v>
      </c>
      <c r="F1808" s="116">
        <v>2544.15</v>
      </c>
      <c r="G1808">
        <v>215288</v>
      </c>
      <c r="H1808" s="116"/>
      <c r="I1808" s="116"/>
      <c r="L1808" s="170">
        <v>44669</v>
      </c>
      <c r="M1808" s="116">
        <v>1271.925</v>
      </c>
      <c r="N1808" s="116">
        <v>1279.9000000000001</v>
      </c>
      <c r="O1808" s="116">
        <v>1260.9000000000001</v>
      </c>
      <c r="P1808" s="116">
        <v>1266.5</v>
      </c>
      <c r="Q1808" s="116">
        <v>2543.85</v>
      </c>
      <c r="R1808">
        <v>4603103</v>
      </c>
    </row>
    <row r="1809" spans="1:18" x14ac:dyDescent="0.25">
      <c r="A1809" s="170">
        <v>44670</v>
      </c>
      <c r="B1809" s="116">
        <v>1333.5</v>
      </c>
      <c r="C1809" s="116">
        <v>1319.2249999999999</v>
      </c>
      <c r="D1809" s="116">
        <v>1275.55</v>
      </c>
      <c r="E1809" s="116">
        <v>1277.05</v>
      </c>
      <c r="F1809" s="116">
        <v>2638.45</v>
      </c>
      <c r="G1809">
        <v>545067</v>
      </c>
      <c r="H1809" s="116"/>
      <c r="I1809" s="116"/>
      <c r="L1809" s="170">
        <v>44670</v>
      </c>
      <c r="M1809" s="116">
        <v>1320.4</v>
      </c>
      <c r="N1809" s="116">
        <v>1334</v>
      </c>
      <c r="O1809" s="116">
        <v>1275.5250000000001</v>
      </c>
      <c r="P1809" s="116">
        <v>1279</v>
      </c>
      <c r="Q1809" s="116">
        <v>2640.8</v>
      </c>
      <c r="R1809">
        <v>12064446</v>
      </c>
    </row>
    <row r="1810" spans="1:18" x14ac:dyDescent="0.25">
      <c r="A1810" s="170">
        <v>44671</v>
      </c>
      <c r="B1810" s="116">
        <v>1366.825</v>
      </c>
      <c r="C1810" s="116">
        <v>1359.2</v>
      </c>
      <c r="D1810" s="116">
        <v>1325</v>
      </c>
      <c r="E1810" s="116">
        <v>1327.875</v>
      </c>
      <c r="F1810" s="116">
        <v>2718.4</v>
      </c>
      <c r="G1810">
        <v>458162</v>
      </c>
      <c r="H1810" s="116"/>
      <c r="I1810" s="116"/>
      <c r="L1810" s="170">
        <v>44671</v>
      </c>
      <c r="M1810" s="116">
        <v>1359.2249999999999</v>
      </c>
      <c r="N1810" s="116">
        <v>1367</v>
      </c>
      <c r="O1810" s="116">
        <v>1324.55</v>
      </c>
      <c r="P1810" s="116">
        <v>1328.55</v>
      </c>
      <c r="Q1810" s="116">
        <v>2718.45</v>
      </c>
      <c r="R1810">
        <v>11570835</v>
      </c>
    </row>
    <row r="1811" spans="1:18" x14ac:dyDescent="0.25">
      <c r="A1811" s="170">
        <v>44672</v>
      </c>
      <c r="B1811" s="116">
        <v>1394.4</v>
      </c>
      <c r="C1811" s="116">
        <v>1391.075</v>
      </c>
      <c r="D1811" s="116">
        <v>1366.825</v>
      </c>
      <c r="E1811" s="116">
        <v>1379.5</v>
      </c>
      <c r="F1811" s="116">
        <v>2782.15</v>
      </c>
      <c r="G1811">
        <v>280821</v>
      </c>
      <c r="H1811" s="116"/>
      <c r="I1811" s="116"/>
      <c r="L1811" s="170">
        <v>44672</v>
      </c>
      <c r="M1811" s="116">
        <v>1391.05</v>
      </c>
      <c r="N1811" s="116">
        <v>1394.5</v>
      </c>
      <c r="O1811" s="116">
        <v>1366</v>
      </c>
      <c r="P1811" s="116">
        <v>1375.45</v>
      </c>
      <c r="Q1811" s="116">
        <v>2782.1</v>
      </c>
      <c r="R1811">
        <v>10018531</v>
      </c>
    </row>
    <row r="1812" spans="1:18" x14ac:dyDescent="0.25">
      <c r="A1812" s="170">
        <v>44673</v>
      </c>
      <c r="B1812" s="116">
        <v>1400.325</v>
      </c>
      <c r="C1812" s="116">
        <v>1379.2249999999999</v>
      </c>
      <c r="D1812" s="116">
        <v>1371.925</v>
      </c>
      <c r="E1812" s="116">
        <v>1382.5250000000001</v>
      </c>
      <c r="F1812" s="116">
        <v>2758.45</v>
      </c>
      <c r="G1812">
        <v>314673</v>
      </c>
      <c r="H1812" s="116"/>
      <c r="I1812" s="116"/>
      <c r="L1812" s="170">
        <v>44673</v>
      </c>
      <c r="M1812" s="116">
        <v>1379.4</v>
      </c>
      <c r="N1812" s="116">
        <v>1401</v>
      </c>
      <c r="O1812" s="116">
        <v>1372.1</v>
      </c>
      <c r="P1812" s="116">
        <v>1379.45</v>
      </c>
      <c r="Q1812" s="116">
        <v>2758.8</v>
      </c>
      <c r="R1812">
        <v>6947490</v>
      </c>
    </row>
    <row r="1813" spans="1:18" x14ac:dyDescent="0.25">
      <c r="A1813" s="170">
        <v>44676</v>
      </c>
      <c r="B1813" s="116">
        <v>1379.175</v>
      </c>
      <c r="C1813" s="116">
        <v>1347.425</v>
      </c>
      <c r="D1813" s="116">
        <v>1332.2</v>
      </c>
      <c r="E1813" s="116">
        <v>1369.7249999999999</v>
      </c>
      <c r="F1813" s="116">
        <v>2694.85</v>
      </c>
      <c r="G1813">
        <v>208296</v>
      </c>
      <c r="H1813" s="116"/>
      <c r="I1813" s="116"/>
      <c r="L1813" s="170">
        <v>44676</v>
      </c>
      <c r="M1813" s="116">
        <v>1347.5</v>
      </c>
      <c r="N1813" s="116">
        <v>1379.2</v>
      </c>
      <c r="O1813" s="116">
        <v>1331.825</v>
      </c>
      <c r="P1813" s="116">
        <v>1371.2</v>
      </c>
      <c r="Q1813" s="116">
        <v>2695</v>
      </c>
      <c r="R1813">
        <v>7874671</v>
      </c>
    </row>
    <row r="1814" spans="1:18" x14ac:dyDescent="0.25">
      <c r="A1814" s="170">
        <v>44677</v>
      </c>
      <c r="B1814" s="116">
        <v>1397.825</v>
      </c>
      <c r="C1814" s="116">
        <v>1387.85</v>
      </c>
      <c r="D1814" s="116">
        <v>1354</v>
      </c>
      <c r="E1814" s="116">
        <v>1354</v>
      </c>
      <c r="F1814" s="116">
        <v>2775.7</v>
      </c>
      <c r="G1814">
        <v>240951</v>
      </c>
      <c r="H1814" s="116"/>
      <c r="I1814" s="116"/>
      <c r="L1814" s="170">
        <v>44677</v>
      </c>
      <c r="M1814" s="116">
        <v>1387.825</v>
      </c>
      <c r="N1814" s="116">
        <v>1397.5</v>
      </c>
      <c r="O1814" s="116">
        <v>1353.85</v>
      </c>
      <c r="P1814" s="116">
        <v>1355</v>
      </c>
      <c r="Q1814" s="116">
        <v>2775.65</v>
      </c>
      <c r="R1814">
        <v>5643066</v>
      </c>
    </row>
    <row r="1815" spans="1:18" x14ac:dyDescent="0.25">
      <c r="A1815" s="170">
        <v>44678</v>
      </c>
      <c r="B1815" s="116">
        <v>1413.55</v>
      </c>
      <c r="C1815" s="116">
        <v>1388.95</v>
      </c>
      <c r="D1815" s="116">
        <v>1378.5</v>
      </c>
      <c r="E1815" s="116">
        <v>1379.85</v>
      </c>
      <c r="F1815" s="116">
        <v>2777.9</v>
      </c>
      <c r="G1815">
        <v>389360</v>
      </c>
      <c r="H1815" s="116"/>
      <c r="I1815" s="116"/>
      <c r="L1815" s="170">
        <v>44678</v>
      </c>
      <c r="M1815" s="116">
        <v>1389.175</v>
      </c>
      <c r="N1815" s="116">
        <v>1414</v>
      </c>
      <c r="O1815" s="116">
        <v>1377.5250000000001</v>
      </c>
      <c r="P1815" s="116">
        <v>1377.925</v>
      </c>
      <c r="Q1815" s="116">
        <v>2778.35</v>
      </c>
      <c r="R1815">
        <v>8924920</v>
      </c>
    </row>
    <row r="1816" spans="1:18" x14ac:dyDescent="0.25">
      <c r="A1816" s="170">
        <v>44679</v>
      </c>
      <c r="B1816" s="116">
        <v>1425</v>
      </c>
      <c r="C1816" s="116">
        <v>1409.6</v>
      </c>
      <c r="D1816" s="116">
        <v>1393.15</v>
      </c>
      <c r="E1816" s="116">
        <v>1407.5</v>
      </c>
      <c r="F1816" s="116">
        <v>2819.2</v>
      </c>
      <c r="G1816">
        <v>264655</v>
      </c>
      <c r="H1816" s="116"/>
      <c r="I1816" s="116"/>
      <c r="L1816" s="170">
        <v>44679</v>
      </c>
      <c r="M1816" s="116">
        <v>1409.925</v>
      </c>
      <c r="N1816" s="116">
        <v>1425.5</v>
      </c>
      <c r="O1816" s="116">
        <v>1393.05</v>
      </c>
      <c r="P1816" s="116">
        <v>1404.9749999999999</v>
      </c>
      <c r="Q1816" s="116">
        <v>2819.85</v>
      </c>
      <c r="R1816">
        <v>11820892</v>
      </c>
    </row>
    <row r="1817" spans="1:18" x14ac:dyDescent="0.25">
      <c r="A1817" s="170">
        <v>44680</v>
      </c>
      <c r="B1817" s="116">
        <v>1427.5</v>
      </c>
      <c r="C1817" s="116">
        <v>1395.4</v>
      </c>
      <c r="D1817" s="116">
        <v>1388.7750000000001</v>
      </c>
      <c r="E1817" s="116">
        <v>1427.5</v>
      </c>
      <c r="F1817" s="116">
        <v>2790.8</v>
      </c>
      <c r="G1817">
        <v>202927</v>
      </c>
      <c r="H1817" s="116"/>
      <c r="I1817" s="116"/>
      <c r="L1817" s="170">
        <v>44680</v>
      </c>
      <c r="M1817" s="116">
        <v>1395.125</v>
      </c>
      <c r="N1817" s="116">
        <v>1428.075</v>
      </c>
      <c r="O1817" s="116">
        <v>1388.65</v>
      </c>
      <c r="P1817" s="116">
        <v>1428.075</v>
      </c>
      <c r="Q1817" s="116">
        <v>2790.25</v>
      </c>
      <c r="R1817">
        <v>8406156</v>
      </c>
    </row>
    <row r="1818" spans="1:18" x14ac:dyDescent="0.25">
      <c r="A1818" s="170">
        <v>44683</v>
      </c>
      <c r="B1818" s="116">
        <v>1402.5</v>
      </c>
      <c r="C1818" s="116">
        <v>1390.2750000000001</v>
      </c>
      <c r="D1818" s="116">
        <v>1377.75</v>
      </c>
      <c r="E1818" s="116">
        <v>1377.75</v>
      </c>
      <c r="F1818" s="116">
        <v>2780.55</v>
      </c>
      <c r="G1818">
        <v>244590</v>
      </c>
      <c r="H1818" s="116"/>
      <c r="I1818" s="116"/>
      <c r="L1818" s="170">
        <v>44683</v>
      </c>
      <c r="M1818" s="116">
        <v>1390.2249999999999</v>
      </c>
      <c r="N1818" s="116">
        <v>1402.75</v>
      </c>
      <c r="O1818" s="116">
        <v>1379.0250000000001</v>
      </c>
      <c r="P1818" s="116">
        <v>1381</v>
      </c>
      <c r="Q1818" s="116">
        <v>2780.45</v>
      </c>
      <c r="R1818">
        <v>4369022</v>
      </c>
    </row>
    <row r="1819" spans="1:18" x14ac:dyDescent="0.25">
      <c r="A1819" s="170">
        <v>44685</v>
      </c>
      <c r="B1819" s="116">
        <v>1392.575</v>
      </c>
      <c r="C1819" s="116">
        <v>1346.575</v>
      </c>
      <c r="D1819" s="116">
        <v>1337.9</v>
      </c>
      <c r="E1819" s="116">
        <v>1392.5</v>
      </c>
      <c r="F1819" s="116">
        <v>2693.15</v>
      </c>
      <c r="G1819">
        <v>3251053</v>
      </c>
      <c r="H1819" s="116"/>
      <c r="I1819" s="116"/>
      <c r="L1819" s="170">
        <v>44685</v>
      </c>
      <c r="M1819" s="116">
        <v>1346.825</v>
      </c>
      <c r="N1819" s="116">
        <v>1395</v>
      </c>
      <c r="O1819" s="116">
        <v>1338.15</v>
      </c>
      <c r="P1819" s="116">
        <v>1392.5</v>
      </c>
      <c r="Q1819" s="116">
        <v>2693.65</v>
      </c>
      <c r="R1819">
        <v>8882792</v>
      </c>
    </row>
    <row r="1820" spans="1:18" x14ac:dyDescent="0.25">
      <c r="A1820" s="170">
        <v>44686</v>
      </c>
      <c r="B1820" s="116">
        <v>1364.825</v>
      </c>
      <c r="C1820" s="116">
        <v>1320.375</v>
      </c>
      <c r="D1820" s="116">
        <v>1316</v>
      </c>
      <c r="E1820" s="116">
        <v>1360.5</v>
      </c>
      <c r="F1820" s="116">
        <v>2640.75</v>
      </c>
      <c r="G1820">
        <v>355466</v>
      </c>
      <c r="H1820" s="116"/>
      <c r="I1820" s="116"/>
      <c r="L1820" s="170">
        <v>44686</v>
      </c>
      <c r="M1820" s="116">
        <v>1320.45</v>
      </c>
      <c r="N1820" s="116">
        <v>1365</v>
      </c>
      <c r="O1820" s="116">
        <v>1316</v>
      </c>
      <c r="P1820" s="116">
        <v>1361.75</v>
      </c>
      <c r="Q1820" s="116">
        <v>2640.9</v>
      </c>
      <c r="R1820">
        <v>7942721</v>
      </c>
    </row>
    <row r="1821" spans="1:18" x14ac:dyDescent="0.25">
      <c r="A1821" s="170">
        <v>44687</v>
      </c>
      <c r="B1821" s="116">
        <v>1329.7750000000001</v>
      </c>
      <c r="C1821" s="116">
        <v>1310.575</v>
      </c>
      <c r="D1821" s="116">
        <v>1297.3</v>
      </c>
      <c r="E1821" s="116">
        <v>1320.375</v>
      </c>
      <c r="F1821" s="116">
        <v>2621.15</v>
      </c>
      <c r="G1821">
        <v>249708</v>
      </c>
      <c r="H1821" s="116"/>
      <c r="I1821" s="116"/>
      <c r="L1821" s="170">
        <v>44687</v>
      </c>
      <c r="M1821" s="116">
        <v>1310.325</v>
      </c>
      <c r="N1821" s="116">
        <v>1329.5</v>
      </c>
      <c r="O1821" s="116">
        <v>1296.7750000000001</v>
      </c>
      <c r="P1821" s="116">
        <v>1306.0999999999999</v>
      </c>
      <c r="Q1821" s="116">
        <v>2620.65</v>
      </c>
      <c r="R1821">
        <v>9068448</v>
      </c>
    </row>
    <row r="1822" spans="1:18" x14ac:dyDescent="0.25">
      <c r="A1822" s="170">
        <v>44690</v>
      </c>
      <c r="B1822" s="116">
        <v>1298.5999999999999</v>
      </c>
      <c r="C1822" s="116">
        <v>1258.575</v>
      </c>
      <c r="D1822" s="116">
        <v>1253.55</v>
      </c>
      <c r="E1822" s="116">
        <v>1287.5</v>
      </c>
      <c r="F1822" s="116">
        <v>2517.15</v>
      </c>
      <c r="G1822">
        <v>394528</v>
      </c>
      <c r="H1822" s="116"/>
      <c r="I1822" s="116"/>
      <c r="L1822" s="170">
        <v>44690</v>
      </c>
      <c r="M1822" s="116">
        <v>1259.1500000000001</v>
      </c>
      <c r="N1822" s="116">
        <v>1298.55</v>
      </c>
      <c r="O1822" s="116">
        <v>1253.5</v>
      </c>
      <c r="P1822" s="116">
        <v>1287.4749999999999</v>
      </c>
      <c r="Q1822" s="116">
        <v>2518.3000000000002</v>
      </c>
      <c r="R1822">
        <v>8345649</v>
      </c>
    </row>
    <row r="1823" spans="1:18" x14ac:dyDescent="0.25">
      <c r="A1823" s="170">
        <v>44691</v>
      </c>
      <c r="B1823" s="116">
        <v>1262.625</v>
      </c>
      <c r="C1823" s="116">
        <v>1236.625</v>
      </c>
      <c r="D1823" s="116">
        <v>1229.5</v>
      </c>
      <c r="E1823" s="116">
        <v>1249.5</v>
      </c>
      <c r="F1823" s="116">
        <v>2473.25</v>
      </c>
      <c r="G1823">
        <v>228368</v>
      </c>
      <c r="H1823" s="116"/>
      <c r="I1823" s="116"/>
      <c r="L1823" s="170">
        <v>44691</v>
      </c>
      <c r="M1823" s="116">
        <v>1237.325</v>
      </c>
      <c r="N1823" s="116">
        <v>1263.3</v>
      </c>
      <c r="O1823" s="116">
        <v>1229</v>
      </c>
      <c r="P1823" s="116">
        <v>1247.5</v>
      </c>
      <c r="Q1823" s="116">
        <v>2474.65</v>
      </c>
      <c r="R1823">
        <v>9004636</v>
      </c>
    </row>
    <row r="1824" spans="1:18" x14ac:dyDescent="0.25">
      <c r="A1824" s="170">
        <v>44692</v>
      </c>
      <c r="B1824" s="116">
        <v>1242.5250000000001</v>
      </c>
      <c r="C1824" s="116">
        <v>1224.875</v>
      </c>
      <c r="D1824" s="116">
        <v>1210.95</v>
      </c>
      <c r="E1824" s="116">
        <v>1239.3499999999999</v>
      </c>
      <c r="F1824" s="116">
        <v>2449.75</v>
      </c>
      <c r="G1824">
        <v>269992</v>
      </c>
      <c r="H1824" s="116"/>
      <c r="I1824" s="116"/>
      <c r="L1824" s="170">
        <v>44692</v>
      </c>
      <c r="M1824" s="116">
        <v>1224.6500000000001</v>
      </c>
      <c r="N1824" s="116">
        <v>1242.4749999999999</v>
      </c>
      <c r="O1824" s="116">
        <v>1210.9749999999999</v>
      </c>
      <c r="P1824" s="116">
        <v>1236.325</v>
      </c>
      <c r="Q1824" s="116">
        <v>2449.3000000000002</v>
      </c>
      <c r="R1824">
        <v>7681157</v>
      </c>
    </row>
    <row r="1825" spans="1:18" x14ac:dyDescent="0.25">
      <c r="A1825" s="170">
        <v>44693</v>
      </c>
      <c r="B1825" s="116">
        <v>1220</v>
      </c>
      <c r="C1825" s="116">
        <v>1200.4749999999999</v>
      </c>
      <c r="D1825" s="116">
        <v>1185</v>
      </c>
      <c r="E1825" s="116">
        <v>1209.5</v>
      </c>
      <c r="F1825" s="116">
        <v>2400.9499999999998</v>
      </c>
      <c r="G1825">
        <v>375949</v>
      </c>
      <c r="H1825" s="116"/>
      <c r="I1825" s="116"/>
      <c r="L1825" s="170">
        <v>44693</v>
      </c>
      <c r="M1825" s="116">
        <v>1199.7</v>
      </c>
      <c r="N1825" s="116">
        <v>1217.425</v>
      </c>
      <c r="O1825" s="116">
        <v>1185</v>
      </c>
      <c r="P1825" s="116">
        <v>1213.75</v>
      </c>
      <c r="Q1825" s="116">
        <v>2399.4</v>
      </c>
      <c r="R1825">
        <v>9456280</v>
      </c>
    </row>
    <row r="1826" spans="1:18" x14ac:dyDescent="0.25">
      <c r="A1826" s="170">
        <v>44694</v>
      </c>
      <c r="B1826" s="116">
        <v>1239</v>
      </c>
      <c r="C1826" s="116">
        <v>1214.0250000000001</v>
      </c>
      <c r="D1826" s="116">
        <v>1208.0250000000001</v>
      </c>
      <c r="E1826" s="116">
        <v>1216</v>
      </c>
      <c r="F1826" s="116">
        <v>2428.0500000000002</v>
      </c>
      <c r="G1826">
        <v>290185</v>
      </c>
      <c r="H1826" s="116"/>
      <c r="I1826" s="116"/>
      <c r="L1826" s="170">
        <v>44694</v>
      </c>
      <c r="M1826" s="116">
        <v>1213.3</v>
      </c>
      <c r="N1826" s="116">
        <v>1239</v>
      </c>
      <c r="O1826" s="116">
        <v>1207.675</v>
      </c>
      <c r="P1826" s="116">
        <v>1213</v>
      </c>
      <c r="Q1826" s="116">
        <v>2426.6</v>
      </c>
      <c r="R1826">
        <v>8910998</v>
      </c>
    </row>
    <row r="1827" spans="1:18" x14ac:dyDescent="0.25">
      <c r="A1827" s="170">
        <v>44697</v>
      </c>
      <c r="B1827" s="116">
        <v>1240.375</v>
      </c>
      <c r="C1827" s="116">
        <v>1213.7</v>
      </c>
      <c r="D1827" s="116">
        <v>1208.2249999999999</v>
      </c>
      <c r="E1827" s="116">
        <v>1216</v>
      </c>
      <c r="F1827" s="116">
        <v>2427.4</v>
      </c>
      <c r="G1827">
        <v>207222</v>
      </c>
      <c r="H1827" s="116"/>
      <c r="I1827" s="116"/>
      <c r="L1827" s="170">
        <v>44697</v>
      </c>
      <c r="M1827" s="116">
        <v>1213.5999999999999</v>
      </c>
      <c r="N1827" s="116">
        <v>1240.5</v>
      </c>
      <c r="O1827" s="116">
        <v>1208.325</v>
      </c>
      <c r="P1827" s="116">
        <v>1217.2249999999999</v>
      </c>
      <c r="Q1827" s="116">
        <v>2427.1999999999998</v>
      </c>
      <c r="R1827">
        <v>6201594</v>
      </c>
    </row>
    <row r="1828" spans="1:18" x14ac:dyDescent="0.25">
      <c r="A1828" s="170">
        <v>44698</v>
      </c>
      <c r="B1828" s="116">
        <v>1270.2</v>
      </c>
      <c r="C1828" s="116">
        <v>1265.3499999999999</v>
      </c>
      <c r="D1828" s="116">
        <v>1217.5</v>
      </c>
      <c r="E1828" s="116">
        <v>1221.5</v>
      </c>
      <c r="F1828" s="116">
        <v>2530.6999999999998</v>
      </c>
      <c r="G1828">
        <v>336675</v>
      </c>
      <c r="H1828" s="116"/>
      <c r="I1828" s="116"/>
      <c r="L1828" s="170">
        <v>44698</v>
      </c>
      <c r="M1828" s="116">
        <v>1264.575</v>
      </c>
      <c r="N1828" s="116">
        <v>1269.95</v>
      </c>
      <c r="O1828" s="116">
        <v>1216</v>
      </c>
      <c r="P1828" s="116">
        <v>1217.55</v>
      </c>
      <c r="Q1828" s="116">
        <v>2529.15</v>
      </c>
      <c r="R1828">
        <v>7638666</v>
      </c>
    </row>
    <row r="1829" spans="1:18" x14ac:dyDescent="0.25">
      <c r="A1829" s="170">
        <v>44699</v>
      </c>
      <c r="B1829" s="116">
        <v>1285</v>
      </c>
      <c r="C1829" s="116">
        <v>1269.4000000000001</v>
      </c>
      <c r="D1829" s="116">
        <v>1254.1500000000001</v>
      </c>
      <c r="E1829" s="116">
        <v>1269.5</v>
      </c>
      <c r="F1829" s="116">
        <v>2538.8000000000002</v>
      </c>
      <c r="G1829">
        <v>276653</v>
      </c>
      <c r="H1829" s="116"/>
      <c r="I1829" s="116"/>
      <c r="L1829" s="170">
        <v>44699</v>
      </c>
      <c r="M1829" s="116">
        <v>1269.175</v>
      </c>
      <c r="N1829" s="116">
        <v>1285</v>
      </c>
      <c r="O1829" s="116">
        <v>1254.125</v>
      </c>
      <c r="P1829" s="116">
        <v>1269.825</v>
      </c>
      <c r="Q1829" s="116">
        <v>2538.35</v>
      </c>
      <c r="R1829">
        <v>7973235</v>
      </c>
    </row>
    <row r="1830" spans="1:18" x14ac:dyDescent="0.25">
      <c r="A1830" s="170">
        <v>44700</v>
      </c>
      <c r="B1830" s="116">
        <v>1255.5</v>
      </c>
      <c r="C1830" s="116">
        <v>1239.5999999999999</v>
      </c>
      <c r="D1830" s="116">
        <v>1233.2249999999999</v>
      </c>
      <c r="E1830" s="116">
        <v>1235</v>
      </c>
      <c r="F1830" s="116">
        <v>2479.1999999999998</v>
      </c>
      <c r="G1830">
        <v>728658</v>
      </c>
      <c r="H1830" s="116"/>
      <c r="I1830" s="116"/>
      <c r="L1830" s="170">
        <v>44700</v>
      </c>
      <c r="M1830" s="116">
        <v>1239.925</v>
      </c>
      <c r="N1830" s="116">
        <v>1256.25</v>
      </c>
      <c r="O1830" s="116">
        <v>1233.0250000000001</v>
      </c>
      <c r="P1830" s="116">
        <v>1242</v>
      </c>
      <c r="Q1830" s="116">
        <v>2479.85</v>
      </c>
      <c r="R1830">
        <v>6783641</v>
      </c>
    </row>
    <row r="1831" spans="1:18" x14ac:dyDescent="0.25">
      <c r="A1831" s="170">
        <v>44701</v>
      </c>
      <c r="B1831" s="116">
        <v>1321.5</v>
      </c>
      <c r="C1831" s="116">
        <v>1311.075</v>
      </c>
      <c r="D1831" s="116">
        <v>1251.5</v>
      </c>
      <c r="E1831" s="116">
        <v>1257.5</v>
      </c>
      <c r="F1831" s="116">
        <v>2622.15</v>
      </c>
      <c r="G1831">
        <v>277207</v>
      </c>
      <c r="H1831" s="116"/>
      <c r="I1831" s="116"/>
      <c r="L1831" s="170">
        <v>44701</v>
      </c>
      <c r="M1831" s="116">
        <v>1312.2249999999999</v>
      </c>
      <c r="N1831" s="116">
        <v>1322.2</v>
      </c>
      <c r="O1831" s="116">
        <v>1251</v>
      </c>
      <c r="P1831" s="116">
        <v>1256.25</v>
      </c>
      <c r="Q1831" s="116">
        <v>2624.45</v>
      </c>
      <c r="R1831">
        <v>10057508</v>
      </c>
    </row>
    <row r="1832" spans="1:18" x14ac:dyDescent="0.25">
      <c r="A1832" s="170">
        <v>44704</v>
      </c>
      <c r="B1832" s="116">
        <v>1326.875</v>
      </c>
      <c r="C1832" s="116">
        <v>1302.9749999999999</v>
      </c>
      <c r="D1832" s="116">
        <v>1296.4749999999999</v>
      </c>
      <c r="E1832" s="116">
        <v>1315</v>
      </c>
      <c r="F1832" s="116">
        <v>2605.9499999999998</v>
      </c>
      <c r="G1832">
        <v>278346</v>
      </c>
      <c r="H1832" s="116"/>
      <c r="I1832" s="116"/>
      <c r="L1832" s="170">
        <v>44704</v>
      </c>
      <c r="M1832" s="116">
        <v>1303.45</v>
      </c>
      <c r="N1832" s="116">
        <v>1326.7750000000001</v>
      </c>
      <c r="O1832" s="116">
        <v>1296.5</v>
      </c>
      <c r="P1832" s="116">
        <v>1315.75</v>
      </c>
      <c r="Q1832" s="116">
        <v>2606.9</v>
      </c>
      <c r="R1832">
        <v>7039144</v>
      </c>
    </row>
    <row r="1833" spans="1:18" x14ac:dyDescent="0.25">
      <c r="A1833" s="170">
        <v>44705</v>
      </c>
      <c r="B1833" s="116">
        <v>1318.9</v>
      </c>
      <c r="C1833" s="116">
        <v>1308</v>
      </c>
      <c r="D1833" s="116">
        <v>1299</v>
      </c>
      <c r="E1833" s="116">
        <v>1312</v>
      </c>
      <c r="F1833" s="116">
        <v>2616</v>
      </c>
      <c r="G1833">
        <v>147965</v>
      </c>
      <c r="H1833" s="116"/>
      <c r="I1833" s="116"/>
      <c r="L1833" s="170">
        <v>44705</v>
      </c>
      <c r="M1833" s="116">
        <v>1307.925</v>
      </c>
      <c r="N1833" s="116">
        <v>1319</v>
      </c>
      <c r="O1833" s="116">
        <v>1298.8499999999999</v>
      </c>
      <c r="P1833" s="116">
        <v>1303.5</v>
      </c>
      <c r="Q1833" s="116">
        <v>2615.85</v>
      </c>
      <c r="R1833">
        <v>6243086</v>
      </c>
    </row>
    <row r="1834" spans="1:18" x14ac:dyDescent="0.25">
      <c r="A1834" s="170">
        <v>44706</v>
      </c>
      <c r="B1834" s="116">
        <v>1327.9</v>
      </c>
      <c r="C1834" s="116">
        <v>1305.575</v>
      </c>
      <c r="D1834" s="116">
        <v>1300.925</v>
      </c>
      <c r="E1834" s="116">
        <v>1316.175</v>
      </c>
      <c r="F1834" s="116">
        <v>2611.15</v>
      </c>
      <c r="G1834">
        <v>248030</v>
      </c>
      <c r="H1834" s="116"/>
      <c r="I1834" s="116"/>
      <c r="L1834" s="170">
        <v>44706</v>
      </c>
      <c r="M1834" s="116">
        <v>1306</v>
      </c>
      <c r="N1834" s="116">
        <v>1328.35</v>
      </c>
      <c r="O1834" s="116">
        <v>1300.75</v>
      </c>
      <c r="P1834" s="116">
        <v>1317.5</v>
      </c>
      <c r="Q1834" s="116">
        <v>2612</v>
      </c>
      <c r="R1834">
        <v>5867760</v>
      </c>
    </row>
    <row r="1835" spans="1:18" x14ac:dyDescent="0.25">
      <c r="A1835" s="170">
        <v>44707</v>
      </c>
      <c r="B1835" s="116">
        <v>1316.95</v>
      </c>
      <c r="C1835" s="116">
        <v>1293.7249999999999</v>
      </c>
      <c r="D1835" s="116">
        <v>1273.8499999999999</v>
      </c>
      <c r="E1835" s="116">
        <v>1309</v>
      </c>
      <c r="F1835" s="116">
        <v>2587.4499999999998</v>
      </c>
      <c r="G1835">
        <v>183889</v>
      </c>
      <c r="H1835" s="116"/>
      <c r="I1835" s="116"/>
      <c r="L1835" s="170">
        <v>44707</v>
      </c>
      <c r="M1835" s="116">
        <v>1293.55</v>
      </c>
      <c r="N1835" s="116">
        <v>1317.45</v>
      </c>
      <c r="O1835" s="116">
        <v>1274</v>
      </c>
      <c r="P1835" s="116">
        <v>1312.2</v>
      </c>
      <c r="Q1835" s="116">
        <v>2587.1</v>
      </c>
      <c r="R1835">
        <v>8252551</v>
      </c>
    </row>
    <row r="1836" spans="1:18" x14ac:dyDescent="0.25">
      <c r="A1836" s="170">
        <v>44708</v>
      </c>
      <c r="B1836" s="116">
        <v>1302.7750000000001</v>
      </c>
      <c r="C1836" s="116">
        <v>1287.5999999999999</v>
      </c>
      <c r="D1836" s="116">
        <v>1269.675</v>
      </c>
      <c r="E1836" s="116">
        <v>1298.4749999999999</v>
      </c>
      <c r="F1836" s="116">
        <v>2575.1999999999998</v>
      </c>
      <c r="G1836">
        <v>199303</v>
      </c>
      <c r="H1836" s="116"/>
      <c r="I1836" s="116"/>
      <c r="L1836" s="170">
        <v>44708</v>
      </c>
      <c r="M1836" s="116">
        <v>1287.55</v>
      </c>
      <c r="N1836" s="116">
        <v>1302.575</v>
      </c>
      <c r="O1836" s="116">
        <v>1270.05</v>
      </c>
      <c r="P1836" s="116">
        <v>1296.5250000000001</v>
      </c>
      <c r="Q1836" s="116">
        <v>2575.1</v>
      </c>
      <c r="R1836">
        <v>7624888</v>
      </c>
    </row>
    <row r="1837" spans="1:18" x14ac:dyDescent="0.25">
      <c r="A1837" s="170">
        <v>44711</v>
      </c>
      <c r="B1837" s="116">
        <v>1336.5</v>
      </c>
      <c r="C1837" s="116">
        <v>1331.875</v>
      </c>
      <c r="D1837" s="116">
        <v>1297.425</v>
      </c>
      <c r="E1837" s="116">
        <v>1309.9000000000001</v>
      </c>
      <c r="F1837" s="116">
        <v>2663.75</v>
      </c>
      <c r="G1837">
        <v>263592</v>
      </c>
      <c r="H1837" s="116"/>
      <c r="I1837" s="116"/>
      <c r="L1837" s="170">
        <v>44711</v>
      </c>
      <c r="M1837" s="116">
        <v>1332.4</v>
      </c>
      <c r="N1837" s="116">
        <v>1337</v>
      </c>
      <c r="O1837" s="116">
        <v>1297.0999999999999</v>
      </c>
      <c r="P1837" s="116">
        <v>1307.5</v>
      </c>
      <c r="Q1837" s="116">
        <v>2664.8</v>
      </c>
      <c r="R1837">
        <v>6393341</v>
      </c>
    </row>
    <row r="1838" spans="1:18" x14ac:dyDescent="0.25">
      <c r="A1838" s="170">
        <v>44712</v>
      </c>
      <c r="B1838" s="116">
        <v>1339.375</v>
      </c>
      <c r="C1838" s="116">
        <v>1316.95</v>
      </c>
      <c r="D1838" s="116">
        <v>1307.925</v>
      </c>
      <c r="E1838" s="116">
        <v>1323</v>
      </c>
      <c r="F1838" s="116">
        <v>2633.9</v>
      </c>
      <c r="G1838">
        <v>590084</v>
      </c>
      <c r="H1838" s="116"/>
      <c r="I1838" s="116"/>
      <c r="L1838" s="170">
        <v>44712</v>
      </c>
      <c r="M1838" s="116">
        <v>1316.325</v>
      </c>
      <c r="N1838" s="116">
        <v>1339.4</v>
      </c>
      <c r="O1838" s="116">
        <v>1307.8499999999999</v>
      </c>
      <c r="P1838" s="116">
        <v>1320.7</v>
      </c>
      <c r="Q1838" s="116">
        <v>2632.65</v>
      </c>
      <c r="R1838">
        <v>32591420</v>
      </c>
    </row>
    <row r="1839" spans="1:18" x14ac:dyDescent="0.25">
      <c r="A1839" s="170">
        <v>44713</v>
      </c>
      <c r="B1839" s="116">
        <v>1327.4749999999999</v>
      </c>
      <c r="C1839" s="116">
        <v>1316.1</v>
      </c>
      <c r="D1839" s="116">
        <v>1308.05</v>
      </c>
      <c r="E1839" s="116">
        <v>1316.175</v>
      </c>
      <c r="F1839" s="116">
        <v>2632.2</v>
      </c>
      <c r="G1839">
        <v>147783</v>
      </c>
      <c r="H1839" s="116"/>
      <c r="I1839" s="116"/>
      <c r="L1839" s="170">
        <v>44713</v>
      </c>
      <c r="M1839" s="116">
        <v>1316.75</v>
      </c>
      <c r="N1839" s="116">
        <v>1327.6</v>
      </c>
      <c r="O1839" s="116">
        <v>1308.0999999999999</v>
      </c>
      <c r="P1839" s="116">
        <v>1317.15</v>
      </c>
      <c r="Q1839" s="116">
        <v>2633.5</v>
      </c>
      <c r="R1839">
        <v>4512079</v>
      </c>
    </row>
    <row r="1840" spans="1:18" x14ac:dyDescent="0.25">
      <c r="A1840" s="170">
        <v>44714</v>
      </c>
      <c r="B1840" s="116">
        <v>1366</v>
      </c>
      <c r="C1840" s="116">
        <v>1362.25</v>
      </c>
      <c r="D1840" s="116">
        <v>1317.825</v>
      </c>
      <c r="E1840" s="116">
        <v>1322.5</v>
      </c>
      <c r="F1840" s="116">
        <v>2724.5</v>
      </c>
      <c r="G1840">
        <v>299786</v>
      </c>
      <c r="H1840" s="116"/>
      <c r="I1840" s="116"/>
      <c r="L1840" s="170">
        <v>44714</v>
      </c>
      <c r="M1840" s="116">
        <v>1362.15</v>
      </c>
      <c r="N1840" s="116">
        <v>1366.2249999999999</v>
      </c>
      <c r="O1840" s="116">
        <v>1317</v>
      </c>
      <c r="P1840" s="116">
        <v>1317</v>
      </c>
      <c r="Q1840" s="116">
        <v>2724.3</v>
      </c>
      <c r="R1840">
        <v>10211408</v>
      </c>
    </row>
    <row r="1841" spans="1:18" x14ac:dyDescent="0.25">
      <c r="A1841" s="170">
        <v>44715</v>
      </c>
      <c r="B1841" s="116">
        <v>1408.175</v>
      </c>
      <c r="C1841" s="116">
        <v>1389.75</v>
      </c>
      <c r="D1841" s="116">
        <v>1370</v>
      </c>
      <c r="E1841" s="116">
        <v>1373.4749999999999</v>
      </c>
      <c r="F1841" s="116">
        <v>2779.5</v>
      </c>
      <c r="G1841">
        <v>636698</v>
      </c>
      <c r="H1841" s="116"/>
      <c r="I1841" s="116"/>
      <c r="L1841" s="170">
        <v>44715</v>
      </c>
      <c r="M1841" s="116">
        <v>1389.75</v>
      </c>
      <c r="N1841" s="116">
        <v>1408.675</v>
      </c>
      <c r="O1841" s="116">
        <v>1371</v>
      </c>
      <c r="P1841" s="116">
        <v>1372</v>
      </c>
      <c r="Q1841" s="116">
        <v>2779.5</v>
      </c>
      <c r="R1841">
        <v>11048210</v>
      </c>
    </row>
    <row r="1842" spans="1:18" x14ac:dyDescent="0.25">
      <c r="A1842" s="170">
        <v>44718</v>
      </c>
      <c r="B1842" s="116">
        <v>1406.875</v>
      </c>
      <c r="C1842" s="116">
        <v>1383.45</v>
      </c>
      <c r="D1842" s="116">
        <v>1375.7750000000001</v>
      </c>
      <c r="E1842" s="116">
        <v>1390.3</v>
      </c>
      <c r="F1842" s="116">
        <v>2766.9</v>
      </c>
      <c r="G1842">
        <v>275733</v>
      </c>
      <c r="H1842" s="116"/>
      <c r="I1842" s="116"/>
      <c r="L1842" s="170">
        <v>44718</v>
      </c>
      <c r="M1842" s="116">
        <v>1383.7750000000001</v>
      </c>
      <c r="N1842" s="116">
        <v>1407</v>
      </c>
      <c r="O1842" s="116">
        <v>1375.9</v>
      </c>
      <c r="P1842" s="116">
        <v>1390</v>
      </c>
      <c r="Q1842" s="116">
        <v>2767.55</v>
      </c>
      <c r="R1842">
        <v>5119488</v>
      </c>
    </row>
    <row r="1843" spans="1:18" x14ac:dyDescent="0.25">
      <c r="A1843" s="170">
        <v>44719</v>
      </c>
      <c r="B1843" s="116">
        <v>1395.5</v>
      </c>
      <c r="C1843" s="116">
        <v>1386.25</v>
      </c>
      <c r="D1843" s="116">
        <v>1377</v>
      </c>
      <c r="E1843" s="116">
        <v>1382</v>
      </c>
      <c r="F1843" s="116">
        <v>2772.5</v>
      </c>
      <c r="G1843">
        <v>154819</v>
      </c>
      <c r="H1843" s="116"/>
      <c r="I1843" s="116"/>
      <c r="L1843" s="170">
        <v>44719</v>
      </c>
      <c r="M1843" s="116">
        <v>1386.375</v>
      </c>
      <c r="N1843" s="116">
        <v>1395.55</v>
      </c>
      <c r="O1843" s="116">
        <v>1376.0250000000001</v>
      </c>
      <c r="P1843" s="116">
        <v>1384.95</v>
      </c>
      <c r="Q1843" s="116">
        <v>2772.75</v>
      </c>
      <c r="R1843">
        <v>5703333</v>
      </c>
    </row>
    <row r="1844" spans="1:18" x14ac:dyDescent="0.25">
      <c r="A1844" s="170">
        <v>44720</v>
      </c>
      <c r="B1844" s="116">
        <v>1391.05</v>
      </c>
      <c r="C1844" s="116">
        <v>1362.15</v>
      </c>
      <c r="D1844" s="116">
        <v>1357.8</v>
      </c>
      <c r="E1844" s="116">
        <v>1387.6</v>
      </c>
      <c r="F1844" s="116">
        <v>2724.3</v>
      </c>
      <c r="G1844">
        <v>186942</v>
      </c>
      <c r="H1844" s="116"/>
      <c r="I1844" s="116"/>
      <c r="L1844" s="170">
        <v>44720</v>
      </c>
      <c r="M1844" s="116">
        <v>1362.0250000000001</v>
      </c>
      <c r="N1844" s="116">
        <v>1390.5</v>
      </c>
      <c r="O1844" s="116">
        <v>1358.15</v>
      </c>
      <c r="P1844" s="116">
        <v>1386.375</v>
      </c>
      <c r="Q1844" s="116">
        <v>2724.05</v>
      </c>
      <c r="R1844">
        <v>5759172</v>
      </c>
    </row>
    <row r="1845" spans="1:18" x14ac:dyDescent="0.25">
      <c r="A1845" s="170">
        <v>44721</v>
      </c>
      <c r="B1845" s="116">
        <v>1401</v>
      </c>
      <c r="C1845" s="116">
        <v>1399.3</v>
      </c>
      <c r="D1845" s="116">
        <v>1354.5</v>
      </c>
      <c r="E1845" s="116">
        <v>1354.5</v>
      </c>
      <c r="F1845" s="116">
        <v>2798.6</v>
      </c>
      <c r="G1845">
        <v>298046</v>
      </c>
      <c r="H1845" s="116"/>
      <c r="I1845" s="116"/>
      <c r="L1845" s="170">
        <v>44721</v>
      </c>
      <c r="M1845" s="116">
        <v>1399.375</v>
      </c>
      <c r="N1845" s="116">
        <v>1401.5</v>
      </c>
      <c r="O1845" s="116">
        <v>1355</v>
      </c>
      <c r="P1845" s="116">
        <v>1355</v>
      </c>
      <c r="Q1845" s="116">
        <v>2798.75</v>
      </c>
      <c r="R1845">
        <v>7973935</v>
      </c>
    </row>
    <row r="1846" spans="1:18" x14ac:dyDescent="0.25">
      <c r="A1846" s="170">
        <v>44722</v>
      </c>
      <c r="B1846" s="116">
        <v>1395.0250000000001</v>
      </c>
      <c r="C1846" s="116">
        <v>1357</v>
      </c>
      <c r="D1846" s="116">
        <v>1350.8</v>
      </c>
      <c r="E1846" s="116">
        <v>1387.175</v>
      </c>
      <c r="F1846" s="116">
        <v>2714</v>
      </c>
      <c r="G1846">
        <v>246751</v>
      </c>
      <c r="H1846" s="116"/>
      <c r="I1846" s="116"/>
      <c r="L1846" s="170">
        <v>44722</v>
      </c>
      <c r="M1846" s="116">
        <v>1357.125</v>
      </c>
      <c r="N1846" s="116">
        <v>1394.95</v>
      </c>
      <c r="O1846" s="116">
        <v>1350.75</v>
      </c>
      <c r="P1846" s="116">
        <v>1385.95</v>
      </c>
      <c r="Q1846" s="116">
        <v>2714.25</v>
      </c>
      <c r="R1846">
        <v>8349943</v>
      </c>
    </row>
    <row r="1847" spans="1:18" x14ac:dyDescent="0.25">
      <c r="A1847" s="170">
        <v>44725</v>
      </c>
      <c r="B1847" s="116">
        <v>1336.65</v>
      </c>
      <c r="C1847" s="116">
        <v>1331.4</v>
      </c>
      <c r="D1847" s="116">
        <v>1308.2</v>
      </c>
      <c r="E1847" s="116">
        <v>1326.9</v>
      </c>
      <c r="F1847" s="116">
        <v>2662.8</v>
      </c>
      <c r="G1847">
        <v>187994</v>
      </c>
      <c r="H1847" s="116"/>
      <c r="I1847" s="116"/>
      <c r="L1847" s="170">
        <v>44725</v>
      </c>
      <c r="M1847" s="116">
        <v>1331.45</v>
      </c>
      <c r="N1847" s="116">
        <v>1336.4</v>
      </c>
      <c r="O1847" s="116">
        <v>1308.1500000000001</v>
      </c>
      <c r="P1847" s="116">
        <v>1325</v>
      </c>
      <c r="Q1847" s="116">
        <v>2662.9</v>
      </c>
      <c r="R1847">
        <v>8131998</v>
      </c>
    </row>
    <row r="1848" spans="1:18" x14ac:dyDescent="0.25">
      <c r="A1848" s="170">
        <v>44726</v>
      </c>
      <c r="B1848" s="116">
        <v>1335.075</v>
      </c>
      <c r="C1848" s="116">
        <v>1313.675</v>
      </c>
      <c r="D1848" s="116">
        <v>1306.925</v>
      </c>
      <c r="E1848" s="116">
        <v>1326.5</v>
      </c>
      <c r="F1848" s="116">
        <v>2627.35</v>
      </c>
      <c r="G1848">
        <v>152984</v>
      </c>
      <c r="H1848" s="116"/>
      <c r="I1848" s="116"/>
      <c r="L1848" s="170">
        <v>44726</v>
      </c>
      <c r="M1848" s="116">
        <v>1314.05</v>
      </c>
      <c r="N1848" s="116">
        <v>1335.925</v>
      </c>
      <c r="O1848" s="116">
        <v>1306.7249999999999</v>
      </c>
      <c r="P1848" s="116">
        <v>1325.0250000000001</v>
      </c>
      <c r="Q1848" s="116">
        <v>2628.1</v>
      </c>
      <c r="R1848">
        <v>6790653</v>
      </c>
    </row>
    <row r="1849" spans="1:18" x14ac:dyDescent="0.25">
      <c r="A1849" s="170">
        <v>44727</v>
      </c>
      <c r="B1849" s="116">
        <v>1318.7</v>
      </c>
      <c r="C1849" s="116">
        <v>1298.1500000000001</v>
      </c>
      <c r="D1849" s="116">
        <v>1292.55</v>
      </c>
      <c r="E1849" s="116">
        <v>1305</v>
      </c>
      <c r="F1849" s="116">
        <v>2596.3000000000002</v>
      </c>
      <c r="G1849">
        <v>163116</v>
      </c>
      <c r="H1849" s="116"/>
      <c r="I1849" s="116"/>
      <c r="L1849" s="170">
        <v>44727</v>
      </c>
      <c r="M1849" s="116">
        <v>1298.1500000000001</v>
      </c>
      <c r="N1849" s="116">
        <v>1318.65</v>
      </c>
      <c r="O1849" s="116">
        <v>1292.2</v>
      </c>
      <c r="P1849" s="116">
        <v>1308.7750000000001</v>
      </c>
      <c r="Q1849" s="116">
        <v>2596.3000000000002</v>
      </c>
      <c r="R1849">
        <v>5166738</v>
      </c>
    </row>
    <row r="1850" spans="1:18" x14ac:dyDescent="0.25">
      <c r="A1850" s="170">
        <v>44728</v>
      </c>
      <c r="B1850" s="116">
        <v>1329.3</v>
      </c>
      <c r="C1850" s="116">
        <v>1279.5999999999999</v>
      </c>
      <c r="D1850" s="116">
        <v>1277.4749999999999</v>
      </c>
      <c r="E1850" s="116">
        <v>1311</v>
      </c>
      <c r="F1850" s="116">
        <v>2559.1999999999998</v>
      </c>
      <c r="G1850">
        <v>282255</v>
      </c>
      <c r="H1850" s="116"/>
      <c r="I1850" s="116"/>
      <c r="L1850" s="170">
        <v>44728</v>
      </c>
      <c r="M1850" s="116">
        <v>1280</v>
      </c>
      <c r="N1850" s="116">
        <v>1329.5250000000001</v>
      </c>
      <c r="O1850" s="116">
        <v>1277</v>
      </c>
      <c r="P1850" s="116">
        <v>1311.5</v>
      </c>
      <c r="Q1850" s="116">
        <v>2560</v>
      </c>
      <c r="R1850">
        <v>7896943</v>
      </c>
    </row>
    <row r="1851" spans="1:18" x14ac:dyDescent="0.25">
      <c r="A1851" s="170">
        <v>44729</v>
      </c>
      <c r="B1851" s="116">
        <v>1312.2249999999999</v>
      </c>
      <c r="C1851" s="116">
        <v>1294.6500000000001</v>
      </c>
      <c r="D1851" s="116">
        <v>1266</v>
      </c>
      <c r="E1851" s="116">
        <v>1266</v>
      </c>
      <c r="F1851" s="116">
        <v>2589.3000000000002</v>
      </c>
      <c r="G1851">
        <v>259291</v>
      </c>
      <c r="H1851" s="116"/>
      <c r="I1851" s="116"/>
      <c r="L1851" s="170">
        <v>44729</v>
      </c>
      <c r="M1851" s="116">
        <v>1295</v>
      </c>
      <c r="N1851" s="116">
        <v>1312.425</v>
      </c>
      <c r="O1851" s="116">
        <v>1278.05</v>
      </c>
      <c r="P1851" s="116">
        <v>1280</v>
      </c>
      <c r="Q1851" s="116">
        <v>2590</v>
      </c>
      <c r="R1851">
        <v>11286988</v>
      </c>
    </row>
    <row r="1852" spans="1:18" x14ac:dyDescent="0.25">
      <c r="A1852" s="170">
        <v>44732</v>
      </c>
      <c r="B1852" s="116">
        <v>1309.05</v>
      </c>
      <c r="C1852" s="116">
        <v>1271.4000000000001</v>
      </c>
      <c r="D1852" s="116">
        <v>1260.55</v>
      </c>
      <c r="E1852" s="116">
        <v>1303.5</v>
      </c>
      <c r="F1852" s="116">
        <v>2542.8000000000002</v>
      </c>
      <c r="G1852">
        <v>141291</v>
      </c>
      <c r="H1852" s="116"/>
      <c r="I1852" s="116"/>
      <c r="L1852" s="170">
        <v>44732</v>
      </c>
      <c r="M1852" s="116">
        <v>1271.5250000000001</v>
      </c>
      <c r="N1852" s="116">
        <v>1308.55</v>
      </c>
      <c r="O1852" s="116">
        <v>1260.55</v>
      </c>
      <c r="P1852" s="116">
        <v>1302.5</v>
      </c>
      <c r="Q1852" s="116">
        <v>2543.0500000000002</v>
      </c>
      <c r="R1852">
        <v>5568825</v>
      </c>
    </row>
    <row r="1853" spans="1:18" x14ac:dyDescent="0.25">
      <c r="A1853" s="170">
        <v>44733</v>
      </c>
      <c r="B1853" s="116">
        <v>1296.3499999999999</v>
      </c>
      <c r="C1853" s="116">
        <v>1292.2750000000001</v>
      </c>
      <c r="D1853" s="116">
        <v>1264.5</v>
      </c>
      <c r="E1853" s="116">
        <v>1276.2</v>
      </c>
      <c r="F1853" s="116">
        <v>2584.5500000000002</v>
      </c>
      <c r="G1853">
        <v>135235</v>
      </c>
      <c r="H1853" s="116"/>
      <c r="I1853" s="116"/>
      <c r="L1853" s="170">
        <v>44733</v>
      </c>
      <c r="M1853" s="116">
        <v>1292.05</v>
      </c>
      <c r="N1853" s="116">
        <v>1296.7</v>
      </c>
      <c r="O1853" s="116">
        <v>1264.1500000000001</v>
      </c>
      <c r="P1853" s="116">
        <v>1280</v>
      </c>
      <c r="Q1853" s="116">
        <v>2584.1</v>
      </c>
      <c r="R1853">
        <v>5408801</v>
      </c>
    </row>
    <row r="1854" spans="1:18" x14ac:dyDescent="0.25">
      <c r="A1854" s="170">
        <v>44734</v>
      </c>
      <c r="B1854" s="116">
        <v>1281.5</v>
      </c>
      <c r="C1854" s="116">
        <v>1252.5999999999999</v>
      </c>
      <c r="D1854" s="116">
        <v>1250.5</v>
      </c>
      <c r="E1854" s="116">
        <v>1281.5</v>
      </c>
      <c r="F1854" s="116">
        <v>2505.1999999999998</v>
      </c>
      <c r="G1854">
        <v>191652</v>
      </c>
      <c r="H1854" s="116"/>
      <c r="I1854" s="116"/>
      <c r="L1854" s="170">
        <v>44734</v>
      </c>
      <c r="M1854" s="116">
        <v>1252.8</v>
      </c>
      <c r="N1854" s="116">
        <v>1279.1500000000001</v>
      </c>
      <c r="O1854" s="116">
        <v>1250.5</v>
      </c>
      <c r="P1854" s="116">
        <v>1279.05</v>
      </c>
      <c r="Q1854" s="116">
        <v>2505.6</v>
      </c>
      <c r="R1854">
        <v>4899839</v>
      </c>
    </row>
    <row r="1855" spans="1:18" x14ac:dyDescent="0.25">
      <c r="A1855" s="170">
        <v>44735</v>
      </c>
      <c r="B1855" s="116">
        <v>1262.45</v>
      </c>
      <c r="C1855" s="116">
        <v>1232.3</v>
      </c>
      <c r="D1855" s="116">
        <v>1223</v>
      </c>
      <c r="E1855" s="116">
        <v>1260</v>
      </c>
      <c r="F1855" s="116">
        <v>2464.6</v>
      </c>
      <c r="G1855">
        <v>282095</v>
      </c>
      <c r="H1855" s="116"/>
      <c r="I1855" s="116"/>
      <c r="L1855" s="170">
        <v>44735</v>
      </c>
      <c r="M1855" s="116">
        <v>1232.4749999999999</v>
      </c>
      <c r="N1855" s="116">
        <v>1262.5</v>
      </c>
      <c r="O1855" s="116">
        <v>1222.5</v>
      </c>
      <c r="P1855" s="116">
        <v>1257.5250000000001</v>
      </c>
      <c r="Q1855" s="116">
        <v>2464.9499999999998</v>
      </c>
      <c r="R1855">
        <v>8974475</v>
      </c>
    </row>
    <row r="1856" spans="1:18" x14ac:dyDescent="0.25">
      <c r="A1856" s="170">
        <v>44736</v>
      </c>
      <c r="B1856" s="116">
        <v>1255.4749999999999</v>
      </c>
      <c r="C1856" s="116">
        <v>1250.375</v>
      </c>
      <c r="D1856" s="116">
        <v>1234.125</v>
      </c>
      <c r="E1856" s="116">
        <v>1245</v>
      </c>
      <c r="F1856" s="116">
        <v>2500.75</v>
      </c>
      <c r="G1856">
        <v>182130</v>
      </c>
      <c r="H1856" s="116"/>
      <c r="I1856" s="116"/>
      <c r="L1856" s="170">
        <v>44736</v>
      </c>
      <c r="M1856" s="116">
        <v>1250.0250000000001</v>
      </c>
      <c r="N1856" s="116">
        <v>1255.5</v>
      </c>
      <c r="O1856" s="116">
        <v>1234</v>
      </c>
      <c r="P1856" s="116">
        <v>1240</v>
      </c>
      <c r="Q1856" s="116">
        <v>2500.0500000000002</v>
      </c>
      <c r="R1856">
        <v>6571866</v>
      </c>
    </row>
    <row r="1857" spans="1:18" x14ac:dyDescent="0.25">
      <c r="A1857" s="170">
        <v>44739</v>
      </c>
      <c r="B1857" s="116">
        <v>1274.5</v>
      </c>
      <c r="C1857" s="116">
        <v>1245.9749999999999</v>
      </c>
      <c r="D1857" s="116">
        <v>1241</v>
      </c>
      <c r="E1857" s="116">
        <v>1274.5</v>
      </c>
      <c r="F1857" s="116">
        <v>2491.9499999999998</v>
      </c>
      <c r="G1857">
        <v>180405</v>
      </c>
      <c r="H1857" s="116"/>
      <c r="I1857" s="116"/>
      <c r="L1857" s="170">
        <v>44739</v>
      </c>
      <c r="M1857" s="116">
        <v>1246.325</v>
      </c>
      <c r="N1857" s="116">
        <v>1272.4749999999999</v>
      </c>
      <c r="O1857" s="116">
        <v>1240.7750000000001</v>
      </c>
      <c r="P1857" s="116">
        <v>1272.4749999999999</v>
      </c>
      <c r="Q1857" s="116">
        <v>2492.65</v>
      </c>
      <c r="R1857">
        <v>7141493</v>
      </c>
    </row>
    <row r="1858" spans="1:18" x14ac:dyDescent="0.25">
      <c r="A1858" s="170">
        <v>44740</v>
      </c>
      <c r="B1858" s="116">
        <v>1267.5</v>
      </c>
      <c r="C1858" s="116">
        <v>1264.5</v>
      </c>
      <c r="D1858" s="116">
        <v>1241.075</v>
      </c>
      <c r="E1858" s="116">
        <v>1241.075</v>
      </c>
      <c r="F1858" s="116">
        <v>2529</v>
      </c>
      <c r="G1858">
        <v>127683</v>
      </c>
      <c r="H1858" s="116"/>
      <c r="I1858" s="116"/>
      <c r="L1858" s="170">
        <v>44740</v>
      </c>
      <c r="M1858" s="116">
        <v>1263.8499999999999</v>
      </c>
      <c r="N1858" s="116">
        <v>1266.9749999999999</v>
      </c>
      <c r="O1858" s="116">
        <v>1241.05</v>
      </c>
      <c r="P1858" s="116">
        <v>1241.05</v>
      </c>
      <c r="Q1858" s="116">
        <v>2527.6999999999998</v>
      </c>
      <c r="R1858">
        <v>6263867</v>
      </c>
    </row>
    <row r="1859" spans="1:18" x14ac:dyDescent="0.25">
      <c r="A1859" s="170">
        <v>44741</v>
      </c>
      <c r="B1859" s="116">
        <v>1298.425</v>
      </c>
      <c r="C1859" s="116">
        <v>1289.5250000000001</v>
      </c>
      <c r="D1859" s="116">
        <v>1250.5</v>
      </c>
      <c r="E1859" s="116">
        <v>1252.175</v>
      </c>
      <c r="F1859" s="116">
        <v>2579.0500000000002</v>
      </c>
      <c r="G1859">
        <v>305035</v>
      </c>
      <c r="H1859" s="116"/>
      <c r="I1859" s="116"/>
      <c r="L1859" s="170">
        <v>44741</v>
      </c>
      <c r="M1859" s="116">
        <v>1290.075</v>
      </c>
      <c r="N1859" s="116">
        <v>1298.5</v>
      </c>
      <c r="O1859" s="116">
        <v>1250.5</v>
      </c>
      <c r="P1859" s="116">
        <v>1253.5999999999999</v>
      </c>
      <c r="Q1859" s="116">
        <v>2580.15</v>
      </c>
      <c r="R1859">
        <v>8863172</v>
      </c>
    </row>
    <row r="1860" spans="1:18" x14ac:dyDescent="0.25">
      <c r="A1860" s="170">
        <v>44742</v>
      </c>
      <c r="B1860" s="116">
        <v>1307.9000000000001</v>
      </c>
      <c r="C1860" s="116">
        <v>1297.0250000000001</v>
      </c>
      <c r="D1860" s="116">
        <v>1283.6500000000001</v>
      </c>
      <c r="E1860" s="116">
        <v>1288</v>
      </c>
      <c r="F1860" s="116">
        <v>2594.0500000000002</v>
      </c>
      <c r="G1860">
        <v>209154</v>
      </c>
      <c r="H1860" s="116"/>
      <c r="I1860" s="116"/>
      <c r="L1860" s="170">
        <v>44742</v>
      </c>
      <c r="M1860" s="116">
        <v>1297.825</v>
      </c>
      <c r="N1860" s="116">
        <v>1307.95</v>
      </c>
      <c r="O1860" s="116">
        <v>1283</v>
      </c>
      <c r="P1860" s="116">
        <v>1290</v>
      </c>
      <c r="Q1860" s="116">
        <v>2595.65</v>
      </c>
      <c r="R1860">
        <v>10666627</v>
      </c>
    </row>
    <row r="1861" spans="1:18" x14ac:dyDescent="0.25">
      <c r="A1861" s="170">
        <v>44743</v>
      </c>
      <c r="B1861" s="116">
        <v>1295.825</v>
      </c>
      <c r="C1861" s="116">
        <v>1204.4749999999999</v>
      </c>
      <c r="D1861" s="116">
        <v>1182.5</v>
      </c>
      <c r="E1861" s="116">
        <v>1290</v>
      </c>
      <c r="F1861" s="116">
        <v>2408.9499999999998</v>
      </c>
      <c r="G1861">
        <v>1078836</v>
      </c>
      <c r="H1861" s="116"/>
      <c r="I1861" s="116"/>
      <c r="L1861" s="170">
        <v>44743</v>
      </c>
      <c r="M1861" s="116">
        <v>1204.3499999999999</v>
      </c>
      <c r="N1861" s="116">
        <v>1296</v>
      </c>
      <c r="O1861" s="116">
        <v>1182.5</v>
      </c>
      <c r="P1861" s="116">
        <v>1287.45</v>
      </c>
      <c r="Q1861" s="116">
        <v>2408.6999999999998</v>
      </c>
      <c r="R1861">
        <v>37841671</v>
      </c>
    </row>
    <row r="1862" spans="1:18" x14ac:dyDescent="0.25">
      <c r="A1862" s="170">
        <v>44746</v>
      </c>
      <c r="B1862" s="116">
        <v>1220.925</v>
      </c>
      <c r="C1862" s="116">
        <v>1206.9749999999999</v>
      </c>
      <c r="D1862" s="116">
        <v>1183.5</v>
      </c>
      <c r="E1862" s="116">
        <v>1194.4000000000001</v>
      </c>
      <c r="F1862" s="116">
        <v>2413.9499999999998</v>
      </c>
      <c r="G1862">
        <v>893090</v>
      </c>
      <c r="H1862" s="116"/>
      <c r="I1862" s="116"/>
      <c r="L1862" s="170">
        <v>44746</v>
      </c>
      <c r="M1862" s="116">
        <v>1206.8499999999999</v>
      </c>
      <c r="N1862" s="116">
        <v>1221</v>
      </c>
      <c r="O1862" s="116">
        <v>1183.05</v>
      </c>
      <c r="P1862" s="116">
        <v>1189.4749999999999</v>
      </c>
      <c r="Q1862" s="116">
        <v>2413.6999999999998</v>
      </c>
      <c r="R1862">
        <v>19317335</v>
      </c>
    </row>
    <row r="1863" spans="1:18" x14ac:dyDescent="0.25">
      <c r="A1863" s="170">
        <v>44747</v>
      </c>
      <c r="B1863" s="116">
        <v>1232.325</v>
      </c>
      <c r="C1863" s="116">
        <v>1216.5999999999999</v>
      </c>
      <c r="D1863" s="116">
        <v>1208.8</v>
      </c>
      <c r="E1863" s="116">
        <v>1212.4749999999999</v>
      </c>
      <c r="F1863" s="116">
        <v>2433.1999999999998</v>
      </c>
      <c r="G1863">
        <v>435731</v>
      </c>
      <c r="H1863" s="116"/>
      <c r="I1863" s="116"/>
      <c r="L1863" s="170">
        <v>44747</v>
      </c>
      <c r="M1863" s="116">
        <v>1216.625</v>
      </c>
      <c r="N1863" s="116">
        <v>1232.45</v>
      </c>
      <c r="O1863" s="116">
        <v>1208.55</v>
      </c>
      <c r="P1863" s="116">
        <v>1211.5</v>
      </c>
      <c r="Q1863" s="116">
        <v>2433.25</v>
      </c>
      <c r="R1863">
        <v>8144239</v>
      </c>
    </row>
    <row r="1864" spans="1:18" x14ac:dyDescent="0.25">
      <c r="A1864" s="170">
        <v>44748</v>
      </c>
      <c r="B1864" s="116">
        <v>1220.575</v>
      </c>
      <c r="C1864" s="116">
        <v>1205.9749999999999</v>
      </c>
      <c r="D1864" s="116">
        <v>1193.7</v>
      </c>
      <c r="E1864" s="116">
        <v>1212.5250000000001</v>
      </c>
      <c r="F1864" s="116">
        <v>2411.9499999999998</v>
      </c>
      <c r="G1864">
        <v>259341</v>
      </c>
      <c r="H1864" s="116"/>
      <c r="I1864" s="116"/>
      <c r="L1864" s="170">
        <v>44748</v>
      </c>
      <c r="M1864" s="116">
        <v>1205.925</v>
      </c>
      <c r="N1864" s="116">
        <v>1220.9749999999999</v>
      </c>
      <c r="O1864" s="116">
        <v>1194</v>
      </c>
      <c r="P1864" s="116">
        <v>1210.05</v>
      </c>
      <c r="Q1864" s="116">
        <v>2411.85</v>
      </c>
      <c r="R1864">
        <v>11050026</v>
      </c>
    </row>
    <row r="1865" spans="1:18" x14ac:dyDescent="0.25">
      <c r="A1865" s="170">
        <v>44749</v>
      </c>
      <c r="B1865" s="116">
        <v>1216.95</v>
      </c>
      <c r="C1865" s="116">
        <v>1193.825</v>
      </c>
      <c r="D1865" s="116">
        <v>1187.5250000000001</v>
      </c>
      <c r="E1865" s="116">
        <v>1212.4000000000001</v>
      </c>
      <c r="F1865" s="116">
        <v>2387.65</v>
      </c>
      <c r="G1865">
        <v>452454</v>
      </c>
      <c r="H1865" s="116"/>
      <c r="I1865" s="116"/>
      <c r="L1865" s="170">
        <v>44749</v>
      </c>
      <c r="M1865" s="116">
        <v>1194.05</v>
      </c>
      <c r="N1865" s="116">
        <v>1216.625</v>
      </c>
      <c r="O1865" s="116">
        <v>1187.5</v>
      </c>
      <c r="P1865" s="116">
        <v>1212.95</v>
      </c>
      <c r="Q1865" s="116">
        <v>2388.1</v>
      </c>
      <c r="R1865">
        <v>10753423</v>
      </c>
    </row>
    <row r="1866" spans="1:18" x14ac:dyDescent="0.25">
      <c r="A1866" s="170">
        <v>44750</v>
      </c>
      <c r="B1866" s="116">
        <v>1207.925</v>
      </c>
      <c r="C1866" s="116">
        <v>1195.75</v>
      </c>
      <c r="D1866" s="116">
        <v>1191.5</v>
      </c>
      <c r="E1866" s="116">
        <v>1207.45</v>
      </c>
      <c r="F1866" s="116">
        <v>2391.5</v>
      </c>
      <c r="G1866">
        <v>222410</v>
      </c>
      <c r="H1866" s="116"/>
      <c r="I1866" s="116"/>
      <c r="L1866" s="170">
        <v>44750</v>
      </c>
      <c r="M1866" s="116">
        <v>1195.7</v>
      </c>
      <c r="N1866" s="116">
        <v>1209</v>
      </c>
      <c r="O1866" s="116">
        <v>1191.2750000000001</v>
      </c>
      <c r="P1866" s="116">
        <v>1209</v>
      </c>
      <c r="Q1866" s="116">
        <v>2391.4</v>
      </c>
      <c r="R1866">
        <v>8773162</v>
      </c>
    </row>
    <row r="1867" spans="1:18" x14ac:dyDescent="0.25">
      <c r="A1867" s="170">
        <v>44753</v>
      </c>
      <c r="B1867" s="116">
        <v>1214</v>
      </c>
      <c r="C1867" s="116">
        <v>1211.5999999999999</v>
      </c>
      <c r="D1867" s="116">
        <v>1185.1500000000001</v>
      </c>
      <c r="E1867" s="116">
        <v>1190</v>
      </c>
      <c r="F1867" s="116">
        <v>2423.1999999999998</v>
      </c>
      <c r="G1867">
        <v>805038</v>
      </c>
      <c r="H1867" s="116"/>
      <c r="I1867" s="116"/>
      <c r="L1867" s="170">
        <v>44753</v>
      </c>
      <c r="M1867" s="116">
        <v>1211.95</v>
      </c>
      <c r="N1867" s="116">
        <v>1214.4000000000001</v>
      </c>
      <c r="O1867" s="116">
        <v>1185</v>
      </c>
      <c r="P1867" s="116">
        <v>1188.25</v>
      </c>
      <c r="Q1867" s="116">
        <v>2423.9</v>
      </c>
      <c r="R1867">
        <v>6390604</v>
      </c>
    </row>
    <row r="1868" spans="1:18" x14ac:dyDescent="0.25">
      <c r="A1868" s="170">
        <v>44754</v>
      </c>
      <c r="B1868" s="116">
        <v>1219.5</v>
      </c>
      <c r="C1868" s="116">
        <v>1210.075</v>
      </c>
      <c r="D1868" s="116">
        <v>1201.95</v>
      </c>
      <c r="E1868" s="116">
        <v>1205.5</v>
      </c>
      <c r="F1868" s="116">
        <v>2420.15</v>
      </c>
      <c r="G1868">
        <v>203047</v>
      </c>
      <c r="H1868" s="116"/>
      <c r="I1868" s="116"/>
      <c r="L1868" s="170">
        <v>44754</v>
      </c>
      <c r="M1868" s="116">
        <v>1210.2249999999999</v>
      </c>
      <c r="N1868" s="116">
        <v>1219.8499999999999</v>
      </c>
      <c r="O1868" s="116">
        <v>1202</v>
      </c>
      <c r="P1868" s="116">
        <v>1202</v>
      </c>
      <c r="Q1868" s="116">
        <v>2420.4499999999998</v>
      </c>
      <c r="R1868">
        <v>4974502</v>
      </c>
    </row>
    <row r="1869" spans="1:18" x14ac:dyDescent="0.25">
      <c r="A1869" s="170">
        <v>44755</v>
      </c>
      <c r="B1869" s="116">
        <v>1216.9749999999999</v>
      </c>
      <c r="C1869" s="116">
        <v>1188.6500000000001</v>
      </c>
      <c r="D1869" s="116">
        <v>1186.5</v>
      </c>
      <c r="E1869" s="116">
        <v>1214.5</v>
      </c>
      <c r="F1869" s="116">
        <v>2377.3000000000002</v>
      </c>
      <c r="G1869">
        <v>185355</v>
      </c>
      <c r="H1869" s="116"/>
      <c r="I1869" s="116"/>
      <c r="L1869" s="170">
        <v>44755</v>
      </c>
      <c r="M1869" s="116">
        <v>1188.7750000000001</v>
      </c>
      <c r="N1869" s="116">
        <v>1217</v>
      </c>
      <c r="O1869" s="116">
        <v>1186.5</v>
      </c>
      <c r="P1869" s="116">
        <v>1213.6500000000001</v>
      </c>
      <c r="Q1869" s="116">
        <v>2377.5500000000002</v>
      </c>
      <c r="R1869">
        <v>6564435</v>
      </c>
    </row>
    <row r="1870" spans="1:18" x14ac:dyDescent="0.25">
      <c r="A1870" s="170">
        <v>44756</v>
      </c>
      <c r="B1870" s="116">
        <v>1217.25</v>
      </c>
      <c r="C1870" s="116">
        <v>1198.4749999999999</v>
      </c>
      <c r="D1870" s="116">
        <v>1188.75</v>
      </c>
      <c r="E1870" s="116">
        <v>1194.8499999999999</v>
      </c>
      <c r="F1870" s="116">
        <v>2396.9499999999998</v>
      </c>
      <c r="G1870">
        <v>249673</v>
      </c>
      <c r="H1870" s="116"/>
      <c r="I1870" s="116"/>
      <c r="L1870" s="170">
        <v>44756</v>
      </c>
      <c r="M1870" s="116">
        <v>1198.575</v>
      </c>
      <c r="N1870" s="116">
        <v>1216.9749999999999</v>
      </c>
      <c r="O1870" s="116">
        <v>1188.4749999999999</v>
      </c>
      <c r="P1870" s="116">
        <v>1194</v>
      </c>
      <c r="Q1870" s="116">
        <v>2397.15</v>
      </c>
      <c r="R1870">
        <v>7831798</v>
      </c>
    </row>
    <row r="1871" spans="1:18" x14ac:dyDescent="0.25">
      <c r="A1871" s="170">
        <v>44757</v>
      </c>
      <c r="B1871" s="116">
        <v>1210</v>
      </c>
      <c r="C1871" s="116">
        <v>1200.7750000000001</v>
      </c>
      <c r="D1871" s="116">
        <v>1191.8</v>
      </c>
      <c r="E1871" s="116">
        <v>1210</v>
      </c>
      <c r="F1871" s="116">
        <v>2401.5500000000002</v>
      </c>
      <c r="G1871">
        <v>105343</v>
      </c>
      <c r="H1871" s="116"/>
      <c r="I1871" s="116"/>
      <c r="L1871" s="170">
        <v>44757</v>
      </c>
      <c r="M1871" s="116">
        <v>1200.9000000000001</v>
      </c>
      <c r="N1871" s="116">
        <v>1207.5</v>
      </c>
      <c r="O1871" s="116">
        <v>1191.55</v>
      </c>
      <c r="P1871" s="116">
        <v>1207.5</v>
      </c>
      <c r="Q1871" s="116">
        <v>2401.8000000000002</v>
      </c>
      <c r="R1871">
        <v>4431880</v>
      </c>
    </row>
    <row r="1872" spans="1:18" x14ac:dyDescent="0.25">
      <c r="A1872" s="170">
        <v>44760</v>
      </c>
      <c r="B1872" s="116">
        <v>1212.5</v>
      </c>
      <c r="C1872" s="116">
        <v>1211.075</v>
      </c>
      <c r="D1872" s="116">
        <v>1196.75</v>
      </c>
      <c r="E1872" s="116">
        <v>1210.0250000000001</v>
      </c>
      <c r="F1872" s="116">
        <v>2422.15</v>
      </c>
      <c r="G1872">
        <v>4311256</v>
      </c>
      <c r="H1872" s="116"/>
      <c r="I1872" s="116"/>
      <c r="L1872" s="170">
        <v>44760</v>
      </c>
      <c r="M1872" s="116">
        <v>1211.125</v>
      </c>
      <c r="N1872" s="116">
        <v>1212.5</v>
      </c>
      <c r="O1872" s="116">
        <v>1196.1500000000001</v>
      </c>
      <c r="P1872" s="116">
        <v>1210.5</v>
      </c>
      <c r="Q1872" s="116">
        <v>2422.25</v>
      </c>
      <c r="R1872">
        <v>6996757</v>
      </c>
    </row>
    <row r="1873" spans="1:18" x14ac:dyDescent="0.25">
      <c r="A1873" s="170">
        <v>44761</v>
      </c>
      <c r="B1873" s="116">
        <v>1223.5</v>
      </c>
      <c r="C1873" s="116">
        <v>1220.5999999999999</v>
      </c>
      <c r="D1873" s="116">
        <v>1200.375</v>
      </c>
      <c r="E1873" s="116">
        <v>1205.5</v>
      </c>
      <c r="F1873" s="116">
        <v>2441.1999999999998</v>
      </c>
      <c r="G1873">
        <v>354911</v>
      </c>
      <c r="H1873" s="116"/>
      <c r="I1873" s="116"/>
      <c r="L1873" s="170">
        <v>44761</v>
      </c>
      <c r="M1873" s="116">
        <v>1218.55</v>
      </c>
      <c r="N1873" s="116">
        <v>1223.5</v>
      </c>
      <c r="O1873" s="116">
        <v>1200.1500000000001</v>
      </c>
      <c r="P1873" s="116">
        <v>1200.1500000000001</v>
      </c>
      <c r="Q1873" s="116">
        <v>2437.1</v>
      </c>
      <c r="R1873">
        <v>7587006</v>
      </c>
    </row>
    <row r="1874" spans="1:18" x14ac:dyDescent="0.25">
      <c r="A1874" s="170">
        <v>44762</v>
      </c>
      <c r="B1874" s="116">
        <v>1272.5250000000001</v>
      </c>
      <c r="C1874" s="116">
        <v>1250.7</v>
      </c>
      <c r="D1874" s="116">
        <v>1242.7750000000001</v>
      </c>
      <c r="E1874" s="116">
        <v>1267.5</v>
      </c>
      <c r="F1874" s="116">
        <v>2501.4</v>
      </c>
      <c r="G1874">
        <v>536736</v>
      </c>
      <c r="H1874" s="116"/>
      <c r="I1874" s="116"/>
      <c r="L1874" s="170">
        <v>44762</v>
      </c>
      <c r="M1874" s="116">
        <v>1251.5</v>
      </c>
      <c r="N1874" s="116">
        <v>1271.25</v>
      </c>
      <c r="O1874" s="116">
        <v>1243.125</v>
      </c>
      <c r="P1874" s="116">
        <v>1270</v>
      </c>
      <c r="Q1874" s="116">
        <v>2503</v>
      </c>
      <c r="R1874">
        <v>11041036</v>
      </c>
    </row>
    <row r="1875" spans="1:18" x14ac:dyDescent="0.25">
      <c r="A1875" s="170">
        <v>44763</v>
      </c>
      <c r="B1875" s="116">
        <v>1249.325</v>
      </c>
      <c r="C1875" s="116">
        <v>1243.7</v>
      </c>
      <c r="D1875" s="116">
        <v>1234</v>
      </c>
      <c r="E1875" s="116">
        <v>1249</v>
      </c>
      <c r="F1875" s="116">
        <v>2487.4</v>
      </c>
      <c r="G1875">
        <v>236686</v>
      </c>
      <c r="H1875" s="116"/>
      <c r="I1875" s="116"/>
      <c r="L1875" s="170">
        <v>44763</v>
      </c>
      <c r="M1875" s="116">
        <v>1243.1500000000001</v>
      </c>
      <c r="N1875" s="116">
        <v>1250</v>
      </c>
      <c r="O1875" s="116">
        <v>1233.6500000000001</v>
      </c>
      <c r="P1875" s="116">
        <v>1247</v>
      </c>
      <c r="Q1875" s="116">
        <v>2486.3000000000002</v>
      </c>
      <c r="R1875">
        <v>7625468</v>
      </c>
    </row>
    <row r="1876" spans="1:18" x14ac:dyDescent="0.25">
      <c r="A1876" s="170">
        <v>44764</v>
      </c>
      <c r="B1876" s="116">
        <v>1258.4000000000001</v>
      </c>
      <c r="C1876" s="116">
        <v>1251.45</v>
      </c>
      <c r="D1876" s="116">
        <v>1247.5</v>
      </c>
      <c r="E1876" s="116">
        <v>1250</v>
      </c>
      <c r="F1876" s="116">
        <v>2502.9</v>
      </c>
      <c r="G1876">
        <v>394782</v>
      </c>
      <c r="H1876" s="116"/>
      <c r="I1876" s="116"/>
      <c r="L1876" s="170">
        <v>44764</v>
      </c>
      <c r="M1876" s="116">
        <v>1251.55</v>
      </c>
      <c r="N1876" s="116">
        <v>1258.1500000000001</v>
      </c>
      <c r="O1876" s="116">
        <v>1247.5</v>
      </c>
      <c r="P1876" s="116">
        <v>1250</v>
      </c>
      <c r="Q1876" s="116">
        <v>2503.1</v>
      </c>
      <c r="R1876">
        <v>5062651</v>
      </c>
    </row>
    <row r="1877" spans="1:18" x14ac:dyDescent="0.25">
      <c r="A1877" s="170">
        <v>44767</v>
      </c>
      <c r="B1877" s="116">
        <v>1234.5</v>
      </c>
      <c r="C1877" s="116">
        <v>1210.075</v>
      </c>
      <c r="D1877" s="116">
        <v>1201.9749999999999</v>
      </c>
      <c r="E1877" s="116">
        <v>1234.5</v>
      </c>
      <c r="F1877" s="116">
        <v>2420.15</v>
      </c>
      <c r="G1877">
        <v>465538</v>
      </c>
      <c r="H1877" s="116"/>
      <c r="I1877" s="116"/>
      <c r="L1877" s="170">
        <v>44767</v>
      </c>
      <c r="M1877" s="116">
        <v>1210.2</v>
      </c>
      <c r="N1877" s="116">
        <v>1233.7249999999999</v>
      </c>
      <c r="O1877" s="116">
        <v>1201.5</v>
      </c>
      <c r="P1877" s="116">
        <v>1233.7249999999999</v>
      </c>
      <c r="Q1877" s="116">
        <v>2420.4</v>
      </c>
      <c r="R1877">
        <v>10665470</v>
      </c>
    </row>
    <row r="1878" spans="1:18" x14ac:dyDescent="0.25">
      <c r="A1878" s="170">
        <v>44768</v>
      </c>
      <c r="B1878" s="116">
        <v>1222.0250000000001</v>
      </c>
      <c r="C1878" s="116">
        <v>1210.25</v>
      </c>
      <c r="D1878" s="116">
        <v>1206.2249999999999</v>
      </c>
      <c r="E1878" s="116">
        <v>1211.9000000000001</v>
      </c>
      <c r="F1878" s="116">
        <v>2420.5</v>
      </c>
      <c r="G1878">
        <v>261141</v>
      </c>
      <c r="H1878" s="116"/>
      <c r="I1878" s="116"/>
      <c r="L1878" s="170">
        <v>44768</v>
      </c>
      <c r="M1878" s="116">
        <v>1210.75</v>
      </c>
      <c r="N1878" s="116">
        <v>1221.95</v>
      </c>
      <c r="O1878" s="116">
        <v>1205.675</v>
      </c>
      <c r="P1878" s="116">
        <v>1210.55</v>
      </c>
      <c r="Q1878" s="116">
        <v>2421.5</v>
      </c>
      <c r="R1878">
        <v>5216466</v>
      </c>
    </row>
    <row r="1879" spans="1:18" x14ac:dyDescent="0.25">
      <c r="A1879" s="170">
        <v>44769</v>
      </c>
      <c r="B1879" s="116">
        <v>1213.5</v>
      </c>
      <c r="C1879" s="116">
        <v>1209.625</v>
      </c>
      <c r="D1879" s="116">
        <v>1201</v>
      </c>
      <c r="E1879" s="116">
        <v>1209.7</v>
      </c>
      <c r="F1879" s="116">
        <v>2419.25</v>
      </c>
      <c r="G1879">
        <v>182221</v>
      </c>
      <c r="H1879" s="116"/>
      <c r="I1879" s="116"/>
      <c r="L1879" s="170">
        <v>44769</v>
      </c>
      <c r="M1879" s="116">
        <v>1209.5999999999999</v>
      </c>
      <c r="N1879" s="116">
        <v>1213.5</v>
      </c>
      <c r="O1879" s="116">
        <v>1201</v>
      </c>
      <c r="P1879" s="116">
        <v>1209.9749999999999</v>
      </c>
      <c r="Q1879" s="116">
        <v>2419.1999999999998</v>
      </c>
      <c r="R1879">
        <v>3994321</v>
      </c>
    </row>
    <row r="1880" spans="1:18" x14ac:dyDescent="0.25">
      <c r="A1880" s="170">
        <v>44770</v>
      </c>
      <c r="B1880" s="116">
        <v>1233.5</v>
      </c>
      <c r="C1880" s="116">
        <v>1228.625</v>
      </c>
      <c r="D1880" s="116">
        <v>1210.55</v>
      </c>
      <c r="E1880" s="116">
        <v>1217.5</v>
      </c>
      <c r="F1880" s="116">
        <v>2457.25</v>
      </c>
      <c r="G1880">
        <v>302611</v>
      </c>
      <c r="H1880" s="116"/>
      <c r="I1880" s="116"/>
      <c r="L1880" s="170">
        <v>44770</v>
      </c>
      <c r="M1880" s="116">
        <v>1228.55</v>
      </c>
      <c r="N1880" s="116">
        <v>1233.9749999999999</v>
      </c>
      <c r="O1880" s="116">
        <v>1210.5</v>
      </c>
      <c r="P1880" s="116">
        <v>1218</v>
      </c>
      <c r="Q1880" s="116">
        <v>2457.1</v>
      </c>
      <c r="R1880">
        <v>5766936</v>
      </c>
    </row>
    <row r="1881" spans="1:18" x14ac:dyDescent="0.25">
      <c r="A1881" s="170">
        <v>44771</v>
      </c>
      <c r="B1881" s="116">
        <v>1258.5</v>
      </c>
      <c r="C1881" s="116">
        <v>1254.375</v>
      </c>
      <c r="D1881" s="116">
        <v>1231.75</v>
      </c>
      <c r="E1881" s="116">
        <v>1235</v>
      </c>
      <c r="F1881" s="116">
        <v>2508.75</v>
      </c>
      <c r="G1881">
        <v>435531</v>
      </c>
      <c r="H1881" s="116"/>
      <c r="I1881" s="116"/>
      <c r="L1881" s="170">
        <v>44771</v>
      </c>
      <c r="M1881" s="116">
        <v>1254.7249999999999</v>
      </c>
      <c r="N1881" s="116">
        <v>1258.55</v>
      </c>
      <c r="O1881" s="116">
        <v>1232</v>
      </c>
      <c r="P1881" s="116">
        <v>1237.3499999999999</v>
      </c>
      <c r="Q1881" s="116">
        <v>2509.4499999999998</v>
      </c>
      <c r="R1881">
        <v>6982808</v>
      </c>
    </row>
    <row r="1882" spans="1:18" x14ac:dyDescent="0.25">
      <c r="A1882" s="170">
        <v>44774</v>
      </c>
      <c r="B1882" s="116">
        <v>1293.5</v>
      </c>
      <c r="C1882" s="116">
        <v>1287.55</v>
      </c>
      <c r="D1882" s="116">
        <v>1253.9749999999999</v>
      </c>
      <c r="E1882" s="116">
        <v>1256.5</v>
      </c>
      <c r="F1882" s="116">
        <v>2575.1</v>
      </c>
      <c r="G1882">
        <v>4318904</v>
      </c>
      <c r="H1882" s="116"/>
      <c r="I1882" s="116"/>
      <c r="L1882" s="170">
        <v>44774</v>
      </c>
      <c r="M1882" s="116">
        <v>1287.425</v>
      </c>
      <c r="N1882" s="116">
        <v>1293.875</v>
      </c>
      <c r="O1882" s="116">
        <v>1253.8</v>
      </c>
      <c r="P1882" s="116">
        <v>1259.575</v>
      </c>
      <c r="Q1882" s="116">
        <v>2574.85</v>
      </c>
      <c r="R1882">
        <v>7245568</v>
      </c>
    </row>
    <row r="1883" spans="1:18" x14ac:dyDescent="0.25">
      <c r="A1883" s="170">
        <v>44775</v>
      </c>
      <c r="B1883" s="116">
        <v>1303.25</v>
      </c>
      <c r="C1883" s="116">
        <v>1291.55</v>
      </c>
      <c r="D1883" s="116">
        <v>1280.2750000000001</v>
      </c>
      <c r="E1883" s="116">
        <v>1286.4000000000001</v>
      </c>
      <c r="F1883" s="116">
        <v>2583.1</v>
      </c>
      <c r="G1883">
        <v>283788</v>
      </c>
      <c r="H1883" s="116"/>
      <c r="I1883" s="116"/>
      <c r="L1883" s="170">
        <v>44775</v>
      </c>
      <c r="M1883" s="116">
        <v>1292.325</v>
      </c>
      <c r="N1883" s="116">
        <v>1303.9000000000001</v>
      </c>
      <c r="O1883" s="116">
        <v>1280.7750000000001</v>
      </c>
      <c r="P1883" s="116">
        <v>1286.25</v>
      </c>
      <c r="Q1883" s="116">
        <v>2584.65</v>
      </c>
      <c r="R1883">
        <v>6423115</v>
      </c>
    </row>
    <row r="1884" spans="1:18" x14ac:dyDescent="0.25">
      <c r="A1884" s="170">
        <v>44776</v>
      </c>
      <c r="B1884" s="116">
        <v>1305</v>
      </c>
      <c r="C1884" s="116">
        <v>1302.9000000000001</v>
      </c>
      <c r="D1884" s="116">
        <v>1283.7750000000001</v>
      </c>
      <c r="E1884" s="116">
        <v>1298.7249999999999</v>
      </c>
      <c r="F1884" s="116">
        <v>2605.8000000000002</v>
      </c>
      <c r="G1884">
        <v>159491</v>
      </c>
      <c r="H1884" s="116"/>
      <c r="I1884" s="116"/>
      <c r="L1884" s="170">
        <v>44776</v>
      </c>
      <c r="M1884" s="116">
        <v>1303.175</v>
      </c>
      <c r="N1884" s="116">
        <v>1305</v>
      </c>
      <c r="O1884" s="116">
        <v>1283.7249999999999</v>
      </c>
      <c r="P1884" s="116">
        <v>1300</v>
      </c>
      <c r="Q1884" s="116">
        <v>2606.35</v>
      </c>
      <c r="R1884">
        <v>6576824</v>
      </c>
    </row>
    <row r="1885" spans="1:18" x14ac:dyDescent="0.25">
      <c r="A1885" s="170">
        <v>44777</v>
      </c>
      <c r="B1885" s="116">
        <v>1308.825</v>
      </c>
      <c r="C1885" s="116">
        <v>1285.7</v>
      </c>
      <c r="D1885" s="116">
        <v>1267.5</v>
      </c>
      <c r="E1885" s="116">
        <v>1308</v>
      </c>
      <c r="F1885" s="116">
        <v>2571.4</v>
      </c>
      <c r="G1885">
        <v>190556</v>
      </c>
      <c r="H1885" s="116"/>
      <c r="I1885" s="116"/>
      <c r="L1885" s="170">
        <v>44777</v>
      </c>
      <c r="M1885" s="116">
        <v>1285.95</v>
      </c>
      <c r="N1885" s="116">
        <v>1308.875</v>
      </c>
      <c r="O1885" s="116">
        <v>1267.5</v>
      </c>
      <c r="P1885" s="116">
        <v>1305</v>
      </c>
      <c r="Q1885" s="116">
        <v>2571.9</v>
      </c>
      <c r="R1885">
        <v>6676577</v>
      </c>
    </row>
    <row r="1886" spans="1:18" x14ac:dyDescent="0.25">
      <c r="A1886" s="170">
        <v>44778</v>
      </c>
      <c r="B1886" s="116">
        <v>1289</v>
      </c>
      <c r="C1886" s="116">
        <v>1266.9749999999999</v>
      </c>
      <c r="D1886" s="116">
        <v>1263.75</v>
      </c>
      <c r="E1886" s="116">
        <v>1288.5</v>
      </c>
      <c r="F1886" s="116">
        <v>2533.9499999999998</v>
      </c>
      <c r="G1886">
        <v>133584</v>
      </c>
      <c r="H1886" s="116"/>
      <c r="I1886" s="116"/>
      <c r="L1886" s="170">
        <v>44778</v>
      </c>
      <c r="M1886" s="116">
        <v>1267</v>
      </c>
      <c r="N1886" s="116">
        <v>1289.4000000000001</v>
      </c>
      <c r="O1886" s="116">
        <v>1263.4749999999999</v>
      </c>
      <c r="P1886" s="116">
        <v>1288</v>
      </c>
      <c r="Q1886" s="116">
        <v>2534</v>
      </c>
      <c r="R1886">
        <v>6434433</v>
      </c>
    </row>
    <row r="1887" spans="1:18" x14ac:dyDescent="0.25">
      <c r="A1887" s="170">
        <v>44781</v>
      </c>
      <c r="B1887" s="116">
        <v>1291.75</v>
      </c>
      <c r="C1887" s="116">
        <v>1283.4000000000001</v>
      </c>
      <c r="D1887" s="116">
        <v>1265.825</v>
      </c>
      <c r="E1887" s="116">
        <v>1267.5</v>
      </c>
      <c r="F1887" s="116">
        <v>2566.8000000000002</v>
      </c>
      <c r="G1887">
        <v>187347</v>
      </c>
      <c r="H1887" s="116"/>
      <c r="I1887" s="116"/>
      <c r="L1887" s="170">
        <v>44781</v>
      </c>
      <c r="M1887" s="116">
        <v>1283.575</v>
      </c>
      <c r="N1887" s="116">
        <v>1291.7750000000001</v>
      </c>
      <c r="O1887" s="116">
        <v>1265.5</v>
      </c>
      <c r="P1887" s="116">
        <v>1265.5</v>
      </c>
      <c r="Q1887" s="116">
        <v>2567.15</v>
      </c>
      <c r="R1887">
        <v>4691228</v>
      </c>
    </row>
    <row r="1888" spans="1:18" x14ac:dyDescent="0.25">
      <c r="A1888" s="170">
        <v>44783</v>
      </c>
      <c r="B1888" s="116">
        <v>1294.9749999999999</v>
      </c>
      <c r="C1888" s="116">
        <v>1290.9749999999999</v>
      </c>
      <c r="D1888" s="116">
        <v>1279</v>
      </c>
      <c r="E1888" s="116">
        <v>1286</v>
      </c>
      <c r="F1888" s="116">
        <v>2581.9499999999998</v>
      </c>
      <c r="G1888">
        <v>111725</v>
      </c>
      <c r="H1888" s="116"/>
      <c r="I1888" s="116"/>
      <c r="L1888" s="170">
        <v>44783</v>
      </c>
      <c r="M1888" s="116">
        <v>1291.25</v>
      </c>
      <c r="N1888" s="116">
        <v>1294.95</v>
      </c>
      <c r="O1888" s="116">
        <v>1278.5250000000001</v>
      </c>
      <c r="P1888" s="116">
        <v>1288.45</v>
      </c>
      <c r="Q1888" s="116">
        <v>2582.5</v>
      </c>
      <c r="R1888">
        <v>4949442</v>
      </c>
    </row>
    <row r="1889" spans="1:18" x14ac:dyDescent="0.25">
      <c r="A1889" s="170">
        <v>44784</v>
      </c>
      <c r="B1889" s="116">
        <v>1307.5</v>
      </c>
      <c r="C1889" s="116">
        <v>1295.0999999999999</v>
      </c>
      <c r="D1889" s="116">
        <v>1290.4000000000001</v>
      </c>
      <c r="E1889" s="116">
        <v>1300</v>
      </c>
      <c r="F1889" s="116">
        <v>2590.1999999999998</v>
      </c>
      <c r="G1889">
        <v>99044</v>
      </c>
      <c r="H1889" s="116"/>
      <c r="I1889" s="116"/>
      <c r="L1889" s="170">
        <v>44784</v>
      </c>
      <c r="M1889" s="116">
        <v>1295.55</v>
      </c>
      <c r="N1889" s="116">
        <v>1304.95</v>
      </c>
      <c r="O1889" s="116">
        <v>1290.0999999999999</v>
      </c>
      <c r="P1889" s="116">
        <v>1301.55</v>
      </c>
      <c r="Q1889" s="116">
        <v>2591.1</v>
      </c>
      <c r="R1889">
        <v>3783480</v>
      </c>
    </row>
    <row r="1890" spans="1:18" x14ac:dyDescent="0.25">
      <c r="A1890" s="170">
        <v>44785</v>
      </c>
      <c r="B1890" s="116">
        <v>1320.5</v>
      </c>
      <c r="C1890" s="116">
        <v>1316.325</v>
      </c>
      <c r="D1890" s="116">
        <v>1291.05</v>
      </c>
      <c r="E1890" s="116">
        <v>1293.125</v>
      </c>
      <c r="F1890" s="116">
        <v>2632.65</v>
      </c>
      <c r="G1890">
        <v>222555</v>
      </c>
      <c r="H1890" s="116"/>
      <c r="I1890" s="116"/>
      <c r="L1890" s="170">
        <v>44785</v>
      </c>
      <c r="M1890" s="116">
        <v>1316.5</v>
      </c>
      <c r="N1890" s="116">
        <v>1320.675</v>
      </c>
      <c r="O1890" s="116">
        <v>1291.0999999999999</v>
      </c>
      <c r="P1890" s="116">
        <v>1295.1500000000001</v>
      </c>
      <c r="Q1890" s="116">
        <v>2633</v>
      </c>
      <c r="R1890">
        <v>5838244</v>
      </c>
    </row>
    <row r="1891" spans="1:18" x14ac:dyDescent="0.25">
      <c r="A1891" s="170">
        <v>44789</v>
      </c>
      <c r="B1891" s="116">
        <v>1328.3</v>
      </c>
      <c r="C1891" s="116">
        <v>1325.2750000000001</v>
      </c>
      <c r="D1891" s="116">
        <v>1313.9</v>
      </c>
      <c r="E1891" s="116">
        <v>1324.9</v>
      </c>
      <c r="F1891" s="116">
        <v>2650.55</v>
      </c>
      <c r="G1891">
        <v>75427</v>
      </c>
      <c r="H1891" s="116"/>
      <c r="I1891" s="116"/>
      <c r="L1891" s="170">
        <v>44789</v>
      </c>
      <c r="M1891" s="116">
        <v>1325.65</v>
      </c>
      <c r="N1891" s="116">
        <v>1328.65</v>
      </c>
      <c r="O1891" s="116">
        <v>1313.65</v>
      </c>
      <c r="P1891" s="116">
        <v>1323.1</v>
      </c>
      <c r="Q1891" s="116">
        <v>2651.3</v>
      </c>
      <c r="R1891">
        <v>3049304</v>
      </c>
    </row>
    <row r="1892" spans="1:18" x14ac:dyDescent="0.25">
      <c r="A1892" s="170">
        <v>44790</v>
      </c>
      <c r="B1892" s="116">
        <v>1338.8</v>
      </c>
      <c r="C1892" s="116">
        <v>1332.2249999999999</v>
      </c>
      <c r="D1892" s="116">
        <v>1328</v>
      </c>
      <c r="E1892" s="116">
        <v>1330.2750000000001</v>
      </c>
      <c r="F1892" s="116">
        <v>2664.45</v>
      </c>
      <c r="G1892">
        <v>114212</v>
      </c>
      <c r="H1892" s="116"/>
      <c r="I1892" s="116"/>
      <c r="L1892" s="170">
        <v>44790</v>
      </c>
      <c r="M1892" s="116">
        <v>1332.575</v>
      </c>
      <c r="N1892" s="116">
        <v>1338.45</v>
      </c>
      <c r="O1892" s="116">
        <v>1327.7750000000001</v>
      </c>
      <c r="P1892" s="116">
        <v>1332.5</v>
      </c>
      <c r="Q1892" s="116">
        <v>2665.15</v>
      </c>
      <c r="R1892">
        <v>3044037</v>
      </c>
    </row>
    <row r="1893" spans="1:18" x14ac:dyDescent="0.25">
      <c r="A1893" s="170">
        <v>44791</v>
      </c>
      <c r="B1893" s="116">
        <v>1334.25</v>
      </c>
      <c r="C1893" s="116">
        <v>1330.325</v>
      </c>
      <c r="D1893" s="116">
        <v>1320.125</v>
      </c>
      <c r="E1893" s="116">
        <v>1331.7249999999999</v>
      </c>
      <c r="F1893" s="116">
        <v>2660.65</v>
      </c>
      <c r="G1893">
        <v>181482</v>
      </c>
      <c r="H1893" s="116"/>
      <c r="I1893" s="116"/>
      <c r="L1893" s="170">
        <v>44791</v>
      </c>
      <c r="M1893" s="116">
        <v>1330.65</v>
      </c>
      <c r="N1893" s="116">
        <v>1334.5</v>
      </c>
      <c r="O1893" s="116">
        <v>1320.1</v>
      </c>
      <c r="P1893" s="116">
        <v>1330</v>
      </c>
      <c r="Q1893" s="116">
        <v>2661.3</v>
      </c>
      <c r="R1893">
        <v>3419730</v>
      </c>
    </row>
    <row r="1894" spans="1:18" x14ac:dyDescent="0.25">
      <c r="A1894" s="170">
        <v>44792</v>
      </c>
      <c r="B1894" s="116">
        <v>1330.5</v>
      </c>
      <c r="C1894" s="116">
        <v>1306.8</v>
      </c>
      <c r="D1894" s="116">
        <v>1302.6500000000001</v>
      </c>
      <c r="E1894" s="116">
        <v>1327.0250000000001</v>
      </c>
      <c r="F1894" s="116">
        <v>2613.6</v>
      </c>
      <c r="G1894">
        <v>136003</v>
      </c>
      <c r="H1894" s="116"/>
      <c r="I1894" s="116"/>
      <c r="L1894" s="170">
        <v>44792</v>
      </c>
      <c r="M1894" s="116">
        <v>1306.925</v>
      </c>
      <c r="N1894" s="116">
        <v>1330.85</v>
      </c>
      <c r="O1894" s="116">
        <v>1302.4749999999999</v>
      </c>
      <c r="P1894" s="116">
        <v>1325</v>
      </c>
      <c r="Q1894" s="116">
        <v>2613.85</v>
      </c>
      <c r="R1894">
        <v>4366123</v>
      </c>
    </row>
    <row r="1895" spans="1:18" x14ac:dyDescent="0.25">
      <c r="A1895" s="170">
        <v>44795</v>
      </c>
      <c r="B1895" s="116">
        <v>1315.2750000000001</v>
      </c>
      <c r="C1895" s="116">
        <v>1303.3499999999999</v>
      </c>
      <c r="D1895" s="116">
        <v>1293.0999999999999</v>
      </c>
      <c r="E1895" s="116">
        <v>1308</v>
      </c>
      <c r="F1895" s="116">
        <v>2606.6999999999998</v>
      </c>
      <c r="G1895">
        <v>167523</v>
      </c>
      <c r="H1895" s="116"/>
      <c r="I1895" s="116"/>
      <c r="L1895" s="170">
        <v>44795</v>
      </c>
      <c r="M1895" s="116">
        <v>1303.3</v>
      </c>
      <c r="N1895" s="116">
        <v>1315.65</v>
      </c>
      <c r="O1895" s="116">
        <v>1293</v>
      </c>
      <c r="P1895" s="116">
        <v>1308.5</v>
      </c>
      <c r="Q1895" s="116">
        <v>2606.6</v>
      </c>
      <c r="R1895">
        <v>4371179</v>
      </c>
    </row>
    <row r="1896" spans="1:18" x14ac:dyDescent="0.25">
      <c r="A1896" s="170">
        <v>44796</v>
      </c>
      <c r="B1896" s="116">
        <v>1326</v>
      </c>
      <c r="C1896" s="116">
        <v>1323.75</v>
      </c>
      <c r="D1896" s="116">
        <v>1293</v>
      </c>
      <c r="E1896" s="116">
        <v>1293</v>
      </c>
      <c r="F1896" s="116">
        <v>2647.5</v>
      </c>
      <c r="G1896">
        <v>225535</v>
      </c>
      <c r="H1896" s="116"/>
      <c r="I1896" s="116"/>
      <c r="L1896" s="170">
        <v>44796</v>
      </c>
      <c r="M1896" s="116">
        <v>1323.4</v>
      </c>
      <c r="N1896" s="116">
        <v>1326.6</v>
      </c>
      <c r="O1896" s="116">
        <v>1295.675</v>
      </c>
      <c r="P1896" s="116">
        <v>1297</v>
      </c>
      <c r="Q1896" s="116">
        <v>2646.8</v>
      </c>
      <c r="R1896">
        <v>4466619</v>
      </c>
    </row>
    <row r="1897" spans="1:18" x14ac:dyDescent="0.25">
      <c r="A1897" s="170">
        <v>44797</v>
      </c>
      <c r="B1897" s="116">
        <v>1334.25</v>
      </c>
      <c r="C1897" s="116">
        <v>1319.5250000000001</v>
      </c>
      <c r="D1897" s="116">
        <v>1318</v>
      </c>
      <c r="E1897" s="116">
        <v>1318.7</v>
      </c>
      <c r="F1897" s="116">
        <v>2639.05</v>
      </c>
      <c r="G1897">
        <v>150278</v>
      </c>
      <c r="H1897" s="116"/>
      <c r="I1897" s="116"/>
      <c r="L1897" s="170">
        <v>44797</v>
      </c>
      <c r="M1897" s="116">
        <v>1319.875</v>
      </c>
      <c r="N1897" s="116">
        <v>1335</v>
      </c>
      <c r="O1897" s="116">
        <v>1317.675</v>
      </c>
      <c r="P1897" s="116">
        <v>1320.05</v>
      </c>
      <c r="Q1897" s="116">
        <v>2639.75</v>
      </c>
      <c r="R1897">
        <v>4785579</v>
      </c>
    </row>
    <row r="1898" spans="1:18" x14ac:dyDescent="0.25">
      <c r="A1898" s="170">
        <v>44798</v>
      </c>
      <c r="B1898" s="116">
        <v>1331.15</v>
      </c>
      <c r="C1898" s="116">
        <v>1315.25</v>
      </c>
      <c r="D1898" s="116">
        <v>1311</v>
      </c>
      <c r="E1898" s="116">
        <v>1325.5</v>
      </c>
      <c r="F1898" s="116">
        <v>2630.5</v>
      </c>
      <c r="G1898">
        <v>86635</v>
      </c>
      <c r="H1898" s="116"/>
      <c r="I1898" s="116"/>
      <c r="L1898" s="170">
        <v>44798</v>
      </c>
      <c r="M1898" s="116">
        <v>1316.0250000000001</v>
      </c>
      <c r="N1898" s="116">
        <v>1331.45</v>
      </c>
      <c r="O1898" s="116">
        <v>1311.3</v>
      </c>
      <c r="P1898" s="116">
        <v>1324.4749999999999</v>
      </c>
      <c r="Q1898" s="116">
        <v>2632.05</v>
      </c>
      <c r="R1898">
        <v>3632902</v>
      </c>
    </row>
    <row r="1899" spans="1:18" x14ac:dyDescent="0.25">
      <c r="A1899" s="170">
        <v>44799</v>
      </c>
      <c r="B1899" s="116">
        <v>1323.95</v>
      </c>
      <c r="C1899" s="116">
        <v>1309.375</v>
      </c>
      <c r="D1899" s="116">
        <v>1304</v>
      </c>
      <c r="E1899" s="116">
        <v>1319</v>
      </c>
      <c r="F1899" s="116">
        <v>2618.75</v>
      </c>
      <c r="G1899">
        <v>185236</v>
      </c>
      <c r="H1899" s="116"/>
      <c r="I1899" s="116"/>
      <c r="L1899" s="170">
        <v>44799</v>
      </c>
      <c r="M1899" s="116">
        <v>1309</v>
      </c>
      <c r="N1899" s="116">
        <v>1325</v>
      </c>
      <c r="O1899" s="116">
        <v>1303.5</v>
      </c>
      <c r="P1899" s="116">
        <v>1316.5</v>
      </c>
      <c r="Q1899" s="116">
        <v>2618</v>
      </c>
      <c r="R1899">
        <v>4957449</v>
      </c>
    </row>
    <row r="1900" spans="1:18" x14ac:dyDescent="0.25">
      <c r="A1900" s="170">
        <v>44802</v>
      </c>
      <c r="B1900" s="116">
        <v>1326.65</v>
      </c>
      <c r="C1900" s="116">
        <v>1298.4000000000001</v>
      </c>
      <c r="D1900" s="116">
        <v>1285</v>
      </c>
      <c r="E1900" s="116">
        <v>1285</v>
      </c>
      <c r="F1900" s="116">
        <v>2596.8000000000002</v>
      </c>
      <c r="G1900">
        <v>504166</v>
      </c>
      <c r="H1900" s="116"/>
      <c r="I1900" s="116"/>
      <c r="L1900" s="170">
        <v>44802</v>
      </c>
      <c r="M1900" s="116">
        <v>1298.825</v>
      </c>
      <c r="N1900" s="116">
        <v>1327.5</v>
      </c>
      <c r="O1900" s="116">
        <v>1289.0250000000001</v>
      </c>
      <c r="P1900" s="116">
        <v>1292.5</v>
      </c>
      <c r="Q1900" s="116">
        <v>2597.65</v>
      </c>
      <c r="R1900">
        <v>9155684</v>
      </c>
    </row>
    <row r="1901" spans="1:18" x14ac:dyDescent="0.25">
      <c r="A1901" s="170">
        <v>44803</v>
      </c>
      <c r="B1901" s="116">
        <v>1322.9749999999999</v>
      </c>
      <c r="C1901" s="116">
        <v>1319.55</v>
      </c>
      <c r="D1901" s="116">
        <v>1288.575</v>
      </c>
      <c r="E1901" s="116">
        <v>1310.85</v>
      </c>
      <c r="F1901" s="116">
        <v>2639.1</v>
      </c>
      <c r="G1901">
        <v>297293</v>
      </c>
      <c r="H1901" s="116"/>
      <c r="I1901" s="116"/>
      <c r="L1901" s="170">
        <v>44803</v>
      </c>
      <c r="M1901" s="116">
        <v>1318.9749999999999</v>
      </c>
      <c r="N1901" s="116">
        <v>1322.625</v>
      </c>
      <c r="O1901" s="116">
        <v>1288.3</v>
      </c>
      <c r="P1901" s="116">
        <v>1307</v>
      </c>
      <c r="Q1901" s="116">
        <v>2637.95</v>
      </c>
      <c r="R1901">
        <v>10678670</v>
      </c>
    </row>
    <row r="1902" spans="1:18" x14ac:dyDescent="0.25">
      <c r="A1902" s="170">
        <v>44805</v>
      </c>
      <c r="B1902" s="116">
        <v>1302.9749999999999</v>
      </c>
      <c r="C1902" s="116">
        <v>1280.0999999999999</v>
      </c>
      <c r="D1902" s="116">
        <v>1276</v>
      </c>
      <c r="E1902" s="116">
        <v>1294.55</v>
      </c>
      <c r="F1902" s="116">
        <v>2560.1999999999998</v>
      </c>
      <c r="G1902">
        <v>1149213</v>
      </c>
      <c r="H1902" s="116"/>
      <c r="I1902" s="116"/>
      <c r="L1902" s="170">
        <v>44805</v>
      </c>
      <c r="M1902" s="116">
        <v>1280.2</v>
      </c>
      <c r="N1902" s="116">
        <v>1302.4749999999999</v>
      </c>
      <c r="O1902" s="116">
        <v>1275.3499999999999</v>
      </c>
      <c r="P1902" s="116">
        <v>1291.325</v>
      </c>
      <c r="Q1902" s="116">
        <v>2560.4</v>
      </c>
      <c r="R1902">
        <v>9188434</v>
      </c>
    </row>
    <row r="1903" spans="1:18" x14ac:dyDescent="0.25">
      <c r="A1903" s="170">
        <v>44806</v>
      </c>
      <c r="B1903" s="116">
        <v>1287</v>
      </c>
      <c r="C1903" s="116">
        <v>1264.9000000000001</v>
      </c>
      <c r="D1903" s="116">
        <v>1262.5</v>
      </c>
      <c r="E1903" s="116">
        <v>1282.5</v>
      </c>
      <c r="F1903" s="116">
        <v>2529.8000000000002</v>
      </c>
      <c r="G1903">
        <v>266857</v>
      </c>
      <c r="H1903" s="116"/>
      <c r="I1903" s="116"/>
      <c r="L1903" s="170">
        <v>44806</v>
      </c>
      <c r="M1903" s="116">
        <v>1265.25</v>
      </c>
      <c r="N1903" s="116">
        <v>1287.675</v>
      </c>
      <c r="O1903" s="116">
        <v>1262.8499999999999</v>
      </c>
      <c r="P1903" s="116">
        <v>1280.2</v>
      </c>
      <c r="Q1903" s="116">
        <v>2530.5</v>
      </c>
      <c r="R1903">
        <v>5999196</v>
      </c>
    </row>
    <row r="1904" spans="1:18" x14ac:dyDescent="0.25">
      <c r="A1904" s="170">
        <v>44809</v>
      </c>
      <c r="B1904" s="116">
        <v>1290.5</v>
      </c>
      <c r="C1904" s="116">
        <v>1285.125</v>
      </c>
      <c r="D1904" s="116">
        <v>1265</v>
      </c>
      <c r="E1904" s="116">
        <v>1265</v>
      </c>
      <c r="F1904" s="116">
        <v>2570.25</v>
      </c>
      <c r="G1904">
        <v>119294</v>
      </c>
      <c r="H1904" s="116"/>
      <c r="I1904" s="116"/>
      <c r="L1904" s="170">
        <v>44809</v>
      </c>
      <c r="M1904" s="116">
        <v>1284.9000000000001</v>
      </c>
      <c r="N1904" s="116">
        <v>1290.75</v>
      </c>
      <c r="O1904" s="116">
        <v>1265.5</v>
      </c>
      <c r="P1904" s="116">
        <v>1265.5</v>
      </c>
      <c r="Q1904" s="116">
        <v>2569.8000000000002</v>
      </c>
      <c r="R1904">
        <v>5227785</v>
      </c>
    </row>
    <row r="1905" spans="1:18" x14ac:dyDescent="0.25">
      <c r="A1905" s="170">
        <v>44810</v>
      </c>
      <c r="B1905" s="116">
        <v>1302.75</v>
      </c>
      <c r="C1905" s="116">
        <v>1297.7</v>
      </c>
      <c r="D1905" s="116">
        <v>1284.8</v>
      </c>
      <c r="E1905" s="116">
        <v>1284.8</v>
      </c>
      <c r="F1905" s="116">
        <v>2595.4</v>
      </c>
      <c r="G1905">
        <v>376714</v>
      </c>
      <c r="H1905" s="116"/>
      <c r="I1905" s="116"/>
      <c r="L1905" s="170">
        <v>44810</v>
      </c>
      <c r="M1905" s="116">
        <v>1298.425</v>
      </c>
      <c r="N1905" s="116">
        <v>1303</v>
      </c>
      <c r="O1905" s="116">
        <v>1286</v>
      </c>
      <c r="P1905" s="116">
        <v>1286.5</v>
      </c>
      <c r="Q1905" s="116">
        <v>2596.85</v>
      </c>
      <c r="R1905">
        <v>5030172</v>
      </c>
    </row>
    <row r="1906" spans="1:18" x14ac:dyDescent="0.25">
      <c r="A1906" s="170">
        <v>44811</v>
      </c>
      <c r="B1906" s="116">
        <v>1297.25</v>
      </c>
      <c r="C1906" s="116">
        <v>1290.575</v>
      </c>
      <c r="D1906" s="116">
        <v>1284.5250000000001</v>
      </c>
      <c r="E1906" s="116">
        <v>1289.8499999999999</v>
      </c>
      <c r="F1906" s="116">
        <v>2581.15</v>
      </c>
      <c r="G1906">
        <v>191624</v>
      </c>
      <c r="H1906" s="116"/>
      <c r="I1906" s="116"/>
      <c r="L1906" s="170">
        <v>44811</v>
      </c>
      <c r="M1906" s="116">
        <v>1290.875</v>
      </c>
      <c r="N1906" s="116">
        <v>1297.45</v>
      </c>
      <c r="O1906" s="116">
        <v>1285</v>
      </c>
      <c r="P1906" s="116">
        <v>1287.5</v>
      </c>
      <c r="Q1906" s="116">
        <v>2581.75</v>
      </c>
      <c r="R1906">
        <v>3455942</v>
      </c>
    </row>
    <row r="1907" spans="1:18" x14ac:dyDescent="0.25">
      <c r="A1907" s="170">
        <v>44812</v>
      </c>
      <c r="B1907" s="116">
        <v>1298.5</v>
      </c>
      <c r="C1907" s="116">
        <v>1292.5999999999999</v>
      </c>
      <c r="D1907" s="116">
        <v>1285.5</v>
      </c>
      <c r="E1907" s="116">
        <v>1295</v>
      </c>
      <c r="F1907" s="116">
        <v>2585.1999999999998</v>
      </c>
      <c r="G1907">
        <v>164380</v>
      </c>
      <c r="H1907" s="116"/>
      <c r="I1907" s="116"/>
      <c r="L1907" s="170">
        <v>44812</v>
      </c>
      <c r="M1907" s="116">
        <v>1292.7</v>
      </c>
      <c r="N1907" s="116">
        <v>1299</v>
      </c>
      <c r="O1907" s="116">
        <v>1285.5</v>
      </c>
      <c r="P1907" s="116">
        <v>1294.125</v>
      </c>
      <c r="Q1907" s="116">
        <v>2585.4</v>
      </c>
      <c r="R1907">
        <v>3256840</v>
      </c>
    </row>
    <row r="1908" spans="1:18" x14ac:dyDescent="0.25">
      <c r="A1908" s="170">
        <v>44813</v>
      </c>
      <c r="B1908" s="116">
        <v>1303.425</v>
      </c>
      <c r="C1908" s="116">
        <v>1284.3</v>
      </c>
      <c r="D1908" s="116">
        <v>1282.5</v>
      </c>
      <c r="E1908" s="116">
        <v>1303.2750000000001</v>
      </c>
      <c r="F1908" s="116">
        <v>2568.6</v>
      </c>
      <c r="G1908">
        <v>165838</v>
      </c>
      <c r="H1908" s="116"/>
      <c r="I1908" s="116"/>
      <c r="L1908" s="170">
        <v>44813</v>
      </c>
      <c r="M1908" s="116">
        <v>1284.6500000000001</v>
      </c>
      <c r="N1908" s="116">
        <v>1305</v>
      </c>
      <c r="O1908" s="116">
        <v>1282</v>
      </c>
      <c r="P1908" s="116">
        <v>1305</v>
      </c>
      <c r="Q1908" s="116">
        <v>2569.3000000000002</v>
      </c>
      <c r="R1908">
        <v>3837302</v>
      </c>
    </row>
    <row r="1909" spans="1:18" x14ac:dyDescent="0.25">
      <c r="A1909" s="170">
        <v>44816</v>
      </c>
      <c r="B1909" s="116">
        <v>1305.7</v>
      </c>
      <c r="C1909" s="116">
        <v>1298.8</v>
      </c>
      <c r="D1909" s="116">
        <v>1286</v>
      </c>
      <c r="E1909" s="116">
        <v>1286.8499999999999</v>
      </c>
      <c r="F1909" s="116">
        <v>2597.6</v>
      </c>
      <c r="G1909">
        <v>152127</v>
      </c>
      <c r="H1909" s="116"/>
      <c r="I1909" s="116"/>
      <c r="L1909" s="170">
        <v>44816</v>
      </c>
      <c r="M1909" s="116">
        <v>1299.0250000000001</v>
      </c>
      <c r="N1909" s="116">
        <v>1306</v>
      </c>
      <c r="O1909" s="116">
        <v>1285.2750000000001</v>
      </c>
      <c r="P1909" s="116">
        <v>1285.2750000000001</v>
      </c>
      <c r="Q1909" s="116">
        <v>2598.0500000000002</v>
      </c>
      <c r="R1909">
        <v>3431445</v>
      </c>
    </row>
    <row r="1910" spans="1:18" x14ac:dyDescent="0.25">
      <c r="A1910" s="170">
        <v>44817</v>
      </c>
      <c r="B1910" s="116">
        <v>1314.2750000000001</v>
      </c>
      <c r="C1910" s="116">
        <v>1310.075</v>
      </c>
      <c r="D1910" s="116">
        <v>1300.5</v>
      </c>
      <c r="E1910" s="116">
        <v>1307.5</v>
      </c>
      <c r="F1910" s="116">
        <v>2620.15</v>
      </c>
      <c r="G1910">
        <v>223055</v>
      </c>
      <c r="H1910" s="116"/>
      <c r="I1910" s="116"/>
      <c r="L1910" s="170">
        <v>44817</v>
      </c>
      <c r="M1910" s="116">
        <v>1309.875</v>
      </c>
      <c r="N1910" s="116">
        <v>1314.85</v>
      </c>
      <c r="O1910" s="116">
        <v>1300.5</v>
      </c>
      <c r="P1910" s="116">
        <v>1309</v>
      </c>
      <c r="Q1910" s="116">
        <v>2619.75</v>
      </c>
      <c r="R1910">
        <v>4102114</v>
      </c>
    </row>
    <row r="1911" spans="1:18" x14ac:dyDescent="0.25">
      <c r="A1911" s="170">
        <v>44818</v>
      </c>
      <c r="B1911" s="116">
        <v>1304.75</v>
      </c>
      <c r="C1911" s="116">
        <v>1293.9000000000001</v>
      </c>
      <c r="D1911" s="116">
        <v>1282.5</v>
      </c>
      <c r="E1911" s="116">
        <v>1282.5</v>
      </c>
      <c r="F1911" s="116">
        <v>2587.8000000000002</v>
      </c>
      <c r="G1911">
        <v>257288</v>
      </c>
      <c r="H1911" s="116"/>
      <c r="I1911" s="116"/>
      <c r="L1911" s="170">
        <v>44818</v>
      </c>
      <c r="M1911" s="116">
        <v>1294.175</v>
      </c>
      <c r="N1911" s="116">
        <v>1305</v>
      </c>
      <c r="O1911" s="116">
        <v>1286.375</v>
      </c>
      <c r="P1911" s="116">
        <v>1287.5</v>
      </c>
      <c r="Q1911" s="116">
        <v>2588.35</v>
      </c>
      <c r="R1911">
        <v>4004997</v>
      </c>
    </row>
    <row r="1912" spans="1:18" x14ac:dyDescent="0.25">
      <c r="A1912" s="170">
        <v>44819</v>
      </c>
      <c r="B1912" s="116">
        <v>1301.1500000000001</v>
      </c>
      <c r="C1912" s="116">
        <v>1280.875</v>
      </c>
      <c r="D1912" s="116">
        <v>1278.5</v>
      </c>
      <c r="E1912" s="116">
        <v>1293</v>
      </c>
      <c r="F1912" s="116">
        <v>2561.75</v>
      </c>
      <c r="G1912">
        <v>180396</v>
      </c>
      <c r="H1912" s="116"/>
      <c r="I1912" s="116"/>
      <c r="L1912" s="170">
        <v>44819</v>
      </c>
      <c r="M1912" s="116">
        <v>1281.3499999999999</v>
      </c>
      <c r="N1912" s="116">
        <v>1301.7750000000001</v>
      </c>
      <c r="O1912" s="116">
        <v>1278.375</v>
      </c>
      <c r="P1912" s="116">
        <v>1291.5</v>
      </c>
      <c r="Q1912" s="116">
        <v>2562.6999999999998</v>
      </c>
      <c r="R1912">
        <v>4783723</v>
      </c>
    </row>
    <row r="1913" spans="1:18" x14ac:dyDescent="0.25">
      <c r="A1913" s="170">
        <v>44820</v>
      </c>
      <c r="B1913" s="116">
        <v>1276.8</v>
      </c>
      <c r="C1913" s="116">
        <v>1249.6500000000001</v>
      </c>
      <c r="D1913" s="116">
        <v>1245.625</v>
      </c>
      <c r="E1913" s="116">
        <v>1274.5</v>
      </c>
      <c r="F1913" s="116">
        <v>2499.3000000000002</v>
      </c>
      <c r="G1913">
        <v>210585</v>
      </c>
      <c r="H1913" s="116"/>
      <c r="I1913" s="116"/>
      <c r="L1913" s="170">
        <v>44820</v>
      </c>
      <c r="M1913" s="116">
        <v>1249.5999999999999</v>
      </c>
      <c r="N1913" s="116">
        <v>1276.5</v>
      </c>
      <c r="O1913" s="116">
        <v>1245.5</v>
      </c>
      <c r="P1913" s="116">
        <v>1271.875</v>
      </c>
      <c r="Q1913" s="116">
        <v>2499.1999999999998</v>
      </c>
      <c r="R1913">
        <v>9330469</v>
      </c>
    </row>
    <row r="1914" spans="1:18" x14ac:dyDescent="0.25">
      <c r="A1914" s="170">
        <v>44823</v>
      </c>
      <c r="B1914" s="116">
        <v>1260.95</v>
      </c>
      <c r="C1914" s="116">
        <v>1251.175</v>
      </c>
      <c r="D1914" s="116">
        <v>1240.8</v>
      </c>
      <c r="E1914" s="116">
        <v>1249.5999999999999</v>
      </c>
      <c r="F1914" s="116">
        <v>2502.35</v>
      </c>
      <c r="G1914">
        <v>2963131</v>
      </c>
      <c r="H1914" s="116"/>
      <c r="I1914" s="116"/>
      <c r="L1914" s="170">
        <v>44823</v>
      </c>
      <c r="M1914" s="116">
        <v>1251.2249999999999</v>
      </c>
      <c r="N1914" s="116">
        <v>1261.3499999999999</v>
      </c>
      <c r="O1914" s="116">
        <v>1240.675</v>
      </c>
      <c r="P1914" s="116">
        <v>1249.5999999999999</v>
      </c>
      <c r="Q1914" s="116">
        <v>2502.4499999999998</v>
      </c>
      <c r="R1914">
        <v>3498286</v>
      </c>
    </row>
    <row r="1915" spans="1:18" x14ac:dyDescent="0.25">
      <c r="A1915" s="170">
        <v>44824</v>
      </c>
      <c r="B1915" s="116">
        <v>1268.5999999999999</v>
      </c>
      <c r="C1915" s="116">
        <v>1251.0250000000001</v>
      </c>
      <c r="D1915" s="116">
        <v>1247.925</v>
      </c>
      <c r="E1915" s="116">
        <v>1262.5</v>
      </c>
      <c r="F1915" s="116">
        <v>2502.0500000000002</v>
      </c>
      <c r="G1915">
        <v>93423</v>
      </c>
      <c r="H1915" s="116"/>
      <c r="I1915" s="116"/>
      <c r="L1915" s="170">
        <v>44824</v>
      </c>
      <c r="M1915" s="116">
        <v>1251.425</v>
      </c>
      <c r="N1915" s="116">
        <v>1268.8499999999999</v>
      </c>
      <c r="O1915" s="116">
        <v>1247.3499999999999</v>
      </c>
      <c r="P1915" s="116">
        <v>1261.2249999999999</v>
      </c>
      <c r="Q1915" s="116">
        <v>2502.85</v>
      </c>
      <c r="R1915">
        <v>3881882</v>
      </c>
    </row>
    <row r="1916" spans="1:18" x14ac:dyDescent="0.25">
      <c r="A1916" s="170">
        <v>44825</v>
      </c>
      <c r="B1916" s="116">
        <v>1267</v>
      </c>
      <c r="C1916" s="116">
        <v>1254.625</v>
      </c>
      <c r="D1916" s="116">
        <v>1247.8499999999999</v>
      </c>
      <c r="E1916" s="116">
        <v>1250.925</v>
      </c>
      <c r="F1916" s="116">
        <v>2509.25</v>
      </c>
      <c r="G1916">
        <v>74857</v>
      </c>
      <c r="H1916" s="116"/>
      <c r="I1916" s="116"/>
      <c r="L1916" s="170">
        <v>44825</v>
      </c>
      <c r="M1916" s="116">
        <v>1254.875</v>
      </c>
      <c r="N1916" s="116">
        <v>1266.5</v>
      </c>
      <c r="O1916" s="116">
        <v>1247.5</v>
      </c>
      <c r="P1916" s="116">
        <v>1248.375</v>
      </c>
      <c r="Q1916" s="116">
        <v>2509.75</v>
      </c>
      <c r="R1916">
        <v>4249172</v>
      </c>
    </row>
    <row r="1917" spans="1:18" x14ac:dyDescent="0.25">
      <c r="A1917" s="170">
        <v>44826</v>
      </c>
      <c r="B1917" s="116">
        <v>1251.325</v>
      </c>
      <c r="C1917" s="116">
        <v>1242.95</v>
      </c>
      <c r="D1917" s="116">
        <v>1236.2750000000001</v>
      </c>
      <c r="E1917" s="116">
        <v>1241.45</v>
      </c>
      <c r="F1917" s="116">
        <v>2485.9</v>
      </c>
      <c r="G1917">
        <v>88397</v>
      </c>
      <c r="H1917" s="116"/>
      <c r="I1917" s="116"/>
      <c r="L1917" s="170">
        <v>44826</v>
      </c>
      <c r="M1917" s="116">
        <v>1243.05</v>
      </c>
      <c r="N1917" s="116">
        <v>1251.5</v>
      </c>
      <c r="O1917" s="116">
        <v>1236.05</v>
      </c>
      <c r="P1917" s="116">
        <v>1243</v>
      </c>
      <c r="Q1917" s="116">
        <v>2486.1</v>
      </c>
      <c r="R1917">
        <v>4757219</v>
      </c>
    </row>
    <row r="1918" spans="1:18" x14ac:dyDescent="0.25">
      <c r="A1918" s="170">
        <v>44827</v>
      </c>
      <c r="B1918" s="116">
        <v>1247.5250000000001</v>
      </c>
      <c r="C1918" s="116">
        <v>1219.675</v>
      </c>
      <c r="D1918" s="116">
        <v>1217.5999999999999</v>
      </c>
      <c r="E1918" s="116">
        <v>1242.75</v>
      </c>
      <c r="F1918" s="116">
        <v>2439.35</v>
      </c>
      <c r="G1918">
        <v>110625</v>
      </c>
      <c r="H1918" s="116"/>
      <c r="I1918" s="116"/>
      <c r="L1918" s="170">
        <v>44827</v>
      </c>
      <c r="M1918" s="116">
        <v>1219.75</v>
      </c>
      <c r="N1918" s="116">
        <v>1247.9749999999999</v>
      </c>
      <c r="O1918" s="116">
        <v>1218.05</v>
      </c>
      <c r="P1918" s="116">
        <v>1242.5</v>
      </c>
      <c r="Q1918" s="116">
        <v>2439.5</v>
      </c>
      <c r="R1918">
        <v>4397194</v>
      </c>
    </row>
    <row r="1919" spans="1:18" x14ac:dyDescent="0.25">
      <c r="A1919" s="170">
        <v>44830</v>
      </c>
      <c r="B1919" s="116">
        <v>1208.825</v>
      </c>
      <c r="C1919" s="116">
        <v>1188.75</v>
      </c>
      <c r="D1919" s="116">
        <v>1187.75</v>
      </c>
      <c r="E1919" s="116">
        <v>1202</v>
      </c>
      <c r="F1919" s="116">
        <v>2377.5</v>
      </c>
      <c r="G1919">
        <v>130939</v>
      </c>
      <c r="H1919" s="116"/>
      <c r="I1919" s="116"/>
      <c r="L1919" s="170">
        <v>44830</v>
      </c>
      <c r="M1919" s="116">
        <v>1188.675</v>
      </c>
      <c r="N1919" s="116">
        <v>1208.9000000000001</v>
      </c>
      <c r="O1919" s="116">
        <v>1187.575</v>
      </c>
      <c r="P1919" s="116">
        <v>1197.0250000000001</v>
      </c>
      <c r="Q1919" s="116">
        <v>2377.35</v>
      </c>
      <c r="R1919">
        <v>5759298</v>
      </c>
    </row>
    <row r="1920" spans="1:18" x14ac:dyDescent="0.25">
      <c r="A1920" s="170">
        <v>44831</v>
      </c>
      <c r="B1920" s="116">
        <v>1212.875</v>
      </c>
      <c r="C1920" s="116">
        <v>1197.7</v>
      </c>
      <c r="D1920" s="116">
        <v>1180.075</v>
      </c>
      <c r="E1920" s="116">
        <v>1197.5</v>
      </c>
      <c r="F1920" s="116">
        <v>2395.4</v>
      </c>
      <c r="G1920">
        <v>420283</v>
      </c>
      <c r="H1920" s="116"/>
      <c r="I1920" s="116"/>
      <c r="L1920" s="170">
        <v>44831</v>
      </c>
      <c r="M1920" s="116">
        <v>1198.125</v>
      </c>
      <c r="N1920" s="116">
        <v>1213</v>
      </c>
      <c r="O1920" s="116">
        <v>1180.05</v>
      </c>
      <c r="P1920" s="116">
        <v>1197</v>
      </c>
      <c r="Q1920" s="116">
        <v>2396.25</v>
      </c>
      <c r="R1920">
        <v>7455448</v>
      </c>
    </row>
    <row r="1921" spans="1:18" x14ac:dyDescent="0.25">
      <c r="A1921" s="170">
        <v>44832</v>
      </c>
      <c r="B1921" s="116">
        <v>1189.2</v>
      </c>
      <c r="C1921" s="116">
        <v>1166.05</v>
      </c>
      <c r="D1921" s="116">
        <v>1163.925</v>
      </c>
      <c r="E1921" s="116">
        <v>1182.55</v>
      </c>
      <c r="F1921" s="116">
        <v>2332.1</v>
      </c>
      <c r="G1921">
        <v>249075</v>
      </c>
      <c r="H1921" s="116"/>
      <c r="I1921" s="116"/>
      <c r="L1921" s="170">
        <v>44832</v>
      </c>
      <c r="M1921" s="116">
        <v>1166.2249999999999</v>
      </c>
      <c r="N1921" s="116">
        <v>1189</v>
      </c>
      <c r="O1921" s="116">
        <v>1163.55</v>
      </c>
      <c r="P1921" s="116">
        <v>1180.175</v>
      </c>
      <c r="Q1921" s="116">
        <v>2332.4499999999998</v>
      </c>
      <c r="R1921">
        <v>7844140</v>
      </c>
    </row>
    <row r="1922" spans="1:18" x14ac:dyDescent="0.25">
      <c r="A1922" s="170">
        <v>44833</v>
      </c>
      <c r="B1922" s="116">
        <v>1183.875</v>
      </c>
      <c r="C1922" s="116">
        <v>1162.6500000000001</v>
      </c>
      <c r="D1922" s="116">
        <v>1156.7750000000001</v>
      </c>
      <c r="E1922" s="116">
        <v>1179</v>
      </c>
      <c r="F1922" s="116">
        <v>2325.3000000000002</v>
      </c>
      <c r="G1922">
        <v>191249</v>
      </c>
      <c r="H1922" s="116"/>
      <c r="I1922" s="116"/>
      <c r="L1922" s="170">
        <v>44833</v>
      </c>
      <c r="M1922" s="116">
        <v>1162.6500000000001</v>
      </c>
      <c r="N1922" s="116">
        <v>1183.75</v>
      </c>
      <c r="O1922" s="116">
        <v>1156.5</v>
      </c>
      <c r="P1922" s="116">
        <v>1180</v>
      </c>
      <c r="Q1922" s="116">
        <v>2325.3000000000002</v>
      </c>
      <c r="R1922">
        <v>6771046</v>
      </c>
    </row>
    <row r="1923" spans="1:18" x14ac:dyDescent="0.25">
      <c r="A1923" s="170">
        <v>44834</v>
      </c>
      <c r="B1923" s="116">
        <v>1200.575</v>
      </c>
      <c r="C1923" s="116">
        <v>1188.8499999999999</v>
      </c>
      <c r="D1923" s="116">
        <v>1157.5</v>
      </c>
      <c r="E1923" s="116">
        <v>1159</v>
      </c>
      <c r="F1923" s="116">
        <v>2377.6999999999998</v>
      </c>
      <c r="G1923">
        <v>251390</v>
      </c>
      <c r="H1923" s="116"/>
      <c r="I1923" s="116"/>
      <c r="L1923" s="170">
        <v>44834</v>
      </c>
      <c r="M1923" s="116">
        <v>1188.875</v>
      </c>
      <c r="N1923" s="116">
        <v>1201</v>
      </c>
      <c r="O1923" s="116">
        <v>1155.5</v>
      </c>
      <c r="P1923" s="116">
        <v>1155.5</v>
      </c>
      <c r="Q1923" s="116">
        <v>2377.75</v>
      </c>
      <c r="R1923">
        <v>8589908</v>
      </c>
    </row>
    <row r="1924" spans="1:18" x14ac:dyDescent="0.25">
      <c r="A1924" s="170">
        <v>44837</v>
      </c>
      <c r="B1924" s="116">
        <v>1208.4749999999999</v>
      </c>
      <c r="C1924" s="116">
        <v>1187.1500000000001</v>
      </c>
      <c r="D1924" s="116">
        <v>1181.75</v>
      </c>
      <c r="E1924" s="116">
        <v>1198.5</v>
      </c>
      <c r="F1924" s="116">
        <v>2374.3000000000002</v>
      </c>
      <c r="G1924">
        <v>228998</v>
      </c>
      <c r="H1924" s="116"/>
      <c r="I1924" s="116"/>
      <c r="L1924" s="170">
        <v>44837</v>
      </c>
      <c r="M1924" s="116">
        <v>1184.75</v>
      </c>
      <c r="N1924" s="116">
        <v>1208.4749999999999</v>
      </c>
      <c r="O1924" s="116">
        <v>1181.5</v>
      </c>
      <c r="P1924" s="116">
        <v>1195.75</v>
      </c>
      <c r="Q1924" s="116">
        <v>2369.5</v>
      </c>
      <c r="R1924">
        <v>5470030</v>
      </c>
    </row>
    <row r="1925" spans="1:18" x14ac:dyDescent="0.25">
      <c r="A1925" s="170">
        <v>44838</v>
      </c>
      <c r="B1925" s="116">
        <v>1208.95</v>
      </c>
      <c r="C1925" s="116">
        <v>1206.5250000000001</v>
      </c>
      <c r="D1925" s="116">
        <v>1195.175</v>
      </c>
      <c r="E1925" s="116">
        <v>1199.2249999999999</v>
      </c>
      <c r="F1925" s="116">
        <v>2413.0500000000002</v>
      </c>
      <c r="G1925">
        <v>155355</v>
      </c>
      <c r="H1925" s="116"/>
      <c r="I1925" s="116"/>
      <c r="L1925" s="170">
        <v>44838</v>
      </c>
      <c r="M1925" s="116">
        <v>1206.5999999999999</v>
      </c>
      <c r="N1925" s="116">
        <v>1209</v>
      </c>
      <c r="O1925" s="116">
        <v>1195.075</v>
      </c>
      <c r="P1925" s="116">
        <v>1198.9000000000001</v>
      </c>
      <c r="Q1925" s="116">
        <v>2413.1999999999998</v>
      </c>
      <c r="R1925">
        <v>4129893</v>
      </c>
    </row>
    <row r="1926" spans="1:18" x14ac:dyDescent="0.25">
      <c r="A1926" s="170">
        <v>44840</v>
      </c>
      <c r="B1926" s="116">
        <v>1225</v>
      </c>
      <c r="C1926" s="116">
        <v>1211.325</v>
      </c>
      <c r="D1926" s="116">
        <v>1209.2</v>
      </c>
      <c r="E1926" s="116">
        <v>1218</v>
      </c>
      <c r="F1926" s="116">
        <v>2422.65</v>
      </c>
      <c r="G1926">
        <v>90481</v>
      </c>
      <c r="H1926" s="116"/>
      <c r="I1926" s="116"/>
      <c r="L1926" s="170">
        <v>44840</v>
      </c>
      <c r="M1926" s="116">
        <v>1211.05</v>
      </c>
      <c r="N1926" s="116">
        <v>1225</v>
      </c>
      <c r="O1926" s="116">
        <v>1209.075</v>
      </c>
      <c r="P1926" s="116">
        <v>1214.5</v>
      </c>
      <c r="Q1926" s="116">
        <v>2422.1</v>
      </c>
      <c r="R1926">
        <v>6162021</v>
      </c>
    </row>
    <row r="1927" spans="1:18" x14ac:dyDescent="0.25">
      <c r="A1927" s="170">
        <v>44841</v>
      </c>
      <c r="B1927" s="116">
        <v>1221.95</v>
      </c>
      <c r="C1927" s="116">
        <v>1216.625</v>
      </c>
      <c r="D1927" s="116">
        <v>1206.925</v>
      </c>
      <c r="E1927" s="116">
        <v>1209</v>
      </c>
      <c r="F1927" s="116">
        <v>2433.25</v>
      </c>
      <c r="G1927">
        <v>151735</v>
      </c>
      <c r="H1927" s="116"/>
      <c r="I1927" s="116"/>
      <c r="L1927" s="170">
        <v>44841</v>
      </c>
      <c r="M1927" s="116">
        <v>1216.175</v>
      </c>
      <c r="N1927" s="116">
        <v>1221.95</v>
      </c>
      <c r="O1927" s="116">
        <v>1207.325</v>
      </c>
      <c r="P1927" s="116">
        <v>1207.325</v>
      </c>
      <c r="Q1927" s="116">
        <v>2432.35</v>
      </c>
      <c r="R1927">
        <v>3560167</v>
      </c>
    </row>
    <row r="1928" spans="1:18" x14ac:dyDescent="0.25">
      <c r="A1928" s="170">
        <v>44844</v>
      </c>
      <c r="B1928" s="116">
        <v>1208.8499999999999</v>
      </c>
      <c r="C1928" s="116">
        <v>1202.875</v>
      </c>
      <c r="D1928" s="116">
        <v>1194</v>
      </c>
      <c r="E1928" s="116">
        <v>1204.5250000000001</v>
      </c>
      <c r="F1928" s="116">
        <v>2405.75</v>
      </c>
      <c r="G1928">
        <v>138925</v>
      </c>
      <c r="H1928" s="116"/>
      <c r="I1928" s="116"/>
      <c r="L1928" s="170">
        <v>44844</v>
      </c>
      <c r="M1928" s="116">
        <v>1202.9000000000001</v>
      </c>
      <c r="N1928" s="116">
        <v>1208.8</v>
      </c>
      <c r="O1928" s="116">
        <v>1194</v>
      </c>
      <c r="P1928" s="116">
        <v>1202.5</v>
      </c>
      <c r="Q1928" s="116">
        <v>2405.8000000000002</v>
      </c>
      <c r="R1928">
        <v>2921076</v>
      </c>
    </row>
    <row r="1929" spans="1:18" x14ac:dyDescent="0.25">
      <c r="A1929" s="170">
        <v>44845</v>
      </c>
      <c r="B1929" s="116">
        <v>1206</v>
      </c>
      <c r="C1929" s="116">
        <v>1178.625</v>
      </c>
      <c r="D1929" s="116">
        <v>1175.5</v>
      </c>
      <c r="E1929" s="116">
        <v>1205.625</v>
      </c>
      <c r="F1929" s="116">
        <v>2357.25</v>
      </c>
      <c r="G1929">
        <v>3962521</v>
      </c>
      <c r="H1929" s="116"/>
      <c r="I1929" s="116"/>
      <c r="L1929" s="170">
        <v>44845</v>
      </c>
      <c r="M1929" s="116">
        <v>1178.95</v>
      </c>
      <c r="N1929" s="116">
        <v>1207</v>
      </c>
      <c r="O1929" s="116">
        <v>1175.55</v>
      </c>
      <c r="P1929" s="116">
        <v>1207</v>
      </c>
      <c r="Q1929" s="116">
        <v>2357.9</v>
      </c>
      <c r="R1929">
        <v>4252803</v>
      </c>
    </row>
    <row r="1930" spans="1:18" x14ac:dyDescent="0.25">
      <c r="A1930" s="170">
        <v>44846</v>
      </c>
      <c r="B1930" s="116">
        <v>1190.4000000000001</v>
      </c>
      <c r="C1930" s="116">
        <v>1187.5250000000001</v>
      </c>
      <c r="D1930" s="116">
        <v>1172.7750000000001</v>
      </c>
      <c r="E1930" s="116">
        <v>1177.4749999999999</v>
      </c>
      <c r="F1930" s="116">
        <v>2375.0500000000002</v>
      </c>
      <c r="G1930">
        <v>92000</v>
      </c>
      <c r="H1930" s="116"/>
      <c r="I1930" s="116"/>
      <c r="L1930" s="170">
        <v>44846</v>
      </c>
      <c r="M1930" s="116">
        <v>1187.625</v>
      </c>
      <c r="N1930" s="116">
        <v>1190.8499999999999</v>
      </c>
      <c r="O1930" s="116">
        <v>1171.55</v>
      </c>
      <c r="P1930" s="116">
        <v>1176</v>
      </c>
      <c r="Q1930" s="116">
        <v>2375.25</v>
      </c>
      <c r="R1930">
        <v>3422992</v>
      </c>
    </row>
    <row r="1931" spans="1:18" x14ac:dyDescent="0.25">
      <c r="A1931" s="170">
        <v>44847</v>
      </c>
      <c r="B1931" s="116">
        <v>1197.0999999999999</v>
      </c>
      <c r="C1931" s="116">
        <v>1191.925</v>
      </c>
      <c r="D1931" s="116">
        <v>1180.5</v>
      </c>
      <c r="E1931" s="116">
        <v>1187.9000000000001</v>
      </c>
      <c r="F1931" s="116">
        <v>2383.85</v>
      </c>
      <c r="G1931">
        <v>89649</v>
      </c>
      <c r="H1931" s="116"/>
      <c r="I1931" s="116"/>
      <c r="L1931" s="170">
        <v>44847</v>
      </c>
      <c r="M1931" s="116">
        <v>1191.4000000000001</v>
      </c>
      <c r="N1931" s="116">
        <v>1197</v>
      </c>
      <c r="O1931" s="116">
        <v>1180.05</v>
      </c>
      <c r="P1931" s="116">
        <v>1185.7</v>
      </c>
      <c r="Q1931" s="116">
        <v>2382.8000000000002</v>
      </c>
      <c r="R1931">
        <v>3382098</v>
      </c>
    </row>
    <row r="1932" spans="1:18" x14ac:dyDescent="0.25">
      <c r="A1932" s="170">
        <v>44848</v>
      </c>
      <c r="B1932" s="116">
        <v>1208.0250000000001</v>
      </c>
      <c r="C1932" s="116">
        <v>1185.5</v>
      </c>
      <c r="D1932" s="116">
        <v>1184.175</v>
      </c>
      <c r="E1932" s="116">
        <v>1206</v>
      </c>
      <c r="F1932" s="116">
        <v>2371</v>
      </c>
      <c r="G1932">
        <v>169418</v>
      </c>
      <c r="H1932" s="116"/>
      <c r="I1932" s="116"/>
      <c r="L1932" s="170">
        <v>44848</v>
      </c>
      <c r="M1932" s="116">
        <v>1185.3499999999999</v>
      </c>
      <c r="N1932" s="116">
        <v>1208.175</v>
      </c>
      <c r="O1932" s="116">
        <v>1184.55</v>
      </c>
      <c r="P1932" s="116">
        <v>1207.5</v>
      </c>
      <c r="Q1932" s="116">
        <v>2370.6999999999998</v>
      </c>
      <c r="R1932">
        <v>4202459</v>
      </c>
    </row>
    <row r="1933" spans="1:18" x14ac:dyDescent="0.25">
      <c r="A1933" s="170">
        <v>44851</v>
      </c>
      <c r="B1933" s="116">
        <v>1206.875</v>
      </c>
      <c r="C1933" s="116">
        <v>1205</v>
      </c>
      <c r="D1933" s="116">
        <v>1171.8</v>
      </c>
      <c r="E1933" s="116">
        <v>1177.3499999999999</v>
      </c>
      <c r="F1933" s="116">
        <v>2410</v>
      </c>
      <c r="G1933">
        <v>312009</v>
      </c>
      <c r="H1933" s="116"/>
      <c r="I1933" s="116"/>
      <c r="L1933" s="170">
        <v>44851</v>
      </c>
      <c r="M1933" s="116">
        <v>1204.375</v>
      </c>
      <c r="N1933" s="116">
        <v>1207</v>
      </c>
      <c r="O1933" s="116">
        <v>1171.8</v>
      </c>
      <c r="P1933" s="116">
        <v>1177.5</v>
      </c>
      <c r="Q1933" s="116">
        <v>2408.75</v>
      </c>
      <c r="R1933">
        <v>7720595</v>
      </c>
    </row>
    <row r="1934" spans="1:18" x14ac:dyDescent="0.25">
      <c r="A1934" s="170">
        <v>44852</v>
      </c>
      <c r="B1934" s="116">
        <v>1231.5</v>
      </c>
      <c r="C1934" s="116">
        <v>1225.2750000000001</v>
      </c>
      <c r="D1934" s="116">
        <v>1210</v>
      </c>
      <c r="E1934" s="116">
        <v>1210</v>
      </c>
      <c r="F1934" s="116">
        <v>2450.5500000000002</v>
      </c>
      <c r="G1934">
        <v>275176</v>
      </c>
      <c r="H1934" s="116"/>
      <c r="I1934" s="116"/>
      <c r="L1934" s="170">
        <v>44852</v>
      </c>
      <c r="M1934" s="116">
        <v>1225.625</v>
      </c>
      <c r="N1934" s="116">
        <v>1231.5</v>
      </c>
      <c r="O1934" s="116">
        <v>1210.075</v>
      </c>
      <c r="P1934" s="116">
        <v>1211</v>
      </c>
      <c r="Q1934" s="116">
        <v>2451.25</v>
      </c>
      <c r="R1934">
        <v>5729899</v>
      </c>
    </row>
    <row r="1935" spans="1:18" x14ac:dyDescent="0.25">
      <c r="A1935" s="170">
        <v>44853</v>
      </c>
      <c r="B1935" s="116">
        <v>1263.5</v>
      </c>
      <c r="C1935" s="116">
        <v>1248.25</v>
      </c>
      <c r="D1935" s="116">
        <v>1220.95</v>
      </c>
      <c r="E1935" s="116">
        <v>1226.075</v>
      </c>
      <c r="F1935" s="116">
        <v>2496.5</v>
      </c>
      <c r="G1935">
        <v>304000</v>
      </c>
      <c r="H1935" s="116"/>
      <c r="I1935" s="116"/>
      <c r="L1935" s="170">
        <v>44853</v>
      </c>
      <c r="M1935" s="116">
        <v>1246.95</v>
      </c>
      <c r="N1935" s="116">
        <v>1263.925</v>
      </c>
      <c r="O1935" s="116">
        <v>1220.8499999999999</v>
      </c>
      <c r="P1935" s="116">
        <v>1227.25</v>
      </c>
      <c r="Q1935" s="116">
        <v>2493.9</v>
      </c>
      <c r="R1935">
        <v>8882553</v>
      </c>
    </row>
    <row r="1936" spans="1:18" x14ac:dyDescent="0.25">
      <c r="A1936" s="170">
        <v>44854</v>
      </c>
      <c r="B1936" s="116">
        <v>1259.5</v>
      </c>
      <c r="C1936" s="116">
        <v>1250.45</v>
      </c>
      <c r="D1936" s="116">
        <v>1239.0250000000001</v>
      </c>
      <c r="E1936" s="116">
        <v>1239.0250000000001</v>
      </c>
      <c r="F1936" s="116">
        <v>2500.9</v>
      </c>
      <c r="G1936">
        <v>268387</v>
      </c>
      <c r="H1936" s="116"/>
      <c r="I1936" s="116"/>
      <c r="L1936" s="170">
        <v>44854</v>
      </c>
      <c r="M1936" s="116">
        <v>1250.3</v>
      </c>
      <c r="N1936" s="116">
        <v>1259.5</v>
      </c>
      <c r="O1936" s="116">
        <v>1242.5</v>
      </c>
      <c r="P1936" s="116">
        <v>1242.5</v>
      </c>
      <c r="Q1936" s="116">
        <v>2500.6</v>
      </c>
      <c r="R1936">
        <v>4022919</v>
      </c>
    </row>
    <row r="1937" spans="1:18" x14ac:dyDescent="0.25">
      <c r="A1937" s="170">
        <v>44855</v>
      </c>
      <c r="B1937" s="116">
        <v>1258.25</v>
      </c>
      <c r="C1937" s="116">
        <v>1235.9749999999999</v>
      </c>
      <c r="D1937" s="116">
        <v>1233.5</v>
      </c>
      <c r="E1937" s="116">
        <v>1253.5</v>
      </c>
      <c r="F1937" s="116">
        <v>2471.9499999999998</v>
      </c>
      <c r="G1937">
        <v>228842</v>
      </c>
      <c r="H1937" s="116"/>
      <c r="I1937" s="116"/>
      <c r="L1937" s="170">
        <v>44855</v>
      </c>
      <c r="M1937" s="116">
        <v>1235.8</v>
      </c>
      <c r="N1937" s="116">
        <v>1258.4000000000001</v>
      </c>
      <c r="O1937" s="116">
        <v>1233.5</v>
      </c>
      <c r="P1937" s="116">
        <v>1253.8499999999999</v>
      </c>
      <c r="Q1937" s="116">
        <v>2471.6</v>
      </c>
      <c r="R1937">
        <v>3804352</v>
      </c>
    </row>
    <row r="1938" spans="1:18" x14ac:dyDescent="0.25">
      <c r="A1938" s="170">
        <v>44858</v>
      </c>
      <c r="B1938" s="116">
        <v>1250.5</v>
      </c>
      <c r="C1938" s="116">
        <v>1239.8499999999999</v>
      </c>
      <c r="D1938" s="116">
        <v>1229.175</v>
      </c>
      <c r="E1938" s="116">
        <v>1232.25</v>
      </c>
      <c r="F1938" s="116">
        <v>2479.6999999999998</v>
      </c>
      <c r="G1938">
        <v>117206</v>
      </c>
      <c r="H1938" s="116"/>
      <c r="I1938" s="116"/>
      <c r="L1938" s="170">
        <v>44858</v>
      </c>
      <c r="M1938" s="116">
        <v>1239.925</v>
      </c>
      <c r="N1938" s="116">
        <v>1251.25</v>
      </c>
      <c r="O1938" s="116">
        <v>1227.6500000000001</v>
      </c>
      <c r="P1938" s="116">
        <v>1230</v>
      </c>
      <c r="Q1938" s="116">
        <v>2479.85</v>
      </c>
      <c r="R1938">
        <v>1555270</v>
      </c>
    </row>
    <row r="1939" spans="1:18" x14ac:dyDescent="0.25">
      <c r="A1939" s="170">
        <v>44859</v>
      </c>
      <c r="B1939" s="116">
        <v>1249.075</v>
      </c>
      <c r="C1939" s="116">
        <v>1220.925</v>
      </c>
      <c r="D1939" s="116">
        <v>1218.7750000000001</v>
      </c>
      <c r="E1939" s="116">
        <v>1249</v>
      </c>
      <c r="F1939" s="116">
        <v>2441.85</v>
      </c>
      <c r="G1939">
        <v>2676294</v>
      </c>
      <c r="H1939" s="116"/>
      <c r="I1939" s="116"/>
      <c r="L1939" s="170">
        <v>44859</v>
      </c>
      <c r="M1939" s="116">
        <v>1220.7750000000001</v>
      </c>
      <c r="N1939" s="116">
        <v>1249.5</v>
      </c>
      <c r="O1939" s="116">
        <v>1219</v>
      </c>
      <c r="P1939" s="116">
        <v>1249.5</v>
      </c>
      <c r="Q1939" s="116">
        <v>2441.5500000000002</v>
      </c>
      <c r="R1939">
        <v>5645639</v>
      </c>
    </row>
    <row r="1940" spans="1:18" x14ac:dyDescent="0.25">
      <c r="A1940" s="170">
        <v>44861</v>
      </c>
      <c r="B1940" s="116">
        <v>1234</v>
      </c>
      <c r="C1940" s="116">
        <v>1225.05</v>
      </c>
      <c r="D1940" s="116">
        <v>1216.5999999999999</v>
      </c>
      <c r="E1940" s="116">
        <v>1228</v>
      </c>
      <c r="F1940" s="116">
        <v>2450.1</v>
      </c>
      <c r="G1940">
        <v>240543</v>
      </c>
      <c r="H1940" s="116"/>
      <c r="I1940" s="116"/>
      <c r="L1940" s="170">
        <v>44861</v>
      </c>
      <c r="M1940" s="116">
        <v>1225.575</v>
      </c>
      <c r="N1940" s="116">
        <v>1234.2249999999999</v>
      </c>
      <c r="O1940" s="116">
        <v>1216.4000000000001</v>
      </c>
      <c r="P1940" s="116">
        <v>1229</v>
      </c>
      <c r="Q1940" s="116">
        <v>2451.15</v>
      </c>
      <c r="R1940">
        <v>5774775</v>
      </c>
    </row>
    <row r="1941" spans="1:18" x14ac:dyDescent="0.25">
      <c r="A1941" s="170">
        <v>44862</v>
      </c>
      <c r="B1941" s="116">
        <v>1267</v>
      </c>
      <c r="C1941" s="116">
        <v>1263</v>
      </c>
      <c r="D1941" s="116">
        <v>1230.0999999999999</v>
      </c>
      <c r="E1941" s="116">
        <v>1231.5250000000001</v>
      </c>
      <c r="F1941" s="116">
        <v>2526</v>
      </c>
      <c r="G1941">
        <v>250899</v>
      </c>
      <c r="H1941" s="116"/>
      <c r="I1941" s="116"/>
      <c r="L1941" s="170">
        <v>44862</v>
      </c>
      <c r="M1941" s="116">
        <v>1263.075</v>
      </c>
      <c r="N1941" s="116">
        <v>1267.5</v>
      </c>
      <c r="O1941" s="116">
        <v>1229.7249999999999</v>
      </c>
      <c r="P1941" s="116">
        <v>1232.5</v>
      </c>
      <c r="Q1941" s="116">
        <v>2526.15</v>
      </c>
      <c r="R1941">
        <v>8126824</v>
      </c>
    </row>
    <row r="1942" spans="1:18" x14ac:dyDescent="0.25">
      <c r="A1942" s="170">
        <v>44865</v>
      </c>
      <c r="B1942" s="116">
        <v>1280.25</v>
      </c>
      <c r="C1942" s="116">
        <v>1274.7750000000001</v>
      </c>
      <c r="D1942" s="116">
        <v>1266.55</v>
      </c>
      <c r="E1942" s="116">
        <v>1267.5</v>
      </c>
      <c r="F1942" s="116">
        <v>2549.5500000000002</v>
      </c>
      <c r="G1942">
        <v>238633</v>
      </c>
      <c r="H1942" s="116"/>
      <c r="I1942" s="116"/>
      <c r="L1942" s="170">
        <v>44865</v>
      </c>
      <c r="M1942" s="116">
        <v>1274.8</v>
      </c>
      <c r="N1942" s="116">
        <v>1280.4749999999999</v>
      </c>
      <c r="O1942" s="116">
        <v>1266.0999999999999</v>
      </c>
      <c r="P1942" s="116">
        <v>1270.5</v>
      </c>
      <c r="Q1942" s="116">
        <v>2549.6</v>
      </c>
      <c r="R1942">
        <v>5731802</v>
      </c>
    </row>
    <row r="1943" spans="1:18" x14ac:dyDescent="0.25">
      <c r="A1943" s="170">
        <v>44866</v>
      </c>
      <c r="B1943" s="116">
        <v>1294.2249999999999</v>
      </c>
      <c r="C1943" s="116">
        <v>1264.875</v>
      </c>
      <c r="D1943" s="116">
        <v>1254</v>
      </c>
      <c r="E1943" s="116">
        <v>1291</v>
      </c>
      <c r="F1943" s="116">
        <v>2529.75</v>
      </c>
      <c r="G1943">
        <v>195343</v>
      </c>
      <c r="H1943" s="116"/>
      <c r="I1943" s="116"/>
      <c r="L1943" s="170">
        <v>44866</v>
      </c>
      <c r="M1943" s="116">
        <v>1264.925</v>
      </c>
      <c r="N1943" s="116">
        <v>1300</v>
      </c>
      <c r="O1943" s="116">
        <v>1254</v>
      </c>
      <c r="P1943" s="116">
        <v>1300</v>
      </c>
      <c r="Q1943" s="116">
        <v>2529.85</v>
      </c>
      <c r="R1943">
        <v>6443999</v>
      </c>
    </row>
    <row r="1944" spans="1:18" x14ac:dyDescent="0.25">
      <c r="A1944" s="170">
        <v>44867</v>
      </c>
      <c r="B1944" s="116">
        <v>1275.125</v>
      </c>
      <c r="C1944" s="116">
        <v>1272.7</v>
      </c>
      <c r="D1944" s="116">
        <v>1257.125</v>
      </c>
      <c r="E1944" s="116">
        <v>1264.175</v>
      </c>
      <c r="F1944" s="116">
        <v>2545.4</v>
      </c>
      <c r="G1944">
        <v>119457</v>
      </c>
      <c r="H1944" s="116"/>
      <c r="I1944" s="116"/>
      <c r="L1944" s="170">
        <v>44867</v>
      </c>
      <c r="M1944" s="116">
        <v>1272.825</v>
      </c>
      <c r="N1944" s="116">
        <v>1275.0999999999999</v>
      </c>
      <c r="O1944" s="116">
        <v>1257.5</v>
      </c>
      <c r="P1944" s="116">
        <v>1266.1500000000001</v>
      </c>
      <c r="Q1944" s="116">
        <v>2545.65</v>
      </c>
      <c r="R1944">
        <v>4145144</v>
      </c>
    </row>
    <row r="1945" spans="1:18" x14ac:dyDescent="0.25">
      <c r="A1945" s="170">
        <v>44868</v>
      </c>
      <c r="B1945" s="116">
        <v>1280</v>
      </c>
      <c r="C1945" s="116">
        <v>1277.9749999999999</v>
      </c>
      <c r="D1945" s="116">
        <v>1263.075</v>
      </c>
      <c r="E1945" s="116">
        <v>1263.075</v>
      </c>
      <c r="F1945" s="116">
        <v>2555.9499999999998</v>
      </c>
      <c r="G1945">
        <v>213304</v>
      </c>
      <c r="H1945" s="116"/>
      <c r="I1945" s="116"/>
      <c r="L1945" s="170">
        <v>44868</v>
      </c>
      <c r="M1945" s="116">
        <v>1277.575</v>
      </c>
      <c r="N1945" s="116">
        <v>1279.7750000000001</v>
      </c>
      <c r="O1945" s="116">
        <v>1262.5250000000001</v>
      </c>
      <c r="P1945" s="116">
        <v>1264.925</v>
      </c>
      <c r="Q1945" s="116">
        <v>2555.15</v>
      </c>
      <c r="R1945">
        <v>3089026</v>
      </c>
    </row>
    <row r="1946" spans="1:18" x14ac:dyDescent="0.25">
      <c r="A1946" s="170">
        <v>44869</v>
      </c>
      <c r="B1946" s="116">
        <v>1297.625</v>
      </c>
      <c r="C1946" s="116">
        <v>1296.2249999999999</v>
      </c>
      <c r="D1946" s="116">
        <v>1274</v>
      </c>
      <c r="E1946" s="116">
        <v>1274</v>
      </c>
      <c r="F1946" s="116">
        <v>2592.4499999999998</v>
      </c>
      <c r="G1946">
        <v>295536</v>
      </c>
      <c r="H1946" s="116"/>
      <c r="I1946" s="116"/>
      <c r="L1946" s="170">
        <v>44869</v>
      </c>
      <c r="M1946" s="116">
        <v>1296.375</v>
      </c>
      <c r="N1946" s="116">
        <v>1300</v>
      </c>
      <c r="O1946" s="116">
        <v>1275.55</v>
      </c>
      <c r="P1946" s="116">
        <v>1276.95</v>
      </c>
      <c r="Q1946" s="116">
        <v>2592.75</v>
      </c>
      <c r="R1946">
        <v>5803737</v>
      </c>
    </row>
    <row r="1947" spans="1:18" x14ac:dyDescent="0.25">
      <c r="A1947" s="170">
        <v>44872</v>
      </c>
      <c r="B1947" s="116">
        <v>1304.95</v>
      </c>
      <c r="C1947" s="116">
        <v>1303.075</v>
      </c>
      <c r="D1947" s="116">
        <v>1287</v>
      </c>
      <c r="E1947" s="116">
        <v>1296</v>
      </c>
      <c r="F1947" s="116">
        <v>2606.15</v>
      </c>
      <c r="G1947">
        <v>168418</v>
      </c>
      <c r="H1947" s="116"/>
      <c r="I1947" s="116"/>
      <c r="L1947" s="170">
        <v>44872</v>
      </c>
      <c r="M1947" s="116">
        <v>1303.3</v>
      </c>
      <c r="N1947" s="116">
        <v>1305.1500000000001</v>
      </c>
      <c r="O1947" s="116">
        <v>1287</v>
      </c>
      <c r="P1947" s="116">
        <v>1295.5</v>
      </c>
      <c r="Q1947" s="116">
        <v>2606.6</v>
      </c>
      <c r="R1947">
        <v>5440967</v>
      </c>
    </row>
    <row r="1948" spans="1:18" x14ac:dyDescent="0.25">
      <c r="A1948" s="170">
        <v>44874</v>
      </c>
      <c r="B1948" s="116">
        <v>1310.75</v>
      </c>
      <c r="C1948" s="116">
        <v>1301.5</v>
      </c>
      <c r="D1948" s="116">
        <v>1295.675</v>
      </c>
      <c r="E1948" s="116">
        <v>1303</v>
      </c>
      <c r="F1948" s="116">
        <v>2603</v>
      </c>
      <c r="G1948">
        <v>185280</v>
      </c>
      <c r="H1948" s="116"/>
      <c r="I1948" s="116"/>
      <c r="L1948" s="170">
        <v>44874</v>
      </c>
      <c r="M1948" s="116">
        <v>1302</v>
      </c>
      <c r="N1948" s="116">
        <v>1310.9749999999999</v>
      </c>
      <c r="O1948" s="116">
        <v>1295.0250000000001</v>
      </c>
      <c r="P1948" s="116">
        <v>1305.1500000000001</v>
      </c>
      <c r="Q1948" s="116">
        <v>2604</v>
      </c>
      <c r="R1948">
        <v>5193814</v>
      </c>
    </row>
    <row r="1949" spans="1:18" x14ac:dyDescent="0.25">
      <c r="A1949" s="170">
        <v>44875</v>
      </c>
      <c r="B1949" s="116">
        <v>1298.4749999999999</v>
      </c>
      <c r="C1949" s="116">
        <v>1287.2249999999999</v>
      </c>
      <c r="D1949" s="116">
        <v>1281.5</v>
      </c>
      <c r="E1949" s="116">
        <v>1292.5</v>
      </c>
      <c r="F1949" s="116">
        <v>2574.4499999999998</v>
      </c>
      <c r="G1949">
        <v>240161</v>
      </c>
      <c r="H1949" s="116"/>
      <c r="I1949" s="116"/>
      <c r="L1949" s="170">
        <v>44875</v>
      </c>
      <c r="M1949" s="116">
        <v>1286.25</v>
      </c>
      <c r="N1949" s="116">
        <v>1298.2750000000001</v>
      </c>
      <c r="O1949" s="116">
        <v>1281.5</v>
      </c>
      <c r="P1949" s="116">
        <v>1295</v>
      </c>
      <c r="Q1949" s="116">
        <v>2572.5</v>
      </c>
      <c r="R1949">
        <v>2753420</v>
      </c>
    </row>
    <row r="1950" spans="1:18" x14ac:dyDescent="0.25">
      <c r="A1950" s="170">
        <v>44876</v>
      </c>
      <c r="B1950" s="116">
        <v>1317.5</v>
      </c>
      <c r="C1950" s="116">
        <v>1315.675</v>
      </c>
      <c r="D1950" s="116">
        <v>1293.625</v>
      </c>
      <c r="E1950" s="116">
        <v>1299.3499999999999</v>
      </c>
      <c r="F1950" s="116">
        <v>2631.35</v>
      </c>
      <c r="G1950">
        <v>402694</v>
      </c>
      <c r="H1950" s="116"/>
      <c r="I1950" s="116"/>
      <c r="L1950" s="170">
        <v>44876</v>
      </c>
      <c r="M1950" s="116">
        <v>1315.9</v>
      </c>
      <c r="N1950" s="116">
        <v>1318</v>
      </c>
      <c r="O1950" s="116">
        <v>1294</v>
      </c>
      <c r="P1950" s="116">
        <v>1300</v>
      </c>
      <c r="Q1950" s="116">
        <v>2631.8</v>
      </c>
      <c r="R1950">
        <v>5681124</v>
      </c>
    </row>
    <row r="1951" spans="1:18" x14ac:dyDescent="0.25">
      <c r="A1951" s="170">
        <v>44879</v>
      </c>
      <c r="B1951" s="116">
        <v>1321.325</v>
      </c>
      <c r="C1951" s="116">
        <v>1308.9749999999999</v>
      </c>
      <c r="D1951" s="116">
        <v>1302.7750000000001</v>
      </c>
      <c r="E1951" s="116">
        <v>1312.5</v>
      </c>
      <c r="F1951" s="116">
        <v>2617.9499999999998</v>
      </c>
      <c r="G1951">
        <v>4751003</v>
      </c>
      <c r="H1951" s="116"/>
      <c r="I1951" s="116"/>
      <c r="L1951" s="170">
        <v>44879</v>
      </c>
      <c r="M1951" s="116">
        <v>1309.5250000000001</v>
      </c>
      <c r="N1951" s="116">
        <v>1321</v>
      </c>
      <c r="O1951" s="116">
        <v>1302.575</v>
      </c>
      <c r="P1951" s="116">
        <v>1315.375</v>
      </c>
      <c r="Q1951" s="116">
        <v>2619.0500000000002</v>
      </c>
      <c r="R1951">
        <v>4173395</v>
      </c>
    </row>
    <row r="1952" spans="1:18" x14ac:dyDescent="0.25">
      <c r="A1952" s="170">
        <v>44880</v>
      </c>
      <c r="B1952" s="116">
        <v>1313.875</v>
      </c>
      <c r="C1952" s="116">
        <v>1303.3499999999999</v>
      </c>
      <c r="D1952" s="116">
        <v>1295.0250000000001</v>
      </c>
      <c r="E1952" s="116">
        <v>1309.0250000000001</v>
      </c>
      <c r="F1952" s="116">
        <v>2606.6999999999998</v>
      </c>
      <c r="G1952">
        <v>403971</v>
      </c>
      <c r="H1952" s="116"/>
      <c r="I1952" s="116"/>
      <c r="L1952" s="170">
        <v>44880</v>
      </c>
      <c r="M1952" s="116">
        <v>1303.6500000000001</v>
      </c>
      <c r="N1952" s="116">
        <v>1313.2</v>
      </c>
      <c r="O1952" s="116">
        <v>1295</v>
      </c>
      <c r="P1952" s="116">
        <v>1311.15</v>
      </c>
      <c r="Q1952" s="116">
        <v>2607.3000000000002</v>
      </c>
      <c r="R1952">
        <v>3270388</v>
      </c>
    </row>
    <row r="1953" spans="1:18" x14ac:dyDescent="0.25">
      <c r="A1953" s="170">
        <v>44881</v>
      </c>
      <c r="B1953" s="116">
        <v>1307.5250000000001</v>
      </c>
      <c r="C1953" s="116">
        <v>1295.925</v>
      </c>
      <c r="D1953" s="116">
        <v>1290.5999999999999</v>
      </c>
      <c r="E1953" s="116">
        <v>1302</v>
      </c>
      <c r="F1953" s="116">
        <v>2591.85</v>
      </c>
      <c r="G1953">
        <v>116478</v>
      </c>
      <c r="H1953" s="116"/>
      <c r="I1953" s="116"/>
      <c r="L1953" s="170">
        <v>44881</v>
      </c>
      <c r="M1953" s="116">
        <v>1296.175</v>
      </c>
      <c r="N1953" s="116">
        <v>1307.9749999999999</v>
      </c>
      <c r="O1953" s="116">
        <v>1290.675</v>
      </c>
      <c r="P1953" s="116">
        <v>1305</v>
      </c>
      <c r="Q1953" s="116">
        <v>2592.35</v>
      </c>
      <c r="R1953">
        <v>4484007</v>
      </c>
    </row>
    <row r="1954" spans="1:18" x14ac:dyDescent="0.25">
      <c r="A1954" s="170">
        <v>44882</v>
      </c>
      <c r="B1954" s="116">
        <v>1306.5</v>
      </c>
      <c r="C1954" s="116">
        <v>1300.6500000000001</v>
      </c>
      <c r="D1954" s="116">
        <v>1290.675</v>
      </c>
      <c r="E1954" s="116">
        <v>1293</v>
      </c>
      <c r="F1954" s="116">
        <v>2601.3000000000002</v>
      </c>
      <c r="G1954">
        <v>181514</v>
      </c>
      <c r="H1954" s="116"/>
      <c r="I1954" s="116"/>
      <c r="L1954" s="170">
        <v>44882</v>
      </c>
      <c r="M1954" s="116">
        <v>1299.5250000000001</v>
      </c>
      <c r="N1954" s="116">
        <v>1306.5</v>
      </c>
      <c r="O1954" s="116">
        <v>1290</v>
      </c>
      <c r="P1954" s="116">
        <v>1292.4749999999999</v>
      </c>
      <c r="Q1954" s="116">
        <v>2599.0500000000002</v>
      </c>
      <c r="R1954">
        <v>3074259</v>
      </c>
    </row>
    <row r="1955" spans="1:18" x14ac:dyDescent="0.25">
      <c r="A1955" s="170">
        <v>44883</v>
      </c>
      <c r="B1955" s="116">
        <v>1304.425</v>
      </c>
      <c r="C1955" s="116">
        <v>1298.7750000000001</v>
      </c>
      <c r="D1955" s="116">
        <v>1286</v>
      </c>
      <c r="E1955" s="116">
        <v>1303</v>
      </c>
      <c r="F1955" s="116">
        <v>2597.5500000000002</v>
      </c>
      <c r="G1955">
        <v>138143</v>
      </c>
      <c r="H1955" s="116"/>
      <c r="I1955" s="116"/>
      <c r="L1955" s="170">
        <v>44883</v>
      </c>
      <c r="M1955" s="116">
        <v>1298.825</v>
      </c>
      <c r="N1955" s="116">
        <v>1304.5</v>
      </c>
      <c r="O1955" s="116">
        <v>1285.55</v>
      </c>
      <c r="P1955" s="116">
        <v>1303.375</v>
      </c>
      <c r="Q1955" s="116">
        <v>2597.65</v>
      </c>
      <c r="R1955">
        <v>2447425</v>
      </c>
    </row>
    <row r="1956" spans="1:18" x14ac:dyDescent="0.25">
      <c r="A1956" s="170">
        <v>44886</v>
      </c>
      <c r="B1956" s="116">
        <v>1294.6500000000001</v>
      </c>
      <c r="C1956" s="116">
        <v>1275.0250000000001</v>
      </c>
      <c r="D1956" s="116">
        <v>1271.5</v>
      </c>
      <c r="E1956" s="116">
        <v>1292.5</v>
      </c>
      <c r="F1956" s="116">
        <v>2550.0500000000002</v>
      </c>
      <c r="G1956">
        <v>104254</v>
      </c>
      <c r="H1956" s="116"/>
      <c r="I1956" s="116"/>
      <c r="L1956" s="170">
        <v>44886</v>
      </c>
      <c r="M1956" s="116">
        <v>1275.45</v>
      </c>
      <c r="N1956" s="116">
        <v>1294</v>
      </c>
      <c r="O1956" s="116">
        <v>1271.55</v>
      </c>
      <c r="P1956" s="116">
        <v>1294</v>
      </c>
      <c r="Q1956" s="116">
        <v>2550.9</v>
      </c>
      <c r="R1956">
        <v>2949108</v>
      </c>
    </row>
    <row r="1957" spans="1:18" x14ac:dyDescent="0.25">
      <c r="A1957" s="170">
        <v>44887</v>
      </c>
      <c r="B1957" s="116">
        <v>1284</v>
      </c>
      <c r="C1957" s="116">
        <v>1282.1500000000001</v>
      </c>
      <c r="D1957" s="116">
        <v>1268.45</v>
      </c>
      <c r="E1957" s="116">
        <v>1272.125</v>
      </c>
      <c r="F1957" s="116">
        <v>2564.3000000000002</v>
      </c>
      <c r="G1957">
        <v>201826</v>
      </c>
      <c r="H1957" s="116"/>
      <c r="I1957" s="116"/>
      <c r="L1957" s="170">
        <v>44887</v>
      </c>
      <c r="M1957" s="116">
        <v>1282.5250000000001</v>
      </c>
      <c r="N1957" s="116">
        <v>1284.25</v>
      </c>
      <c r="O1957" s="116">
        <v>1268.25</v>
      </c>
      <c r="P1957" s="116">
        <v>1272.5</v>
      </c>
      <c r="Q1957" s="116">
        <v>2565.0500000000002</v>
      </c>
      <c r="R1957">
        <v>3051201</v>
      </c>
    </row>
    <row r="1958" spans="1:18" x14ac:dyDescent="0.25">
      <c r="A1958" s="170">
        <v>44888</v>
      </c>
      <c r="B1958" s="116">
        <v>1289.5</v>
      </c>
      <c r="C1958" s="116">
        <v>1278.2249999999999</v>
      </c>
      <c r="D1958" s="116">
        <v>1276.075</v>
      </c>
      <c r="E1958" s="116">
        <v>1289.5</v>
      </c>
      <c r="F1958" s="116">
        <v>2556.4499999999998</v>
      </c>
      <c r="G1958">
        <v>188170</v>
      </c>
      <c r="H1958" s="116"/>
      <c r="I1958" s="116"/>
      <c r="L1958" s="170">
        <v>44888</v>
      </c>
      <c r="M1958" s="116">
        <v>1278.5250000000001</v>
      </c>
      <c r="N1958" s="116">
        <v>1288.95</v>
      </c>
      <c r="O1958" s="116">
        <v>1276.125</v>
      </c>
      <c r="P1958" s="116">
        <v>1287.5</v>
      </c>
      <c r="Q1958" s="116">
        <v>2557.0500000000002</v>
      </c>
      <c r="R1958">
        <v>2959787</v>
      </c>
    </row>
    <row r="1959" spans="1:18" x14ac:dyDescent="0.25">
      <c r="A1959" s="170">
        <v>44889</v>
      </c>
      <c r="B1959" s="116">
        <v>1296</v>
      </c>
      <c r="C1959" s="116">
        <v>1291.2750000000001</v>
      </c>
      <c r="D1959" s="116">
        <v>1274.175</v>
      </c>
      <c r="E1959" s="116">
        <v>1283</v>
      </c>
      <c r="F1959" s="116">
        <v>2582.5500000000002</v>
      </c>
      <c r="G1959">
        <v>101023</v>
      </c>
      <c r="H1959" s="116"/>
      <c r="I1959" s="116"/>
      <c r="L1959" s="170">
        <v>44889</v>
      </c>
      <c r="M1959" s="116">
        <v>1289.55</v>
      </c>
      <c r="N1959" s="116">
        <v>1297</v>
      </c>
      <c r="O1959" s="116">
        <v>1274.0999999999999</v>
      </c>
      <c r="P1959" s="116">
        <v>1283</v>
      </c>
      <c r="Q1959" s="116">
        <v>2579.1</v>
      </c>
      <c r="R1959">
        <v>4333225</v>
      </c>
    </row>
    <row r="1960" spans="1:18" x14ac:dyDescent="0.25">
      <c r="A1960" s="170">
        <v>44890</v>
      </c>
      <c r="B1960" s="116">
        <v>1312.075</v>
      </c>
      <c r="C1960" s="116">
        <v>1308.5250000000001</v>
      </c>
      <c r="D1960" s="116">
        <v>1290.675</v>
      </c>
      <c r="E1960" s="116">
        <v>1291.5250000000001</v>
      </c>
      <c r="F1960" s="116">
        <v>2617.0500000000002</v>
      </c>
      <c r="G1960">
        <v>228490</v>
      </c>
      <c r="H1960" s="116"/>
      <c r="I1960" s="116"/>
      <c r="L1960" s="170">
        <v>44890</v>
      </c>
      <c r="M1960" s="116">
        <v>1308.8</v>
      </c>
      <c r="N1960" s="116">
        <v>1312.45</v>
      </c>
      <c r="O1960" s="116">
        <v>1291.05</v>
      </c>
      <c r="P1960" s="116">
        <v>1294.5</v>
      </c>
      <c r="Q1960" s="116">
        <v>2617.6</v>
      </c>
      <c r="R1960">
        <v>3391988</v>
      </c>
    </row>
    <row r="1961" spans="1:18" x14ac:dyDescent="0.25">
      <c r="A1961" s="170">
        <v>44893</v>
      </c>
      <c r="B1961" s="116">
        <v>1360.8</v>
      </c>
      <c r="C1961" s="116">
        <v>1354.0250000000001</v>
      </c>
      <c r="D1961" s="116">
        <v>1292.5</v>
      </c>
      <c r="E1961" s="116">
        <v>1300.675</v>
      </c>
      <c r="F1961" s="116">
        <v>2708.05</v>
      </c>
      <c r="G1961">
        <v>358911</v>
      </c>
      <c r="H1961" s="116"/>
      <c r="I1961" s="116"/>
      <c r="L1961" s="170">
        <v>44893</v>
      </c>
      <c r="M1961" s="116">
        <v>1353.7750000000001</v>
      </c>
      <c r="N1961" s="116">
        <v>1360.5250000000001</v>
      </c>
      <c r="O1961" s="116">
        <v>1251</v>
      </c>
      <c r="P1961" s="116">
        <v>1304.45</v>
      </c>
      <c r="Q1961" s="116">
        <v>2707.55</v>
      </c>
      <c r="R1961">
        <v>14549929</v>
      </c>
    </row>
    <row r="1962" spans="1:18" x14ac:dyDescent="0.25">
      <c r="A1962" s="170">
        <v>44894</v>
      </c>
      <c r="B1962" s="116">
        <v>1365.25</v>
      </c>
      <c r="C1962" s="116">
        <v>1355.5250000000001</v>
      </c>
      <c r="D1962" s="116">
        <v>1346.7</v>
      </c>
      <c r="E1962" s="116">
        <v>1352.05</v>
      </c>
      <c r="F1962" s="116">
        <v>2711.05</v>
      </c>
      <c r="G1962">
        <v>225659</v>
      </c>
      <c r="H1962" s="116"/>
      <c r="I1962" s="116"/>
      <c r="L1962" s="170">
        <v>44894</v>
      </c>
      <c r="M1962" s="116">
        <v>1356.1</v>
      </c>
      <c r="N1962" s="116">
        <v>1365.825</v>
      </c>
      <c r="O1962" s="116">
        <v>1347</v>
      </c>
      <c r="P1962" s="116">
        <v>1351.9749999999999</v>
      </c>
      <c r="Q1962" s="116">
        <v>2712.2</v>
      </c>
      <c r="R1962">
        <v>5103687</v>
      </c>
    </row>
    <row r="1963" spans="1:18" x14ac:dyDescent="0.25">
      <c r="A1963" s="170">
        <v>44895</v>
      </c>
      <c r="B1963" s="116">
        <v>1371.8</v>
      </c>
      <c r="C1963" s="116">
        <v>1366.2</v>
      </c>
      <c r="D1963" s="116">
        <v>1349.55</v>
      </c>
      <c r="E1963" s="116">
        <v>1357.5</v>
      </c>
      <c r="F1963" s="116">
        <v>2732.4</v>
      </c>
      <c r="G1963">
        <v>116521</v>
      </c>
      <c r="H1963" s="116"/>
      <c r="I1963" s="116"/>
      <c r="L1963" s="170">
        <v>44895</v>
      </c>
      <c r="M1963" s="116">
        <v>1365.675</v>
      </c>
      <c r="N1963" s="116">
        <v>1372.7249999999999</v>
      </c>
      <c r="O1963" s="116">
        <v>1349.1</v>
      </c>
      <c r="P1963" s="116">
        <v>1356.25</v>
      </c>
      <c r="Q1963" s="116">
        <v>2731.35</v>
      </c>
      <c r="R1963">
        <v>12075137</v>
      </c>
    </row>
    <row r="1964" spans="1:18" x14ac:dyDescent="0.25">
      <c r="A1964" s="170">
        <v>44896</v>
      </c>
      <c r="B1964" s="116">
        <v>1377.35</v>
      </c>
      <c r="C1964" s="116">
        <v>1361.4749999999999</v>
      </c>
      <c r="D1964" s="116">
        <v>1358</v>
      </c>
      <c r="E1964" s="116">
        <v>1368</v>
      </c>
      <c r="F1964" s="116">
        <v>2722.95</v>
      </c>
      <c r="G1964">
        <v>245387</v>
      </c>
      <c r="H1964" s="116"/>
      <c r="I1964" s="116"/>
      <c r="L1964" s="170">
        <v>44896</v>
      </c>
      <c r="M1964" s="116">
        <v>1361.65</v>
      </c>
      <c r="N1964" s="116">
        <v>1377.5</v>
      </c>
      <c r="O1964" s="116">
        <v>1358</v>
      </c>
      <c r="P1964" s="116">
        <v>1370.9</v>
      </c>
      <c r="Q1964" s="116">
        <v>2723.3</v>
      </c>
      <c r="R1964">
        <v>4377696</v>
      </c>
    </row>
    <row r="1965" spans="1:18" x14ac:dyDescent="0.25">
      <c r="A1965" s="170">
        <v>44897</v>
      </c>
      <c r="B1965" s="116">
        <v>1373.825</v>
      </c>
      <c r="C1965" s="116">
        <v>1361.325</v>
      </c>
      <c r="D1965" s="116">
        <v>1350.5</v>
      </c>
      <c r="E1965" s="116">
        <v>1363.125</v>
      </c>
      <c r="F1965" s="116">
        <v>2722.65</v>
      </c>
      <c r="G1965">
        <v>114503</v>
      </c>
      <c r="H1965" s="116"/>
      <c r="I1965" s="116"/>
      <c r="L1965" s="170">
        <v>44897</v>
      </c>
      <c r="M1965" s="116">
        <v>1361.075</v>
      </c>
      <c r="N1965" s="116">
        <v>1374</v>
      </c>
      <c r="O1965" s="116">
        <v>1350.3</v>
      </c>
      <c r="P1965" s="116">
        <v>1365</v>
      </c>
      <c r="Q1965" s="116">
        <v>2722.15</v>
      </c>
      <c r="R1965">
        <v>5348595</v>
      </c>
    </row>
    <row r="1966" spans="1:18" x14ac:dyDescent="0.25">
      <c r="A1966" s="170">
        <v>44900</v>
      </c>
      <c r="B1966" s="116">
        <v>1359.9749999999999</v>
      </c>
      <c r="C1966" s="116">
        <v>1341.425</v>
      </c>
      <c r="D1966" s="116">
        <v>1339.175</v>
      </c>
      <c r="E1966" s="116">
        <v>1359.9749999999999</v>
      </c>
      <c r="F1966" s="116">
        <v>2682.85</v>
      </c>
      <c r="G1966">
        <v>208698</v>
      </c>
      <c r="H1966" s="116"/>
      <c r="I1966" s="116"/>
      <c r="L1966" s="170">
        <v>44900</v>
      </c>
      <c r="M1966" s="116">
        <v>1341.2249999999999</v>
      </c>
      <c r="N1966" s="116">
        <v>1358.375</v>
      </c>
      <c r="O1966" s="116">
        <v>1339</v>
      </c>
      <c r="P1966" s="116">
        <v>1356</v>
      </c>
      <c r="Q1966" s="116">
        <v>2682.45</v>
      </c>
      <c r="R1966">
        <v>6843367</v>
      </c>
    </row>
    <row r="1967" spans="1:18" x14ac:dyDescent="0.25">
      <c r="A1967" s="170">
        <v>44901</v>
      </c>
      <c r="B1967" s="116">
        <v>1348.5</v>
      </c>
      <c r="C1967" s="116">
        <v>1344.125</v>
      </c>
      <c r="D1967" s="116">
        <v>1330</v>
      </c>
      <c r="E1967" s="116">
        <v>1330</v>
      </c>
      <c r="F1967" s="116">
        <v>2688.25</v>
      </c>
      <c r="G1967">
        <v>197739</v>
      </c>
      <c r="H1967" s="116"/>
      <c r="I1967" s="116"/>
      <c r="L1967" s="170">
        <v>44901</v>
      </c>
      <c r="M1967" s="116">
        <v>1345.1</v>
      </c>
      <c r="N1967" s="116">
        <v>1348.5</v>
      </c>
      <c r="O1967" s="116">
        <v>1330.5</v>
      </c>
      <c r="P1967" s="116">
        <v>1332.55</v>
      </c>
      <c r="Q1967" s="116">
        <v>2690.2</v>
      </c>
      <c r="R1967">
        <v>3966243</v>
      </c>
    </row>
    <row r="1968" spans="1:18" x14ac:dyDescent="0.25">
      <c r="A1968" s="170">
        <v>44902</v>
      </c>
      <c r="B1968" s="116">
        <v>1347.175</v>
      </c>
      <c r="C1968" s="116">
        <v>1324.95</v>
      </c>
      <c r="D1968" s="116">
        <v>1321.5</v>
      </c>
      <c r="E1968" s="116">
        <v>1343.4</v>
      </c>
      <c r="F1968" s="116">
        <v>2649.9</v>
      </c>
      <c r="G1968">
        <v>116129</v>
      </c>
      <c r="H1968" s="116"/>
      <c r="I1968" s="116"/>
      <c r="L1968" s="170">
        <v>44902</v>
      </c>
      <c r="M1968" s="116">
        <v>1325.25</v>
      </c>
      <c r="N1968" s="116">
        <v>1347.5</v>
      </c>
      <c r="O1968" s="116">
        <v>1321.075</v>
      </c>
      <c r="P1968" s="116">
        <v>1342.5</v>
      </c>
      <c r="Q1968" s="116">
        <v>2650.5</v>
      </c>
      <c r="R1968">
        <v>3905263</v>
      </c>
    </row>
    <row r="1969" spans="1:18" x14ac:dyDescent="0.25">
      <c r="A1969" s="170">
        <v>44903</v>
      </c>
      <c r="B1969" s="116">
        <v>1332.75</v>
      </c>
      <c r="C1969" s="116">
        <v>1324.75</v>
      </c>
      <c r="D1969" s="116">
        <v>1320.0250000000001</v>
      </c>
      <c r="E1969" s="116">
        <v>1332.75</v>
      </c>
      <c r="F1969" s="116">
        <v>2649.5</v>
      </c>
      <c r="G1969">
        <v>93535</v>
      </c>
      <c r="H1969" s="116"/>
      <c r="I1969" s="116"/>
      <c r="L1969" s="170">
        <v>44903</v>
      </c>
      <c r="M1969" s="116">
        <v>1324.625</v>
      </c>
      <c r="N1969" s="116">
        <v>1332.5</v>
      </c>
      <c r="O1969" s="116">
        <v>1320.05</v>
      </c>
      <c r="P1969" s="116">
        <v>1330</v>
      </c>
      <c r="Q1969" s="116">
        <v>2649.25</v>
      </c>
      <c r="R1969">
        <v>3579858</v>
      </c>
    </row>
    <row r="1970" spans="1:18" x14ac:dyDescent="0.25">
      <c r="A1970" s="170">
        <v>44904</v>
      </c>
      <c r="B1970" s="116">
        <v>1330.3</v>
      </c>
      <c r="C1970" s="116">
        <v>1304.55</v>
      </c>
      <c r="D1970" s="116">
        <v>1301.075</v>
      </c>
      <c r="E1970" s="116">
        <v>1324.45</v>
      </c>
      <c r="F1970" s="116">
        <v>2609.1</v>
      </c>
      <c r="G1970">
        <v>155892</v>
      </c>
      <c r="H1970" s="116"/>
      <c r="I1970" s="116"/>
      <c r="L1970" s="170">
        <v>44904</v>
      </c>
      <c r="M1970" s="116">
        <v>1304.55</v>
      </c>
      <c r="N1970" s="116">
        <v>1330</v>
      </c>
      <c r="O1970" s="116">
        <v>1300.925</v>
      </c>
      <c r="P1970" s="116">
        <v>1323</v>
      </c>
      <c r="Q1970" s="116">
        <v>2609.1</v>
      </c>
      <c r="R1970">
        <v>5840633</v>
      </c>
    </row>
    <row r="1971" spans="1:18" x14ac:dyDescent="0.25">
      <c r="A1971" s="170">
        <v>44907</v>
      </c>
      <c r="B1971" s="116">
        <v>1311.5</v>
      </c>
      <c r="C1971" s="116">
        <v>1306.125</v>
      </c>
      <c r="D1971" s="116">
        <v>1292.5</v>
      </c>
      <c r="E1971" s="116">
        <v>1295</v>
      </c>
      <c r="F1971" s="116">
        <v>2612.25</v>
      </c>
      <c r="G1971">
        <v>117691</v>
      </c>
      <c r="H1971" s="116"/>
      <c r="I1971" s="116"/>
      <c r="L1971" s="170">
        <v>44907</v>
      </c>
      <c r="M1971" s="116">
        <v>1306.55</v>
      </c>
      <c r="N1971" s="116">
        <v>1311.5</v>
      </c>
      <c r="O1971" s="116">
        <v>1292.5</v>
      </c>
      <c r="P1971" s="116">
        <v>1292.75</v>
      </c>
      <c r="Q1971" s="116">
        <v>2613.1</v>
      </c>
      <c r="R1971">
        <v>4374946</v>
      </c>
    </row>
    <row r="1972" spans="1:18" x14ac:dyDescent="0.25">
      <c r="A1972" s="170">
        <v>44908</v>
      </c>
      <c r="B1972" s="116">
        <v>1316.6</v>
      </c>
      <c r="C1972" s="116">
        <v>1312.1</v>
      </c>
      <c r="D1972" s="116">
        <v>1303.375</v>
      </c>
      <c r="E1972" s="116">
        <v>1308.5</v>
      </c>
      <c r="F1972" s="116">
        <v>2624.2</v>
      </c>
      <c r="G1972">
        <v>65370</v>
      </c>
      <c r="H1972" s="116"/>
      <c r="I1972" s="116"/>
      <c r="L1972" s="170">
        <v>44908</v>
      </c>
      <c r="M1972" s="116">
        <v>1312.5</v>
      </c>
      <c r="N1972" s="116">
        <v>1316.5</v>
      </c>
      <c r="O1972" s="116">
        <v>1303.3499999999999</v>
      </c>
      <c r="P1972" s="116">
        <v>1306.55</v>
      </c>
      <c r="Q1972" s="116">
        <v>2625</v>
      </c>
      <c r="R1972">
        <v>3845839</v>
      </c>
    </row>
    <row r="1973" spans="1:18" x14ac:dyDescent="0.25">
      <c r="A1973" s="170">
        <v>44909</v>
      </c>
      <c r="B1973" s="116">
        <v>1319.75</v>
      </c>
      <c r="C1973" s="116">
        <v>1307.45</v>
      </c>
      <c r="D1973" s="116">
        <v>1305.5</v>
      </c>
      <c r="E1973" s="116">
        <v>1315.6</v>
      </c>
      <c r="F1973" s="116">
        <v>2614.9</v>
      </c>
      <c r="G1973">
        <v>42452</v>
      </c>
      <c r="H1973" s="116"/>
      <c r="I1973" s="116"/>
      <c r="L1973" s="170">
        <v>44909</v>
      </c>
      <c r="M1973" s="116">
        <v>1307.75</v>
      </c>
      <c r="N1973" s="116">
        <v>1319.4749999999999</v>
      </c>
      <c r="O1973" s="116">
        <v>1305.5</v>
      </c>
      <c r="P1973" s="116">
        <v>1318.825</v>
      </c>
      <c r="Q1973" s="116">
        <v>2615.5</v>
      </c>
      <c r="R1973">
        <v>3354618</v>
      </c>
    </row>
    <row r="1974" spans="1:18" x14ac:dyDescent="0.25">
      <c r="A1974" s="170">
        <v>44910</v>
      </c>
      <c r="B1974" s="116">
        <v>1307.45</v>
      </c>
      <c r="C1974" s="116">
        <v>1289.375</v>
      </c>
      <c r="D1974" s="116">
        <v>1285.5</v>
      </c>
      <c r="E1974" s="116">
        <v>1304.75</v>
      </c>
      <c r="F1974" s="116">
        <v>2578.75</v>
      </c>
      <c r="G1974">
        <v>95215</v>
      </c>
      <c r="H1974" s="116"/>
      <c r="I1974" s="116"/>
      <c r="L1974" s="170">
        <v>44910</v>
      </c>
      <c r="M1974" s="116">
        <v>1289.175</v>
      </c>
      <c r="N1974" s="116">
        <v>1307.5</v>
      </c>
      <c r="O1974" s="116">
        <v>1285.5</v>
      </c>
      <c r="P1974" s="116">
        <v>1301.25</v>
      </c>
      <c r="Q1974" s="116">
        <v>2578.35</v>
      </c>
      <c r="R1974">
        <v>4009765</v>
      </c>
    </row>
    <row r="1975" spans="1:18" x14ac:dyDescent="0.25">
      <c r="A1975" s="170">
        <v>44911</v>
      </c>
      <c r="B1975" s="116">
        <v>1309.5</v>
      </c>
      <c r="C1975" s="116">
        <v>1282.55</v>
      </c>
      <c r="D1975" s="116">
        <v>1279.05</v>
      </c>
      <c r="E1975" s="116">
        <v>1285</v>
      </c>
      <c r="F1975" s="116">
        <v>2565.1</v>
      </c>
      <c r="G1975">
        <v>169510</v>
      </c>
      <c r="H1975" s="116"/>
      <c r="I1975" s="116"/>
      <c r="L1975" s="170">
        <v>44911</v>
      </c>
      <c r="M1975" s="116">
        <v>1282.8</v>
      </c>
      <c r="N1975" s="116">
        <v>1309.4000000000001</v>
      </c>
      <c r="O1975" s="116">
        <v>1279.075</v>
      </c>
      <c r="P1975" s="116">
        <v>1285.5</v>
      </c>
      <c r="Q1975" s="116">
        <v>2565.6</v>
      </c>
      <c r="R1975">
        <v>7308934</v>
      </c>
    </row>
    <row r="1976" spans="1:18" x14ac:dyDescent="0.25">
      <c r="A1976" s="170">
        <v>44914</v>
      </c>
      <c r="B1976" s="116">
        <v>1301.625</v>
      </c>
      <c r="C1976" s="116">
        <v>1300</v>
      </c>
      <c r="D1976" s="116">
        <v>1283.8499999999999</v>
      </c>
      <c r="E1976" s="116">
        <v>1291.9749999999999</v>
      </c>
      <c r="F1976" s="116">
        <v>2600</v>
      </c>
      <c r="G1976">
        <v>67621</v>
      </c>
      <c r="H1976" s="116"/>
      <c r="I1976" s="116"/>
      <c r="L1976" s="170">
        <v>44914</v>
      </c>
      <c r="M1976" s="116">
        <v>1299.6500000000001</v>
      </c>
      <c r="N1976" s="116">
        <v>1302</v>
      </c>
      <c r="O1976" s="116">
        <v>1283.3499999999999</v>
      </c>
      <c r="P1976" s="116">
        <v>1290.5</v>
      </c>
      <c r="Q1976" s="116">
        <v>2599.3000000000002</v>
      </c>
      <c r="R1976">
        <v>3567363</v>
      </c>
    </row>
    <row r="1977" spans="1:18" x14ac:dyDescent="0.25">
      <c r="A1977" s="170">
        <v>44915</v>
      </c>
      <c r="B1977" s="116">
        <v>1313</v>
      </c>
      <c r="C1977" s="116">
        <v>1310.575</v>
      </c>
      <c r="D1977" s="116">
        <v>1283.3</v>
      </c>
      <c r="E1977" s="116">
        <v>1296.9749999999999</v>
      </c>
      <c r="F1977" s="116">
        <v>2621.15</v>
      </c>
      <c r="G1977">
        <v>129098</v>
      </c>
      <c r="H1977" s="116"/>
      <c r="I1977" s="116"/>
      <c r="L1977" s="170">
        <v>44915</v>
      </c>
      <c r="M1977" s="116">
        <v>1310.9</v>
      </c>
      <c r="N1977" s="116">
        <v>1313</v>
      </c>
      <c r="O1977" s="116">
        <v>1283</v>
      </c>
      <c r="P1977" s="116">
        <v>1291.95</v>
      </c>
      <c r="Q1977" s="116">
        <v>2621.8</v>
      </c>
      <c r="R1977">
        <v>3446291</v>
      </c>
    </row>
    <row r="1978" spans="1:18" x14ac:dyDescent="0.25">
      <c r="A1978" s="170">
        <v>44916</v>
      </c>
      <c r="B1978" s="116">
        <v>1316.8</v>
      </c>
      <c r="C1978" s="116">
        <v>1292.2</v>
      </c>
      <c r="D1978" s="116">
        <v>1288.175</v>
      </c>
      <c r="E1978" s="116">
        <v>1311</v>
      </c>
      <c r="F1978" s="116">
        <v>2584.4</v>
      </c>
      <c r="G1978">
        <v>77509</v>
      </c>
      <c r="H1978" s="116"/>
      <c r="I1978" s="116"/>
      <c r="L1978" s="170">
        <v>44916</v>
      </c>
      <c r="M1978" s="116">
        <v>1292.25</v>
      </c>
      <c r="N1978" s="116">
        <v>1316.5</v>
      </c>
      <c r="O1978" s="116">
        <v>1288.05</v>
      </c>
      <c r="P1978" s="116">
        <v>1310.5</v>
      </c>
      <c r="Q1978" s="116">
        <v>2584.5</v>
      </c>
      <c r="R1978">
        <v>3935463</v>
      </c>
    </row>
    <row r="1979" spans="1:18" x14ac:dyDescent="0.25">
      <c r="A1979" s="170">
        <v>44917</v>
      </c>
      <c r="B1979" s="116">
        <v>1303.325</v>
      </c>
      <c r="C1979" s="116">
        <v>1288.95</v>
      </c>
      <c r="D1979" s="116">
        <v>1282.95</v>
      </c>
      <c r="E1979" s="116">
        <v>1297.5999999999999</v>
      </c>
      <c r="F1979" s="116">
        <v>2577.9</v>
      </c>
      <c r="G1979">
        <v>93106</v>
      </c>
      <c r="H1979" s="116"/>
      <c r="I1979" s="116"/>
      <c r="L1979" s="170">
        <v>44917</v>
      </c>
      <c r="M1979" s="116">
        <v>1288.9000000000001</v>
      </c>
      <c r="N1979" s="116">
        <v>1302.325</v>
      </c>
      <c r="O1979" s="116">
        <v>1283.375</v>
      </c>
      <c r="P1979" s="116">
        <v>1299</v>
      </c>
      <c r="Q1979" s="116">
        <v>2577.8000000000002</v>
      </c>
      <c r="R1979">
        <v>3438692</v>
      </c>
    </row>
    <row r="1980" spans="1:18" x14ac:dyDescent="0.25">
      <c r="A1980" s="170">
        <v>44918</v>
      </c>
      <c r="B1980" s="116">
        <v>1294.875</v>
      </c>
      <c r="C1980" s="116">
        <v>1250.7750000000001</v>
      </c>
      <c r="D1980" s="116">
        <v>1246.5</v>
      </c>
      <c r="E1980" s="116">
        <v>1282</v>
      </c>
      <c r="F1980" s="116">
        <v>2501.5500000000002</v>
      </c>
      <c r="G1980">
        <v>307147</v>
      </c>
      <c r="H1980" s="116"/>
      <c r="I1980" s="116"/>
      <c r="L1980" s="170">
        <v>44918</v>
      </c>
      <c r="M1980" s="116">
        <v>1251.0999999999999</v>
      </c>
      <c r="N1980" s="116">
        <v>1295.25</v>
      </c>
      <c r="O1980" s="116">
        <v>1246.125</v>
      </c>
      <c r="P1980" s="116">
        <v>1281.6500000000001</v>
      </c>
      <c r="Q1980" s="116">
        <v>2502.1999999999998</v>
      </c>
      <c r="R1980">
        <v>4733657</v>
      </c>
    </row>
    <row r="1981" spans="1:18" x14ac:dyDescent="0.25">
      <c r="A1981" s="170">
        <v>44921</v>
      </c>
      <c r="B1981" s="116">
        <v>1271.0250000000001</v>
      </c>
      <c r="C1981" s="116">
        <v>1262.25</v>
      </c>
      <c r="D1981" s="116">
        <v>1246.9749999999999</v>
      </c>
      <c r="E1981" s="116">
        <v>1256.8499999999999</v>
      </c>
      <c r="F1981" s="116">
        <v>2524.5</v>
      </c>
      <c r="G1981">
        <v>95382</v>
      </c>
      <c r="H1981" s="116"/>
      <c r="I1981" s="116"/>
      <c r="L1981" s="170">
        <v>44921</v>
      </c>
      <c r="M1981" s="116">
        <v>1262.0250000000001</v>
      </c>
      <c r="N1981" s="116">
        <v>1271</v>
      </c>
      <c r="O1981" s="116">
        <v>1246.2</v>
      </c>
      <c r="P1981" s="116">
        <v>1257.375</v>
      </c>
      <c r="Q1981" s="116">
        <v>2524.0500000000002</v>
      </c>
      <c r="R1981">
        <v>2764496</v>
      </c>
    </row>
    <row r="1982" spans="1:18" x14ac:dyDescent="0.25">
      <c r="A1982" s="170">
        <v>44922</v>
      </c>
      <c r="B1982" s="116">
        <v>1274.4000000000001</v>
      </c>
      <c r="C1982" s="116">
        <v>1272.5250000000001</v>
      </c>
      <c r="D1982" s="116">
        <v>1257.175</v>
      </c>
      <c r="E1982" s="116">
        <v>1264.5</v>
      </c>
      <c r="F1982" s="116">
        <v>2545.0500000000002</v>
      </c>
      <c r="G1982">
        <v>184837</v>
      </c>
      <c r="H1982" s="116"/>
      <c r="I1982" s="116"/>
      <c r="L1982" s="170">
        <v>44922</v>
      </c>
      <c r="M1982" s="116">
        <v>1272.3499999999999</v>
      </c>
      <c r="N1982" s="116">
        <v>1274.4000000000001</v>
      </c>
      <c r="O1982" s="116">
        <v>1257.625</v>
      </c>
      <c r="P1982" s="116">
        <v>1265</v>
      </c>
      <c r="Q1982" s="116">
        <v>2544.6999999999998</v>
      </c>
      <c r="R1982">
        <v>2659749</v>
      </c>
    </row>
    <row r="1983" spans="1:18" x14ac:dyDescent="0.25">
      <c r="A1983" s="170">
        <v>44923</v>
      </c>
      <c r="B1983" s="116">
        <v>1274.95</v>
      </c>
      <c r="C1983" s="116">
        <v>1272.2249999999999</v>
      </c>
      <c r="D1983" s="116">
        <v>1260.625</v>
      </c>
      <c r="E1983" s="116">
        <v>1267.95</v>
      </c>
      <c r="F1983" s="116">
        <v>2544.4499999999998</v>
      </c>
      <c r="G1983">
        <v>168925</v>
      </c>
      <c r="H1983" s="116"/>
      <c r="I1983" s="116"/>
      <c r="L1983" s="170">
        <v>44923</v>
      </c>
      <c r="M1983" s="116">
        <v>1272.2249999999999</v>
      </c>
      <c r="N1983" s="116">
        <v>1274.9000000000001</v>
      </c>
      <c r="O1983" s="116">
        <v>1260.75</v>
      </c>
      <c r="P1983" s="116">
        <v>1269</v>
      </c>
      <c r="Q1983" s="116">
        <v>2544.4499999999998</v>
      </c>
      <c r="R1983">
        <v>3442509</v>
      </c>
    </row>
    <row r="1984" spans="1:18" x14ac:dyDescent="0.25">
      <c r="A1984" s="170">
        <v>44924</v>
      </c>
      <c r="B1984" s="116">
        <v>1274.5</v>
      </c>
      <c r="C1984" s="116">
        <v>1271.2750000000001</v>
      </c>
      <c r="D1984" s="116">
        <v>1263.25</v>
      </c>
      <c r="E1984" s="116">
        <v>1266.0250000000001</v>
      </c>
      <c r="F1984" s="116">
        <v>2542.5500000000002</v>
      </c>
      <c r="G1984">
        <v>157229</v>
      </c>
      <c r="H1984" s="116"/>
      <c r="I1984" s="116"/>
      <c r="L1984" s="170">
        <v>44924</v>
      </c>
      <c r="M1984" s="116">
        <v>1271.6500000000001</v>
      </c>
      <c r="N1984" s="116">
        <v>1274.45</v>
      </c>
      <c r="O1984" s="116">
        <v>1262.75</v>
      </c>
      <c r="P1984" s="116">
        <v>1263.5</v>
      </c>
      <c r="Q1984" s="116">
        <v>2543.3000000000002</v>
      </c>
      <c r="R1984">
        <v>3198493</v>
      </c>
    </row>
    <row r="1985" spans="1:18" x14ac:dyDescent="0.25">
      <c r="A1985" s="170">
        <v>44925</v>
      </c>
      <c r="B1985" s="116">
        <v>1288.45</v>
      </c>
      <c r="C1985" s="116">
        <v>1274.0999999999999</v>
      </c>
      <c r="D1985" s="116">
        <v>1271.2750000000001</v>
      </c>
      <c r="E1985" s="116">
        <v>1273.5</v>
      </c>
      <c r="F1985" s="116">
        <v>2548.1999999999998</v>
      </c>
      <c r="G1985">
        <v>77470</v>
      </c>
      <c r="H1985" s="116"/>
      <c r="I1985" s="116"/>
      <c r="L1985" s="170">
        <v>44925</v>
      </c>
      <c r="M1985" s="116">
        <v>1273.5999999999999</v>
      </c>
      <c r="N1985" s="116">
        <v>1288.5</v>
      </c>
      <c r="O1985" s="116">
        <v>1270.55</v>
      </c>
      <c r="P1985" s="116">
        <v>1272.55</v>
      </c>
      <c r="Q1985" s="116">
        <v>2547.1999999999998</v>
      </c>
      <c r="R1985">
        <v>3364092</v>
      </c>
    </row>
    <row r="1986" spans="1:18" x14ac:dyDescent="0.25">
      <c r="A1986" s="170">
        <v>44928</v>
      </c>
      <c r="B1986" s="116">
        <v>1290</v>
      </c>
      <c r="C1986" s="116">
        <v>1287.575</v>
      </c>
      <c r="D1986" s="116">
        <v>1274.0999999999999</v>
      </c>
      <c r="E1986" s="116">
        <v>1278.45</v>
      </c>
      <c r="F1986" s="116">
        <v>2575.15</v>
      </c>
      <c r="G1986">
        <v>174612</v>
      </c>
      <c r="H1986" s="116"/>
      <c r="I1986" s="116"/>
      <c r="L1986" s="170">
        <v>44928</v>
      </c>
      <c r="M1986" s="116">
        <v>1287.95</v>
      </c>
      <c r="N1986" s="116">
        <v>1289.5</v>
      </c>
      <c r="O1986" s="116">
        <v>1274.0999999999999</v>
      </c>
      <c r="P1986" s="116">
        <v>1275</v>
      </c>
      <c r="Q1986" s="116">
        <v>2575.9</v>
      </c>
      <c r="R1986">
        <v>2453414</v>
      </c>
    </row>
    <row r="1987" spans="1:18" x14ac:dyDescent="0.25">
      <c r="A1987" s="170">
        <v>44929</v>
      </c>
      <c r="B1987" s="116">
        <v>1286.5</v>
      </c>
      <c r="C1987" s="116">
        <v>1278.5</v>
      </c>
      <c r="D1987" s="116">
        <v>1274.0250000000001</v>
      </c>
      <c r="E1987" s="116">
        <v>1283.8499999999999</v>
      </c>
      <c r="F1987" s="116">
        <v>2557</v>
      </c>
      <c r="G1987">
        <v>136124</v>
      </c>
      <c r="H1987" s="116"/>
      <c r="I1987" s="116"/>
      <c r="L1987" s="170">
        <v>44929</v>
      </c>
      <c r="M1987" s="116">
        <v>1278.5250000000001</v>
      </c>
      <c r="N1987" s="116">
        <v>1286.5</v>
      </c>
      <c r="O1987" s="116">
        <v>1273.9000000000001</v>
      </c>
      <c r="P1987" s="116">
        <v>1282.5250000000001</v>
      </c>
      <c r="Q1987" s="116">
        <v>2557.0500000000002</v>
      </c>
      <c r="R1987">
        <v>3534596</v>
      </c>
    </row>
    <row r="1988" spans="1:18" x14ac:dyDescent="0.25">
      <c r="A1988" s="170">
        <v>44930</v>
      </c>
      <c r="B1988" s="116">
        <v>1279.8</v>
      </c>
      <c r="C1988" s="116">
        <v>1259.075</v>
      </c>
      <c r="D1988" s="116">
        <v>1257.425</v>
      </c>
      <c r="E1988" s="116">
        <v>1279.5</v>
      </c>
      <c r="F1988" s="116">
        <v>2518.15</v>
      </c>
      <c r="G1988">
        <v>172926</v>
      </c>
      <c r="H1988" s="116"/>
      <c r="I1988" s="116"/>
      <c r="L1988" s="170">
        <v>44930</v>
      </c>
      <c r="M1988" s="116">
        <v>1259.2750000000001</v>
      </c>
      <c r="N1988" s="116">
        <v>1280.5250000000001</v>
      </c>
      <c r="O1988" s="116">
        <v>1257</v>
      </c>
      <c r="P1988" s="116">
        <v>1278.5</v>
      </c>
      <c r="Q1988" s="116">
        <v>2518.5500000000002</v>
      </c>
      <c r="R1988">
        <v>4275746</v>
      </c>
    </row>
    <row r="1989" spans="1:18" x14ac:dyDescent="0.25">
      <c r="A1989" s="170">
        <v>44931</v>
      </c>
      <c r="B1989" s="116">
        <v>1268</v>
      </c>
      <c r="C1989" s="116">
        <v>1256.75</v>
      </c>
      <c r="D1989" s="116">
        <v>1252.125</v>
      </c>
      <c r="E1989" s="116">
        <v>1262.5</v>
      </c>
      <c r="F1989" s="116">
        <v>2513.5</v>
      </c>
      <c r="G1989">
        <v>143907</v>
      </c>
      <c r="H1989" s="116"/>
      <c r="I1989" s="116"/>
      <c r="L1989" s="170">
        <v>44931</v>
      </c>
      <c r="M1989" s="116">
        <v>1257.0250000000001</v>
      </c>
      <c r="N1989" s="116">
        <v>1268.2</v>
      </c>
      <c r="O1989" s="116">
        <v>1252</v>
      </c>
      <c r="P1989" s="116">
        <v>1261.75</v>
      </c>
      <c r="Q1989" s="116">
        <v>2514.0500000000002</v>
      </c>
      <c r="R1989">
        <v>6293519</v>
      </c>
    </row>
    <row r="1990" spans="1:18" x14ac:dyDescent="0.25">
      <c r="A1990" s="170">
        <v>44932</v>
      </c>
      <c r="B1990" s="116">
        <v>1273.75</v>
      </c>
      <c r="C1990" s="116">
        <v>1268.625</v>
      </c>
      <c r="D1990" s="116">
        <v>1259.325</v>
      </c>
      <c r="E1990" s="116">
        <v>1264.5</v>
      </c>
      <c r="F1990" s="116">
        <v>2537.25</v>
      </c>
      <c r="G1990">
        <v>113594</v>
      </c>
      <c r="H1990" s="116"/>
      <c r="I1990" s="116"/>
      <c r="L1990" s="170">
        <v>44932</v>
      </c>
      <c r="M1990" s="116">
        <v>1268.45</v>
      </c>
      <c r="N1990" s="116">
        <v>1273.9749999999999</v>
      </c>
      <c r="O1990" s="116">
        <v>1259.1500000000001</v>
      </c>
      <c r="P1990" s="116">
        <v>1263.325</v>
      </c>
      <c r="Q1990" s="116">
        <v>2536.9</v>
      </c>
      <c r="R1990">
        <v>2930338</v>
      </c>
    </row>
    <row r="1991" spans="1:18" x14ac:dyDescent="0.25">
      <c r="A1991" s="170">
        <v>44935</v>
      </c>
      <c r="B1991" s="116">
        <v>1300.9000000000001</v>
      </c>
      <c r="C1991" s="116">
        <v>1298.2750000000001</v>
      </c>
      <c r="D1991" s="116">
        <v>1269.55</v>
      </c>
      <c r="E1991" s="116">
        <v>1271.8499999999999</v>
      </c>
      <c r="F1991" s="116">
        <v>2596.5500000000002</v>
      </c>
      <c r="G1991">
        <v>298492</v>
      </c>
      <c r="H1991" s="116"/>
      <c r="I1991" s="116"/>
      <c r="L1991" s="170">
        <v>44935</v>
      </c>
      <c r="M1991" s="116">
        <v>1298.4000000000001</v>
      </c>
      <c r="N1991" s="116">
        <v>1301</v>
      </c>
      <c r="O1991" s="116">
        <v>1271.675</v>
      </c>
      <c r="P1991" s="116">
        <v>1272.6500000000001</v>
      </c>
      <c r="Q1991" s="116">
        <v>2596.8000000000002</v>
      </c>
      <c r="R1991">
        <v>4948549</v>
      </c>
    </row>
    <row r="1992" spans="1:18" x14ac:dyDescent="0.25">
      <c r="A1992" s="170">
        <v>44936</v>
      </c>
      <c r="B1992" s="116">
        <v>1302.5</v>
      </c>
      <c r="C1992" s="116">
        <v>1278.9749999999999</v>
      </c>
      <c r="D1992" s="116">
        <v>1273.0250000000001</v>
      </c>
      <c r="E1992" s="116">
        <v>1302.0250000000001</v>
      </c>
      <c r="F1992" s="116">
        <v>2557.9499999999998</v>
      </c>
      <c r="G1992">
        <v>152642</v>
      </c>
      <c r="H1992" s="116"/>
      <c r="I1992" s="116"/>
      <c r="L1992" s="170">
        <v>44936</v>
      </c>
      <c r="M1992" s="116">
        <v>1279.2</v>
      </c>
      <c r="N1992" s="116">
        <v>1303</v>
      </c>
      <c r="O1992" s="116">
        <v>1273</v>
      </c>
      <c r="P1992" s="116">
        <v>1303</v>
      </c>
      <c r="Q1992" s="116">
        <v>2558.4</v>
      </c>
      <c r="R1992">
        <v>3713755</v>
      </c>
    </row>
    <row r="1993" spans="1:18" x14ac:dyDescent="0.25">
      <c r="A1993" s="170">
        <v>44937</v>
      </c>
      <c r="B1993" s="116">
        <v>1279.0999999999999</v>
      </c>
      <c r="C1993" s="116">
        <v>1262.75</v>
      </c>
      <c r="D1993" s="116">
        <v>1261</v>
      </c>
      <c r="E1993" s="116">
        <v>1277.5999999999999</v>
      </c>
      <c r="F1993" s="116">
        <v>2525.5</v>
      </c>
      <c r="G1993">
        <v>127795</v>
      </c>
      <c r="H1993" s="116"/>
      <c r="I1993" s="116"/>
      <c r="L1993" s="170">
        <v>44937</v>
      </c>
      <c r="M1993" s="116">
        <v>1263.075</v>
      </c>
      <c r="N1993" s="116">
        <v>1279</v>
      </c>
      <c r="O1993" s="116">
        <v>1260.55</v>
      </c>
      <c r="P1993" s="116">
        <v>1276.25</v>
      </c>
      <c r="Q1993" s="116">
        <v>2526.15</v>
      </c>
      <c r="R1993">
        <v>5311657</v>
      </c>
    </row>
    <row r="1994" spans="1:18" x14ac:dyDescent="0.25">
      <c r="A1994" s="170">
        <v>44938</v>
      </c>
      <c r="B1994" s="116">
        <v>1265.95</v>
      </c>
      <c r="C1994" s="116">
        <v>1236.05</v>
      </c>
      <c r="D1994" s="116">
        <v>1232.825</v>
      </c>
      <c r="E1994" s="116">
        <v>1262.5</v>
      </c>
      <c r="F1994" s="116">
        <v>2472.1</v>
      </c>
      <c r="G1994">
        <v>185343</v>
      </c>
      <c r="H1994" s="116"/>
      <c r="I1994" s="116"/>
      <c r="L1994" s="170">
        <v>44938</v>
      </c>
      <c r="M1994" s="116">
        <v>1235.8</v>
      </c>
      <c r="N1994" s="116">
        <v>1266.25</v>
      </c>
      <c r="O1994" s="116">
        <v>1232.5</v>
      </c>
      <c r="P1994" s="116">
        <v>1262.425</v>
      </c>
      <c r="Q1994" s="116">
        <v>2471.6</v>
      </c>
      <c r="R1994">
        <v>8163366</v>
      </c>
    </row>
    <row r="1995" spans="1:18" x14ac:dyDescent="0.25">
      <c r="A1995" s="170">
        <v>44939</v>
      </c>
      <c r="B1995" s="116">
        <v>1236.5999999999999</v>
      </c>
      <c r="C1995" s="116">
        <v>1233.675</v>
      </c>
      <c r="D1995" s="116">
        <v>1217.4000000000001</v>
      </c>
      <c r="E1995" s="116">
        <v>1234.3</v>
      </c>
      <c r="F1995" s="116">
        <v>2467.35</v>
      </c>
      <c r="G1995">
        <v>248982</v>
      </c>
      <c r="H1995" s="116"/>
      <c r="I1995" s="116"/>
      <c r="L1995" s="170">
        <v>44939</v>
      </c>
      <c r="M1995" s="116">
        <v>1233.8</v>
      </c>
      <c r="N1995" s="116">
        <v>1236.45</v>
      </c>
      <c r="O1995" s="116">
        <v>1217.3</v>
      </c>
      <c r="P1995" s="116">
        <v>1229.2</v>
      </c>
      <c r="Q1995" s="116">
        <v>2467.6</v>
      </c>
      <c r="R1995">
        <v>9515473</v>
      </c>
    </row>
    <row r="1996" spans="1:18" x14ac:dyDescent="0.25">
      <c r="A1996" s="170">
        <v>44942</v>
      </c>
      <c r="B1996" s="116">
        <v>1239.875</v>
      </c>
      <c r="C1996" s="116">
        <v>1222.3499999999999</v>
      </c>
      <c r="D1996" s="116">
        <v>1218.0250000000001</v>
      </c>
      <c r="E1996" s="116">
        <v>1237.45</v>
      </c>
      <c r="F1996" s="116">
        <v>2444.6999999999998</v>
      </c>
      <c r="G1996">
        <v>140006</v>
      </c>
      <c r="H1996" s="116"/>
      <c r="I1996" s="116"/>
      <c r="L1996" s="170">
        <v>44942</v>
      </c>
      <c r="M1996" s="116">
        <v>1222.05</v>
      </c>
      <c r="N1996" s="116">
        <v>1239.825</v>
      </c>
      <c r="O1996" s="116">
        <v>1213.5</v>
      </c>
      <c r="P1996" s="116">
        <v>1236.3499999999999</v>
      </c>
      <c r="Q1996" s="116">
        <v>2444.1</v>
      </c>
      <c r="R1996">
        <v>6287407</v>
      </c>
    </row>
    <row r="1997" spans="1:18" x14ac:dyDescent="0.25">
      <c r="A1997" s="170">
        <v>44943</v>
      </c>
      <c r="B1997" s="116">
        <v>1241.75</v>
      </c>
      <c r="C1997" s="116">
        <v>1239.2750000000001</v>
      </c>
      <c r="D1997" s="116">
        <v>1226</v>
      </c>
      <c r="E1997" s="116">
        <v>1226.575</v>
      </c>
      <c r="F1997" s="116">
        <v>2478.5500000000002</v>
      </c>
      <c r="G1997">
        <v>186970</v>
      </c>
      <c r="H1997" s="116"/>
      <c r="I1997" s="116"/>
      <c r="L1997" s="170">
        <v>44943</v>
      </c>
      <c r="M1997" s="116">
        <v>1239.4000000000001</v>
      </c>
      <c r="N1997" s="116">
        <v>1241.5</v>
      </c>
      <c r="O1997" s="116">
        <v>1225.3</v>
      </c>
      <c r="P1997" s="116">
        <v>1229</v>
      </c>
      <c r="Q1997" s="116">
        <v>2478.8000000000002</v>
      </c>
      <c r="R1997">
        <v>4961585</v>
      </c>
    </row>
    <row r="1998" spans="1:18" x14ac:dyDescent="0.25">
      <c r="A1998" s="170">
        <v>44944</v>
      </c>
      <c r="B1998" s="116">
        <v>1245.75</v>
      </c>
      <c r="C1998" s="116">
        <v>1237.3</v>
      </c>
      <c r="D1998" s="116">
        <v>1230.2249999999999</v>
      </c>
      <c r="E1998" s="116">
        <v>1239.5</v>
      </c>
      <c r="F1998" s="116">
        <v>2474.6</v>
      </c>
      <c r="G1998">
        <v>126814</v>
      </c>
      <c r="H1998" s="116"/>
      <c r="I1998" s="116"/>
      <c r="L1998" s="170">
        <v>44944</v>
      </c>
      <c r="M1998" s="116">
        <v>1237.3499999999999</v>
      </c>
      <c r="N1998" s="116">
        <v>1245.55</v>
      </c>
      <c r="O1998" s="116">
        <v>1230.175</v>
      </c>
      <c r="P1998" s="116">
        <v>1236.75</v>
      </c>
      <c r="Q1998" s="116">
        <v>2474.6999999999998</v>
      </c>
      <c r="R1998">
        <v>6206382</v>
      </c>
    </row>
    <row r="1999" spans="1:18" x14ac:dyDescent="0.25">
      <c r="A1999" s="170">
        <v>44945</v>
      </c>
      <c r="B1999" s="116">
        <v>1240.4749999999999</v>
      </c>
      <c r="C1999" s="116">
        <v>1235.55</v>
      </c>
      <c r="D1999" s="116">
        <v>1228.75</v>
      </c>
      <c r="E1999" s="116">
        <v>1237.0999999999999</v>
      </c>
      <c r="F1999" s="116">
        <v>2471.1</v>
      </c>
      <c r="G1999">
        <v>201558</v>
      </c>
      <c r="H1999" s="116"/>
      <c r="I1999" s="116"/>
      <c r="L1999" s="170">
        <v>44945</v>
      </c>
      <c r="M1999" s="116">
        <v>1236.0250000000001</v>
      </c>
      <c r="N1999" s="116">
        <v>1240.575</v>
      </c>
      <c r="O1999" s="116">
        <v>1228.325</v>
      </c>
      <c r="P1999" s="116">
        <v>1236.45</v>
      </c>
      <c r="Q1999" s="116">
        <v>2472.0500000000002</v>
      </c>
      <c r="R1999">
        <v>5510333</v>
      </c>
    </row>
    <row r="2000" spans="1:18" x14ac:dyDescent="0.25">
      <c r="A2000" s="170">
        <v>44946</v>
      </c>
      <c r="B2000" s="116">
        <v>1240.8499999999999</v>
      </c>
      <c r="C2000" s="116">
        <v>1221.3499999999999</v>
      </c>
      <c r="D2000" s="116">
        <v>1219.05</v>
      </c>
      <c r="E2000" s="116">
        <v>1240.8499999999999</v>
      </c>
      <c r="F2000" s="116">
        <v>2442.6999999999998</v>
      </c>
      <c r="G2000">
        <v>174012</v>
      </c>
      <c r="H2000" s="116"/>
      <c r="I2000" s="116"/>
      <c r="L2000" s="170">
        <v>44946</v>
      </c>
      <c r="M2000" s="116">
        <v>1221.325</v>
      </c>
      <c r="N2000" s="116">
        <v>1237.5</v>
      </c>
      <c r="O2000" s="116">
        <v>1218.625</v>
      </c>
      <c r="P2000" s="116">
        <v>1237.5</v>
      </c>
      <c r="Q2000" s="116">
        <v>2442.65</v>
      </c>
      <c r="R2000">
        <v>6890325</v>
      </c>
    </row>
    <row r="2001" spans="1:18" x14ac:dyDescent="0.25">
      <c r="A2001" s="170">
        <v>44949</v>
      </c>
      <c r="B2001" s="116">
        <v>1233</v>
      </c>
      <c r="C2001" s="116">
        <v>1214.8</v>
      </c>
      <c r="D2001" s="116">
        <v>1213</v>
      </c>
      <c r="E2001" s="116">
        <v>1225</v>
      </c>
      <c r="F2001" s="116">
        <v>2429.6</v>
      </c>
      <c r="G2001">
        <v>213860</v>
      </c>
      <c r="H2001" s="116"/>
      <c r="I2001" s="116"/>
      <c r="L2001" s="170">
        <v>44949</v>
      </c>
      <c r="M2001" s="116">
        <v>1215.1500000000001</v>
      </c>
      <c r="N2001" s="116">
        <v>1233.0999999999999</v>
      </c>
      <c r="O2001" s="116">
        <v>1212.5</v>
      </c>
      <c r="P2001" s="116">
        <v>1224.5</v>
      </c>
      <c r="Q2001" s="116">
        <v>2430.3000000000002</v>
      </c>
      <c r="R2001">
        <v>5055324</v>
      </c>
    </row>
    <row r="2002" spans="1:18" x14ac:dyDescent="0.25">
      <c r="A2002" s="170">
        <v>44950</v>
      </c>
      <c r="B2002" s="116">
        <v>1221.95</v>
      </c>
      <c r="C2002" s="116">
        <v>1207.575</v>
      </c>
      <c r="D2002" s="116">
        <v>1194.325</v>
      </c>
      <c r="E2002" s="116">
        <v>1216.25</v>
      </c>
      <c r="F2002" s="116">
        <v>2415.15</v>
      </c>
      <c r="G2002">
        <v>349349</v>
      </c>
      <c r="H2002" s="116"/>
      <c r="I2002" s="116"/>
      <c r="L2002" s="170">
        <v>44950</v>
      </c>
      <c r="M2002" s="116">
        <v>1207.9749999999999</v>
      </c>
      <c r="N2002" s="116">
        <v>1221.825</v>
      </c>
      <c r="O2002" s="116">
        <v>1193.675</v>
      </c>
      <c r="P2002" s="116">
        <v>1220</v>
      </c>
      <c r="Q2002" s="116">
        <v>2415.9499999999998</v>
      </c>
      <c r="R2002">
        <v>7609558</v>
      </c>
    </row>
    <row r="2003" spans="1:18" x14ac:dyDescent="0.25">
      <c r="A2003" s="170">
        <v>44951</v>
      </c>
      <c r="B2003" s="116">
        <v>1207.4000000000001</v>
      </c>
      <c r="C2003" s="116">
        <v>1191.4749999999999</v>
      </c>
      <c r="D2003" s="116">
        <v>1190.5</v>
      </c>
      <c r="E2003" s="116">
        <v>1205</v>
      </c>
      <c r="F2003" s="116">
        <v>2382.9499999999998</v>
      </c>
      <c r="G2003">
        <v>103914</v>
      </c>
      <c r="H2003" s="116"/>
      <c r="I2003" s="116"/>
      <c r="L2003" s="170">
        <v>44951</v>
      </c>
      <c r="M2003" s="116">
        <v>1191.2750000000001</v>
      </c>
      <c r="N2003" s="116">
        <v>1207.3499999999999</v>
      </c>
      <c r="O2003" s="116">
        <v>1190</v>
      </c>
      <c r="P2003" s="116">
        <v>1206.2249999999999</v>
      </c>
      <c r="Q2003" s="116">
        <v>2382.5500000000002</v>
      </c>
      <c r="R2003">
        <v>5715684</v>
      </c>
    </row>
    <row r="2004" spans="1:18" x14ac:dyDescent="0.25">
      <c r="A2004" s="170">
        <v>44953</v>
      </c>
      <c r="B2004" s="116">
        <v>1194.0250000000001</v>
      </c>
      <c r="C2004" s="116">
        <v>1168.875</v>
      </c>
      <c r="D2004" s="116">
        <v>1156.05</v>
      </c>
      <c r="E2004" s="116">
        <v>1190.9749999999999</v>
      </c>
      <c r="F2004" s="116">
        <v>2337.75</v>
      </c>
      <c r="G2004">
        <v>452582</v>
      </c>
      <c r="H2004" s="116"/>
      <c r="I2004" s="116"/>
      <c r="L2004" s="170">
        <v>44953</v>
      </c>
      <c r="M2004" s="116">
        <v>1168.675</v>
      </c>
      <c r="N2004" s="116">
        <v>1193.675</v>
      </c>
      <c r="O2004" s="116">
        <v>1155.825</v>
      </c>
      <c r="P2004" s="116">
        <v>1192.2</v>
      </c>
      <c r="Q2004" s="116">
        <v>2337.35</v>
      </c>
      <c r="R2004">
        <v>11920991</v>
      </c>
    </row>
    <row r="2005" spans="1:18" x14ac:dyDescent="0.25">
      <c r="A2005" s="170">
        <v>44956</v>
      </c>
      <c r="B2005" s="116">
        <v>1184.7</v>
      </c>
      <c r="C2005" s="116">
        <v>1175.6500000000001</v>
      </c>
      <c r="D2005" s="116">
        <v>1150.575</v>
      </c>
      <c r="E2005" s="116">
        <v>1168.875</v>
      </c>
      <c r="F2005" s="116">
        <v>2351.3000000000002</v>
      </c>
      <c r="G2005">
        <v>1392194</v>
      </c>
      <c r="H2005" s="116"/>
      <c r="I2005" s="116"/>
      <c r="L2005" s="170">
        <v>44956</v>
      </c>
      <c r="M2005" s="116">
        <v>1179.875</v>
      </c>
      <c r="N2005" s="116">
        <v>1185.95</v>
      </c>
      <c r="O2005" s="116">
        <v>1150.5</v>
      </c>
      <c r="P2005" s="116">
        <v>1165.8499999999999</v>
      </c>
      <c r="Q2005" s="116">
        <v>2359.75</v>
      </c>
      <c r="R2005">
        <v>10047822</v>
      </c>
    </row>
    <row r="2006" spans="1:18" x14ac:dyDescent="0.25">
      <c r="A2006" s="170">
        <v>44957</v>
      </c>
      <c r="B2006" s="116">
        <v>1193.05</v>
      </c>
      <c r="C2006" s="116">
        <v>1176.95</v>
      </c>
      <c r="D2006" s="116">
        <v>1170.8499999999999</v>
      </c>
      <c r="E2006" s="116">
        <v>1192.5</v>
      </c>
      <c r="F2006" s="116">
        <v>2353.9</v>
      </c>
      <c r="G2006">
        <v>100296</v>
      </c>
      <c r="H2006" s="116"/>
      <c r="I2006" s="116"/>
      <c r="L2006" s="170">
        <v>44957</v>
      </c>
      <c r="M2006" s="116">
        <v>1176.925</v>
      </c>
      <c r="N2006" s="116">
        <v>1193.825</v>
      </c>
      <c r="O2006" s="116">
        <v>1170.5</v>
      </c>
      <c r="P2006" s="116">
        <v>1191</v>
      </c>
      <c r="Q2006" s="116">
        <v>2353.85</v>
      </c>
      <c r="R2006">
        <v>10472167</v>
      </c>
    </row>
    <row r="2007" spans="1:18" x14ac:dyDescent="0.25">
      <c r="A2007" s="170">
        <v>44958</v>
      </c>
      <c r="B2007" s="116">
        <v>1190.45</v>
      </c>
      <c r="C2007" s="116">
        <v>1169.0250000000001</v>
      </c>
      <c r="D2007" s="116">
        <v>1152.5</v>
      </c>
      <c r="E2007" s="116">
        <v>1190</v>
      </c>
      <c r="F2007" s="116">
        <v>2338.0500000000002</v>
      </c>
      <c r="G2007">
        <v>573669</v>
      </c>
      <c r="H2007" s="116"/>
      <c r="I2007" s="116"/>
      <c r="L2007" s="170">
        <v>44958</v>
      </c>
      <c r="M2007" s="116">
        <v>1169.95</v>
      </c>
      <c r="N2007" s="116">
        <v>1189.9749999999999</v>
      </c>
      <c r="O2007" s="116">
        <v>1152.5</v>
      </c>
      <c r="P2007" s="116">
        <v>1189.9749999999999</v>
      </c>
      <c r="Q2007" s="116">
        <v>2339.9</v>
      </c>
      <c r="R2007">
        <v>8929007</v>
      </c>
    </row>
    <row r="2008" spans="1:18" x14ac:dyDescent="0.25">
      <c r="A2008" s="170">
        <v>44959</v>
      </c>
      <c r="B2008" s="116">
        <v>1173.8499999999999</v>
      </c>
      <c r="C2008" s="116">
        <v>1163.4000000000001</v>
      </c>
      <c r="D2008" s="116">
        <v>1155.675</v>
      </c>
      <c r="E2008" s="116">
        <v>1162.5</v>
      </c>
      <c r="F2008" s="116">
        <v>2326.8000000000002</v>
      </c>
      <c r="G2008">
        <v>104181</v>
      </c>
      <c r="H2008" s="116"/>
      <c r="I2008" s="116"/>
      <c r="L2008" s="170">
        <v>44959</v>
      </c>
      <c r="M2008" s="116">
        <v>1163.4749999999999</v>
      </c>
      <c r="N2008" s="116">
        <v>1174</v>
      </c>
      <c r="O2008" s="116">
        <v>1155.5</v>
      </c>
      <c r="P2008" s="116">
        <v>1159</v>
      </c>
      <c r="Q2008" s="116">
        <v>2326.9499999999998</v>
      </c>
      <c r="R2008">
        <v>6305317</v>
      </c>
    </row>
    <row r="2009" spans="1:18" x14ac:dyDescent="0.25">
      <c r="A2009" s="170">
        <v>44960</v>
      </c>
      <c r="B2009" s="116">
        <v>1173.95</v>
      </c>
      <c r="C2009" s="116">
        <v>1164.5250000000001</v>
      </c>
      <c r="D2009" s="116">
        <v>1146.5999999999999</v>
      </c>
      <c r="E2009" s="116">
        <v>1172.5</v>
      </c>
      <c r="F2009" s="116">
        <v>2329.0500000000002</v>
      </c>
      <c r="G2009">
        <v>148804</v>
      </c>
      <c r="H2009" s="116"/>
      <c r="I2009" s="116"/>
      <c r="L2009" s="170">
        <v>44960</v>
      </c>
      <c r="M2009" s="116">
        <v>1164.5</v>
      </c>
      <c r="N2009" s="116">
        <v>1174.5</v>
      </c>
      <c r="O2009" s="116">
        <v>1146.5</v>
      </c>
      <c r="P2009" s="116">
        <v>1174.5</v>
      </c>
      <c r="Q2009" s="116">
        <v>2329</v>
      </c>
      <c r="R2009">
        <v>11398850</v>
      </c>
    </row>
    <row r="2010" spans="1:18" x14ac:dyDescent="0.25">
      <c r="A2010" s="170">
        <v>44963</v>
      </c>
      <c r="B2010" s="116">
        <v>1162.5</v>
      </c>
      <c r="C2010" s="116">
        <v>1155.75</v>
      </c>
      <c r="D2010" s="116">
        <v>1153.375</v>
      </c>
      <c r="E2010" s="116">
        <v>1162.5</v>
      </c>
      <c r="F2010" s="116">
        <v>2311.5</v>
      </c>
      <c r="G2010">
        <v>206263</v>
      </c>
      <c r="H2010" s="116"/>
      <c r="I2010" s="116"/>
      <c r="L2010" s="170">
        <v>44963</v>
      </c>
      <c r="M2010" s="116">
        <v>1155.7249999999999</v>
      </c>
      <c r="N2010" s="116">
        <v>1160.5</v>
      </c>
      <c r="O2010" s="116">
        <v>1152.9000000000001</v>
      </c>
      <c r="P2010" s="116">
        <v>1157.5</v>
      </c>
      <c r="Q2010" s="116">
        <v>2311.4499999999998</v>
      </c>
      <c r="R2010">
        <v>6847679</v>
      </c>
    </row>
    <row r="2011" spans="1:18" x14ac:dyDescent="0.25">
      <c r="A2011" s="170">
        <v>44964</v>
      </c>
      <c r="B2011" s="116">
        <v>1163.5</v>
      </c>
      <c r="C2011" s="116">
        <v>1152.95</v>
      </c>
      <c r="D2011" s="116">
        <v>1146.55</v>
      </c>
      <c r="E2011" s="116">
        <v>1156</v>
      </c>
      <c r="F2011" s="116">
        <v>2305.9</v>
      </c>
      <c r="G2011">
        <v>225094</v>
      </c>
      <c r="H2011" s="116"/>
      <c r="I2011" s="116"/>
      <c r="L2011" s="170">
        <v>44964</v>
      </c>
      <c r="M2011" s="116">
        <v>1152.95</v>
      </c>
      <c r="N2011" s="116">
        <v>1163.7</v>
      </c>
      <c r="O2011" s="116">
        <v>1146.5</v>
      </c>
      <c r="P2011" s="116">
        <v>1156</v>
      </c>
      <c r="Q2011" s="116">
        <v>2305.9</v>
      </c>
      <c r="R2011">
        <v>6985001</v>
      </c>
    </row>
    <row r="2012" spans="1:18" x14ac:dyDescent="0.25">
      <c r="A2012" s="170">
        <v>44965</v>
      </c>
      <c r="B2012" s="116">
        <v>1179.8</v>
      </c>
      <c r="C2012" s="116">
        <v>1175.9000000000001</v>
      </c>
      <c r="D2012" s="116">
        <v>1153.575</v>
      </c>
      <c r="E2012" s="116">
        <v>1155.6500000000001</v>
      </c>
      <c r="F2012" s="116">
        <v>2351.8000000000002</v>
      </c>
      <c r="G2012">
        <v>268850</v>
      </c>
      <c r="H2012" s="116"/>
      <c r="I2012" s="116"/>
      <c r="L2012" s="170">
        <v>44965</v>
      </c>
      <c r="M2012" s="116">
        <v>1175.9749999999999</v>
      </c>
      <c r="N2012" s="116">
        <v>1179.95</v>
      </c>
      <c r="O2012" s="116">
        <v>1153.5</v>
      </c>
      <c r="P2012" s="116">
        <v>1156.5</v>
      </c>
      <c r="Q2012" s="116">
        <v>2351.9499999999998</v>
      </c>
      <c r="R2012">
        <v>9765490</v>
      </c>
    </row>
    <row r="2013" spans="1:18" x14ac:dyDescent="0.25">
      <c r="A2013" s="170">
        <v>44966</v>
      </c>
      <c r="B2013" s="116">
        <v>1185.4000000000001</v>
      </c>
      <c r="C2013" s="116">
        <v>1177.7</v>
      </c>
      <c r="D2013" s="116">
        <v>1167.0250000000001</v>
      </c>
      <c r="E2013" s="116">
        <v>1178.675</v>
      </c>
      <c r="F2013" s="116">
        <v>2355.4</v>
      </c>
      <c r="G2013">
        <v>88852</v>
      </c>
      <c r="H2013" s="116"/>
      <c r="I2013" s="116"/>
      <c r="L2013" s="170">
        <v>44966</v>
      </c>
      <c r="M2013" s="116">
        <v>1178.0250000000001</v>
      </c>
      <c r="N2013" s="116">
        <v>1185.425</v>
      </c>
      <c r="O2013" s="116">
        <v>1167</v>
      </c>
      <c r="P2013" s="116">
        <v>1176.7249999999999</v>
      </c>
      <c r="Q2013" s="116">
        <v>2356.0500000000002</v>
      </c>
      <c r="R2013">
        <v>6079228</v>
      </c>
    </row>
    <row r="2014" spans="1:18" x14ac:dyDescent="0.25">
      <c r="A2014" s="170">
        <v>44967</v>
      </c>
      <c r="B2014" s="116">
        <v>1178.5</v>
      </c>
      <c r="C2014" s="116">
        <v>1168.175</v>
      </c>
      <c r="D2014" s="116">
        <v>1160.8</v>
      </c>
      <c r="E2014" s="116">
        <v>1178.5</v>
      </c>
      <c r="F2014" s="116">
        <v>2336.35</v>
      </c>
      <c r="G2014">
        <v>127318</v>
      </c>
      <c r="H2014" s="116"/>
      <c r="I2014" s="116"/>
      <c r="L2014" s="170">
        <v>44967</v>
      </c>
      <c r="M2014" s="116">
        <v>1168.325</v>
      </c>
      <c r="N2014" s="116">
        <v>1177.45</v>
      </c>
      <c r="O2014" s="116">
        <v>1160.6500000000001</v>
      </c>
      <c r="P2014" s="116">
        <v>1177.45</v>
      </c>
      <c r="Q2014" s="116">
        <v>2336.65</v>
      </c>
      <c r="R2014">
        <v>4979789</v>
      </c>
    </row>
    <row r="2015" spans="1:18" x14ac:dyDescent="0.25">
      <c r="A2015" s="170">
        <v>44970</v>
      </c>
      <c r="B2015" s="116">
        <v>1175</v>
      </c>
      <c r="C2015" s="116">
        <v>1161.375</v>
      </c>
      <c r="D2015" s="116">
        <v>1157.0250000000001</v>
      </c>
      <c r="E2015" s="116">
        <v>1168.8</v>
      </c>
      <c r="F2015" s="116">
        <v>2322.75</v>
      </c>
      <c r="G2015">
        <v>79836</v>
      </c>
      <c r="H2015" s="116"/>
      <c r="I2015" s="116"/>
      <c r="L2015" s="170">
        <v>44970</v>
      </c>
      <c r="M2015" s="116">
        <v>1161.675</v>
      </c>
      <c r="N2015" s="116">
        <v>1175</v>
      </c>
      <c r="O2015" s="116">
        <v>1156.7750000000001</v>
      </c>
      <c r="P2015" s="116">
        <v>1170.0999999999999</v>
      </c>
      <c r="Q2015" s="116">
        <v>2323.35</v>
      </c>
      <c r="R2015">
        <v>4777674</v>
      </c>
    </row>
    <row r="2016" spans="1:18" x14ac:dyDescent="0.25">
      <c r="A2016" s="170">
        <v>44971</v>
      </c>
      <c r="B2016" s="116">
        <v>1190.5</v>
      </c>
      <c r="C2016" s="116">
        <v>1188.7</v>
      </c>
      <c r="D2016" s="116">
        <v>1162</v>
      </c>
      <c r="E2016" s="116">
        <v>1162.5999999999999</v>
      </c>
      <c r="F2016" s="116">
        <v>2377.4</v>
      </c>
      <c r="G2016">
        <v>124813</v>
      </c>
      <c r="H2016" s="116"/>
      <c r="I2016" s="116"/>
      <c r="L2016" s="170">
        <v>44971</v>
      </c>
      <c r="M2016" s="116">
        <v>1189.05</v>
      </c>
      <c r="N2016" s="116">
        <v>1190.95</v>
      </c>
      <c r="O2016" s="116">
        <v>1161.825</v>
      </c>
      <c r="P2016" s="116">
        <v>1164.9749999999999</v>
      </c>
      <c r="Q2016" s="116">
        <v>2378.1</v>
      </c>
      <c r="R2016">
        <v>6609564</v>
      </c>
    </row>
    <row r="2017" spans="1:18" x14ac:dyDescent="0.25">
      <c r="A2017" s="170">
        <v>44972</v>
      </c>
      <c r="B2017" s="116">
        <v>1218.5</v>
      </c>
      <c r="C2017" s="116">
        <v>1215.05</v>
      </c>
      <c r="D2017" s="116">
        <v>1187.5</v>
      </c>
      <c r="E2017" s="116">
        <v>1193.9000000000001</v>
      </c>
      <c r="F2017" s="116">
        <v>2430.1</v>
      </c>
      <c r="G2017">
        <v>367072</v>
      </c>
      <c r="H2017" s="116"/>
      <c r="I2017" s="116"/>
      <c r="L2017" s="170">
        <v>44972</v>
      </c>
      <c r="M2017" s="116">
        <v>1215.9749999999999</v>
      </c>
      <c r="N2017" s="116">
        <v>1218.5999999999999</v>
      </c>
      <c r="O2017" s="116">
        <v>1186.5</v>
      </c>
      <c r="P2017" s="116">
        <v>1188</v>
      </c>
      <c r="Q2017" s="116">
        <v>2431.9499999999998</v>
      </c>
      <c r="R2017">
        <v>15461902</v>
      </c>
    </row>
    <row r="2018" spans="1:18" x14ac:dyDescent="0.25">
      <c r="A2018" s="170">
        <v>44973</v>
      </c>
      <c r="B2018" s="116">
        <v>1231.5</v>
      </c>
      <c r="C2018" s="116">
        <v>1214.825</v>
      </c>
      <c r="D2018" s="116">
        <v>1212.5</v>
      </c>
      <c r="E2018" s="116">
        <v>1225</v>
      </c>
      <c r="F2018" s="116">
        <v>2429.65</v>
      </c>
      <c r="G2018">
        <v>277368</v>
      </c>
      <c r="H2018" s="116"/>
      <c r="I2018" s="116"/>
      <c r="L2018" s="170">
        <v>44973</v>
      </c>
      <c r="M2018" s="116">
        <v>1215.0250000000001</v>
      </c>
      <c r="N2018" s="116">
        <v>1231.9000000000001</v>
      </c>
      <c r="O2018" s="116">
        <v>1212.5250000000001</v>
      </c>
      <c r="P2018" s="116">
        <v>1224.7249999999999</v>
      </c>
      <c r="Q2018" s="116">
        <v>2430.0500000000002</v>
      </c>
      <c r="R2018">
        <v>7967558</v>
      </c>
    </row>
    <row r="2019" spans="1:18" x14ac:dyDescent="0.25">
      <c r="A2019" s="170">
        <v>44974</v>
      </c>
      <c r="B2019" s="116">
        <v>1223.45</v>
      </c>
      <c r="C2019" s="116">
        <v>1219.925</v>
      </c>
      <c r="D2019" s="116">
        <v>1205.3</v>
      </c>
      <c r="E2019" s="116">
        <v>1212.4749999999999</v>
      </c>
      <c r="F2019" s="116">
        <v>2439.85</v>
      </c>
      <c r="G2019">
        <v>105936</v>
      </c>
      <c r="H2019" s="116"/>
      <c r="I2019" s="116"/>
      <c r="L2019" s="170">
        <v>44974</v>
      </c>
      <c r="M2019" s="116">
        <v>1220.0999999999999</v>
      </c>
      <c r="N2019" s="116">
        <v>1223.75</v>
      </c>
      <c r="O2019" s="116">
        <v>1205.3</v>
      </c>
      <c r="P2019" s="116">
        <v>1210</v>
      </c>
      <c r="Q2019" s="116">
        <v>2440.1999999999998</v>
      </c>
      <c r="R2019">
        <v>5450092</v>
      </c>
    </row>
    <row r="2020" spans="1:18" x14ac:dyDescent="0.25">
      <c r="A2020" s="170">
        <v>44977</v>
      </c>
      <c r="B2020" s="116">
        <v>1224.7249999999999</v>
      </c>
      <c r="C2020" s="116">
        <v>1207.6500000000001</v>
      </c>
      <c r="D2020" s="116">
        <v>1205.175</v>
      </c>
      <c r="E2020" s="116">
        <v>1220.2</v>
      </c>
      <c r="F2020" s="116">
        <v>2415.3000000000002</v>
      </c>
      <c r="G2020">
        <v>221415</v>
      </c>
      <c r="H2020" s="116"/>
      <c r="I2020" s="116"/>
      <c r="L2020" s="170">
        <v>44977</v>
      </c>
      <c r="M2020" s="116">
        <v>1207.2</v>
      </c>
      <c r="N2020" s="116">
        <v>1224.875</v>
      </c>
      <c r="O2020" s="116">
        <v>1205.05</v>
      </c>
      <c r="P2020" s="116">
        <v>1222.5</v>
      </c>
      <c r="Q2020" s="116">
        <v>2414.4</v>
      </c>
      <c r="R2020">
        <v>4078245</v>
      </c>
    </row>
    <row r="2021" spans="1:18" x14ac:dyDescent="0.25">
      <c r="A2021" s="170">
        <v>44978</v>
      </c>
      <c r="B2021" s="116">
        <v>1223</v>
      </c>
      <c r="C2021" s="116">
        <v>1217.25</v>
      </c>
      <c r="D2021" s="116">
        <v>1206.2249999999999</v>
      </c>
      <c r="E2021" s="116">
        <v>1210.5</v>
      </c>
      <c r="F2021" s="116">
        <v>2434.5</v>
      </c>
      <c r="G2021">
        <v>167774</v>
      </c>
      <c r="H2021" s="116"/>
      <c r="I2021" s="116"/>
      <c r="L2021" s="170">
        <v>44978</v>
      </c>
      <c r="M2021" s="116">
        <v>1217.05</v>
      </c>
      <c r="N2021" s="116">
        <v>1223.4000000000001</v>
      </c>
      <c r="O2021" s="116">
        <v>1206.175</v>
      </c>
      <c r="P2021" s="116">
        <v>1212</v>
      </c>
      <c r="Q2021" s="116">
        <v>2434.1</v>
      </c>
      <c r="R2021">
        <v>6143298</v>
      </c>
    </row>
    <row r="2022" spans="1:18" x14ac:dyDescent="0.25">
      <c r="A2022" s="170">
        <v>44979</v>
      </c>
      <c r="B2022" s="116">
        <v>1215</v>
      </c>
      <c r="C2022" s="116">
        <v>1189.5</v>
      </c>
      <c r="D2022" s="116">
        <v>1188.0250000000001</v>
      </c>
      <c r="E2022" s="116">
        <v>1214</v>
      </c>
      <c r="F2022" s="116">
        <v>2379</v>
      </c>
      <c r="G2022">
        <v>288637</v>
      </c>
      <c r="H2022" s="116"/>
      <c r="I2022" s="116"/>
      <c r="L2022" s="170">
        <v>44979</v>
      </c>
      <c r="M2022" s="116">
        <v>1189.45</v>
      </c>
      <c r="N2022" s="116">
        <v>1215</v>
      </c>
      <c r="O2022" s="116">
        <v>1187.5250000000001</v>
      </c>
      <c r="P2022" s="116">
        <v>1212.9749999999999</v>
      </c>
      <c r="Q2022" s="116">
        <v>2378.9</v>
      </c>
      <c r="R2022">
        <v>5087729</v>
      </c>
    </row>
    <row r="2023" spans="1:18" x14ac:dyDescent="0.25">
      <c r="A2023" s="170">
        <v>44980</v>
      </c>
      <c r="B2023" s="116">
        <v>1197.4749999999999</v>
      </c>
      <c r="C2023" s="116">
        <v>1183.7750000000001</v>
      </c>
      <c r="D2023" s="116">
        <v>1180.75</v>
      </c>
      <c r="E2023" s="116">
        <v>1188</v>
      </c>
      <c r="F2023" s="116">
        <v>2367.5500000000002</v>
      </c>
      <c r="G2023">
        <v>265844</v>
      </c>
      <c r="H2023" s="116"/>
      <c r="I2023" s="116"/>
      <c r="L2023" s="170">
        <v>44980</v>
      </c>
      <c r="M2023" s="116">
        <v>1183.75</v>
      </c>
      <c r="N2023" s="116">
        <v>1197.375</v>
      </c>
      <c r="O2023" s="116">
        <v>1180.675</v>
      </c>
      <c r="P2023" s="116">
        <v>1189</v>
      </c>
      <c r="Q2023" s="116">
        <v>2367.5</v>
      </c>
      <c r="R2023">
        <v>4546655</v>
      </c>
    </row>
    <row r="2024" spans="1:18" x14ac:dyDescent="0.25">
      <c r="A2024" s="170">
        <v>44981</v>
      </c>
      <c r="B2024" s="116">
        <v>1197.8</v>
      </c>
      <c r="C2024" s="116">
        <v>1192.9000000000001</v>
      </c>
      <c r="D2024" s="116">
        <v>1184.325</v>
      </c>
      <c r="E2024" s="116">
        <v>1187.5</v>
      </c>
      <c r="F2024" s="116">
        <v>2385.8000000000002</v>
      </c>
      <c r="G2024">
        <v>249650</v>
      </c>
      <c r="H2024" s="116"/>
      <c r="I2024" s="116"/>
      <c r="L2024" s="170">
        <v>44981</v>
      </c>
      <c r="M2024" s="116">
        <v>1191.8499999999999</v>
      </c>
      <c r="N2024" s="116">
        <v>1198.075</v>
      </c>
      <c r="O2024" s="116">
        <v>1184</v>
      </c>
      <c r="P2024" s="116">
        <v>1186</v>
      </c>
      <c r="Q2024" s="116">
        <v>2383.6999999999998</v>
      </c>
      <c r="R2024">
        <v>4353814</v>
      </c>
    </row>
    <row r="2025" spans="1:18" x14ac:dyDescent="0.25">
      <c r="A2025" s="170">
        <v>44984</v>
      </c>
      <c r="B2025" s="116">
        <v>1194.5</v>
      </c>
      <c r="C2025" s="116">
        <v>1184.55</v>
      </c>
      <c r="D2025" s="116">
        <v>1176.2249999999999</v>
      </c>
      <c r="E2025" s="116">
        <v>1189.3</v>
      </c>
      <c r="F2025" s="116">
        <v>2369.1</v>
      </c>
      <c r="G2025">
        <v>247454</v>
      </c>
      <c r="H2025" s="116"/>
      <c r="I2025" s="116"/>
      <c r="L2025" s="170">
        <v>44984</v>
      </c>
      <c r="M2025" s="116">
        <v>1183.925</v>
      </c>
      <c r="N2025" s="116">
        <v>1194.825</v>
      </c>
      <c r="O2025" s="116">
        <v>1175.8499999999999</v>
      </c>
      <c r="P2025" s="116">
        <v>1191</v>
      </c>
      <c r="Q2025" s="116">
        <v>2367.85</v>
      </c>
      <c r="R2025">
        <v>5168667</v>
      </c>
    </row>
    <row r="2026" spans="1:18" x14ac:dyDescent="0.25">
      <c r="A2026" s="170">
        <v>44985</v>
      </c>
      <c r="B2026" s="116">
        <v>1187.5</v>
      </c>
      <c r="C2026" s="116">
        <v>1160.9749999999999</v>
      </c>
      <c r="D2026" s="116">
        <v>1157.375</v>
      </c>
      <c r="E2026" s="116">
        <v>1187.5</v>
      </c>
      <c r="F2026" s="116">
        <v>2321.9499999999998</v>
      </c>
      <c r="G2026">
        <v>300235</v>
      </c>
      <c r="H2026" s="116"/>
      <c r="I2026" s="116"/>
      <c r="L2026" s="170">
        <v>44985</v>
      </c>
      <c r="M2026" s="116">
        <v>1161.2750000000001</v>
      </c>
      <c r="N2026" s="116">
        <v>1183.5</v>
      </c>
      <c r="O2026" s="116">
        <v>1156.825</v>
      </c>
      <c r="P2026" s="116">
        <v>1178.05</v>
      </c>
      <c r="Q2026" s="116">
        <v>2322.5500000000002</v>
      </c>
      <c r="R2026">
        <v>10150245</v>
      </c>
    </row>
    <row r="2027" spans="1:18" x14ac:dyDescent="0.25">
      <c r="A2027" s="170">
        <v>44986</v>
      </c>
      <c r="B2027" s="116">
        <v>1172.75</v>
      </c>
      <c r="C2027" s="116">
        <v>1171.625</v>
      </c>
      <c r="D2027" s="116">
        <v>1161.7750000000001</v>
      </c>
      <c r="E2027" s="116">
        <v>1171.0999999999999</v>
      </c>
      <c r="F2027" s="116">
        <v>2343.25</v>
      </c>
      <c r="G2027">
        <v>183724</v>
      </c>
      <c r="H2027" s="116"/>
      <c r="I2027" s="116"/>
      <c r="L2027" s="170">
        <v>44986</v>
      </c>
      <c r="M2027" s="116">
        <v>1171.95</v>
      </c>
      <c r="N2027" s="116">
        <v>1172.75</v>
      </c>
      <c r="O2027" s="116">
        <v>1161.625</v>
      </c>
      <c r="P2027" s="116">
        <v>1172</v>
      </c>
      <c r="Q2027" s="116">
        <v>2343.9</v>
      </c>
      <c r="R2027">
        <v>5330852</v>
      </c>
    </row>
    <row r="2028" spans="1:18" x14ac:dyDescent="0.25">
      <c r="A2028" s="170">
        <v>44987</v>
      </c>
      <c r="B2028" s="116">
        <v>1175.4000000000001</v>
      </c>
      <c r="C2028" s="116">
        <v>1163.925</v>
      </c>
      <c r="D2028" s="116">
        <v>1160.8499999999999</v>
      </c>
      <c r="E2028" s="116">
        <v>1165.5</v>
      </c>
      <c r="F2028" s="116">
        <v>2327.85</v>
      </c>
      <c r="G2028">
        <v>89972</v>
      </c>
      <c r="H2028" s="116"/>
      <c r="I2028" s="116"/>
      <c r="L2028" s="170">
        <v>44987</v>
      </c>
      <c r="M2028" s="116">
        <v>1163.0250000000001</v>
      </c>
      <c r="N2028" s="116">
        <v>1175.825</v>
      </c>
      <c r="O2028" s="116">
        <v>1160.8</v>
      </c>
      <c r="P2028" s="116">
        <v>1168.5</v>
      </c>
      <c r="Q2028" s="116">
        <v>2326.0500000000002</v>
      </c>
      <c r="R2028">
        <v>4307425</v>
      </c>
    </row>
    <row r="2029" spans="1:18" x14ac:dyDescent="0.25">
      <c r="A2029" s="170">
        <v>44988</v>
      </c>
      <c r="B2029" s="116">
        <v>1196.5</v>
      </c>
      <c r="C2029" s="116">
        <v>1192.5250000000001</v>
      </c>
      <c r="D2029" s="116">
        <v>1170.45</v>
      </c>
      <c r="E2029" s="116">
        <v>1172</v>
      </c>
      <c r="F2029" s="116">
        <v>2385.0500000000002</v>
      </c>
      <c r="G2029">
        <v>266949</v>
      </c>
      <c r="H2029" s="116"/>
      <c r="I2029" s="116"/>
      <c r="L2029" s="170">
        <v>44988</v>
      </c>
      <c r="M2029" s="116">
        <v>1192.7</v>
      </c>
      <c r="N2029" s="116">
        <v>1196.7249999999999</v>
      </c>
      <c r="O2029" s="116">
        <v>1170.7750000000001</v>
      </c>
      <c r="P2029" s="116">
        <v>1174.575</v>
      </c>
      <c r="Q2029" s="116">
        <v>2385.4</v>
      </c>
      <c r="R2029">
        <v>6758115</v>
      </c>
    </row>
    <row r="2030" spans="1:18" x14ac:dyDescent="0.25">
      <c r="A2030" s="170">
        <v>44991</v>
      </c>
      <c r="B2030" s="116">
        <v>1212.25</v>
      </c>
      <c r="C2030" s="116">
        <v>1203.9000000000001</v>
      </c>
      <c r="D2030" s="116">
        <v>1197.5</v>
      </c>
      <c r="E2030" s="116">
        <v>1197.5</v>
      </c>
      <c r="F2030" s="116">
        <v>2407.8000000000002</v>
      </c>
      <c r="G2030">
        <v>168847</v>
      </c>
      <c r="H2030" s="116"/>
      <c r="I2030" s="116"/>
      <c r="L2030" s="170">
        <v>44991</v>
      </c>
      <c r="M2030" s="116">
        <v>1204.3499999999999</v>
      </c>
      <c r="N2030" s="116">
        <v>1212.3</v>
      </c>
      <c r="O2030" s="116">
        <v>1200</v>
      </c>
      <c r="P2030" s="116">
        <v>1200</v>
      </c>
      <c r="Q2030" s="116">
        <v>2408.6999999999998</v>
      </c>
      <c r="R2030">
        <v>4694338</v>
      </c>
    </row>
    <row r="2031" spans="1:18" x14ac:dyDescent="0.25">
      <c r="A2031" s="170">
        <v>44993</v>
      </c>
      <c r="B2031" s="116">
        <v>1210</v>
      </c>
      <c r="C2031" s="116">
        <v>1208.7750000000001</v>
      </c>
      <c r="D2031" s="116">
        <v>1193.2249999999999</v>
      </c>
      <c r="E2031" s="116">
        <v>1200.5999999999999</v>
      </c>
      <c r="F2031" s="116">
        <v>2417.5500000000002</v>
      </c>
      <c r="G2031">
        <v>99782</v>
      </c>
      <c r="H2031" s="116"/>
      <c r="I2031" s="116"/>
      <c r="L2031" s="170">
        <v>44993</v>
      </c>
      <c r="M2031" s="116">
        <v>1208.675</v>
      </c>
      <c r="N2031" s="116">
        <v>1209.5</v>
      </c>
      <c r="O2031" s="116">
        <v>1192.5</v>
      </c>
      <c r="P2031" s="116">
        <v>1204.3499999999999</v>
      </c>
      <c r="Q2031" s="116">
        <v>2417.35</v>
      </c>
      <c r="R2031">
        <v>7283694</v>
      </c>
    </row>
    <row r="2032" spans="1:18" x14ac:dyDescent="0.25">
      <c r="A2032" s="170">
        <v>44994</v>
      </c>
      <c r="B2032" s="116">
        <v>1209.95</v>
      </c>
      <c r="C2032" s="116">
        <v>1180.075</v>
      </c>
      <c r="D2032" s="116">
        <v>1178.075</v>
      </c>
      <c r="E2032" s="116">
        <v>1209.95</v>
      </c>
      <c r="F2032" s="116">
        <v>2360.15</v>
      </c>
      <c r="G2032">
        <v>299619</v>
      </c>
      <c r="H2032" s="116"/>
      <c r="I2032" s="116"/>
      <c r="L2032" s="170">
        <v>44994</v>
      </c>
      <c r="M2032" s="116">
        <v>1179.625</v>
      </c>
      <c r="N2032" s="116">
        <v>1208.45</v>
      </c>
      <c r="O2032" s="116">
        <v>1177.55</v>
      </c>
      <c r="P2032" s="116">
        <v>1208</v>
      </c>
      <c r="Q2032" s="116">
        <v>2359.25</v>
      </c>
      <c r="R2032">
        <v>7492509</v>
      </c>
    </row>
    <row r="2033" spans="1:18" x14ac:dyDescent="0.25">
      <c r="A2033" s="170">
        <v>44995</v>
      </c>
      <c r="B2033" s="116">
        <v>1171.6500000000001</v>
      </c>
      <c r="C2033" s="116">
        <v>1161.575</v>
      </c>
      <c r="D2033" s="116">
        <v>1157.5999999999999</v>
      </c>
      <c r="E2033" s="116">
        <v>1171.6500000000001</v>
      </c>
      <c r="F2033" s="116">
        <v>2323.15</v>
      </c>
      <c r="G2033">
        <v>337306</v>
      </c>
      <c r="H2033" s="116"/>
      <c r="I2033" s="116"/>
      <c r="L2033" s="170">
        <v>44995</v>
      </c>
      <c r="M2033" s="116">
        <v>1161.3499999999999</v>
      </c>
      <c r="N2033" s="116">
        <v>1172</v>
      </c>
      <c r="O2033" s="116">
        <v>1157.5250000000001</v>
      </c>
      <c r="P2033" s="116">
        <v>1170.75</v>
      </c>
      <c r="Q2033" s="116">
        <v>2322.6999999999998</v>
      </c>
      <c r="R2033">
        <v>6153681</v>
      </c>
    </row>
    <row r="2034" spans="1:18" x14ac:dyDescent="0.25">
      <c r="A2034" s="170">
        <v>44998</v>
      </c>
      <c r="B2034" s="116">
        <v>1172</v>
      </c>
      <c r="C2034" s="116">
        <v>1142.45</v>
      </c>
      <c r="D2034" s="116">
        <v>1137.5</v>
      </c>
      <c r="E2034" s="116">
        <v>1164</v>
      </c>
      <c r="F2034" s="116">
        <v>2284.9</v>
      </c>
      <c r="G2034">
        <v>330968</v>
      </c>
      <c r="H2034" s="116"/>
      <c r="I2034" s="116"/>
      <c r="L2034" s="170">
        <v>44998</v>
      </c>
      <c r="M2034" s="116">
        <v>1142.25</v>
      </c>
      <c r="N2034" s="116">
        <v>1172</v>
      </c>
      <c r="O2034" s="116">
        <v>1137.5</v>
      </c>
      <c r="P2034" s="116">
        <v>1164.5</v>
      </c>
      <c r="Q2034" s="116">
        <v>2284.5</v>
      </c>
      <c r="R2034">
        <v>5894088</v>
      </c>
    </row>
    <row r="2035" spans="1:18" x14ac:dyDescent="0.25">
      <c r="A2035" s="170">
        <v>44999</v>
      </c>
      <c r="B2035" s="116">
        <v>1152.5</v>
      </c>
      <c r="C2035" s="116">
        <v>1138.25</v>
      </c>
      <c r="D2035" s="116">
        <v>1134.825</v>
      </c>
      <c r="E2035" s="116">
        <v>1140.575</v>
      </c>
      <c r="F2035" s="116">
        <v>2276.5</v>
      </c>
      <c r="G2035">
        <v>329326</v>
      </c>
      <c r="H2035" s="116"/>
      <c r="I2035" s="116"/>
      <c r="L2035" s="170">
        <v>44999</v>
      </c>
      <c r="M2035" s="116">
        <v>1137.9749999999999</v>
      </c>
      <c r="N2035" s="116">
        <v>1152.4749999999999</v>
      </c>
      <c r="O2035" s="116">
        <v>1134.5250000000001</v>
      </c>
      <c r="P2035" s="116">
        <v>1140</v>
      </c>
      <c r="Q2035" s="116">
        <v>2275.9499999999998</v>
      </c>
      <c r="R2035">
        <v>7396699</v>
      </c>
    </row>
    <row r="2036" spans="1:18" x14ac:dyDescent="0.25">
      <c r="A2036" s="170">
        <v>45000</v>
      </c>
      <c r="B2036" s="116">
        <v>1149.5</v>
      </c>
      <c r="C2036" s="116">
        <v>1118.425</v>
      </c>
      <c r="D2036" s="116">
        <v>1114</v>
      </c>
      <c r="E2036" s="116">
        <v>1142.45</v>
      </c>
      <c r="F2036" s="116">
        <v>2236.85</v>
      </c>
      <c r="G2036">
        <v>422737</v>
      </c>
      <c r="H2036" s="116"/>
      <c r="I2036" s="116"/>
      <c r="L2036" s="170">
        <v>45000</v>
      </c>
      <c r="M2036" s="116">
        <v>1118.5250000000001</v>
      </c>
      <c r="N2036" s="116">
        <v>1149.1500000000001</v>
      </c>
      <c r="O2036" s="116">
        <v>1113.7</v>
      </c>
      <c r="P2036" s="116">
        <v>1142.05</v>
      </c>
      <c r="Q2036" s="116">
        <v>2237.0500000000002</v>
      </c>
      <c r="R2036">
        <v>10027725</v>
      </c>
    </row>
    <row r="2037" spans="1:18" x14ac:dyDescent="0.25">
      <c r="A2037" s="170">
        <v>45001</v>
      </c>
      <c r="B2037" s="116">
        <v>1127.4749999999999</v>
      </c>
      <c r="C2037" s="116">
        <v>1113.0250000000001</v>
      </c>
      <c r="D2037" s="116">
        <v>1101.1500000000001</v>
      </c>
      <c r="E2037" s="116">
        <v>1118.5250000000001</v>
      </c>
      <c r="F2037" s="116">
        <v>2226.0500000000002</v>
      </c>
      <c r="G2037">
        <v>253732</v>
      </c>
      <c r="H2037" s="116"/>
      <c r="I2037" s="116"/>
      <c r="L2037" s="170">
        <v>45001</v>
      </c>
      <c r="M2037" s="116">
        <v>1112.95</v>
      </c>
      <c r="N2037" s="116">
        <v>1127</v>
      </c>
      <c r="O2037" s="116">
        <v>1101.0999999999999</v>
      </c>
      <c r="P2037" s="116">
        <v>1121.5</v>
      </c>
      <c r="Q2037" s="116">
        <v>2225.9</v>
      </c>
      <c r="R2037">
        <v>8474595</v>
      </c>
    </row>
    <row r="2038" spans="1:18" x14ac:dyDescent="0.25">
      <c r="A2038" s="170">
        <v>45002</v>
      </c>
      <c r="B2038" s="116">
        <v>1125.7750000000001</v>
      </c>
      <c r="C2038" s="116">
        <v>1111.5250000000001</v>
      </c>
      <c r="D2038" s="116">
        <v>1106.45</v>
      </c>
      <c r="E2038" s="116">
        <v>1124.5</v>
      </c>
      <c r="F2038" s="116">
        <v>2223.0500000000002</v>
      </c>
      <c r="G2038">
        <v>366281</v>
      </c>
      <c r="H2038" s="116"/>
      <c r="I2038" s="116"/>
      <c r="L2038" s="170">
        <v>45002</v>
      </c>
      <c r="M2038" s="116">
        <v>1111.55</v>
      </c>
      <c r="N2038" s="116">
        <v>1125.9749999999999</v>
      </c>
      <c r="O2038" s="116">
        <v>1106.3499999999999</v>
      </c>
      <c r="P2038" s="116">
        <v>1122.375</v>
      </c>
      <c r="Q2038" s="116">
        <v>2223.1</v>
      </c>
      <c r="R2038">
        <v>15697554</v>
      </c>
    </row>
    <row r="2039" spans="1:18" x14ac:dyDescent="0.25">
      <c r="A2039" s="170">
        <v>45005</v>
      </c>
      <c r="B2039" s="116">
        <v>1111.5</v>
      </c>
      <c r="C2039" s="116">
        <v>1100.8</v>
      </c>
      <c r="D2039" s="116">
        <v>1090</v>
      </c>
      <c r="E2039" s="116">
        <v>1111.5</v>
      </c>
      <c r="F2039" s="116">
        <v>2201.6</v>
      </c>
      <c r="G2039">
        <v>225747</v>
      </c>
      <c r="H2039" s="116"/>
      <c r="I2039" s="116"/>
      <c r="L2039" s="170">
        <v>45005</v>
      </c>
      <c r="M2039" s="116">
        <v>1100.625</v>
      </c>
      <c r="N2039" s="116">
        <v>1110</v>
      </c>
      <c r="O2039" s="116">
        <v>1090</v>
      </c>
      <c r="P2039" s="116">
        <v>1107.5</v>
      </c>
      <c r="Q2039" s="116">
        <v>2201.25</v>
      </c>
      <c r="R2039">
        <v>9010595</v>
      </c>
    </row>
    <row r="2040" spans="1:18" x14ac:dyDescent="0.25">
      <c r="A2040" s="170">
        <v>45006</v>
      </c>
      <c r="B2040" s="116">
        <v>1136.925</v>
      </c>
      <c r="C2040" s="116">
        <v>1135.0250000000001</v>
      </c>
      <c r="D2040" s="116">
        <v>1109</v>
      </c>
      <c r="E2040" s="116">
        <v>1111</v>
      </c>
      <c r="F2040" s="116">
        <v>2270.0500000000002</v>
      </c>
      <c r="G2040">
        <v>441746</v>
      </c>
      <c r="H2040" s="116"/>
      <c r="I2040" s="116"/>
      <c r="L2040" s="170">
        <v>45006</v>
      </c>
      <c r="M2040" s="116">
        <v>1134.8499999999999</v>
      </c>
      <c r="N2040" s="116">
        <v>1137</v>
      </c>
      <c r="O2040" s="116">
        <v>1108.5</v>
      </c>
      <c r="P2040" s="116">
        <v>1109.4749999999999</v>
      </c>
      <c r="Q2040" s="116">
        <v>2269.6999999999998</v>
      </c>
      <c r="R2040">
        <v>9876263</v>
      </c>
    </row>
    <row r="2041" spans="1:18" x14ac:dyDescent="0.25">
      <c r="A2041" s="170">
        <v>45007</v>
      </c>
      <c r="B2041" s="116">
        <v>1145.6500000000001</v>
      </c>
      <c r="C2041" s="116">
        <v>1138.325</v>
      </c>
      <c r="D2041" s="116">
        <v>1135</v>
      </c>
      <c r="E2041" s="116">
        <v>1140.05</v>
      </c>
      <c r="F2041" s="116">
        <v>2276.65</v>
      </c>
      <c r="G2041">
        <v>230717</v>
      </c>
      <c r="H2041" s="116"/>
      <c r="I2041" s="116"/>
      <c r="L2041" s="170">
        <v>45007</v>
      </c>
      <c r="M2041" s="116">
        <v>1138.3</v>
      </c>
      <c r="N2041" s="116">
        <v>1145.7249999999999</v>
      </c>
      <c r="O2041" s="116">
        <v>1135</v>
      </c>
      <c r="P2041" s="116">
        <v>1142.5</v>
      </c>
      <c r="Q2041" s="116">
        <v>2276.6</v>
      </c>
      <c r="R2041">
        <v>5039622</v>
      </c>
    </row>
    <row r="2042" spans="1:18" x14ac:dyDescent="0.25">
      <c r="A2042" s="170">
        <v>45008</v>
      </c>
      <c r="B2042" s="116">
        <v>1135</v>
      </c>
      <c r="C2042" s="116">
        <v>1123.7750000000001</v>
      </c>
      <c r="D2042" s="116">
        <v>1121.875</v>
      </c>
      <c r="E2042" s="116">
        <v>1135</v>
      </c>
      <c r="F2042" s="116">
        <v>2247.5500000000002</v>
      </c>
      <c r="G2042">
        <v>208447</v>
      </c>
      <c r="H2042" s="116"/>
      <c r="I2042" s="116"/>
      <c r="L2042" s="170">
        <v>45008</v>
      </c>
      <c r="M2042" s="116">
        <v>1123.9000000000001</v>
      </c>
      <c r="N2042" s="116">
        <v>1134.95</v>
      </c>
      <c r="O2042" s="116">
        <v>1121.5250000000001</v>
      </c>
      <c r="P2042" s="116">
        <v>1134</v>
      </c>
      <c r="Q2042" s="116">
        <v>2247.8000000000002</v>
      </c>
      <c r="R2042">
        <v>7499082</v>
      </c>
    </row>
    <row r="2043" spans="1:18" x14ac:dyDescent="0.25">
      <c r="A2043" s="170">
        <v>45009</v>
      </c>
      <c r="B2043" s="116">
        <v>1125</v>
      </c>
      <c r="C2043" s="116">
        <v>1101.75</v>
      </c>
      <c r="D2043" s="116">
        <v>1099</v>
      </c>
      <c r="E2043" s="116">
        <v>1123.8</v>
      </c>
      <c r="F2043" s="116">
        <v>2203.5</v>
      </c>
      <c r="G2043">
        <v>178216</v>
      </c>
      <c r="H2043" s="116"/>
      <c r="I2043" s="116"/>
      <c r="L2043" s="170">
        <v>45009</v>
      </c>
      <c r="M2043" s="116">
        <v>1101.6500000000001</v>
      </c>
      <c r="N2043" s="116">
        <v>1125</v>
      </c>
      <c r="O2043" s="116">
        <v>1099</v>
      </c>
      <c r="P2043" s="116">
        <v>1122.625</v>
      </c>
      <c r="Q2043" s="116">
        <v>2203.3000000000002</v>
      </c>
      <c r="R2043">
        <v>5711497</v>
      </c>
    </row>
    <row r="2044" spans="1:18" x14ac:dyDescent="0.25">
      <c r="A2044" s="170">
        <v>45012</v>
      </c>
      <c r="B2044" s="116">
        <v>1127</v>
      </c>
      <c r="C2044" s="116">
        <v>1118.75</v>
      </c>
      <c r="D2044" s="116">
        <v>1100.25</v>
      </c>
      <c r="E2044" s="116">
        <v>1107.75</v>
      </c>
      <c r="F2044" s="116">
        <v>2237.5</v>
      </c>
      <c r="G2044">
        <v>315446</v>
      </c>
      <c r="H2044" s="116"/>
      <c r="I2044" s="116"/>
      <c r="L2044" s="170">
        <v>45012</v>
      </c>
      <c r="M2044" s="116">
        <v>1118.7750000000001</v>
      </c>
      <c r="N2044" s="116">
        <v>1127</v>
      </c>
      <c r="O2044" s="116">
        <v>1100.0999999999999</v>
      </c>
      <c r="P2044" s="116">
        <v>1108.75</v>
      </c>
      <c r="Q2044" s="116">
        <v>2237.5500000000002</v>
      </c>
      <c r="R2044">
        <v>6486068</v>
      </c>
    </row>
    <row r="2045" spans="1:18" x14ac:dyDescent="0.25">
      <c r="A2045" s="170">
        <v>45013</v>
      </c>
      <c r="B2045" s="116">
        <v>1128</v>
      </c>
      <c r="C2045" s="116">
        <v>1123.9749999999999</v>
      </c>
      <c r="D2045" s="116">
        <v>1118.75</v>
      </c>
      <c r="E2045" s="116">
        <v>1120.625</v>
      </c>
      <c r="F2045" s="116">
        <v>2247.9499999999998</v>
      </c>
      <c r="G2045">
        <v>113718</v>
      </c>
      <c r="H2045" s="116"/>
      <c r="I2045" s="116"/>
      <c r="L2045" s="170">
        <v>45013</v>
      </c>
      <c r="M2045" s="116">
        <v>1124</v>
      </c>
      <c r="N2045" s="116">
        <v>1128.25</v>
      </c>
      <c r="O2045" s="116">
        <v>1118.5</v>
      </c>
      <c r="P2045" s="116">
        <v>1122.5</v>
      </c>
      <c r="Q2045" s="116">
        <v>2248</v>
      </c>
      <c r="R2045">
        <v>5804018</v>
      </c>
    </row>
    <row r="2046" spans="1:18" x14ac:dyDescent="0.25">
      <c r="A2046" s="170">
        <v>45014</v>
      </c>
      <c r="B2046" s="116">
        <v>1122.5</v>
      </c>
      <c r="C2046" s="116">
        <v>1117.625</v>
      </c>
      <c r="D2046" s="116">
        <v>1105.625</v>
      </c>
      <c r="E2046" s="116">
        <v>1120.95</v>
      </c>
      <c r="F2046" s="116">
        <v>2235.25</v>
      </c>
      <c r="G2046">
        <v>159031</v>
      </c>
      <c r="H2046" s="116"/>
      <c r="I2046" s="116"/>
      <c r="L2046" s="170">
        <v>45014</v>
      </c>
      <c r="M2046" s="116">
        <v>1117.3499999999999</v>
      </c>
      <c r="N2046" s="116">
        <v>1122.4000000000001</v>
      </c>
      <c r="O2046" s="116">
        <v>1105.55</v>
      </c>
      <c r="P2046" s="116">
        <v>1119.5</v>
      </c>
      <c r="Q2046" s="116">
        <v>2234.6999999999998</v>
      </c>
      <c r="R2046">
        <v>8678073</v>
      </c>
    </row>
    <row r="2047" spans="1:18" x14ac:dyDescent="0.25">
      <c r="A2047" s="170">
        <v>45016</v>
      </c>
      <c r="B2047" s="116">
        <v>1171.5</v>
      </c>
      <c r="C2047" s="116">
        <v>1165.5250000000001</v>
      </c>
      <c r="D2047" s="116">
        <v>1127.2750000000001</v>
      </c>
      <c r="E2047" s="116">
        <v>1128</v>
      </c>
      <c r="F2047" s="116">
        <v>2331.0500000000002</v>
      </c>
      <c r="G2047">
        <v>617169</v>
      </c>
      <c r="H2047" s="116"/>
      <c r="I2047" s="116"/>
      <c r="L2047" s="170">
        <v>45016</v>
      </c>
      <c r="M2047" s="116">
        <v>1165.5250000000001</v>
      </c>
      <c r="N2047" s="116">
        <v>1171.7249999999999</v>
      </c>
      <c r="O2047" s="116">
        <v>1127.3499999999999</v>
      </c>
      <c r="P2047" s="116">
        <v>1127.5</v>
      </c>
      <c r="Q2047" s="116">
        <v>2331.0500000000002</v>
      </c>
      <c r="R2047">
        <v>13001005</v>
      </c>
    </row>
    <row r="2048" spans="1:18" x14ac:dyDescent="0.25">
      <c r="A2048" s="170">
        <v>45019</v>
      </c>
      <c r="B2048" s="116">
        <v>1174.575</v>
      </c>
      <c r="C2048" s="116">
        <v>1165.875</v>
      </c>
      <c r="D2048" s="116">
        <v>1157.5</v>
      </c>
      <c r="E2048" s="116">
        <v>1172.55</v>
      </c>
      <c r="F2048" s="116">
        <v>2331.75</v>
      </c>
      <c r="G2048">
        <v>214215</v>
      </c>
      <c r="H2048" s="116"/>
      <c r="I2048" s="116"/>
      <c r="L2048" s="170">
        <v>45019</v>
      </c>
      <c r="M2048" s="116">
        <v>1165.7249999999999</v>
      </c>
      <c r="N2048" s="116">
        <v>1174.5</v>
      </c>
      <c r="O2048" s="116">
        <v>1157.5</v>
      </c>
      <c r="P2048" s="116">
        <v>1172.5</v>
      </c>
      <c r="Q2048" s="116">
        <v>2331.4499999999998</v>
      </c>
      <c r="R2048">
        <v>4750238</v>
      </c>
    </row>
    <row r="2049" spans="1:18" x14ac:dyDescent="0.25">
      <c r="A2049" s="170">
        <v>45021</v>
      </c>
      <c r="B2049" s="116">
        <v>1173.3</v>
      </c>
      <c r="C2049" s="116">
        <v>1162.75</v>
      </c>
      <c r="D2049" s="116">
        <v>1154.25</v>
      </c>
      <c r="E2049" s="116">
        <v>1170.875</v>
      </c>
      <c r="F2049" s="116">
        <v>2325.5</v>
      </c>
      <c r="G2049">
        <v>258000</v>
      </c>
      <c r="H2049" s="116"/>
      <c r="I2049" s="116"/>
      <c r="L2049" s="170">
        <v>45021</v>
      </c>
      <c r="M2049" s="116">
        <v>1162.925</v>
      </c>
      <c r="N2049" s="116">
        <v>1174</v>
      </c>
      <c r="O2049" s="116">
        <v>1154.2750000000001</v>
      </c>
      <c r="P2049" s="116">
        <v>1174</v>
      </c>
      <c r="Q2049" s="116">
        <v>2325.85</v>
      </c>
      <c r="R2049">
        <v>7505339</v>
      </c>
    </row>
    <row r="2050" spans="1:18" x14ac:dyDescent="0.25">
      <c r="A2050" s="170">
        <v>45022</v>
      </c>
      <c r="B2050" s="116">
        <v>1177.25</v>
      </c>
      <c r="C2050" s="116">
        <v>1170.5</v>
      </c>
      <c r="D2050" s="116">
        <v>1159.0250000000001</v>
      </c>
      <c r="E2050" s="116">
        <v>1160</v>
      </c>
      <c r="F2050" s="116">
        <v>2341</v>
      </c>
      <c r="G2050">
        <v>144642</v>
      </c>
      <c r="H2050" s="116"/>
      <c r="I2050" s="116"/>
      <c r="L2050" s="170">
        <v>45022</v>
      </c>
      <c r="M2050" s="116">
        <v>1170.7249999999999</v>
      </c>
      <c r="N2050" s="116">
        <v>1177</v>
      </c>
      <c r="O2050" s="116">
        <v>1159.075</v>
      </c>
      <c r="P2050" s="116">
        <v>1159.075</v>
      </c>
      <c r="Q2050" s="116">
        <v>2341.4499999999998</v>
      </c>
      <c r="R2050">
        <v>8507771</v>
      </c>
    </row>
    <row r="2051" spans="1:18" x14ac:dyDescent="0.25">
      <c r="A2051" s="170">
        <v>45026</v>
      </c>
      <c r="B2051" s="116">
        <v>1175.2</v>
      </c>
      <c r="C2051" s="116">
        <v>1162.3</v>
      </c>
      <c r="D2051" s="116">
        <v>1160.95</v>
      </c>
      <c r="E2051" s="116">
        <v>1173</v>
      </c>
      <c r="F2051" s="116">
        <v>2324.6</v>
      </c>
      <c r="G2051">
        <v>93595</v>
      </c>
      <c r="H2051" s="116"/>
      <c r="I2051" s="116"/>
      <c r="L2051" s="170">
        <v>45026</v>
      </c>
      <c r="M2051" s="116">
        <v>1162.425</v>
      </c>
      <c r="N2051" s="116">
        <v>1175.2</v>
      </c>
      <c r="O2051" s="116">
        <v>1160.7750000000001</v>
      </c>
      <c r="P2051" s="116">
        <v>1175</v>
      </c>
      <c r="Q2051" s="116">
        <v>2324.85</v>
      </c>
      <c r="R2051">
        <v>5981688</v>
      </c>
    </row>
    <row r="2052" spans="1:18" x14ac:dyDescent="0.25">
      <c r="A2052" s="170">
        <v>45027</v>
      </c>
      <c r="B2052" s="116">
        <v>1170.5</v>
      </c>
      <c r="C2052" s="116">
        <v>1168.1500000000001</v>
      </c>
      <c r="D2052" s="116">
        <v>1162</v>
      </c>
      <c r="E2052" s="116">
        <v>1165</v>
      </c>
      <c r="F2052" s="116">
        <v>2336.3000000000002</v>
      </c>
      <c r="G2052">
        <v>105010</v>
      </c>
      <c r="H2052" s="116"/>
      <c r="I2052" s="116"/>
      <c r="L2052" s="170">
        <v>45027</v>
      </c>
      <c r="M2052" s="116">
        <v>1168.175</v>
      </c>
      <c r="N2052" s="116">
        <v>1170.5</v>
      </c>
      <c r="O2052" s="116">
        <v>1162.0250000000001</v>
      </c>
      <c r="P2052" s="116">
        <v>1167</v>
      </c>
      <c r="Q2052" s="116">
        <v>2336.35</v>
      </c>
      <c r="R2052">
        <v>4865301</v>
      </c>
    </row>
    <row r="2053" spans="1:18" x14ac:dyDescent="0.25">
      <c r="A2053" s="170">
        <v>45028</v>
      </c>
      <c r="B2053" s="116">
        <v>1184.125</v>
      </c>
      <c r="C2053" s="116">
        <v>1173.2</v>
      </c>
      <c r="D2053" s="116">
        <v>1165.0250000000001</v>
      </c>
      <c r="E2053" s="116">
        <v>1168.1500000000001</v>
      </c>
      <c r="F2053" s="116">
        <v>2346.4</v>
      </c>
      <c r="G2053">
        <v>198164</v>
      </c>
      <c r="H2053" s="116"/>
      <c r="I2053" s="116"/>
      <c r="L2053" s="170">
        <v>45028</v>
      </c>
      <c r="M2053" s="116">
        <v>1173.325</v>
      </c>
      <c r="N2053" s="116">
        <v>1183.9000000000001</v>
      </c>
      <c r="O2053" s="116">
        <v>1165.0250000000001</v>
      </c>
      <c r="P2053" s="116">
        <v>1168.175</v>
      </c>
      <c r="Q2053" s="116">
        <v>2346.65</v>
      </c>
      <c r="R2053">
        <v>8389646</v>
      </c>
    </row>
    <row r="2054" spans="1:18" x14ac:dyDescent="0.25">
      <c r="A2054" s="170">
        <v>45029</v>
      </c>
      <c r="B2054" s="116">
        <v>1182.95</v>
      </c>
      <c r="C2054" s="116">
        <v>1177.825</v>
      </c>
      <c r="D2054" s="116">
        <v>1171.075</v>
      </c>
      <c r="E2054" s="116">
        <v>1175</v>
      </c>
      <c r="F2054" s="116">
        <v>2355.65</v>
      </c>
      <c r="G2054">
        <v>212068</v>
      </c>
      <c r="H2054" s="116"/>
      <c r="I2054" s="116"/>
      <c r="L2054" s="170">
        <v>45029</v>
      </c>
      <c r="M2054" s="116">
        <v>1177.75</v>
      </c>
      <c r="N2054" s="116">
        <v>1182.9000000000001</v>
      </c>
      <c r="O2054" s="116">
        <v>1171</v>
      </c>
      <c r="P2054" s="116">
        <v>1176.5</v>
      </c>
      <c r="Q2054" s="116">
        <v>2355.5</v>
      </c>
      <c r="R2054">
        <v>5712541</v>
      </c>
    </row>
    <row r="2055" spans="1:18" x14ac:dyDescent="0.25">
      <c r="A2055" s="170">
        <v>45033</v>
      </c>
      <c r="B2055" s="116">
        <v>1207.5</v>
      </c>
      <c r="C2055" s="116">
        <v>1183.4000000000001</v>
      </c>
      <c r="D2055" s="116">
        <v>1174.5999999999999</v>
      </c>
      <c r="E2055" s="116">
        <v>1207.5</v>
      </c>
      <c r="F2055" s="116">
        <v>2366.8000000000002</v>
      </c>
      <c r="G2055">
        <v>294432</v>
      </c>
      <c r="H2055" s="116"/>
      <c r="I2055" s="116"/>
      <c r="L2055" s="170">
        <v>45033</v>
      </c>
      <c r="M2055" s="116">
        <v>1183.7249999999999</v>
      </c>
      <c r="N2055" s="116">
        <v>1212.4749999999999</v>
      </c>
      <c r="O2055" s="116">
        <v>1174.5250000000001</v>
      </c>
      <c r="P2055" s="116">
        <v>1212.4749999999999</v>
      </c>
      <c r="Q2055" s="116">
        <v>2367.4499999999998</v>
      </c>
      <c r="R2055">
        <v>8274452</v>
      </c>
    </row>
    <row r="2056" spans="1:18" x14ac:dyDescent="0.25">
      <c r="A2056" s="170">
        <v>45034</v>
      </c>
      <c r="B2056" s="116">
        <v>1188.05</v>
      </c>
      <c r="C2056" s="116">
        <v>1170.0250000000001</v>
      </c>
      <c r="D2056" s="116">
        <v>1163</v>
      </c>
      <c r="E2056" s="116">
        <v>1185.3499999999999</v>
      </c>
      <c r="F2056" s="116">
        <v>2340.0500000000002</v>
      </c>
      <c r="G2056">
        <v>151805</v>
      </c>
      <c r="H2056" s="116"/>
      <c r="I2056" s="116"/>
      <c r="L2056" s="170">
        <v>45034</v>
      </c>
      <c r="M2056" s="116">
        <v>1170.175</v>
      </c>
      <c r="N2056" s="116">
        <v>1188.5</v>
      </c>
      <c r="O2056" s="116">
        <v>1163</v>
      </c>
      <c r="P2056" s="116">
        <v>1188.5</v>
      </c>
      <c r="Q2056" s="116">
        <v>2340.35</v>
      </c>
      <c r="R2056">
        <v>4802172</v>
      </c>
    </row>
    <row r="2057" spans="1:18" x14ac:dyDescent="0.25">
      <c r="A2057" s="170">
        <v>45035</v>
      </c>
      <c r="B2057" s="116">
        <v>1179</v>
      </c>
      <c r="C2057" s="116">
        <v>1175.825</v>
      </c>
      <c r="D2057" s="116">
        <v>1166.125</v>
      </c>
      <c r="E2057" s="116">
        <v>1168.5</v>
      </c>
      <c r="F2057" s="116">
        <v>2351.65</v>
      </c>
      <c r="G2057">
        <v>96087</v>
      </c>
      <c r="H2057" s="116"/>
      <c r="I2057" s="116"/>
      <c r="L2057" s="170">
        <v>45035</v>
      </c>
      <c r="M2057" s="116">
        <v>1176</v>
      </c>
      <c r="N2057" s="116">
        <v>1178.95</v>
      </c>
      <c r="O2057" s="116">
        <v>1166.0999999999999</v>
      </c>
      <c r="P2057" s="116">
        <v>1169.5250000000001</v>
      </c>
      <c r="Q2057" s="116">
        <v>2352</v>
      </c>
      <c r="R2057">
        <v>5664207</v>
      </c>
    </row>
    <row r="2058" spans="1:18" x14ac:dyDescent="0.25">
      <c r="A2058" s="170">
        <v>45036</v>
      </c>
      <c r="B2058" s="116">
        <v>1179.5</v>
      </c>
      <c r="C2058" s="116">
        <v>1172.8499999999999</v>
      </c>
      <c r="D2058" s="116">
        <v>1166.5</v>
      </c>
      <c r="E2058" s="116">
        <v>1175.0999999999999</v>
      </c>
      <c r="F2058" s="116">
        <v>2345.6999999999998</v>
      </c>
      <c r="G2058">
        <v>140197</v>
      </c>
      <c r="H2058" s="116"/>
      <c r="I2058" s="116"/>
      <c r="L2058" s="170">
        <v>45036</v>
      </c>
      <c r="M2058" s="116">
        <v>1173.0250000000001</v>
      </c>
      <c r="N2058" s="116">
        <v>1179.5</v>
      </c>
      <c r="O2058" s="116">
        <v>1166.05</v>
      </c>
      <c r="P2058" s="116">
        <v>1177.05</v>
      </c>
      <c r="Q2058" s="116">
        <v>2346.0500000000002</v>
      </c>
      <c r="R2058">
        <v>3233882</v>
      </c>
    </row>
    <row r="2059" spans="1:18" x14ac:dyDescent="0.25">
      <c r="A2059" s="170">
        <v>45037</v>
      </c>
      <c r="B2059" s="116">
        <v>1180.425</v>
      </c>
      <c r="C2059" s="116">
        <v>1174.45</v>
      </c>
      <c r="D2059" s="116">
        <v>1169</v>
      </c>
      <c r="E2059" s="116">
        <v>1174.0250000000001</v>
      </c>
      <c r="F2059" s="116">
        <v>2348.9</v>
      </c>
      <c r="G2059">
        <v>99384</v>
      </c>
      <c r="H2059" s="116"/>
      <c r="I2059" s="116"/>
      <c r="L2059" s="170">
        <v>45037</v>
      </c>
      <c r="M2059" s="116">
        <v>1174.5</v>
      </c>
      <c r="N2059" s="116">
        <v>1180.5</v>
      </c>
      <c r="O2059" s="116">
        <v>1168.2</v>
      </c>
      <c r="P2059" s="116">
        <v>1175.325</v>
      </c>
      <c r="Q2059" s="116">
        <v>2349</v>
      </c>
      <c r="R2059">
        <v>3529236</v>
      </c>
    </row>
    <row r="2060" spans="1:18" x14ac:dyDescent="0.25">
      <c r="A2060" s="170">
        <v>45040</v>
      </c>
      <c r="B2060" s="116">
        <v>1191.45</v>
      </c>
      <c r="C2060" s="116">
        <v>1178.575</v>
      </c>
      <c r="D2060" s="116">
        <v>1174.3499999999999</v>
      </c>
      <c r="E2060" s="116">
        <v>1182.5</v>
      </c>
      <c r="F2060" s="116">
        <v>2357.15</v>
      </c>
      <c r="G2060">
        <v>253679</v>
      </c>
      <c r="H2060" s="116"/>
      <c r="I2060" s="116"/>
      <c r="L2060" s="170">
        <v>45040</v>
      </c>
      <c r="M2060" s="116">
        <v>1179</v>
      </c>
      <c r="N2060" s="116">
        <v>1190.45</v>
      </c>
      <c r="O2060" s="116">
        <v>1174</v>
      </c>
      <c r="P2060" s="116">
        <v>1187.5</v>
      </c>
      <c r="Q2060" s="116">
        <v>2358</v>
      </c>
      <c r="R2060">
        <v>5970048</v>
      </c>
    </row>
    <row r="2061" spans="1:18" x14ac:dyDescent="0.25">
      <c r="A2061" s="170">
        <v>45041</v>
      </c>
      <c r="B2061" s="116">
        <v>1190.5</v>
      </c>
      <c r="C2061" s="116">
        <v>1187.55</v>
      </c>
      <c r="D2061" s="116">
        <v>1175.175</v>
      </c>
      <c r="E2061" s="116">
        <v>1184.4000000000001</v>
      </c>
      <c r="F2061" s="116">
        <v>2375.1</v>
      </c>
      <c r="G2061">
        <v>92349</v>
      </c>
      <c r="H2061" s="116"/>
      <c r="I2061" s="116"/>
      <c r="L2061" s="170">
        <v>45041</v>
      </c>
      <c r="M2061" s="116">
        <v>1188.0250000000001</v>
      </c>
      <c r="N2061" s="116">
        <v>1190.3</v>
      </c>
      <c r="O2061" s="116">
        <v>1175.25</v>
      </c>
      <c r="P2061" s="116">
        <v>1183</v>
      </c>
      <c r="Q2061" s="116">
        <v>2376.0500000000002</v>
      </c>
      <c r="R2061">
        <v>4262471</v>
      </c>
    </row>
    <row r="2062" spans="1:18" x14ac:dyDescent="0.25">
      <c r="A2062" s="170">
        <v>45042</v>
      </c>
      <c r="B2062" s="116">
        <v>1190.75</v>
      </c>
      <c r="C2062" s="116">
        <v>1181.0250000000001</v>
      </c>
      <c r="D2062" s="116">
        <v>1176.925</v>
      </c>
      <c r="E2062" s="116">
        <v>1189.9000000000001</v>
      </c>
      <c r="F2062" s="116">
        <v>2362.0500000000002</v>
      </c>
      <c r="G2062">
        <v>145620</v>
      </c>
      <c r="H2062" s="116"/>
      <c r="I2062" s="116"/>
      <c r="L2062" s="170">
        <v>45042</v>
      </c>
      <c r="M2062" s="116">
        <v>1181.05</v>
      </c>
      <c r="N2062" s="116">
        <v>1193.05</v>
      </c>
      <c r="O2062" s="116">
        <v>1177.0250000000001</v>
      </c>
      <c r="P2062" s="116">
        <v>1189.5</v>
      </c>
      <c r="Q2062" s="116">
        <v>2362.1</v>
      </c>
      <c r="R2062">
        <v>3977129</v>
      </c>
    </row>
    <row r="2063" spans="1:18" x14ac:dyDescent="0.25">
      <c r="A2063" s="170">
        <v>45043</v>
      </c>
      <c r="B2063" s="116">
        <v>1191.5</v>
      </c>
      <c r="C2063" s="116">
        <v>1188.75</v>
      </c>
      <c r="D2063" s="116">
        <v>1182</v>
      </c>
      <c r="E2063" s="116">
        <v>1182.5</v>
      </c>
      <c r="F2063" s="116">
        <v>2377.5</v>
      </c>
      <c r="G2063">
        <v>85772</v>
      </c>
      <c r="H2063" s="116"/>
      <c r="I2063" s="116"/>
      <c r="L2063" s="170">
        <v>45043</v>
      </c>
      <c r="M2063" s="116">
        <v>1188.5250000000001</v>
      </c>
      <c r="N2063" s="116">
        <v>1192</v>
      </c>
      <c r="O2063" s="116">
        <v>1182</v>
      </c>
      <c r="P2063" s="116">
        <v>1187.5</v>
      </c>
      <c r="Q2063" s="116">
        <v>2377.0500000000002</v>
      </c>
      <c r="R2063">
        <v>4230627</v>
      </c>
    </row>
    <row r="2064" spans="1:18" x14ac:dyDescent="0.25">
      <c r="A2064" s="170">
        <v>45044</v>
      </c>
      <c r="B2064" s="116">
        <v>1212</v>
      </c>
      <c r="C2064" s="116">
        <v>1210.0999999999999</v>
      </c>
      <c r="D2064" s="116">
        <v>1189.9000000000001</v>
      </c>
      <c r="E2064" s="116">
        <v>1189.925</v>
      </c>
      <c r="F2064" s="116">
        <v>2420.1999999999998</v>
      </c>
      <c r="G2064">
        <v>394972</v>
      </c>
      <c r="H2064" s="116"/>
      <c r="I2064" s="116"/>
      <c r="L2064" s="170">
        <v>45044</v>
      </c>
      <c r="M2064" s="116">
        <v>1210.25</v>
      </c>
      <c r="N2064" s="116">
        <v>1211.95</v>
      </c>
      <c r="O2064" s="116">
        <v>1190.875</v>
      </c>
      <c r="P2064" s="116">
        <v>1191</v>
      </c>
      <c r="Q2064" s="116">
        <v>2420.5</v>
      </c>
      <c r="R2064">
        <v>7183342</v>
      </c>
    </row>
    <row r="2065" spans="1:18" x14ac:dyDescent="0.25">
      <c r="A2065" s="170">
        <v>45048</v>
      </c>
      <c r="B2065" s="116">
        <v>1223</v>
      </c>
      <c r="C2065" s="116">
        <v>1220.5250000000001</v>
      </c>
      <c r="D2065" s="116">
        <v>1214.375</v>
      </c>
      <c r="E2065" s="116">
        <v>1220</v>
      </c>
      <c r="F2065" s="116">
        <v>2441.0500000000002</v>
      </c>
      <c r="G2065">
        <v>145848</v>
      </c>
      <c r="H2065" s="116"/>
      <c r="I2065" s="116"/>
      <c r="L2065" s="170">
        <v>45048</v>
      </c>
      <c r="M2065" s="116">
        <v>1220.5250000000001</v>
      </c>
      <c r="N2065" s="116">
        <v>1222.9000000000001</v>
      </c>
      <c r="O2065" s="116">
        <v>1214.05</v>
      </c>
      <c r="P2065" s="116">
        <v>1218.0999999999999</v>
      </c>
      <c r="Q2065" s="116">
        <v>2441.0500000000002</v>
      </c>
      <c r="R2065">
        <v>5991101</v>
      </c>
    </row>
    <row r="2066" spans="1:18" x14ac:dyDescent="0.25">
      <c r="A2066" s="170">
        <v>45049</v>
      </c>
      <c r="B2066" s="116">
        <v>1223.5</v>
      </c>
      <c r="C2066" s="116">
        <v>1209.9000000000001</v>
      </c>
      <c r="D2066" s="116">
        <v>1206.675</v>
      </c>
      <c r="E2066" s="116">
        <v>1223.5</v>
      </c>
      <c r="F2066" s="116">
        <v>2419.8000000000002</v>
      </c>
      <c r="G2066">
        <v>89389</v>
      </c>
      <c r="H2066" s="116"/>
      <c r="I2066" s="116"/>
      <c r="L2066" s="170">
        <v>45049</v>
      </c>
      <c r="M2066" s="116">
        <v>1210.05</v>
      </c>
      <c r="N2066" s="116">
        <v>1222.5</v>
      </c>
      <c r="O2066" s="116">
        <v>1206.5250000000001</v>
      </c>
      <c r="P2066" s="116">
        <v>1222.5</v>
      </c>
      <c r="Q2066" s="116">
        <v>2420.1</v>
      </c>
      <c r="R2066">
        <v>3259053</v>
      </c>
    </row>
    <row r="2067" spans="1:18" x14ac:dyDescent="0.25">
      <c r="A2067" s="170">
        <v>45050</v>
      </c>
      <c r="B2067" s="116">
        <v>1226.125</v>
      </c>
      <c r="C2067" s="116">
        <v>1223.9000000000001</v>
      </c>
      <c r="D2067" s="116">
        <v>1207.125</v>
      </c>
      <c r="E2067" s="116">
        <v>1211.7</v>
      </c>
      <c r="F2067" s="116">
        <v>2447.8000000000002</v>
      </c>
      <c r="G2067">
        <v>88436</v>
      </c>
      <c r="H2067" s="116"/>
      <c r="I2067" s="116"/>
      <c r="L2067" s="170">
        <v>45050</v>
      </c>
      <c r="M2067" s="116">
        <v>1224</v>
      </c>
      <c r="N2067" s="116">
        <v>1226.425</v>
      </c>
      <c r="O2067" s="116">
        <v>1207.3</v>
      </c>
      <c r="P2067" s="116">
        <v>1210.575</v>
      </c>
      <c r="Q2067" s="116">
        <v>2448</v>
      </c>
      <c r="R2067">
        <v>3985159</v>
      </c>
    </row>
    <row r="2068" spans="1:18" x14ac:dyDescent="0.25">
      <c r="A2068" s="170">
        <v>45051</v>
      </c>
      <c r="B2068" s="116">
        <v>1230.8499999999999</v>
      </c>
      <c r="C2068" s="116">
        <v>1220.6500000000001</v>
      </c>
      <c r="D2068" s="116">
        <v>1217.875</v>
      </c>
      <c r="E2068" s="116">
        <v>1222</v>
      </c>
      <c r="F2068" s="116">
        <v>2441.3000000000002</v>
      </c>
      <c r="G2068">
        <v>81483</v>
      </c>
      <c r="H2068" s="116"/>
      <c r="I2068" s="116"/>
      <c r="L2068" s="170">
        <v>45051</v>
      </c>
      <c r="M2068" s="116">
        <v>1220.875</v>
      </c>
      <c r="N2068" s="116">
        <v>1230.675</v>
      </c>
      <c r="O2068" s="116">
        <v>1218</v>
      </c>
      <c r="P2068" s="116">
        <v>1220.5</v>
      </c>
      <c r="Q2068" s="116">
        <v>2441.75</v>
      </c>
      <c r="R2068">
        <v>4036548</v>
      </c>
    </row>
    <row r="2069" spans="1:18" x14ac:dyDescent="0.25">
      <c r="A2069" s="170">
        <v>45054</v>
      </c>
      <c r="B2069" s="116">
        <v>1241.75</v>
      </c>
      <c r="C2069" s="116">
        <v>1235.675</v>
      </c>
      <c r="D2069" s="116">
        <v>1222.425</v>
      </c>
      <c r="E2069" s="116">
        <v>1225.4749999999999</v>
      </c>
      <c r="F2069" s="116">
        <v>2471.35</v>
      </c>
      <c r="G2069">
        <v>92596</v>
      </c>
      <c r="H2069" s="116"/>
      <c r="I2069" s="116"/>
      <c r="L2069" s="170">
        <v>45054</v>
      </c>
      <c r="M2069" s="116">
        <v>1235.95</v>
      </c>
      <c r="N2069" s="116">
        <v>1241.825</v>
      </c>
      <c r="O2069" s="116">
        <v>1222.075</v>
      </c>
      <c r="P2069" s="116">
        <v>1225</v>
      </c>
      <c r="Q2069" s="116">
        <v>2471.9</v>
      </c>
      <c r="R2069">
        <v>4224469</v>
      </c>
    </row>
    <row r="2070" spans="1:18" x14ac:dyDescent="0.25">
      <c r="A2070" s="170">
        <v>45055</v>
      </c>
      <c r="B2070" s="116">
        <v>1243.4749999999999</v>
      </c>
      <c r="C2070" s="116">
        <v>1239.575</v>
      </c>
      <c r="D2070" s="116">
        <v>1231.75</v>
      </c>
      <c r="E2070" s="116">
        <v>1237.5</v>
      </c>
      <c r="F2070" s="116">
        <v>2479.15</v>
      </c>
      <c r="G2070">
        <v>65220</v>
      </c>
      <c r="H2070" s="116"/>
      <c r="I2070" s="116"/>
      <c r="L2070" s="170">
        <v>45055</v>
      </c>
      <c r="M2070" s="116">
        <v>1239.7750000000001</v>
      </c>
      <c r="N2070" s="116">
        <v>1243.4000000000001</v>
      </c>
      <c r="O2070" s="116">
        <v>1231.625</v>
      </c>
      <c r="P2070" s="116">
        <v>1237.5</v>
      </c>
      <c r="Q2070" s="116">
        <v>2479.5500000000002</v>
      </c>
      <c r="R2070">
        <v>2983468</v>
      </c>
    </row>
    <row r="2071" spans="1:18" x14ac:dyDescent="0.25">
      <c r="A2071" s="170">
        <v>45056</v>
      </c>
      <c r="B2071" s="116">
        <v>1249.95</v>
      </c>
      <c r="C2071" s="116">
        <v>1248.1500000000001</v>
      </c>
      <c r="D2071" s="116">
        <v>1240.75</v>
      </c>
      <c r="E2071" s="116">
        <v>1242.8</v>
      </c>
      <c r="F2071" s="116">
        <v>2496.3000000000002</v>
      </c>
      <c r="G2071">
        <v>99083</v>
      </c>
      <c r="H2071" s="116"/>
      <c r="I2071" s="116"/>
      <c r="L2071" s="170">
        <v>45056</v>
      </c>
      <c r="M2071" s="116">
        <v>1248.3</v>
      </c>
      <c r="N2071" s="116">
        <v>1249.925</v>
      </c>
      <c r="O2071" s="116">
        <v>1240.5999999999999</v>
      </c>
      <c r="P2071" s="116">
        <v>1245</v>
      </c>
      <c r="Q2071" s="116">
        <v>2496.6</v>
      </c>
      <c r="R2071">
        <v>5017544</v>
      </c>
    </row>
    <row r="2072" spans="1:18" x14ac:dyDescent="0.25">
      <c r="A2072" s="170">
        <v>45057</v>
      </c>
      <c r="B2072" s="116">
        <v>1254.5</v>
      </c>
      <c r="C2072" s="116">
        <v>1239.1500000000001</v>
      </c>
      <c r="D2072" s="116">
        <v>1236.9000000000001</v>
      </c>
      <c r="E2072" s="116">
        <v>1249.75</v>
      </c>
      <c r="F2072" s="116">
        <v>2478.3000000000002</v>
      </c>
      <c r="G2072">
        <v>98850</v>
      </c>
      <c r="H2072" s="116"/>
      <c r="I2072" s="116"/>
      <c r="L2072" s="170">
        <v>45057</v>
      </c>
      <c r="M2072" s="116">
        <v>1240.1500000000001</v>
      </c>
      <c r="N2072" s="116">
        <v>1254.75</v>
      </c>
      <c r="O2072" s="116">
        <v>1238.2750000000001</v>
      </c>
      <c r="P2072" s="116">
        <v>1249.4749999999999</v>
      </c>
      <c r="Q2072" s="116">
        <v>2480.3000000000002</v>
      </c>
      <c r="R2072">
        <v>4872451</v>
      </c>
    </row>
    <row r="2073" spans="1:18" x14ac:dyDescent="0.25">
      <c r="A2073" s="170">
        <v>45058</v>
      </c>
      <c r="B2073" s="116">
        <v>1244</v>
      </c>
      <c r="C2073" s="116">
        <v>1242.05</v>
      </c>
      <c r="D2073" s="116">
        <v>1228.2750000000001</v>
      </c>
      <c r="E2073" s="116">
        <v>1238.5</v>
      </c>
      <c r="F2073" s="116">
        <v>2484.1</v>
      </c>
      <c r="G2073">
        <v>61427</v>
      </c>
      <c r="H2073" s="116"/>
      <c r="I2073" s="116"/>
      <c r="L2073" s="170">
        <v>45058</v>
      </c>
      <c r="M2073" s="116">
        <v>1242.175</v>
      </c>
      <c r="N2073" s="116">
        <v>1243.7</v>
      </c>
      <c r="O2073" s="116">
        <v>1228.25</v>
      </c>
      <c r="P2073" s="116">
        <v>1234.9000000000001</v>
      </c>
      <c r="Q2073" s="116">
        <v>2484.35</v>
      </c>
      <c r="R2073">
        <v>3209889</v>
      </c>
    </row>
    <row r="2074" spans="1:18" x14ac:dyDescent="0.25">
      <c r="A2074" s="170">
        <v>45061</v>
      </c>
      <c r="B2074" s="116">
        <v>1251.875</v>
      </c>
      <c r="C2074" s="116">
        <v>1244.075</v>
      </c>
      <c r="D2074" s="116">
        <v>1236.3</v>
      </c>
      <c r="E2074" s="116">
        <v>1243</v>
      </c>
      <c r="F2074" s="116">
        <v>2488.15</v>
      </c>
      <c r="G2074">
        <v>67628</v>
      </c>
      <c r="H2074" s="116"/>
      <c r="I2074" s="116"/>
      <c r="L2074" s="170">
        <v>45061</v>
      </c>
      <c r="M2074" s="116">
        <v>1244.625</v>
      </c>
      <c r="N2074" s="116">
        <v>1252.2750000000001</v>
      </c>
      <c r="O2074" s="116">
        <v>1236.575</v>
      </c>
      <c r="P2074" s="116">
        <v>1244.95</v>
      </c>
      <c r="Q2074" s="116">
        <v>2489.25</v>
      </c>
      <c r="R2074">
        <v>3153587</v>
      </c>
    </row>
    <row r="2075" spans="1:18" x14ac:dyDescent="0.25">
      <c r="A2075" s="170">
        <v>45062</v>
      </c>
      <c r="B2075" s="116">
        <v>1249</v>
      </c>
      <c r="C2075" s="116">
        <v>1226.925</v>
      </c>
      <c r="D2075" s="116">
        <v>1225.5</v>
      </c>
      <c r="E2075" s="116">
        <v>1248</v>
      </c>
      <c r="F2075" s="116">
        <v>2453.85</v>
      </c>
      <c r="G2075">
        <v>83298</v>
      </c>
      <c r="H2075" s="116"/>
      <c r="I2075" s="116"/>
      <c r="L2075" s="170">
        <v>45062</v>
      </c>
      <c r="M2075" s="116">
        <v>1226.9000000000001</v>
      </c>
      <c r="N2075" s="116">
        <v>1249.8</v>
      </c>
      <c r="O2075" s="116">
        <v>1225.075</v>
      </c>
      <c r="P2075" s="116">
        <v>1247</v>
      </c>
      <c r="Q2075" s="116">
        <v>2453.8000000000002</v>
      </c>
      <c r="R2075">
        <v>4023000</v>
      </c>
    </row>
    <row r="2076" spans="1:18" x14ac:dyDescent="0.25">
      <c r="A2076" s="170">
        <v>45063</v>
      </c>
      <c r="B2076" s="116">
        <v>1231.8499999999999</v>
      </c>
      <c r="C2076" s="116">
        <v>1219.4000000000001</v>
      </c>
      <c r="D2076" s="116">
        <v>1214.5999999999999</v>
      </c>
      <c r="E2076" s="116">
        <v>1230.175</v>
      </c>
      <c r="F2076" s="116">
        <v>2438.8000000000002</v>
      </c>
      <c r="G2076">
        <v>158298</v>
      </c>
      <c r="H2076" s="116"/>
      <c r="I2076" s="116"/>
      <c r="L2076" s="170">
        <v>45063</v>
      </c>
      <c r="M2076" s="116">
        <v>1219.6500000000001</v>
      </c>
      <c r="N2076" s="116">
        <v>1232.5</v>
      </c>
      <c r="O2076" s="116">
        <v>1214.5</v>
      </c>
      <c r="P2076" s="116">
        <v>1231.5</v>
      </c>
      <c r="Q2076" s="116">
        <v>2439.3000000000002</v>
      </c>
      <c r="R2076">
        <v>4060722</v>
      </c>
    </row>
    <row r="2077" spans="1:18" x14ac:dyDescent="0.25">
      <c r="A2077" s="170">
        <v>45064</v>
      </c>
      <c r="B2077" s="116">
        <v>1228.05</v>
      </c>
      <c r="C2077" s="116">
        <v>1216.925</v>
      </c>
      <c r="D2077" s="116">
        <v>1214</v>
      </c>
      <c r="E2077" s="116">
        <v>1227.4000000000001</v>
      </c>
      <c r="F2077" s="116">
        <v>2433.85</v>
      </c>
      <c r="G2077">
        <v>56823</v>
      </c>
      <c r="H2077" s="116"/>
      <c r="I2077" s="116"/>
      <c r="L2077" s="170">
        <v>45064</v>
      </c>
      <c r="M2077" s="116">
        <v>1217.0250000000001</v>
      </c>
      <c r="N2077" s="116">
        <v>1228.5</v>
      </c>
      <c r="O2077" s="116">
        <v>1213.575</v>
      </c>
      <c r="P2077" s="116">
        <v>1224.7750000000001</v>
      </c>
      <c r="Q2077" s="116">
        <v>2434.0500000000002</v>
      </c>
      <c r="R2077">
        <v>4857531</v>
      </c>
    </row>
    <row r="2078" spans="1:18" x14ac:dyDescent="0.25">
      <c r="A2078" s="170">
        <v>45065</v>
      </c>
      <c r="B2078" s="116">
        <v>1222.875</v>
      </c>
      <c r="C2078" s="116">
        <v>1221.4000000000001</v>
      </c>
      <c r="D2078" s="116">
        <v>1209.7750000000001</v>
      </c>
      <c r="E2078" s="116">
        <v>1216.3499999999999</v>
      </c>
      <c r="F2078" s="116">
        <v>2442.8000000000002</v>
      </c>
      <c r="G2078">
        <v>54880</v>
      </c>
      <c r="H2078" s="116"/>
      <c r="I2078" s="116"/>
      <c r="L2078" s="170">
        <v>45065</v>
      </c>
      <c r="M2078" s="116">
        <v>1220.9749999999999</v>
      </c>
      <c r="N2078" s="116">
        <v>1222.9749999999999</v>
      </c>
      <c r="O2078" s="116">
        <v>1209.425</v>
      </c>
      <c r="P2078" s="116">
        <v>1217.0250000000001</v>
      </c>
      <c r="Q2078" s="116">
        <v>2441.9499999999998</v>
      </c>
      <c r="R2078">
        <v>3715280</v>
      </c>
    </row>
    <row r="2079" spans="1:18" x14ac:dyDescent="0.25">
      <c r="A2079" s="170">
        <v>45068</v>
      </c>
      <c r="B2079" s="116">
        <v>1232.5</v>
      </c>
      <c r="C2079" s="116">
        <v>1227.25</v>
      </c>
      <c r="D2079" s="116">
        <v>1215</v>
      </c>
      <c r="E2079" s="116">
        <v>1215</v>
      </c>
      <c r="F2079" s="116">
        <v>2454.5</v>
      </c>
      <c r="G2079">
        <v>144136</v>
      </c>
      <c r="H2079" s="116"/>
      <c r="I2079" s="116"/>
      <c r="L2079" s="170">
        <v>45068</v>
      </c>
      <c r="M2079" s="116">
        <v>1227.5</v>
      </c>
      <c r="N2079" s="116">
        <v>1233</v>
      </c>
      <c r="O2079" s="116">
        <v>1216.175</v>
      </c>
      <c r="P2079" s="116">
        <v>1217.5</v>
      </c>
      <c r="Q2079" s="116">
        <v>2455</v>
      </c>
      <c r="R2079">
        <v>3431208</v>
      </c>
    </row>
    <row r="2080" spans="1:18" x14ac:dyDescent="0.25">
      <c r="A2080" s="170">
        <v>45069</v>
      </c>
      <c r="B2080" s="116">
        <v>1234.125</v>
      </c>
      <c r="C2080" s="116">
        <v>1227.05</v>
      </c>
      <c r="D2080" s="116">
        <v>1225.925</v>
      </c>
      <c r="E2080" s="116">
        <v>1232.5</v>
      </c>
      <c r="F2080" s="116">
        <v>2454.1</v>
      </c>
      <c r="G2080">
        <v>87497</v>
      </c>
      <c r="H2080" s="116"/>
      <c r="I2080" s="116"/>
      <c r="L2080" s="170">
        <v>45069</v>
      </c>
      <c r="M2080" s="116">
        <v>1227.2750000000001</v>
      </c>
      <c r="N2080" s="116">
        <v>1234</v>
      </c>
      <c r="O2080" s="116">
        <v>1225.7249999999999</v>
      </c>
      <c r="P2080" s="116">
        <v>1230.325</v>
      </c>
      <c r="Q2080" s="116">
        <v>2454.5500000000002</v>
      </c>
      <c r="R2080">
        <v>2811473</v>
      </c>
    </row>
    <row r="2081" spans="1:18" x14ac:dyDescent="0.25">
      <c r="A2081" s="170">
        <v>45070</v>
      </c>
      <c r="B2081" s="116">
        <v>1231.5</v>
      </c>
      <c r="C2081" s="116">
        <v>1218.5250000000001</v>
      </c>
      <c r="D2081" s="116">
        <v>1216.6500000000001</v>
      </c>
      <c r="E2081" s="116">
        <v>1223.3</v>
      </c>
      <c r="F2081" s="116">
        <v>2437.0500000000002</v>
      </c>
      <c r="G2081">
        <v>154319</v>
      </c>
      <c r="H2081" s="116"/>
      <c r="I2081" s="116"/>
      <c r="L2081" s="170">
        <v>45070</v>
      </c>
      <c r="M2081" s="116">
        <v>1220.125</v>
      </c>
      <c r="N2081" s="116">
        <v>1232</v>
      </c>
      <c r="O2081" s="116">
        <v>1216.7249999999999</v>
      </c>
      <c r="P2081" s="116">
        <v>1222.95</v>
      </c>
      <c r="Q2081" s="116">
        <v>2440.25</v>
      </c>
      <c r="R2081">
        <v>3743804</v>
      </c>
    </row>
    <row r="2082" spans="1:18" x14ac:dyDescent="0.25">
      <c r="A2082" s="170">
        <v>45071</v>
      </c>
      <c r="B2082" s="116">
        <v>1224.2249999999999</v>
      </c>
      <c r="C2082" s="116">
        <v>1219.2750000000001</v>
      </c>
      <c r="D2082" s="116">
        <v>1207.8499999999999</v>
      </c>
      <c r="E2082" s="116">
        <v>1216.75</v>
      </c>
      <c r="F2082" s="116">
        <v>2438.5500000000002</v>
      </c>
      <c r="G2082">
        <v>186194</v>
      </c>
      <c r="H2082" s="116"/>
      <c r="I2082" s="116"/>
      <c r="L2082" s="170">
        <v>45071</v>
      </c>
      <c r="M2082" s="116">
        <v>1219.9749999999999</v>
      </c>
      <c r="N2082" s="116">
        <v>1224.5</v>
      </c>
      <c r="O2082" s="116">
        <v>1208.0250000000001</v>
      </c>
      <c r="P2082" s="116">
        <v>1216.95</v>
      </c>
      <c r="Q2082" s="116">
        <v>2439.9499999999998</v>
      </c>
      <c r="R2082">
        <v>5301647</v>
      </c>
    </row>
    <row r="2083" spans="1:18" x14ac:dyDescent="0.25">
      <c r="A2083" s="170">
        <v>45072</v>
      </c>
      <c r="B2083" s="116">
        <v>1255</v>
      </c>
      <c r="C2083" s="116">
        <v>1253.2750000000001</v>
      </c>
      <c r="D2083" s="116">
        <v>1224.575</v>
      </c>
      <c r="E2083" s="116">
        <v>1226.8</v>
      </c>
      <c r="F2083" s="116">
        <v>2506.5500000000002</v>
      </c>
      <c r="G2083">
        <v>261121</v>
      </c>
      <c r="H2083" s="116"/>
      <c r="I2083" s="116"/>
      <c r="L2083" s="170">
        <v>45072</v>
      </c>
      <c r="M2083" s="116">
        <v>1253.25</v>
      </c>
      <c r="N2083" s="116">
        <v>1254.5</v>
      </c>
      <c r="O2083" s="116">
        <v>1225.375</v>
      </c>
      <c r="P2083" s="116">
        <v>1229</v>
      </c>
      <c r="Q2083" s="116">
        <v>2506.5</v>
      </c>
      <c r="R2083">
        <v>5827017</v>
      </c>
    </row>
    <row r="2084" spans="1:18" x14ac:dyDescent="0.25">
      <c r="A2084" s="170">
        <v>45075</v>
      </c>
      <c r="B2084" s="116">
        <v>1265</v>
      </c>
      <c r="C2084" s="116">
        <v>1259.9000000000001</v>
      </c>
      <c r="D2084" s="116">
        <v>1253.4749999999999</v>
      </c>
      <c r="E2084" s="116">
        <v>1259.5</v>
      </c>
      <c r="F2084" s="116">
        <v>2519.8000000000002</v>
      </c>
      <c r="G2084">
        <v>416211</v>
      </c>
      <c r="H2084" s="116"/>
      <c r="I2084" s="116"/>
      <c r="L2084" s="170">
        <v>45075</v>
      </c>
      <c r="M2084" s="116">
        <v>1260.3</v>
      </c>
      <c r="N2084" s="116">
        <v>1265</v>
      </c>
      <c r="O2084" s="116">
        <v>1253.5999999999999</v>
      </c>
      <c r="P2084" s="116">
        <v>1260.5</v>
      </c>
      <c r="Q2084" s="116">
        <v>2520.6</v>
      </c>
      <c r="R2084">
        <v>4619754</v>
      </c>
    </row>
    <row r="2085" spans="1:18" x14ac:dyDescent="0.25">
      <c r="A2085" s="170">
        <v>45076</v>
      </c>
      <c r="B2085" s="116">
        <v>1268.7249999999999</v>
      </c>
      <c r="C2085" s="116">
        <v>1259.7</v>
      </c>
      <c r="D2085" s="116">
        <v>1256.95</v>
      </c>
      <c r="E2085" s="116">
        <v>1260</v>
      </c>
      <c r="F2085" s="116">
        <v>2519.4</v>
      </c>
      <c r="G2085">
        <v>146443</v>
      </c>
      <c r="H2085" s="116"/>
      <c r="I2085" s="116"/>
      <c r="L2085" s="170">
        <v>45076</v>
      </c>
      <c r="M2085" s="116">
        <v>1259.9749999999999</v>
      </c>
      <c r="N2085" s="116">
        <v>1268.8499999999999</v>
      </c>
      <c r="O2085" s="116">
        <v>1257.175</v>
      </c>
      <c r="P2085" s="116">
        <v>1260.3</v>
      </c>
      <c r="Q2085" s="116">
        <v>2519.9499999999998</v>
      </c>
      <c r="R2085">
        <v>5234564</v>
      </c>
    </row>
    <row r="2086" spans="1:18" x14ac:dyDescent="0.25">
      <c r="A2086" s="170">
        <v>45077</v>
      </c>
      <c r="B2086" s="116">
        <v>1254.4749999999999</v>
      </c>
      <c r="C2086" s="116">
        <v>1237.3499999999999</v>
      </c>
      <c r="D2086" s="116">
        <v>1230.8499999999999</v>
      </c>
      <c r="E2086" s="116">
        <v>1253.4749999999999</v>
      </c>
      <c r="F2086" s="116">
        <v>2474.6999999999998</v>
      </c>
      <c r="G2086">
        <v>205076</v>
      </c>
      <c r="H2086" s="116"/>
      <c r="I2086" s="116"/>
      <c r="L2086" s="170">
        <v>45077</v>
      </c>
      <c r="M2086" s="116">
        <v>1234.95</v>
      </c>
      <c r="N2086" s="116">
        <v>1254.925</v>
      </c>
      <c r="O2086" s="116">
        <v>1230.5</v>
      </c>
      <c r="P2086" s="116">
        <v>1250</v>
      </c>
      <c r="Q2086" s="116">
        <v>2469.9</v>
      </c>
      <c r="R2086">
        <v>12510304</v>
      </c>
    </row>
    <row r="2087" spans="1:18" x14ac:dyDescent="0.25">
      <c r="A2087" s="170">
        <v>45078</v>
      </c>
      <c r="B2087" s="116">
        <v>1242.2249999999999</v>
      </c>
      <c r="C2087" s="116">
        <v>1231.0250000000001</v>
      </c>
      <c r="D2087" s="116">
        <v>1228.9749999999999</v>
      </c>
      <c r="E2087" s="116">
        <v>1239</v>
      </c>
      <c r="F2087" s="116">
        <v>2462.0500000000002</v>
      </c>
      <c r="G2087">
        <v>240274</v>
      </c>
      <c r="H2087" s="116"/>
      <c r="I2087" s="116"/>
      <c r="L2087" s="170">
        <v>45078</v>
      </c>
      <c r="M2087" s="116">
        <v>1231.625</v>
      </c>
      <c r="N2087" s="116">
        <v>1242.45</v>
      </c>
      <c r="O2087" s="116">
        <v>1229</v>
      </c>
      <c r="P2087" s="116">
        <v>1240.075</v>
      </c>
      <c r="Q2087" s="116">
        <v>2463.25</v>
      </c>
      <c r="R2087">
        <v>6734525</v>
      </c>
    </row>
    <row r="2088" spans="1:18" x14ac:dyDescent="0.25">
      <c r="A2088" s="170">
        <v>45079</v>
      </c>
      <c r="B2088" s="116">
        <v>1241.4000000000001</v>
      </c>
      <c r="C2088" s="116">
        <v>1227.4749999999999</v>
      </c>
      <c r="D2088" s="116">
        <v>1225.5250000000001</v>
      </c>
      <c r="E2088" s="116">
        <v>1237.5</v>
      </c>
      <c r="F2088" s="116">
        <v>2454.9499999999998</v>
      </c>
      <c r="G2088">
        <v>101224</v>
      </c>
      <c r="H2088" s="116"/>
      <c r="I2088" s="116"/>
      <c r="L2088" s="170">
        <v>45079</v>
      </c>
      <c r="M2088" s="116">
        <v>1227.5999999999999</v>
      </c>
      <c r="N2088" s="116">
        <v>1241.425</v>
      </c>
      <c r="O2088" s="116">
        <v>1225.5</v>
      </c>
      <c r="P2088" s="116">
        <v>1235.5</v>
      </c>
      <c r="Q2088" s="116">
        <v>2455.1999999999998</v>
      </c>
      <c r="R2088">
        <v>7291995</v>
      </c>
    </row>
    <row r="2089" spans="1:18" x14ac:dyDescent="0.25">
      <c r="A2089" s="170">
        <v>45082</v>
      </c>
      <c r="B2089" s="116">
        <v>1241.8499999999999</v>
      </c>
      <c r="C2089" s="116">
        <v>1238.4000000000001</v>
      </c>
      <c r="D2089" s="116">
        <v>1229.05</v>
      </c>
      <c r="E2089" s="116">
        <v>1232.55</v>
      </c>
      <c r="F2089" s="116">
        <v>2476.8000000000002</v>
      </c>
      <c r="G2089">
        <v>119029</v>
      </c>
      <c r="H2089" s="116"/>
      <c r="I2089" s="116"/>
      <c r="L2089" s="170">
        <v>45082</v>
      </c>
      <c r="M2089" s="116">
        <v>1238.625</v>
      </c>
      <c r="N2089" s="116">
        <v>1241.875</v>
      </c>
      <c r="O2089" s="116">
        <v>1229.2249999999999</v>
      </c>
      <c r="P2089" s="116">
        <v>1233.5999999999999</v>
      </c>
      <c r="Q2089" s="116">
        <v>2477.25</v>
      </c>
      <c r="R2089">
        <v>5034355</v>
      </c>
    </row>
    <row r="2090" spans="1:18" x14ac:dyDescent="0.25">
      <c r="A2090" s="170">
        <v>45083</v>
      </c>
      <c r="B2090" s="116">
        <v>1245.05</v>
      </c>
      <c r="C2090" s="116">
        <v>1240.125</v>
      </c>
      <c r="D2090" s="116">
        <v>1231.2750000000001</v>
      </c>
      <c r="E2090" s="116">
        <v>1240.6500000000001</v>
      </c>
      <c r="F2090" s="116">
        <v>2480.25</v>
      </c>
      <c r="G2090">
        <v>115547</v>
      </c>
      <c r="H2090" s="116"/>
      <c r="I2090" s="116"/>
      <c r="L2090" s="170">
        <v>45083</v>
      </c>
      <c r="M2090" s="116">
        <v>1239.675</v>
      </c>
      <c r="N2090" s="116">
        <v>1243.8499999999999</v>
      </c>
      <c r="O2090" s="116">
        <v>1231</v>
      </c>
      <c r="P2090" s="116">
        <v>1241.7249999999999</v>
      </c>
      <c r="Q2090" s="116">
        <v>2479.35</v>
      </c>
      <c r="R2090">
        <v>3458161</v>
      </c>
    </row>
    <row r="2091" spans="1:18" x14ac:dyDescent="0.25">
      <c r="A2091" s="170">
        <v>45084</v>
      </c>
      <c r="B2091" s="116">
        <v>1249.7750000000001</v>
      </c>
      <c r="C2091" s="116">
        <v>1248.7750000000001</v>
      </c>
      <c r="D2091" s="116">
        <v>1236.175</v>
      </c>
      <c r="E2091" s="116">
        <v>1243.05</v>
      </c>
      <c r="F2091" s="116">
        <v>2497.5500000000002</v>
      </c>
      <c r="G2091">
        <v>211341</v>
      </c>
      <c r="H2091" s="116"/>
      <c r="I2091" s="116"/>
      <c r="L2091" s="170">
        <v>45084</v>
      </c>
      <c r="M2091" s="116">
        <v>1249.075</v>
      </c>
      <c r="N2091" s="116">
        <v>1250</v>
      </c>
      <c r="O2091" s="116">
        <v>1236.3</v>
      </c>
      <c r="P2091" s="116">
        <v>1243.5</v>
      </c>
      <c r="Q2091" s="116">
        <v>2498.15</v>
      </c>
      <c r="R2091">
        <v>4759238</v>
      </c>
    </row>
    <row r="2092" spans="1:18" x14ac:dyDescent="0.25">
      <c r="A2092" s="170">
        <v>45085</v>
      </c>
      <c r="B2092" s="116">
        <v>1258</v>
      </c>
      <c r="C2092" s="116">
        <v>1249.9000000000001</v>
      </c>
      <c r="D2092" s="116">
        <v>1245.5</v>
      </c>
      <c r="E2092" s="116">
        <v>1251.2</v>
      </c>
      <c r="F2092" s="116">
        <v>2499.8000000000002</v>
      </c>
      <c r="G2092">
        <v>136486</v>
      </c>
      <c r="H2092" s="116"/>
      <c r="I2092" s="116"/>
      <c r="L2092" s="170">
        <v>45085</v>
      </c>
      <c r="M2092" s="116">
        <v>1249.825</v>
      </c>
      <c r="N2092" s="116">
        <v>1258.425</v>
      </c>
      <c r="O2092" s="116">
        <v>1245.5</v>
      </c>
      <c r="P2092" s="116">
        <v>1253</v>
      </c>
      <c r="Q2092" s="116">
        <v>2499.65</v>
      </c>
      <c r="R2092">
        <v>5570815</v>
      </c>
    </row>
    <row r="2093" spans="1:18" x14ac:dyDescent="0.25">
      <c r="A2093" s="170">
        <v>45086</v>
      </c>
      <c r="B2093" s="116">
        <v>1254.05</v>
      </c>
      <c r="C2093" s="116">
        <v>1240.95</v>
      </c>
      <c r="D2093" s="116">
        <v>1239.0250000000001</v>
      </c>
      <c r="E2093" s="116">
        <v>1247.5250000000001</v>
      </c>
      <c r="F2093" s="116">
        <v>2481.9</v>
      </c>
      <c r="G2093">
        <v>169640</v>
      </c>
      <c r="H2093" s="116"/>
      <c r="I2093" s="116"/>
      <c r="L2093" s="170">
        <v>45086</v>
      </c>
      <c r="M2093" s="116">
        <v>1240.9749999999999</v>
      </c>
      <c r="N2093" s="116">
        <v>1254.2750000000001</v>
      </c>
      <c r="O2093" s="116">
        <v>1239</v>
      </c>
      <c r="P2093" s="116">
        <v>1253.5</v>
      </c>
      <c r="Q2093" s="116">
        <v>2481.9499999999998</v>
      </c>
      <c r="R2093">
        <v>2712243</v>
      </c>
    </row>
    <row r="2094" spans="1:18" x14ac:dyDescent="0.25">
      <c r="A2094" s="170">
        <v>45089</v>
      </c>
      <c r="B2094" s="116">
        <v>1244.5</v>
      </c>
      <c r="C2094" s="116">
        <v>1241.55</v>
      </c>
      <c r="D2094" s="116">
        <v>1232.55</v>
      </c>
      <c r="E2094" s="116">
        <v>1239</v>
      </c>
      <c r="F2094" s="116">
        <v>2483.1</v>
      </c>
      <c r="G2094">
        <v>75549</v>
      </c>
      <c r="H2094" s="116"/>
      <c r="I2094" s="116"/>
      <c r="L2094" s="170">
        <v>45089</v>
      </c>
      <c r="M2094" s="116">
        <v>1242.075</v>
      </c>
      <c r="N2094" s="116">
        <v>1244.5999999999999</v>
      </c>
      <c r="O2094" s="116">
        <v>1232.5</v>
      </c>
      <c r="P2094" s="116">
        <v>1237.75</v>
      </c>
      <c r="Q2094" s="116">
        <v>2484.15</v>
      </c>
      <c r="R2094">
        <v>2949893</v>
      </c>
    </row>
    <row r="2095" spans="1:18" x14ac:dyDescent="0.25">
      <c r="A2095" s="170">
        <v>45090</v>
      </c>
      <c r="B2095" s="116">
        <v>1261.6500000000001</v>
      </c>
      <c r="C2095" s="116">
        <v>1260.2</v>
      </c>
      <c r="D2095" s="116">
        <v>1243.125</v>
      </c>
      <c r="E2095" s="116">
        <v>1245.375</v>
      </c>
      <c r="F2095" s="116">
        <v>2520.4</v>
      </c>
      <c r="G2095">
        <v>205509</v>
      </c>
      <c r="H2095" s="116"/>
      <c r="I2095" s="116"/>
      <c r="L2095" s="170">
        <v>45090</v>
      </c>
      <c r="M2095" s="116">
        <v>1260.425</v>
      </c>
      <c r="N2095" s="116">
        <v>1261.7249999999999</v>
      </c>
      <c r="O2095" s="116">
        <v>1243.125</v>
      </c>
      <c r="P2095" s="116">
        <v>1247.5</v>
      </c>
      <c r="Q2095" s="116">
        <v>2520.85</v>
      </c>
      <c r="R2095">
        <v>5190958</v>
      </c>
    </row>
    <row r="2096" spans="1:18" x14ac:dyDescent="0.25">
      <c r="A2096" s="170">
        <v>45091</v>
      </c>
      <c r="B2096" s="116">
        <v>1277.5</v>
      </c>
      <c r="C2096" s="116">
        <v>1276.3</v>
      </c>
      <c r="D2096" s="116">
        <v>1258.3</v>
      </c>
      <c r="E2096" s="116">
        <v>1259.0250000000001</v>
      </c>
      <c r="F2096" s="116">
        <v>2552.6</v>
      </c>
      <c r="G2096">
        <v>196737</v>
      </c>
      <c r="H2096" s="116"/>
      <c r="I2096" s="116"/>
      <c r="L2096" s="170">
        <v>45091</v>
      </c>
      <c r="M2096" s="116">
        <v>1275.925</v>
      </c>
      <c r="N2096" s="116">
        <v>1277.5</v>
      </c>
      <c r="O2096" s="116">
        <v>1258.5</v>
      </c>
      <c r="P2096" s="116">
        <v>1260.5</v>
      </c>
      <c r="Q2096" s="116">
        <v>2551.85</v>
      </c>
      <c r="R2096">
        <v>6127509</v>
      </c>
    </row>
    <row r="2097" spans="1:18" x14ac:dyDescent="0.25">
      <c r="A2097" s="170">
        <v>45092</v>
      </c>
      <c r="B2097" s="116">
        <v>1280.95</v>
      </c>
      <c r="C2097" s="116">
        <v>1275.7750000000001</v>
      </c>
      <c r="D2097" s="116">
        <v>1267.5999999999999</v>
      </c>
      <c r="E2097" s="116">
        <v>1273.5250000000001</v>
      </c>
      <c r="F2097" s="116">
        <v>2551.5500000000002</v>
      </c>
      <c r="G2097">
        <v>284440</v>
      </c>
      <c r="H2097" s="116"/>
      <c r="I2097" s="116"/>
      <c r="L2097" s="170">
        <v>45092</v>
      </c>
      <c r="M2097" s="116">
        <v>1276.2750000000001</v>
      </c>
      <c r="N2097" s="116">
        <v>1281.2750000000001</v>
      </c>
      <c r="O2097" s="116">
        <v>1267.75</v>
      </c>
      <c r="P2097" s="116">
        <v>1275.9000000000001</v>
      </c>
      <c r="Q2097" s="116">
        <v>2552.5500000000002</v>
      </c>
      <c r="R2097">
        <v>5451926</v>
      </c>
    </row>
    <row r="2098" spans="1:18" x14ac:dyDescent="0.25">
      <c r="A2098" s="170">
        <v>45093</v>
      </c>
      <c r="B2098" s="116">
        <v>1290.5</v>
      </c>
      <c r="C2098" s="116">
        <v>1287.7</v>
      </c>
      <c r="D2098" s="116">
        <v>1277.8</v>
      </c>
      <c r="E2098" s="116">
        <v>1277.8</v>
      </c>
      <c r="F2098" s="116">
        <v>2575.4</v>
      </c>
      <c r="G2098">
        <v>150565</v>
      </c>
      <c r="H2098" s="116"/>
      <c r="I2098" s="116"/>
      <c r="L2098" s="170">
        <v>45093</v>
      </c>
      <c r="M2098" s="116">
        <v>1288.7</v>
      </c>
      <c r="N2098" s="116">
        <v>1291.2</v>
      </c>
      <c r="O2098" s="116">
        <v>1280.0999999999999</v>
      </c>
      <c r="P2098" s="116">
        <v>1280.0999999999999</v>
      </c>
      <c r="Q2098" s="116">
        <v>2577.4</v>
      </c>
      <c r="R2098">
        <v>11155180</v>
      </c>
    </row>
    <row r="2099" spans="1:18" x14ac:dyDescent="0.25">
      <c r="A2099" s="170">
        <v>45096</v>
      </c>
      <c r="B2099" s="116">
        <v>1292</v>
      </c>
      <c r="C2099" s="116">
        <v>1275.75</v>
      </c>
      <c r="D2099" s="116">
        <v>1271.7</v>
      </c>
      <c r="E2099" s="116">
        <v>1291.0999999999999</v>
      </c>
      <c r="F2099" s="116">
        <v>2551.5</v>
      </c>
      <c r="G2099">
        <v>165566</v>
      </c>
      <c r="H2099" s="116"/>
      <c r="I2099" s="116"/>
      <c r="L2099" s="170">
        <v>45096</v>
      </c>
      <c r="M2099" s="116">
        <v>1275.9000000000001</v>
      </c>
      <c r="N2099" s="116">
        <v>1292</v>
      </c>
      <c r="O2099" s="116">
        <v>1271.325</v>
      </c>
      <c r="P2099" s="116">
        <v>1292</v>
      </c>
      <c r="Q2099" s="116">
        <v>2551.8000000000002</v>
      </c>
      <c r="R2099">
        <v>3137532</v>
      </c>
    </row>
    <row r="2100" spans="1:18" x14ac:dyDescent="0.25">
      <c r="A2100" s="170">
        <v>45097</v>
      </c>
      <c r="B2100" s="116">
        <v>1282</v>
      </c>
      <c r="C2100" s="116">
        <v>1273.375</v>
      </c>
      <c r="D2100" s="116">
        <v>1267.5</v>
      </c>
      <c r="E2100" s="116">
        <v>1275.25</v>
      </c>
      <c r="F2100" s="116">
        <v>2546.75</v>
      </c>
      <c r="G2100">
        <v>171359</v>
      </c>
      <c r="H2100" s="116"/>
      <c r="I2100" s="116"/>
      <c r="L2100" s="170">
        <v>45097</v>
      </c>
      <c r="M2100" s="116">
        <v>1278.55</v>
      </c>
      <c r="N2100" s="116">
        <v>1282</v>
      </c>
      <c r="O2100" s="116">
        <v>1267.5</v>
      </c>
      <c r="P2100" s="116">
        <v>1273.7750000000001</v>
      </c>
      <c r="Q2100" s="116">
        <v>2557.1</v>
      </c>
      <c r="R2100">
        <v>3194085</v>
      </c>
    </row>
    <row r="2101" spans="1:18" x14ac:dyDescent="0.25">
      <c r="A2101" s="170">
        <v>45098</v>
      </c>
      <c r="B2101" s="116">
        <v>1284.55</v>
      </c>
      <c r="C2101" s="116">
        <v>1281.8</v>
      </c>
      <c r="D2101" s="116">
        <v>1273.9749999999999</v>
      </c>
      <c r="E2101" s="116">
        <v>1278.175</v>
      </c>
      <c r="F2101" s="116">
        <v>2563.6</v>
      </c>
      <c r="G2101">
        <v>144710</v>
      </c>
      <c r="H2101" s="116"/>
      <c r="I2101" s="116"/>
      <c r="L2101" s="170">
        <v>45098</v>
      </c>
      <c r="M2101" s="116">
        <v>1282.1500000000001</v>
      </c>
      <c r="N2101" s="116">
        <v>1284.925</v>
      </c>
      <c r="O2101" s="116">
        <v>1274</v>
      </c>
      <c r="P2101" s="116">
        <v>1278.5</v>
      </c>
      <c r="Q2101" s="116">
        <v>2564.3000000000002</v>
      </c>
      <c r="R2101">
        <v>3212779</v>
      </c>
    </row>
    <row r="2102" spans="1:18" x14ac:dyDescent="0.25">
      <c r="A2102" s="170">
        <v>45099</v>
      </c>
      <c r="B2102" s="116">
        <v>1286.45</v>
      </c>
      <c r="C2102" s="116">
        <v>1267.8</v>
      </c>
      <c r="D2102" s="116">
        <v>1266.125</v>
      </c>
      <c r="E2102" s="116">
        <v>1280.8499999999999</v>
      </c>
      <c r="F2102" s="116">
        <v>2535.6</v>
      </c>
      <c r="G2102">
        <v>61620</v>
      </c>
      <c r="H2102" s="116"/>
      <c r="I2102" s="116"/>
      <c r="L2102" s="170">
        <v>45099</v>
      </c>
      <c r="M2102" s="116">
        <v>1267.75</v>
      </c>
      <c r="N2102" s="116">
        <v>1286.6500000000001</v>
      </c>
      <c r="O2102" s="116">
        <v>1266</v>
      </c>
      <c r="P2102" s="116">
        <v>1278</v>
      </c>
      <c r="Q2102" s="116">
        <v>2535.5</v>
      </c>
      <c r="R2102">
        <v>3516244</v>
      </c>
    </row>
    <row r="2103" spans="1:18" x14ac:dyDescent="0.25">
      <c r="A2103" s="170">
        <v>45100</v>
      </c>
      <c r="B2103" s="116">
        <v>1266.4000000000001</v>
      </c>
      <c r="C2103" s="116">
        <v>1257.625</v>
      </c>
      <c r="D2103" s="116">
        <v>1255.55</v>
      </c>
      <c r="E2103" s="116">
        <v>1265</v>
      </c>
      <c r="F2103" s="116">
        <v>2515.25</v>
      </c>
      <c r="G2103">
        <v>289996</v>
      </c>
      <c r="H2103" s="116"/>
      <c r="I2103" s="116"/>
      <c r="L2103" s="170">
        <v>45100</v>
      </c>
      <c r="M2103" s="116">
        <v>1257.375</v>
      </c>
      <c r="N2103" s="116">
        <v>1266.7</v>
      </c>
      <c r="O2103" s="116">
        <v>1256</v>
      </c>
      <c r="P2103" s="116">
        <v>1264.45</v>
      </c>
      <c r="Q2103" s="116">
        <v>2514.75</v>
      </c>
      <c r="R2103">
        <v>3059084</v>
      </c>
    </row>
    <row r="2104" spans="1:18" x14ac:dyDescent="0.25">
      <c r="A2104" s="170">
        <v>45103</v>
      </c>
      <c r="B2104" s="116">
        <v>1257.95</v>
      </c>
      <c r="C2104" s="116">
        <v>1247.0999999999999</v>
      </c>
      <c r="D2104" s="116">
        <v>1244.625</v>
      </c>
      <c r="E2104" s="116">
        <v>1252</v>
      </c>
      <c r="F2104" s="116">
        <v>2494.1999999999998</v>
      </c>
      <c r="G2104">
        <v>197782</v>
      </c>
      <c r="H2104" s="116"/>
      <c r="I2104" s="116"/>
      <c r="L2104" s="170">
        <v>45103</v>
      </c>
      <c r="M2104" s="116">
        <v>1247.7750000000001</v>
      </c>
      <c r="N2104" s="116">
        <v>1257.7</v>
      </c>
      <c r="O2104" s="116">
        <v>1244.3499999999999</v>
      </c>
      <c r="P2104" s="116">
        <v>1253.5</v>
      </c>
      <c r="Q2104" s="116">
        <v>2495.5500000000002</v>
      </c>
      <c r="R2104">
        <v>5833893</v>
      </c>
    </row>
    <row r="2105" spans="1:18" x14ac:dyDescent="0.25">
      <c r="A2105" s="170">
        <v>45104</v>
      </c>
      <c r="B2105" s="116">
        <v>1255</v>
      </c>
      <c r="C2105" s="116">
        <v>1247.9000000000001</v>
      </c>
      <c r="D2105" s="116">
        <v>1243.2</v>
      </c>
      <c r="E2105" s="116">
        <v>1250.5</v>
      </c>
      <c r="F2105" s="116">
        <v>2495.8000000000002</v>
      </c>
      <c r="G2105">
        <v>148922</v>
      </c>
      <c r="H2105" s="116"/>
      <c r="I2105" s="116"/>
      <c r="L2105" s="170">
        <v>45104</v>
      </c>
      <c r="M2105" s="116">
        <v>1248.2249999999999</v>
      </c>
      <c r="N2105" s="116">
        <v>1254.75</v>
      </c>
      <c r="O2105" s="116">
        <v>1243.325</v>
      </c>
      <c r="P2105" s="116">
        <v>1248.2750000000001</v>
      </c>
      <c r="Q2105" s="116">
        <v>2496.4499999999998</v>
      </c>
      <c r="R2105">
        <v>4471687</v>
      </c>
    </row>
    <row r="2106" spans="1:18" x14ac:dyDescent="0.25">
      <c r="A2106" s="170">
        <v>45105</v>
      </c>
      <c r="B2106" s="116">
        <v>1268.625</v>
      </c>
      <c r="C2106" s="116">
        <v>1264.675</v>
      </c>
      <c r="D2106" s="116">
        <v>1248.8499999999999</v>
      </c>
      <c r="E2106" s="116">
        <v>1258</v>
      </c>
      <c r="F2106" s="116">
        <v>2529.35</v>
      </c>
      <c r="G2106">
        <v>171621</v>
      </c>
      <c r="H2106" s="116"/>
      <c r="I2106" s="116"/>
      <c r="L2106" s="170">
        <v>45105</v>
      </c>
      <c r="M2106" s="116">
        <v>1264.75</v>
      </c>
      <c r="N2106" s="116">
        <v>1268.925</v>
      </c>
      <c r="O2106" s="116">
        <v>1248.925</v>
      </c>
      <c r="P2106" s="116">
        <v>1256.5</v>
      </c>
      <c r="Q2106" s="116">
        <v>2529.5</v>
      </c>
      <c r="R2106">
        <v>5239872</v>
      </c>
    </row>
    <row r="2107" spans="1:18" x14ac:dyDescent="0.25">
      <c r="A2107" s="170">
        <v>45107</v>
      </c>
      <c r="B2107" s="116">
        <v>1278.3499999999999</v>
      </c>
      <c r="C2107" s="116">
        <v>1275.3499999999999</v>
      </c>
      <c r="D2107" s="116">
        <v>1266.5</v>
      </c>
      <c r="E2107" s="116">
        <v>1270.0250000000001</v>
      </c>
      <c r="F2107" s="116">
        <v>2550.6999999999998</v>
      </c>
      <c r="G2107">
        <v>289824</v>
      </c>
      <c r="H2107" s="116"/>
      <c r="I2107" s="116"/>
      <c r="L2107" s="170">
        <v>45107</v>
      </c>
      <c r="M2107" s="116">
        <v>1275.125</v>
      </c>
      <c r="N2107" s="116">
        <v>1278.325</v>
      </c>
      <c r="O2107" s="116">
        <v>1266.7249999999999</v>
      </c>
      <c r="P2107" s="116">
        <v>1273.2</v>
      </c>
      <c r="Q2107" s="116">
        <v>2550.25</v>
      </c>
      <c r="R2107">
        <v>5146441</v>
      </c>
    </row>
    <row r="2108" spans="1:18" x14ac:dyDescent="0.25">
      <c r="A2108" s="170">
        <v>45110</v>
      </c>
      <c r="B2108" s="116">
        <v>1311</v>
      </c>
      <c r="C2108" s="116">
        <v>1307.5999999999999</v>
      </c>
      <c r="D2108" s="116">
        <v>1276.5999999999999</v>
      </c>
      <c r="E2108" s="116">
        <v>1276.5999999999999</v>
      </c>
      <c r="F2108" s="116">
        <v>2615.1999999999998</v>
      </c>
      <c r="G2108">
        <v>517214</v>
      </c>
      <c r="H2108" s="116"/>
      <c r="I2108" s="116"/>
      <c r="L2108" s="170">
        <v>45110</v>
      </c>
      <c r="M2108" s="116">
        <v>1307.8499999999999</v>
      </c>
      <c r="N2108" s="116">
        <v>1311</v>
      </c>
      <c r="O2108" s="116">
        <v>1277.675</v>
      </c>
      <c r="P2108" s="116">
        <v>1279.0250000000001</v>
      </c>
      <c r="Q2108" s="116">
        <v>2615.6999999999998</v>
      </c>
      <c r="R2108">
        <v>5609248</v>
      </c>
    </row>
    <row r="2109" spans="1:18" x14ac:dyDescent="0.25">
      <c r="A2109" s="170">
        <v>45111</v>
      </c>
      <c r="B2109" s="116">
        <v>1313.25</v>
      </c>
      <c r="C2109" s="116">
        <v>1294.125</v>
      </c>
      <c r="D2109" s="116">
        <v>1286.625</v>
      </c>
      <c r="E2109" s="116">
        <v>1310.5</v>
      </c>
      <c r="F2109" s="116">
        <v>2588.25</v>
      </c>
      <c r="G2109">
        <v>189823</v>
      </c>
      <c r="H2109" s="116"/>
      <c r="I2109" s="116"/>
      <c r="L2109" s="170">
        <v>45111</v>
      </c>
      <c r="M2109" s="116">
        <v>1294.375</v>
      </c>
      <c r="N2109" s="116">
        <v>1312.5</v>
      </c>
      <c r="O2109" s="116">
        <v>1286.625</v>
      </c>
      <c r="P2109" s="116">
        <v>1312.5</v>
      </c>
      <c r="Q2109" s="116">
        <v>2588.75</v>
      </c>
      <c r="R2109">
        <v>3720447</v>
      </c>
    </row>
    <row r="2110" spans="1:18" x14ac:dyDescent="0.25">
      <c r="A2110" s="170">
        <v>45112</v>
      </c>
      <c r="B2110" s="116">
        <v>1302</v>
      </c>
      <c r="C2110" s="116">
        <v>1292.4000000000001</v>
      </c>
      <c r="D2110" s="116">
        <v>1287.8499999999999</v>
      </c>
      <c r="E2110" s="116">
        <v>1300.2750000000001</v>
      </c>
      <c r="F2110" s="116">
        <v>2584.8000000000002</v>
      </c>
      <c r="G2110">
        <v>61768</v>
      </c>
      <c r="H2110" s="116"/>
      <c r="I2110" s="116"/>
      <c r="L2110" s="170">
        <v>45112</v>
      </c>
      <c r="M2110" s="116">
        <v>1292.25</v>
      </c>
      <c r="N2110" s="116">
        <v>1304.5</v>
      </c>
      <c r="O2110" s="116">
        <v>1287.9000000000001</v>
      </c>
      <c r="P2110" s="116">
        <v>1304.5</v>
      </c>
      <c r="Q2110" s="116">
        <v>2584.5</v>
      </c>
      <c r="R2110">
        <v>4729479</v>
      </c>
    </row>
    <row r="2111" spans="1:18" x14ac:dyDescent="0.25">
      <c r="A2111" s="170">
        <v>45113</v>
      </c>
      <c r="B2111" s="116">
        <v>1322.15</v>
      </c>
      <c r="C2111" s="116">
        <v>1319.175</v>
      </c>
      <c r="D2111" s="116">
        <v>1288</v>
      </c>
      <c r="E2111" s="116">
        <v>1288</v>
      </c>
      <c r="F2111" s="116">
        <v>2638.35</v>
      </c>
      <c r="G2111">
        <v>619409</v>
      </c>
      <c r="H2111" s="116"/>
      <c r="I2111" s="116"/>
      <c r="L2111" s="170">
        <v>45113</v>
      </c>
      <c r="M2111" s="116">
        <v>1319.375</v>
      </c>
      <c r="N2111" s="116">
        <v>1322.2249999999999</v>
      </c>
      <c r="O2111" s="116">
        <v>1288.0250000000001</v>
      </c>
      <c r="P2111" s="116">
        <v>1288.0250000000001</v>
      </c>
      <c r="Q2111" s="116">
        <v>2638.75</v>
      </c>
      <c r="R2111">
        <v>8822948</v>
      </c>
    </row>
    <row r="2112" spans="1:18" x14ac:dyDescent="0.25">
      <c r="A2112" s="170">
        <v>45114</v>
      </c>
      <c r="B2112" s="116">
        <v>1332.5</v>
      </c>
      <c r="C2112" s="116">
        <v>1317.7249999999999</v>
      </c>
      <c r="D2112" s="116">
        <v>1313.7</v>
      </c>
      <c r="E2112" s="116">
        <v>1316.4</v>
      </c>
      <c r="F2112" s="116">
        <v>2635.45</v>
      </c>
      <c r="G2112">
        <v>576768</v>
      </c>
      <c r="H2112" s="116"/>
      <c r="I2112" s="116"/>
      <c r="L2112" s="170">
        <v>45114</v>
      </c>
      <c r="M2112" s="116">
        <v>1316.8</v>
      </c>
      <c r="N2112" s="116">
        <v>1332.4749999999999</v>
      </c>
      <c r="O2112" s="116">
        <v>1314</v>
      </c>
      <c r="P2112" s="116">
        <v>1317.5</v>
      </c>
      <c r="Q2112" s="116">
        <v>2633.6</v>
      </c>
      <c r="R2112">
        <v>6172684</v>
      </c>
    </row>
    <row r="2113" spans="1:18" x14ac:dyDescent="0.25">
      <c r="A2113" s="170">
        <v>45117</v>
      </c>
      <c r="B2113" s="116">
        <v>1377.5</v>
      </c>
      <c r="C2113" s="116">
        <v>1367.575</v>
      </c>
      <c r="D2113" s="116">
        <v>1336.375</v>
      </c>
      <c r="E2113" s="116">
        <v>1343</v>
      </c>
      <c r="F2113" s="116">
        <v>2735.15</v>
      </c>
      <c r="G2113">
        <v>1110570</v>
      </c>
      <c r="H2113" s="116"/>
      <c r="I2113" s="116"/>
      <c r="L2113" s="170">
        <v>45117</v>
      </c>
      <c r="M2113" s="116">
        <v>1367.5250000000001</v>
      </c>
      <c r="N2113" s="116">
        <v>1378</v>
      </c>
      <c r="O2113" s="116">
        <v>1337.5</v>
      </c>
      <c r="P2113" s="116">
        <v>1344.45</v>
      </c>
      <c r="Q2113" s="116">
        <v>2735.05</v>
      </c>
      <c r="R2113">
        <v>15340262</v>
      </c>
    </row>
    <row r="2114" spans="1:18" x14ac:dyDescent="0.25">
      <c r="A2114" s="170">
        <v>45118</v>
      </c>
      <c r="B2114" s="116">
        <v>1384.925</v>
      </c>
      <c r="C2114" s="116">
        <v>1382.15</v>
      </c>
      <c r="D2114" s="116">
        <v>1369.25</v>
      </c>
      <c r="E2114" s="116">
        <v>1375.1</v>
      </c>
      <c r="F2114" s="116">
        <v>2764.3</v>
      </c>
      <c r="G2114">
        <v>527404</v>
      </c>
      <c r="H2114" s="116"/>
      <c r="I2114" s="116"/>
      <c r="L2114" s="170">
        <v>45118</v>
      </c>
      <c r="M2114" s="116">
        <v>1382.35</v>
      </c>
      <c r="N2114" s="116">
        <v>1385</v>
      </c>
      <c r="O2114" s="116">
        <v>1368.8</v>
      </c>
      <c r="P2114" s="116">
        <v>1376.45</v>
      </c>
      <c r="Q2114" s="116">
        <v>2764.7</v>
      </c>
      <c r="R2114">
        <v>9262001</v>
      </c>
    </row>
    <row r="2115" spans="1:18" x14ac:dyDescent="0.25">
      <c r="A2115" s="170">
        <v>45119</v>
      </c>
      <c r="B2115" s="116">
        <v>1401.1</v>
      </c>
      <c r="C2115" s="116">
        <v>1383.1</v>
      </c>
      <c r="D2115" s="116">
        <v>1381</v>
      </c>
      <c r="E2115" s="116">
        <v>1384.925</v>
      </c>
      <c r="F2115" s="116">
        <v>2766.2</v>
      </c>
      <c r="G2115">
        <v>325221</v>
      </c>
      <c r="H2115" s="116"/>
      <c r="I2115" s="116"/>
      <c r="L2115" s="170">
        <v>45119</v>
      </c>
      <c r="M2115" s="116">
        <v>1383.875</v>
      </c>
      <c r="N2115" s="116">
        <v>1401</v>
      </c>
      <c r="O2115" s="116">
        <v>1380.825</v>
      </c>
      <c r="P2115" s="116">
        <v>1383.15</v>
      </c>
      <c r="Q2115" s="116">
        <v>2767.75</v>
      </c>
      <c r="R2115">
        <v>8645662</v>
      </c>
    </row>
    <row r="2116" spans="1:18" x14ac:dyDescent="0.25">
      <c r="A2116" s="170">
        <v>45120</v>
      </c>
      <c r="B2116" s="116">
        <v>1399.9749999999999</v>
      </c>
      <c r="C2116" s="116">
        <v>1371.575</v>
      </c>
      <c r="D2116" s="116">
        <v>1368.875</v>
      </c>
      <c r="E2116" s="116">
        <v>1390.45</v>
      </c>
      <c r="F2116" s="116">
        <v>2743.15</v>
      </c>
      <c r="G2116">
        <v>261573</v>
      </c>
      <c r="H2116" s="116"/>
      <c r="I2116" s="116"/>
      <c r="L2116" s="170">
        <v>45120</v>
      </c>
      <c r="M2116" s="116">
        <v>1371.5</v>
      </c>
      <c r="N2116" s="116">
        <v>1399.5</v>
      </c>
      <c r="O2116" s="116">
        <v>1368.625</v>
      </c>
      <c r="P2116" s="116">
        <v>1391.95</v>
      </c>
      <c r="Q2116" s="116">
        <v>2743</v>
      </c>
      <c r="R2116">
        <v>6776172</v>
      </c>
    </row>
    <row r="2117" spans="1:18" x14ac:dyDescent="0.25">
      <c r="A2117" s="170">
        <v>45121</v>
      </c>
      <c r="B2117" s="116">
        <v>1380.4</v>
      </c>
      <c r="C2117" s="116">
        <v>1369.45</v>
      </c>
      <c r="D2117" s="116">
        <v>1361.875</v>
      </c>
      <c r="E2117" s="116">
        <v>1375.5250000000001</v>
      </c>
      <c r="F2117" s="116">
        <v>2738.9</v>
      </c>
      <c r="G2117">
        <v>499323</v>
      </c>
      <c r="H2117" s="116"/>
      <c r="I2117" s="116"/>
      <c r="L2117" s="170">
        <v>45121</v>
      </c>
      <c r="M2117" s="116">
        <v>1370.35</v>
      </c>
      <c r="N2117" s="116">
        <v>1380.45</v>
      </c>
      <c r="O2117" s="116">
        <v>1362.55</v>
      </c>
      <c r="P2117" s="116">
        <v>1375</v>
      </c>
      <c r="Q2117" s="116">
        <v>2740.7</v>
      </c>
      <c r="R2117">
        <v>6979790</v>
      </c>
    </row>
    <row r="2118" spans="1:18" x14ac:dyDescent="0.25">
      <c r="A2118" s="170">
        <v>45124</v>
      </c>
      <c r="B2118" s="116">
        <v>1408</v>
      </c>
      <c r="C2118" s="116">
        <v>1398.2</v>
      </c>
      <c r="D2118" s="116">
        <v>1364.2750000000001</v>
      </c>
      <c r="E2118" s="116">
        <v>1373.35</v>
      </c>
      <c r="F2118" s="116">
        <v>2796.4</v>
      </c>
      <c r="G2118">
        <v>453640</v>
      </c>
      <c r="H2118" s="116"/>
      <c r="I2118" s="116"/>
      <c r="L2118" s="170">
        <v>45124</v>
      </c>
      <c r="M2118" s="116">
        <v>1398.35</v>
      </c>
      <c r="N2118" s="116">
        <v>1407.5250000000001</v>
      </c>
      <c r="O2118" s="116">
        <v>1364</v>
      </c>
      <c r="P2118" s="116">
        <v>1373.5</v>
      </c>
      <c r="Q2118" s="116">
        <v>2796.7</v>
      </c>
      <c r="R2118">
        <v>10254545</v>
      </c>
    </row>
    <row r="2119" spans="1:18" x14ac:dyDescent="0.25">
      <c r="A2119" s="170">
        <v>45125</v>
      </c>
      <c r="B2119" s="116">
        <v>1419</v>
      </c>
      <c r="C2119" s="116">
        <v>1411.2</v>
      </c>
      <c r="D2119" s="116">
        <v>1397</v>
      </c>
      <c r="E2119" s="116">
        <v>1406.0250000000001</v>
      </c>
      <c r="F2119" s="116">
        <v>2822.4</v>
      </c>
      <c r="G2119">
        <v>364444</v>
      </c>
      <c r="H2119" s="116"/>
      <c r="I2119" s="116"/>
      <c r="L2119" s="170">
        <v>45125</v>
      </c>
      <c r="M2119" s="116">
        <v>1410.2249999999999</v>
      </c>
      <c r="N2119" s="116">
        <v>1418.7249999999999</v>
      </c>
      <c r="O2119" s="116">
        <v>1396.5</v>
      </c>
      <c r="P2119" s="116">
        <v>1408.5</v>
      </c>
      <c r="Q2119" s="116">
        <v>2820.45</v>
      </c>
      <c r="R2119">
        <v>11937761</v>
      </c>
    </row>
    <row r="2120" spans="1:18" x14ac:dyDescent="0.25">
      <c r="A2120" s="170">
        <v>45126</v>
      </c>
      <c r="B2120" s="116">
        <v>1427.5</v>
      </c>
      <c r="C2120" s="116">
        <v>1420</v>
      </c>
      <c r="D2120" s="116">
        <v>1398.2249999999999</v>
      </c>
      <c r="E2120" s="116">
        <v>1416</v>
      </c>
      <c r="F2120" s="116">
        <v>2840</v>
      </c>
      <c r="G2120">
        <v>782335</v>
      </c>
      <c r="H2120" s="116"/>
      <c r="I2120" s="116"/>
      <c r="L2120" s="170">
        <v>45126</v>
      </c>
      <c r="M2120" s="116">
        <v>1420.925</v>
      </c>
      <c r="N2120" s="116">
        <v>1428</v>
      </c>
      <c r="O2120" s="116">
        <v>1398.5</v>
      </c>
      <c r="P2120" s="116">
        <v>1415</v>
      </c>
      <c r="Q2120" s="116">
        <v>2841.85</v>
      </c>
      <c r="R2120">
        <v>18054869</v>
      </c>
    </row>
    <row r="2121" spans="1:18" x14ac:dyDescent="0.25">
      <c r="A2121" s="170">
        <v>45127</v>
      </c>
      <c r="B2121" s="116">
        <v>1316</v>
      </c>
      <c r="C2121" s="116">
        <v>1309.9000000000001</v>
      </c>
      <c r="D2121" s="116">
        <v>1291</v>
      </c>
      <c r="E2121" s="116">
        <v>1294.5</v>
      </c>
      <c r="F2121" s="116">
        <v>2619.8000000000002</v>
      </c>
      <c r="G2121">
        <v>400680</v>
      </c>
      <c r="H2121" s="116"/>
      <c r="I2121" s="116"/>
      <c r="L2121" s="170">
        <v>45127</v>
      </c>
      <c r="M2121" s="116">
        <v>1309.925</v>
      </c>
      <c r="N2121" s="116">
        <v>1315.4749999999999</v>
      </c>
      <c r="O2121" s="116">
        <v>1290</v>
      </c>
      <c r="P2121" s="116">
        <v>1290</v>
      </c>
      <c r="Q2121" s="116">
        <v>2619.85</v>
      </c>
      <c r="R2121">
        <v>19358812</v>
      </c>
    </row>
    <row r="2122" spans="1:18" x14ac:dyDescent="0.25">
      <c r="A2122" s="170">
        <v>45128</v>
      </c>
      <c r="B2122" s="116">
        <v>1306.9000000000001</v>
      </c>
      <c r="C2122" s="116">
        <v>1268.0999999999999</v>
      </c>
      <c r="D2122" s="116">
        <v>1261.675</v>
      </c>
      <c r="E2122" s="116">
        <v>1301.5</v>
      </c>
      <c r="F2122" s="116">
        <v>2536.1999999999998</v>
      </c>
      <c r="G2122">
        <v>896988</v>
      </c>
      <c r="H2122" s="116"/>
      <c r="I2122" s="116"/>
      <c r="L2122" s="170">
        <v>45128</v>
      </c>
      <c r="M2122" s="116">
        <v>1269.375</v>
      </c>
      <c r="N2122" s="116">
        <v>1307.45</v>
      </c>
      <c r="O2122" s="116">
        <v>1261.8</v>
      </c>
      <c r="P2122" s="116">
        <v>1304.5</v>
      </c>
      <c r="Q2122" s="116">
        <v>2538.75</v>
      </c>
      <c r="R2122">
        <v>15124619</v>
      </c>
    </row>
    <row r="2123" spans="1:18" x14ac:dyDescent="0.25">
      <c r="A2123" s="170">
        <v>45131</v>
      </c>
      <c r="B2123" s="116">
        <v>1257.4000000000001</v>
      </c>
      <c r="C2123" s="116">
        <v>1243.7750000000001</v>
      </c>
      <c r="D2123" s="116">
        <v>1234.7750000000001</v>
      </c>
      <c r="E2123" s="116">
        <v>1242</v>
      </c>
      <c r="F2123" s="116">
        <v>2487.5500000000002</v>
      </c>
      <c r="G2123">
        <v>228305</v>
      </c>
      <c r="H2123" s="116"/>
      <c r="I2123" s="116"/>
      <c r="L2123" s="170">
        <v>45131</v>
      </c>
      <c r="M2123" s="116">
        <v>1243.7</v>
      </c>
      <c r="N2123" s="116">
        <v>1257.4749999999999</v>
      </c>
      <c r="O2123" s="116">
        <v>1234.6500000000001</v>
      </c>
      <c r="P2123" s="116">
        <v>1240.5</v>
      </c>
      <c r="Q2123" s="116">
        <v>2487.4</v>
      </c>
      <c r="R2123">
        <v>11863933</v>
      </c>
    </row>
    <row r="2124" spans="1:18" x14ac:dyDescent="0.25">
      <c r="A2124" s="170">
        <v>45132</v>
      </c>
      <c r="B2124" s="116">
        <v>1252.5</v>
      </c>
      <c r="C2124" s="116">
        <v>1242.3499999999999</v>
      </c>
      <c r="D2124" s="116">
        <v>1240.0250000000001</v>
      </c>
      <c r="E2124" s="116">
        <v>1245.75</v>
      </c>
      <c r="F2124" s="116">
        <v>2484.6999999999998</v>
      </c>
      <c r="G2124">
        <v>199238</v>
      </c>
      <c r="H2124" s="116"/>
      <c r="I2124" s="116"/>
      <c r="L2124" s="170">
        <v>45132</v>
      </c>
      <c r="M2124" s="116">
        <v>1242.9000000000001</v>
      </c>
      <c r="N2124" s="116">
        <v>1252.5999999999999</v>
      </c>
      <c r="O2124" s="116">
        <v>1240</v>
      </c>
      <c r="P2124" s="116">
        <v>1247</v>
      </c>
      <c r="Q2124" s="116">
        <v>2485.8000000000002</v>
      </c>
      <c r="R2124">
        <v>6013010</v>
      </c>
    </row>
    <row r="2125" spans="1:18" x14ac:dyDescent="0.25">
      <c r="A2125" s="170">
        <v>45133</v>
      </c>
      <c r="B2125" s="116">
        <v>1273.625</v>
      </c>
      <c r="C2125" s="116">
        <v>1262.8499999999999</v>
      </c>
      <c r="D2125" s="116">
        <v>1240.05</v>
      </c>
      <c r="E2125" s="116">
        <v>1240.05</v>
      </c>
      <c r="F2125" s="116">
        <v>2525.6999999999998</v>
      </c>
      <c r="G2125">
        <v>132959</v>
      </c>
      <c r="H2125" s="116"/>
      <c r="I2125" s="116"/>
      <c r="L2125" s="170">
        <v>45133</v>
      </c>
      <c r="M2125" s="116">
        <v>1263.0999999999999</v>
      </c>
      <c r="N2125" s="116">
        <v>1273.5</v>
      </c>
      <c r="O2125" s="116">
        <v>1242.5</v>
      </c>
      <c r="P2125" s="116">
        <v>1242.5</v>
      </c>
      <c r="Q2125" s="116">
        <v>2526.1999999999998</v>
      </c>
      <c r="R2125">
        <v>6455506</v>
      </c>
    </row>
    <row r="2126" spans="1:18" x14ac:dyDescent="0.25">
      <c r="A2126" s="170">
        <v>45134</v>
      </c>
      <c r="B2126" s="116">
        <v>1269</v>
      </c>
      <c r="C2126" s="116">
        <v>1253.1500000000001</v>
      </c>
      <c r="D2126" s="116">
        <v>1245.7249999999999</v>
      </c>
      <c r="E2126" s="116">
        <v>1264.5</v>
      </c>
      <c r="F2126" s="116">
        <v>2506.3000000000002</v>
      </c>
      <c r="G2126">
        <v>101139</v>
      </c>
      <c r="H2126" s="116"/>
      <c r="I2126" s="116"/>
      <c r="L2126" s="170">
        <v>45134</v>
      </c>
      <c r="M2126" s="116">
        <v>1251.3499999999999</v>
      </c>
      <c r="N2126" s="116">
        <v>1268.825</v>
      </c>
      <c r="O2126" s="116">
        <v>1245.175</v>
      </c>
      <c r="P2126" s="116">
        <v>1267.0250000000001</v>
      </c>
      <c r="Q2126" s="116">
        <v>2502.6999999999998</v>
      </c>
      <c r="R2126">
        <v>8613449</v>
      </c>
    </row>
    <row r="2127" spans="1:18" x14ac:dyDescent="0.25">
      <c r="A2127" s="170">
        <v>45135</v>
      </c>
      <c r="B2127" s="116">
        <v>1270.95</v>
      </c>
      <c r="C2127" s="116">
        <v>1263.8</v>
      </c>
      <c r="D2127" s="116">
        <v>1250.5</v>
      </c>
      <c r="E2127" s="116">
        <v>1254.5250000000001</v>
      </c>
      <c r="F2127" s="116">
        <v>2527.6</v>
      </c>
      <c r="G2127">
        <v>644967</v>
      </c>
      <c r="H2127" s="116"/>
      <c r="I2127" s="116"/>
      <c r="L2127" s="170">
        <v>45135</v>
      </c>
      <c r="M2127" s="116">
        <v>1263.925</v>
      </c>
      <c r="N2127" s="116">
        <v>1271.425</v>
      </c>
      <c r="O2127" s="116">
        <v>1250.2750000000001</v>
      </c>
      <c r="P2127" s="116">
        <v>1256.0250000000001</v>
      </c>
      <c r="Q2127" s="116">
        <v>2527.85</v>
      </c>
      <c r="R2127">
        <v>10413926</v>
      </c>
    </row>
    <row r="2128" spans="1:18" x14ac:dyDescent="0.25">
      <c r="A2128" s="170">
        <v>45138</v>
      </c>
      <c r="B2128" s="116">
        <v>1276.825</v>
      </c>
      <c r="C2128" s="116">
        <v>1273.925</v>
      </c>
      <c r="D2128" s="116">
        <v>1259.375</v>
      </c>
      <c r="E2128" s="116">
        <v>1263.95</v>
      </c>
      <c r="F2128" s="116">
        <v>2547.85</v>
      </c>
      <c r="G2128">
        <v>85020</v>
      </c>
      <c r="H2128" s="116"/>
      <c r="I2128" s="116"/>
      <c r="L2128" s="170">
        <v>45138</v>
      </c>
      <c r="M2128" s="116">
        <v>1274.625</v>
      </c>
      <c r="N2128" s="116">
        <v>1276.95</v>
      </c>
      <c r="O2128" s="116">
        <v>1258.9749999999999</v>
      </c>
      <c r="P2128" s="116">
        <v>1263.925</v>
      </c>
      <c r="Q2128" s="116">
        <v>2549.25</v>
      </c>
      <c r="R2128">
        <v>4275587</v>
      </c>
    </row>
    <row r="2129" spans="1:18" x14ac:dyDescent="0.25">
      <c r="A2129" s="170">
        <v>45139</v>
      </c>
      <c r="B2129" s="116">
        <v>1279.5</v>
      </c>
      <c r="C2129" s="116">
        <v>1256.325</v>
      </c>
      <c r="D2129" s="116">
        <v>1252.95</v>
      </c>
      <c r="E2129" s="116">
        <v>1273.925</v>
      </c>
      <c r="F2129" s="116">
        <v>2512.65</v>
      </c>
      <c r="G2129">
        <v>170213</v>
      </c>
      <c r="H2129" s="116"/>
      <c r="I2129" s="116"/>
      <c r="L2129" s="170">
        <v>45139</v>
      </c>
      <c r="M2129" s="116">
        <v>1256.5999999999999</v>
      </c>
      <c r="N2129" s="116">
        <v>1279.5</v>
      </c>
      <c r="O2129" s="116">
        <v>1252.6500000000001</v>
      </c>
      <c r="P2129" s="116">
        <v>1277.5</v>
      </c>
      <c r="Q2129" s="116">
        <v>2513.1999999999998</v>
      </c>
      <c r="R2129">
        <v>4768316</v>
      </c>
    </row>
    <row r="2130" spans="1:18" x14ac:dyDescent="0.25">
      <c r="A2130" s="170">
        <v>45140</v>
      </c>
      <c r="B2130" s="116">
        <v>1255.9000000000001</v>
      </c>
      <c r="C2130" s="116">
        <v>1243.175</v>
      </c>
      <c r="D2130" s="116">
        <v>1231.5999999999999</v>
      </c>
      <c r="E2130" s="116">
        <v>1250</v>
      </c>
      <c r="F2130" s="116">
        <v>2486.35</v>
      </c>
      <c r="G2130">
        <v>184490</v>
      </c>
      <c r="H2130" s="116"/>
      <c r="I2130" s="116"/>
      <c r="L2130" s="170">
        <v>45140</v>
      </c>
      <c r="M2130" s="116">
        <v>1243.175</v>
      </c>
      <c r="N2130" s="116">
        <v>1256</v>
      </c>
      <c r="O2130" s="116">
        <v>1231.8</v>
      </c>
      <c r="P2130" s="116">
        <v>1254.5999999999999</v>
      </c>
      <c r="Q2130" s="116">
        <v>2486.35</v>
      </c>
      <c r="R2130">
        <v>6374107</v>
      </c>
    </row>
    <row r="2131" spans="1:18" x14ac:dyDescent="0.25">
      <c r="A2131" s="170">
        <v>45141</v>
      </c>
      <c r="B2131" s="116">
        <v>1249.95</v>
      </c>
      <c r="C2131" s="116">
        <v>1237.4749999999999</v>
      </c>
      <c r="D2131" s="116">
        <v>1229</v>
      </c>
      <c r="E2131" s="116">
        <v>1235.7249999999999</v>
      </c>
      <c r="F2131" s="116">
        <v>2474.9499999999998</v>
      </c>
      <c r="G2131">
        <v>210947</v>
      </c>
      <c r="H2131" s="116"/>
      <c r="I2131" s="116"/>
      <c r="L2131" s="170">
        <v>45141</v>
      </c>
      <c r="M2131" s="116">
        <v>1237.95</v>
      </c>
      <c r="N2131" s="116">
        <v>1250.45</v>
      </c>
      <c r="O2131" s="116">
        <v>1229.0250000000001</v>
      </c>
      <c r="P2131" s="116">
        <v>1237.6500000000001</v>
      </c>
      <c r="Q2131" s="116">
        <v>2475.9</v>
      </c>
      <c r="R2131">
        <v>5084175</v>
      </c>
    </row>
    <row r="2132" spans="1:18" x14ac:dyDescent="0.25">
      <c r="A2132" s="170">
        <v>45142</v>
      </c>
      <c r="B2132" s="116">
        <v>1258.5999999999999</v>
      </c>
      <c r="C2132" s="116">
        <v>1255.075</v>
      </c>
      <c r="D2132" s="116">
        <v>1236</v>
      </c>
      <c r="E2132" s="116">
        <v>1242.5</v>
      </c>
      <c r="F2132" s="116">
        <v>2510.15</v>
      </c>
      <c r="G2132">
        <v>709795</v>
      </c>
      <c r="H2132" s="116"/>
      <c r="I2132" s="116"/>
      <c r="L2132" s="170">
        <v>45142</v>
      </c>
      <c r="M2132" s="116">
        <v>1254.7750000000001</v>
      </c>
      <c r="N2132" s="116">
        <v>1258</v>
      </c>
      <c r="O2132" s="116">
        <v>1235.8</v>
      </c>
      <c r="P2132" s="116">
        <v>1249.4000000000001</v>
      </c>
      <c r="Q2132" s="116">
        <v>2509.5500000000002</v>
      </c>
      <c r="R2132">
        <v>11442805</v>
      </c>
    </row>
    <row r="2133" spans="1:18" x14ac:dyDescent="0.25">
      <c r="A2133" s="170">
        <v>45145</v>
      </c>
      <c r="B2133" s="116">
        <v>1264.175</v>
      </c>
      <c r="C2133" s="116">
        <v>1261.7249999999999</v>
      </c>
      <c r="D2133" s="116">
        <v>1252.5250000000001</v>
      </c>
      <c r="E2133" s="116">
        <v>1257.5</v>
      </c>
      <c r="F2133" s="116">
        <v>2523.4499999999998</v>
      </c>
      <c r="G2133">
        <v>293130</v>
      </c>
      <c r="H2133" s="116"/>
      <c r="I2133" s="116"/>
      <c r="L2133" s="170">
        <v>45145</v>
      </c>
      <c r="M2133" s="116">
        <v>1261.925</v>
      </c>
      <c r="N2133" s="116">
        <v>1264.2</v>
      </c>
      <c r="O2133" s="116">
        <v>1252.5</v>
      </c>
      <c r="P2133" s="116">
        <v>1260.5</v>
      </c>
      <c r="Q2133" s="116">
        <v>2523.85</v>
      </c>
      <c r="R2133">
        <v>2991435</v>
      </c>
    </row>
    <row r="2134" spans="1:18" x14ac:dyDescent="0.25">
      <c r="A2134" s="170">
        <v>45146</v>
      </c>
      <c r="B2134" s="116">
        <v>1267.3</v>
      </c>
      <c r="C2134" s="116">
        <v>1252.825</v>
      </c>
      <c r="D2134" s="116">
        <v>1249.7249999999999</v>
      </c>
      <c r="E2134" s="116">
        <v>1262.6500000000001</v>
      </c>
      <c r="F2134" s="116">
        <v>2505.65</v>
      </c>
      <c r="G2134">
        <v>151755</v>
      </c>
      <c r="H2134" s="116"/>
      <c r="I2134" s="116"/>
      <c r="L2134" s="170">
        <v>45146</v>
      </c>
      <c r="M2134" s="116">
        <v>1254.325</v>
      </c>
      <c r="N2134" s="116">
        <v>1267.2249999999999</v>
      </c>
      <c r="O2134" s="116">
        <v>1249.7750000000001</v>
      </c>
      <c r="P2134" s="116">
        <v>1264</v>
      </c>
      <c r="Q2134" s="116">
        <v>2508.65</v>
      </c>
      <c r="R2134">
        <v>4922036</v>
      </c>
    </row>
    <row r="2135" spans="1:18" x14ac:dyDescent="0.25">
      <c r="A2135" s="170">
        <v>45147</v>
      </c>
      <c r="B2135" s="116">
        <v>1264.7</v>
      </c>
      <c r="C2135" s="116">
        <v>1261.7750000000001</v>
      </c>
      <c r="D2135" s="116">
        <v>1240.5</v>
      </c>
      <c r="E2135" s="116">
        <v>1253.5</v>
      </c>
      <c r="F2135" s="116">
        <v>2523.5500000000002</v>
      </c>
      <c r="G2135">
        <v>212798</v>
      </c>
      <c r="H2135" s="116"/>
      <c r="I2135" s="116"/>
      <c r="L2135" s="170">
        <v>45147</v>
      </c>
      <c r="M2135" s="116">
        <v>1262.5999999999999</v>
      </c>
      <c r="N2135" s="116">
        <v>1264.5</v>
      </c>
      <c r="O2135" s="116">
        <v>1240.55</v>
      </c>
      <c r="P2135" s="116">
        <v>1252.425</v>
      </c>
      <c r="Q2135" s="116">
        <v>2525.1999999999998</v>
      </c>
      <c r="R2135">
        <v>5743293</v>
      </c>
    </row>
    <row r="2136" spans="1:18" x14ac:dyDescent="0.25">
      <c r="A2136" s="170">
        <v>45148</v>
      </c>
      <c r="B2136" s="116">
        <v>1275</v>
      </c>
      <c r="C2136" s="116">
        <v>1267.825</v>
      </c>
      <c r="D2136" s="116">
        <v>1254.4000000000001</v>
      </c>
      <c r="E2136" s="116">
        <v>1263.5</v>
      </c>
      <c r="F2136" s="116">
        <v>2535.65</v>
      </c>
      <c r="G2136">
        <v>200827</v>
      </c>
      <c r="H2136" s="116"/>
      <c r="I2136" s="116"/>
      <c r="L2136" s="170">
        <v>45148</v>
      </c>
      <c r="M2136" s="116">
        <v>1268.2249999999999</v>
      </c>
      <c r="N2136" s="116">
        <v>1275</v>
      </c>
      <c r="O2136" s="116">
        <v>1254.2249999999999</v>
      </c>
      <c r="P2136" s="116">
        <v>1262.4749999999999</v>
      </c>
      <c r="Q2136" s="116">
        <v>2536.4499999999998</v>
      </c>
      <c r="R2136">
        <v>7735299</v>
      </c>
    </row>
    <row r="2137" spans="1:18" x14ac:dyDescent="0.25">
      <c r="A2137" s="170">
        <v>45149</v>
      </c>
      <c r="B2137" s="116">
        <v>1279.1500000000001</v>
      </c>
      <c r="C2137" s="116">
        <v>1274</v>
      </c>
      <c r="D2137" s="116">
        <v>1256.05</v>
      </c>
      <c r="E2137" s="116">
        <v>1267.7249999999999</v>
      </c>
      <c r="F2137" s="116">
        <v>2548</v>
      </c>
      <c r="G2137">
        <v>297470</v>
      </c>
      <c r="H2137" s="116"/>
      <c r="I2137" s="116"/>
      <c r="L2137" s="170">
        <v>45149</v>
      </c>
      <c r="M2137" s="116">
        <v>1273.575</v>
      </c>
      <c r="N2137" s="116">
        <v>1279.425</v>
      </c>
      <c r="O2137" s="116">
        <v>1256.175</v>
      </c>
      <c r="P2137" s="116">
        <v>1266.2249999999999</v>
      </c>
      <c r="Q2137" s="116">
        <v>2547.15</v>
      </c>
      <c r="R2137">
        <v>11089665</v>
      </c>
    </row>
    <row r="2138" spans="1:18" x14ac:dyDescent="0.25">
      <c r="A2138" s="170">
        <v>45152</v>
      </c>
      <c r="B2138" s="116">
        <v>1291</v>
      </c>
      <c r="C2138" s="116">
        <v>1288.375</v>
      </c>
      <c r="D2138" s="116">
        <v>1262.0999999999999</v>
      </c>
      <c r="E2138" s="116">
        <v>1266.5250000000001</v>
      </c>
      <c r="F2138" s="116">
        <v>2576.75</v>
      </c>
      <c r="G2138">
        <v>407900</v>
      </c>
      <c r="H2138" s="116"/>
      <c r="I2138" s="116"/>
      <c r="L2138" s="170">
        <v>45152</v>
      </c>
      <c r="M2138" s="116">
        <v>1288.625</v>
      </c>
      <c r="N2138" s="116">
        <v>1291.1500000000001</v>
      </c>
      <c r="O2138" s="116">
        <v>1262.5</v>
      </c>
      <c r="P2138" s="116">
        <v>1269.5</v>
      </c>
      <c r="Q2138" s="116">
        <v>2577.25</v>
      </c>
      <c r="R2138">
        <v>4787906</v>
      </c>
    </row>
    <row r="2139" spans="1:18" x14ac:dyDescent="0.25">
      <c r="A2139" s="170">
        <v>45154</v>
      </c>
      <c r="B2139" s="116">
        <v>1291.075</v>
      </c>
      <c r="C2139" s="116">
        <v>1287.45</v>
      </c>
      <c r="D2139" s="116">
        <v>1275.325</v>
      </c>
      <c r="E2139" s="116">
        <v>1278.325</v>
      </c>
      <c r="F2139" s="116">
        <v>2574.9</v>
      </c>
      <c r="G2139">
        <v>87871</v>
      </c>
      <c r="H2139" s="116"/>
      <c r="I2139" s="116"/>
      <c r="L2139" s="170">
        <v>45154</v>
      </c>
      <c r="M2139" s="116">
        <v>1287.575</v>
      </c>
      <c r="N2139" s="116">
        <v>1291.4000000000001</v>
      </c>
      <c r="O2139" s="116">
        <v>1275.5</v>
      </c>
      <c r="P2139" s="116">
        <v>1275.5</v>
      </c>
      <c r="Q2139" s="116">
        <v>2575.15</v>
      </c>
      <c r="R2139">
        <v>5101556</v>
      </c>
    </row>
    <row r="2140" spans="1:18" x14ac:dyDescent="0.25">
      <c r="A2140" s="170">
        <v>45155</v>
      </c>
      <c r="B2140" s="116">
        <v>1288.9749999999999</v>
      </c>
      <c r="C2140" s="116">
        <v>1268.875</v>
      </c>
      <c r="D2140" s="116">
        <v>1266.0999999999999</v>
      </c>
      <c r="E2140" s="116">
        <v>1284</v>
      </c>
      <c r="F2140" s="116">
        <v>2537.75</v>
      </c>
      <c r="G2140">
        <v>139614</v>
      </c>
      <c r="H2140" s="116"/>
      <c r="I2140" s="116"/>
      <c r="L2140" s="170">
        <v>45155</v>
      </c>
      <c r="M2140" s="116">
        <v>1269</v>
      </c>
      <c r="N2140" s="116">
        <v>1289.05</v>
      </c>
      <c r="O2140" s="116">
        <v>1266.425</v>
      </c>
      <c r="P2140" s="116">
        <v>1283.55</v>
      </c>
      <c r="Q2140" s="116">
        <v>2538</v>
      </c>
      <c r="R2140">
        <v>6836872</v>
      </c>
    </row>
    <row r="2141" spans="1:18" x14ac:dyDescent="0.25">
      <c r="A2141" s="170">
        <v>45156</v>
      </c>
      <c r="B2141" s="116">
        <v>1288.5</v>
      </c>
      <c r="C2141" s="116">
        <v>1278.3499999999999</v>
      </c>
      <c r="D2141" s="116">
        <v>1254.25</v>
      </c>
      <c r="E2141" s="116">
        <v>1266</v>
      </c>
      <c r="F2141" s="116">
        <v>2556.6999999999998</v>
      </c>
      <c r="G2141">
        <v>1144311</v>
      </c>
      <c r="H2141" s="116"/>
      <c r="I2141" s="116"/>
      <c r="L2141" s="170">
        <v>45156</v>
      </c>
      <c r="M2141" s="116">
        <v>1278.4000000000001</v>
      </c>
      <c r="N2141" s="116">
        <v>1288.8</v>
      </c>
      <c r="O2141" s="116">
        <v>1254.2750000000001</v>
      </c>
      <c r="P2141" s="116">
        <v>1265.625</v>
      </c>
      <c r="Q2141" s="116">
        <v>2556.8000000000002</v>
      </c>
      <c r="R2141">
        <v>9319989</v>
      </c>
    </row>
    <row r="2142" spans="1:18" x14ac:dyDescent="0.25">
      <c r="A2142" s="170">
        <v>45159</v>
      </c>
      <c r="B2142" s="116">
        <v>1277.45</v>
      </c>
      <c r="C2142" s="116">
        <v>1259.125</v>
      </c>
      <c r="D2142" s="116">
        <v>1256.7750000000001</v>
      </c>
      <c r="E2142" s="116">
        <v>1265.5</v>
      </c>
      <c r="F2142" s="116">
        <v>2518.25</v>
      </c>
      <c r="G2142">
        <v>156076</v>
      </c>
      <c r="H2142" s="116"/>
      <c r="I2142" s="116"/>
      <c r="L2142" s="170">
        <v>45159</v>
      </c>
      <c r="M2142" s="116">
        <v>1260</v>
      </c>
      <c r="N2142" s="116">
        <v>1277.7249999999999</v>
      </c>
      <c r="O2142" s="116">
        <v>1257.825</v>
      </c>
      <c r="P2142" s="116">
        <v>1269.9749999999999</v>
      </c>
      <c r="Q2142" s="116">
        <v>2520</v>
      </c>
      <c r="R2142">
        <v>4610873</v>
      </c>
    </row>
    <row r="2143" spans="1:18" x14ac:dyDescent="0.25">
      <c r="A2143" s="170">
        <v>45160</v>
      </c>
      <c r="B2143" s="116">
        <v>1268.7249999999999</v>
      </c>
      <c r="C2143" s="116">
        <v>1259.5</v>
      </c>
      <c r="D2143" s="116">
        <v>1249.2750000000001</v>
      </c>
      <c r="E2143" s="116">
        <v>1259.125</v>
      </c>
      <c r="F2143" s="116">
        <v>2519</v>
      </c>
      <c r="G2143">
        <v>115990</v>
      </c>
      <c r="H2143" s="116"/>
      <c r="I2143" s="116"/>
      <c r="L2143" s="170">
        <v>45160</v>
      </c>
      <c r="M2143" s="116">
        <v>1259.7</v>
      </c>
      <c r="N2143" s="116">
        <v>1268.9749999999999</v>
      </c>
      <c r="O2143" s="116">
        <v>1249.5</v>
      </c>
      <c r="P2143" s="116">
        <v>1258.45</v>
      </c>
      <c r="Q2143" s="116">
        <v>2519.4</v>
      </c>
      <c r="R2143">
        <v>3856522</v>
      </c>
    </row>
    <row r="2144" spans="1:18" x14ac:dyDescent="0.25">
      <c r="A2144" s="170">
        <v>45161</v>
      </c>
      <c r="B2144" s="116">
        <v>1271.2</v>
      </c>
      <c r="C2144" s="116">
        <v>1261.575</v>
      </c>
      <c r="D2144" s="116">
        <v>1259.0250000000001</v>
      </c>
      <c r="E2144" s="116">
        <v>1263.9749999999999</v>
      </c>
      <c r="F2144" s="116">
        <v>2523.15</v>
      </c>
      <c r="G2144">
        <v>157329</v>
      </c>
      <c r="H2144" s="116"/>
      <c r="I2144" s="116"/>
      <c r="L2144" s="170">
        <v>45161</v>
      </c>
      <c r="M2144" s="116">
        <v>1261.0999999999999</v>
      </c>
      <c r="N2144" s="116">
        <v>1271.425</v>
      </c>
      <c r="O2144" s="116">
        <v>1258.4749999999999</v>
      </c>
      <c r="P2144" s="116">
        <v>1262.0999999999999</v>
      </c>
      <c r="Q2144" s="116">
        <v>2522.1999999999998</v>
      </c>
      <c r="R2144">
        <v>4758976</v>
      </c>
    </row>
    <row r="2145" spans="1:18" x14ac:dyDescent="0.25">
      <c r="A2145" s="170">
        <v>45162</v>
      </c>
      <c r="B2145" s="116">
        <v>1271</v>
      </c>
      <c r="C2145" s="116">
        <v>1239.325</v>
      </c>
      <c r="D2145" s="116">
        <v>1235.8</v>
      </c>
      <c r="E2145" s="116">
        <v>1271</v>
      </c>
      <c r="F2145" s="116">
        <v>2478.65</v>
      </c>
      <c r="G2145">
        <v>302604</v>
      </c>
      <c r="H2145" s="116"/>
      <c r="I2145" s="116"/>
      <c r="L2145" s="170">
        <v>45162</v>
      </c>
      <c r="M2145" s="116">
        <v>1239.9000000000001</v>
      </c>
      <c r="N2145" s="116">
        <v>1269.95</v>
      </c>
      <c r="O2145" s="116">
        <v>1235.5</v>
      </c>
      <c r="P2145" s="116">
        <v>1269.95</v>
      </c>
      <c r="Q2145" s="116">
        <v>2479.8000000000002</v>
      </c>
      <c r="R2145">
        <v>7070010</v>
      </c>
    </row>
    <row r="2146" spans="1:18" x14ac:dyDescent="0.25">
      <c r="A2146" s="170">
        <v>45163</v>
      </c>
      <c r="B2146" s="116">
        <v>1252.5</v>
      </c>
      <c r="C2146" s="116">
        <v>1234.9749999999999</v>
      </c>
      <c r="D2146" s="116">
        <v>1221.9749999999999</v>
      </c>
      <c r="E2146" s="116">
        <v>1227</v>
      </c>
      <c r="F2146" s="116">
        <v>2469.9499999999998</v>
      </c>
      <c r="G2146">
        <v>1212903</v>
      </c>
      <c r="H2146" s="116"/>
      <c r="I2146" s="116"/>
      <c r="L2146" s="170">
        <v>45163</v>
      </c>
      <c r="M2146" s="116">
        <v>1234.175</v>
      </c>
      <c r="N2146" s="116">
        <v>1252.5</v>
      </c>
      <c r="O2146" s="116">
        <v>1221.3</v>
      </c>
      <c r="P2146" s="116">
        <v>1228</v>
      </c>
      <c r="Q2146" s="116">
        <v>2468.35</v>
      </c>
      <c r="R2146">
        <v>11111200</v>
      </c>
    </row>
    <row r="2147" spans="1:18" x14ac:dyDescent="0.25">
      <c r="A2147" s="170">
        <v>45166</v>
      </c>
      <c r="B2147" s="116">
        <v>1241.75</v>
      </c>
      <c r="C2147" s="116">
        <v>1221.2750000000001</v>
      </c>
      <c r="D2147" s="116">
        <v>1216</v>
      </c>
      <c r="E2147" s="116">
        <v>1237</v>
      </c>
      <c r="F2147" s="116">
        <v>2442.5500000000002</v>
      </c>
      <c r="G2147">
        <v>349403</v>
      </c>
      <c r="H2147" s="116"/>
      <c r="I2147" s="116"/>
      <c r="L2147" s="170">
        <v>45166</v>
      </c>
      <c r="M2147" s="116">
        <v>1221.875</v>
      </c>
      <c r="N2147" s="116">
        <v>1242</v>
      </c>
      <c r="O2147" s="116">
        <v>1215.55</v>
      </c>
      <c r="P2147" s="116">
        <v>1236</v>
      </c>
      <c r="Q2147" s="116">
        <v>2443.75</v>
      </c>
      <c r="R2147">
        <v>6290413</v>
      </c>
    </row>
    <row r="2148" spans="1:18" x14ac:dyDescent="0.25">
      <c r="A2148" s="170">
        <v>45167</v>
      </c>
      <c r="B2148" s="116">
        <v>1226.075</v>
      </c>
      <c r="C2148" s="116">
        <v>1210.125</v>
      </c>
      <c r="D2148" s="116">
        <v>1204.2249999999999</v>
      </c>
      <c r="E2148" s="116">
        <v>1223.5</v>
      </c>
      <c r="F2148" s="116">
        <v>2420.25</v>
      </c>
      <c r="G2148">
        <v>220154</v>
      </c>
      <c r="H2148" s="116"/>
      <c r="I2148" s="116"/>
      <c r="L2148" s="170">
        <v>45167</v>
      </c>
      <c r="M2148" s="116">
        <v>1210.175</v>
      </c>
      <c r="N2148" s="116">
        <v>1226.7249999999999</v>
      </c>
      <c r="O2148" s="116">
        <v>1204.075</v>
      </c>
      <c r="P2148" s="116">
        <v>1226.0250000000001</v>
      </c>
      <c r="Q2148" s="116">
        <v>2420.35</v>
      </c>
      <c r="R2148">
        <v>8438322</v>
      </c>
    </row>
    <row r="2149" spans="1:18" x14ac:dyDescent="0.25">
      <c r="A2149" s="170">
        <v>45168</v>
      </c>
      <c r="B2149" s="116">
        <v>1221.625</v>
      </c>
      <c r="C2149" s="116">
        <v>1209.1500000000001</v>
      </c>
      <c r="D2149" s="116">
        <v>1207.5250000000001</v>
      </c>
      <c r="E2149" s="116">
        <v>1215.1500000000001</v>
      </c>
      <c r="F2149" s="116">
        <v>2418.3000000000002</v>
      </c>
      <c r="G2149">
        <v>923878</v>
      </c>
      <c r="H2149" s="116"/>
      <c r="I2149" s="116"/>
      <c r="L2149" s="170">
        <v>45168</v>
      </c>
      <c r="M2149" s="116">
        <v>1209.0250000000001</v>
      </c>
      <c r="N2149" s="116">
        <v>1221.5</v>
      </c>
      <c r="O2149" s="116">
        <v>1207.5</v>
      </c>
      <c r="P2149" s="116">
        <v>1216</v>
      </c>
      <c r="Q2149" s="116">
        <v>2418.0500000000002</v>
      </c>
      <c r="R2149">
        <v>6084473</v>
      </c>
    </row>
    <row r="2150" spans="1:18" x14ac:dyDescent="0.25">
      <c r="A2150" s="170">
        <v>45169</v>
      </c>
      <c r="B2150" s="116">
        <v>1212.95</v>
      </c>
      <c r="C2150" s="116">
        <v>1203.45</v>
      </c>
      <c r="D2150" s="116">
        <v>1200</v>
      </c>
      <c r="E2150" s="116">
        <v>1210.0250000000001</v>
      </c>
      <c r="F2150" s="116">
        <v>2406.9</v>
      </c>
      <c r="G2150">
        <v>241991</v>
      </c>
      <c r="H2150" s="116"/>
      <c r="I2150" s="116"/>
      <c r="L2150" s="170">
        <v>45169</v>
      </c>
      <c r="M2150" s="116">
        <v>1203.5</v>
      </c>
      <c r="N2150" s="116">
        <v>1212.5</v>
      </c>
      <c r="O2150" s="116">
        <v>1199.95</v>
      </c>
      <c r="P2150" s="116">
        <v>1211.5</v>
      </c>
      <c r="Q2150" s="116">
        <v>2407</v>
      </c>
      <c r="R2150">
        <v>10819300</v>
      </c>
    </row>
    <row r="2151" spans="1:18" x14ac:dyDescent="0.25">
      <c r="A2151" s="170">
        <v>45170</v>
      </c>
      <c r="B2151" s="116">
        <v>1212.8499999999999</v>
      </c>
      <c r="C2151" s="116">
        <v>1206.5250000000001</v>
      </c>
      <c r="D2151" s="116">
        <v>1200.6500000000001</v>
      </c>
      <c r="E2151" s="116">
        <v>1204</v>
      </c>
      <c r="F2151" s="116">
        <v>2413.0500000000002</v>
      </c>
      <c r="G2151">
        <v>723207</v>
      </c>
      <c r="H2151" s="116"/>
      <c r="I2151" s="116"/>
      <c r="L2151" s="170">
        <v>45170</v>
      </c>
      <c r="M2151" s="116">
        <v>1206.325</v>
      </c>
      <c r="N2151" s="116">
        <v>1212.825</v>
      </c>
      <c r="O2151" s="116">
        <v>1200.825</v>
      </c>
      <c r="P2151" s="116">
        <v>1203.2750000000001</v>
      </c>
      <c r="Q2151" s="116">
        <v>2412.65</v>
      </c>
      <c r="R2151">
        <v>9056421</v>
      </c>
    </row>
    <row r="2152" spans="1:18" x14ac:dyDescent="0.25">
      <c r="A2152" s="170">
        <v>45173</v>
      </c>
      <c r="B2152" s="116">
        <v>1211.5</v>
      </c>
      <c r="C2152" s="116">
        <v>1205.075</v>
      </c>
      <c r="D2152" s="116">
        <v>1203</v>
      </c>
      <c r="E2152" s="116">
        <v>1205.0250000000001</v>
      </c>
      <c r="F2152" s="116">
        <v>2410.15</v>
      </c>
      <c r="G2152">
        <v>243913</v>
      </c>
      <c r="H2152" s="116"/>
      <c r="I2152" s="116"/>
      <c r="L2152" s="170">
        <v>45173</v>
      </c>
      <c r="M2152" s="116">
        <v>1205.3499999999999</v>
      </c>
      <c r="N2152" s="116">
        <v>1211.825</v>
      </c>
      <c r="O2152" s="116">
        <v>1202.6500000000001</v>
      </c>
      <c r="P2152" s="116">
        <v>1206.325</v>
      </c>
      <c r="Q2152" s="116">
        <v>2410.6999999999998</v>
      </c>
      <c r="R2152">
        <v>4673813</v>
      </c>
    </row>
    <row r="2153" spans="1:18" x14ac:dyDescent="0.25">
      <c r="A2153" s="170">
        <v>45174</v>
      </c>
      <c r="B2153" s="116">
        <v>1216.9749999999999</v>
      </c>
      <c r="C2153" s="116">
        <v>1211.9749999999999</v>
      </c>
      <c r="D2153" s="116">
        <v>1205.5</v>
      </c>
      <c r="E2153" s="116">
        <v>1209.125</v>
      </c>
      <c r="F2153" s="116">
        <v>2423.9499999999998</v>
      </c>
      <c r="G2153">
        <v>201719</v>
      </c>
      <c r="H2153" s="116"/>
      <c r="I2153" s="116"/>
      <c r="L2153" s="170">
        <v>45174</v>
      </c>
      <c r="M2153" s="116">
        <v>1211.8</v>
      </c>
      <c r="N2153" s="116">
        <v>1216.9749999999999</v>
      </c>
      <c r="O2153" s="116">
        <v>1206.2249999999999</v>
      </c>
      <c r="P2153" s="116">
        <v>1210</v>
      </c>
      <c r="Q2153" s="116">
        <v>2423.6</v>
      </c>
      <c r="R2153">
        <v>4337938</v>
      </c>
    </row>
    <row r="2154" spans="1:18" x14ac:dyDescent="0.25">
      <c r="A2154" s="170">
        <v>45175</v>
      </c>
      <c r="B2154" s="116">
        <v>1218</v>
      </c>
      <c r="C2154" s="116">
        <v>1214.05</v>
      </c>
      <c r="D2154" s="116">
        <v>1209</v>
      </c>
      <c r="E2154" s="116">
        <v>1211.4749999999999</v>
      </c>
      <c r="F2154" s="116">
        <v>2428.1</v>
      </c>
      <c r="G2154">
        <v>175250</v>
      </c>
      <c r="H2154" s="116"/>
      <c r="I2154" s="116"/>
      <c r="L2154" s="170">
        <v>45175</v>
      </c>
      <c r="M2154" s="116">
        <v>1214.3499999999999</v>
      </c>
      <c r="N2154" s="116">
        <v>1218.075</v>
      </c>
      <c r="O2154" s="116">
        <v>1208.625</v>
      </c>
      <c r="P2154" s="116">
        <v>1210.55</v>
      </c>
      <c r="Q2154" s="116">
        <v>2428.6999999999998</v>
      </c>
      <c r="R2154">
        <v>4100185</v>
      </c>
    </row>
    <row r="2155" spans="1:18" x14ac:dyDescent="0.25">
      <c r="A2155" s="170">
        <v>45176</v>
      </c>
      <c r="B2155" s="116">
        <v>1219</v>
      </c>
      <c r="C2155" s="116">
        <v>1215.75</v>
      </c>
      <c r="D2155" s="116">
        <v>1205.7</v>
      </c>
      <c r="E2155" s="116">
        <v>1212.925</v>
      </c>
      <c r="F2155" s="116">
        <v>2431.5</v>
      </c>
      <c r="G2155">
        <v>101108</v>
      </c>
      <c r="H2155" s="116"/>
      <c r="I2155" s="116"/>
      <c r="L2155" s="170">
        <v>45176</v>
      </c>
      <c r="M2155" s="116">
        <v>1216</v>
      </c>
      <c r="N2155" s="116">
        <v>1219.125</v>
      </c>
      <c r="O2155" s="116">
        <v>1205.5</v>
      </c>
      <c r="P2155" s="116">
        <v>1210.8499999999999</v>
      </c>
      <c r="Q2155" s="116">
        <v>2432</v>
      </c>
      <c r="R2155">
        <v>6826286</v>
      </c>
    </row>
    <row r="2156" spans="1:18" x14ac:dyDescent="0.25">
      <c r="A2156" s="170">
        <v>45177</v>
      </c>
      <c r="B2156" s="116">
        <v>1227.825</v>
      </c>
      <c r="C2156" s="116">
        <v>1224.5250000000001</v>
      </c>
      <c r="D2156" s="116">
        <v>1211.7</v>
      </c>
      <c r="E2156" s="116">
        <v>1218.2</v>
      </c>
      <c r="F2156" s="116">
        <v>2449.0500000000002</v>
      </c>
      <c r="G2156">
        <v>445328</v>
      </c>
      <c r="H2156" s="116"/>
      <c r="I2156" s="116"/>
      <c r="L2156" s="170">
        <v>45177</v>
      </c>
      <c r="M2156" s="116">
        <v>1224.0999999999999</v>
      </c>
      <c r="N2156" s="116">
        <v>1228</v>
      </c>
      <c r="O2156" s="116">
        <v>1211.4749999999999</v>
      </c>
      <c r="P2156" s="116">
        <v>1220</v>
      </c>
      <c r="Q2156" s="116">
        <v>2448.1999999999998</v>
      </c>
      <c r="R2156">
        <v>11554644</v>
      </c>
    </row>
    <row r="2157" spans="1:18" x14ac:dyDescent="0.25">
      <c r="A2157" s="170">
        <v>45180</v>
      </c>
      <c r="B2157" s="116">
        <v>1238</v>
      </c>
      <c r="C2157" s="116">
        <v>1237.2</v>
      </c>
      <c r="D2157" s="116">
        <v>1226.0250000000001</v>
      </c>
      <c r="E2157" s="116">
        <v>1227.9749999999999</v>
      </c>
      <c r="F2157" s="116">
        <v>2474.4</v>
      </c>
      <c r="G2157">
        <v>366596</v>
      </c>
      <c r="H2157" s="116"/>
      <c r="I2157" s="116"/>
      <c r="L2157" s="170">
        <v>45180</v>
      </c>
      <c r="M2157" s="116">
        <v>1237.3</v>
      </c>
      <c r="N2157" s="116">
        <v>1238.425</v>
      </c>
      <c r="O2157" s="116">
        <v>1226</v>
      </c>
      <c r="P2157" s="116">
        <v>1226</v>
      </c>
      <c r="Q2157" s="116">
        <v>2474.6</v>
      </c>
      <c r="R2157">
        <v>6635537</v>
      </c>
    </row>
    <row r="2158" spans="1:18" x14ac:dyDescent="0.25">
      <c r="A2158" s="170">
        <v>45181</v>
      </c>
      <c r="B2158" s="116">
        <v>1244.8499999999999</v>
      </c>
      <c r="C2158" s="116">
        <v>1218.9749999999999</v>
      </c>
      <c r="D2158" s="116">
        <v>1217.5999999999999</v>
      </c>
      <c r="E2158" s="116">
        <v>1244.8499999999999</v>
      </c>
      <c r="F2158" s="116">
        <v>2437.9499999999998</v>
      </c>
      <c r="G2158">
        <v>157057</v>
      </c>
      <c r="H2158" s="116"/>
      <c r="I2158" s="116"/>
      <c r="L2158" s="170">
        <v>45181</v>
      </c>
      <c r="M2158" s="116">
        <v>1219.425</v>
      </c>
      <c r="N2158" s="116">
        <v>1241.5</v>
      </c>
      <c r="O2158" s="116">
        <v>1217.9749999999999</v>
      </c>
      <c r="P2158" s="116">
        <v>1241.5</v>
      </c>
      <c r="Q2158" s="116">
        <v>2438.85</v>
      </c>
      <c r="R2158">
        <v>8127833</v>
      </c>
    </row>
    <row r="2159" spans="1:18" x14ac:dyDescent="0.25">
      <c r="A2159" s="170">
        <v>45182</v>
      </c>
      <c r="B2159" s="116">
        <v>1231.25</v>
      </c>
      <c r="C2159" s="116">
        <v>1226.375</v>
      </c>
      <c r="D2159" s="116">
        <v>1207.8</v>
      </c>
      <c r="E2159" s="116">
        <v>1221.7750000000001</v>
      </c>
      <c r="F2159" s="116">
        <v>2452.75</v>
      </c>
      <c r="G2159">
        <v>142946</v>
      </c>
      <c r="H2159" s="116"/>
      <c r="I2159" s="116"/>
      <c r="L2159" s="170">
        <v>45182</v>
      </c>
      <c r="M2159" s="116">
        <v>1225.5250000000001</v>
      </c>
      <c r="N2159" s="116">
        <v>1231.325</v>
      </c>
      <c r="O2159" s="116">
        <v>1213.125</v>
      </c>
      <c r="P2159" s="116">
        <v>1220</v>
      </c>
      <c r="Q2159" s="116">
        <v>2451.0500000000002</v>
      </c>
      <c r="R2159">
        <v>6401669</v>
      </c>
    </row>
    <row r="2160" spans="1:18" x14ac:dyDescent="0.25">
      <c r="A2160" s="170">
        <v>45183</v>
      </c>
      <c r="B2160" s="116">
        <v>1232.5</v>
      </c>
      <c r="C2160" s="116">
        <v>1225.55</v>
      </c>
      <c r="D2160" s="116">
        <v>1222.5</v>
      </c>
      <c r="E2160" s="116">
        <v>1228.175</v>
      </c>
      <c r="F2160" s="116">
        <v>2451.1</v>
      </c>
      <c r="G2160">
        <v>231443</v>
      </c>
      <c r="H2160" s="116"/>
      <c r="I2160" s="116"/>
      <c r="L2160" s="170">
        <v>45183</v>
      </c>
      <c r="M2160" s="116">
        <v>1226.6500000000001</v>
      </c>
      <c r="N2160" s="116">
        <v>1232.9000000000001</v>
      </c>
      <c r="O2160" s="116">
        <v>1222.5</v>
      </c>
      <c r="P2160" s="116">
        <v>1230</v>
      </c>
      <c r="Q2160" s="116">
        <v>2453.3000000000002</v>
      </c>
      <c r="R2160">
        <v>4604818</v>
      </c>
    </row>
    <row r="2161" spans="1:18" x14ac:dyDescent="0.25">
      <c r="A2161" s="170">
        <v>45184</v>
      </c>
      <c r="B2161" s="116">
        <v>1233.55</v>
      </c>
      <c r="C2161" s="116">
        <v>1230.0250000000001</v>
      </c>
      <c r="D2161" s="116">
        <v>1224.8</v>
      </c>
      <c r="E2161" s="116">
        <v>1233.0250000000001</v>
      </c>
      <c r="F2161" s="116">
        <v>2460.0500000000002</v>
      </c>
      <c r="G2161">
        <v>126487</v>
      </c>
      <c r="H2161" s="116"/>
      <c r="I2161" s="116"/>
      <c r="L2161" s="170">
        <v>45184</v>
      </c>
      <c r="M2161" s="116">
        <v>1228.925</v>
      </c>
      <c r="N2161" s="116">
        <v>1234</v>
      </c>
      <c r="O2161" s="116">
        <v>1224.75</v>
      </c>
      <c r="P2161" s="116">
        <v>1234</v>
      </c>
      <c r="Q2161" s="116">
        <v>2457.85</v>
      </c>
      <c r="R2161">
        <v>12734296</v>
      </c>
    </row>
    <row r="2162" spans="1:18" x14ac:dyDescent="0.25">
      <c r="A2162" s="170">
        <v>45187</v>
      </c>
      <c r="B2162" s="116">
        <v>1225.7750000000001</v>
      </c>
      <c r="C2162" s="116">
        <v>1218</v>
      </c>
      <c r="D2162" s="116">
        <v>1216.3</v>
      </c>
      <c r="E2162" s="116">
        <v>1221</v>
      </c>
      <c r="F2162" s="116">
        <v>2436</v>
      </c>
      <c r="G2162">
        <v>139331</v>
      </c>
      <c r="H2162" s="116"/>
      <c r="I2162" s="116"/>
      <c r="L2162" s="170">
        <v>45187</v>
      </c>
      <c r="M2162" s="116">
        <v>1218.2249999999999</v>
      </c>
      <c r="N2162" s="116">
        <v>1225.5</v>
      </c>
      <c r="O2162" s="116">
        <v>1216.0250000000001</v>
      </c>
      <c r="P2162" s="116">
        <v>1220.0250000000001</v>
      </c>
      <c r="Q2162" s="116">
        <v>2436.4499999999998</v>
      </c>
      <c r="R2162">
        <v>3758150</v>
      </c>
    </row>
    <row r="2163" spans="1:18" x14ac:dyDescent="0.25">
      <c r="A2163" s="170">
        <v>45189</v>
      </c>
      <c r="B2163" s="116">
        <v>1213.2</v>
      </c>
      <c r="C2163" s="116">
        <v>1191.05</v>
      </c>
      <c r="D2163" s="116">
        <v>1180.8</v>
      </c>
      <c r="E2163" s="116">
        <v>1211.4749999999999</v>
      </c>
      <c r="F2163" s="116">
        <v>2382.1</v>
      </c>
      <c r="G2163">
        <v>2533477</v>
      </c>
      <c r="H2163" s="116"/>
      <c r="I2163" s="116"/>
      <c r="L2163" s="170">
        <v>45189</v>
      </c>
      <c r="M2163" s="116">
        <v>1191.075</v>
      </c>
      <c r="N2163" s="116">
        <v>1213.8</v>
      </c>
      <c r="O2163" s="116">
        <v>1177.5</v>
      </c>
      <c r="P2163" s="116">
        <v>1211.5250000000001</v>
      </c>
      <c r="Q2163" s="116">
        <v>2382.15</v>
      </c>
      <c r="R2163">
        <v>28540942</v>
      </c>
    </row>
    <row r="2164" spans="1:18" x14ac:dyDescent="0.25">
      <c r="A2164" s="170">
        <v>45190</v>
      </c>
      <c r="B2164" s="116">
        <v>1195</v>
      </c>
      <c r="C2164" s="116">
        <v>1182.2750000000001</v>
      </c>
      <c r="D2164" s="116">
        <v>1179.5</v>
      </c>
      <c r="E2164" s="116">
        <v>1189.9749999999999</v>
      </c>
      <c r="F2164" s="116">
        <v>2364.5500000000002</v>
      </c>
      <c r="G2164">
        <v>358113</v>
      </c>
      <c r="H2164" s="116"/>
      <c r="I2164" s="116"/>
      <c r="L2164" s="170">
        <v>45190</v>
      </c>
      <c r="M2164" s="116">
        <v>1182.4000000000001</v>
      </c>
      <c r="N2164" s="116">
        <v>1195.05</v>
      </c>
      <c r="O2164" s="116">
        <v>1180</v>
      </c>
      <c r="P2164" s="116">
        <v>1187.4749999999999</v>
      </c>
      <c r="Q2164" s="116">
        <v>2364.8000000000002</v>
      </c>
      <c r="R2164">
        <v>6113091</v>
      </c>
    </row>
    <row r="2165" spans="1:18" x14ac:dyDescent="0.25">
      <c r="A2165" s="170">
        <v>45191</v>
      </c>
      <c r="B2165" s="116">
        <v>1191.825</v>
      </c>
      <c r="C2165" s="116">
        <v>1177.0250000000001</v>
      </c>
      <c r="D2165" s="116">
        <v>1175</v>
      </c>
      <c r="E2165" s="116">
        <v>1184.075</v>
      </c>
      <c r="F2165" s="116">
        <v>2354.0500000000002</v>
      </c>
      <c r="G2165">
        <v>367560</v>
      </c>
      <c r="H2165" s="116"/>
      <c r="I2165" s="116"/>
      <c r="L2165" s="170">
        <v>45191</v>
      </c>
      <c r="M2165" s="116">
        <v>1177.4749999999999</v>
      </c>
      <c r="N2165" s="116">
        <v>1191.2249999999999</v>
      </c>
      <c r="O2165" s="116">
        <v>1175</v>
      </c>
      <c r="P2165" s="116">
        <v>1188</v>
      </c>
      <c r="Q2165" s="116">
        <v>2354.9499999999998</v>
      </c>
      <c r="R2165">
        <v>9588393</v>
      </c>
    </row>
    <row r="2166" spans="1:18" x14ac:dyDescent="0.25">
      <c r="A2166" s="170">
        <v>45194</v>
      </c>
      <c r="B2166" s="116">
        <v>1179.95</v>
      </c>
      <c r="C2166" s="116">
        <v>1170.0250000000001</v>
      </c>
      <c r="D2166" s="116">
        <v>1167.9000000000001</v>
      </c>
      <c r="E2166" s="116">
        <v>1176.925</v>
      </c>
      <c r="F2166" s="116">
        <v>2340.0500000000002</v>
      </c>
      <c r="G2166">
        <v>191151</v>
      </c>
      <c r="H2166" s="116"/>
      <c r="I2166" s="116"/>
      <c r="L2166" s="170">
        <v>45194</v>
      </c>
      <c r="M2166" s="116">
        <v>1170.2249999999999</v>
      </c>
      <c r="N2166" s="116">
        <v>1180.3499999999999</v>
      </c>
      <c r="O2166" s="116">
        <v>1167.55</v>
      </c>
      <c r="P2166" s="116">
        <v>1175.2</v>
      </c>
      <c r="Q2166" s="116">
        <v>2340.4499999999998</v>
      </c>
      <c r="R2166">
        <v>7127442</v>
      </c>
    </row>
    <row r="2167" spans="1:18" x14ac:dyDescent="0.25">
      <c r="A2167" s="170">
        <v>45195</v>
      </c>
      <c r="B2167" s="116">
        <v>1175</v>
      </c>
      <c r="C2167" s="116">
        <v>1170.7750000000001</v>
      </c>
      <c r="D2167" s="116">
        <v>1168.05</v>
      </c>
      <c r="E2167" s="116">
        <v>1171.8499999999999</v>
      </c>
      <c r="F2167" s="116">
        <v>2341.5500000000002</v>
      </c>
      <c r="G2167">
        <v>139096</v>
      </c>
      <c r="H2167" s="116"/>
      <c r="I2167" s="116"/>
      <c r="L2167" s="170">
        <v>45195</v>
      </c>
      <c r="M2167" s="116">
        <v>1171.25</v>
      </c>
      <c r="N2167" s="116">
        <v>1175.0999999999999</v>
      </c>
      <c r="O2167" s="116">
        <v>1167.8</v>
      </c>
      <c r="P2167" s="116">
        <v>1169.2750000000001</v>
      </c>
      <c r="Q2167" s="116">
        <v>2342.5</v>
      </c>
      <c r="R2167">
        <v>5043891</v>
      </c>
    </row>
    <row r="2168" spans="1:18" x14ac:dyDescent="0.25">
      <c r="A2168" s="170">
        <v>45196</v>
      </c>
      <c r="B2168" s="116">
        <v>1185.8499999999999</v>
      </c>
      <c r="C2168" s="116">
        <v>1184.55</v>
      </c>
      <c r="D2168" s="116">
        <v>1169.5</v>
      </c>
      <c r="E2168" s="116">
        <v>1174.5</v>
      </c>
      <c r="F2168" s="116">
        <v>2369.1</v>
      </c>
      <c r="G2168">
        <v>248130</v>
      </c>
      <c r="H2168" s="116"/>
      <c r="I2168" s="116"/>
      <c r="L2168" s="170">
        <v>45196</v>
      </c>
      <c r="M2168" s="116">
        <v>1184.45</v>
      </c>
      <c r="N2168" s="116">
        <v>1185.9000000000001</v>
      </c>
      <c r="O2168" s="116">
        <v>1169.25</v>
      </c>
      <c r="P2168" s="116">
        <v>1171.75</v>
      </c>
      <c r="Q2168" s="116">
        <v>2368.9</v>
      </c>
      <c r="R2168">
        <v>5861389</v>
      </c>
    </row>
    <row r="2169" spans="1:18" x14ac:dyDescent="0.25">
      <c r="A2169" s="170">
        <v>45197</v>
      </c>
      <c r="B2169" s="116">
        <v>1192</v>
      </c>
      <c r="C2169" s="116">
        <v>1167</v>
      </c>
      <c r="D2169" s="116">
        <v>1162.825</v>
      </c>
      <c r="E2169" s="116">
        <v>1192</v>
      </c>
      <c r="F2169" s="116">
        <v>2334</v>
      </c>
      <c r="G2169">
        <v>314683</v>
      </c>
      <c r="H2169" s="116"/>
      <c r="I2169" s="116"/>
      <c r="L2169" s="170">
        <v>45197</v>
      </c>
      <c r="M2169" s="116">
        <v>1167.05</v>
      </c>
      <c r="N2169" s="116">
        <v>1191.5</v>
      </c>
      <c r="O2169" s="116">
        <v>1162.5</v>
      </c>
      <c r="P2169" s="116">
        <v>1191.5</v>
      </c>
      <c r="Q2169" s="116">
        <v>2334.1</v>
      </c>
      <c r="R2169">
        <v>7259173</v>
      </c>
    </row>
    <row r="2170" spans="1:18" x14ac:dyDescent="0.25">
      <c r="A2170" s="170">
        <v>45198</v>
      </c>
      <c r="B2170" s="116">
        <v>1184.75</v>
      </c>
      <c r="C2170" s="116">
        <v>1173.25</v>
      </c>
      <c r="D2170" s="116">
        <v>1167.05</v>
      </c>
      <c r="E2170" s="116">
        <v>1173.9749999999999</v>
      </c>
      <c r="F2170" s="116">
        <v>2346.5</v>
      </c>
      <c r="G2170">
        <v>152169</v>
      </c>
      <c r="H2170" s="116"/>
      <c r="I2170" s="116"/>
      <c r="L2170" s="170">
        <v>45198</v>
      </c>
      <c r="M2170" s="116">
        <v>1172.5</v>
      </c>
      <c r="N2170" s="116">
        <v>1184.55</v>
      </c>
      <c r="O2170" s="116">
        <v>1167.05</v>
      </c>
      <c r="P2170" s="116">
        <v>1170.9000000000001</v>
      </c>
      <c r="Q2170" s="116">
        <v>2345</v>
      </c>
      <c r="R2170">
        <v>6171007</v>
      </c>
    </row>
    <row r="2171" spans="1:18" x14ac:dyDescent="0.25">
      <c r="A2171" s="170">
        <v>45202</v>
      </c>
      <c r="B2171" s="116">
        <v>1168.5</v>
      </c>
      <c r="C2171" s="116">
        <v>1159.125</v>
      </c>
      <c r="D2171" s="116">
        <v>1158</v>
      </c>
      <c r="E2171" s="116">
        <v>1168.5</v>
      </c>
      <c r="F2171" s="116">
        <v>2318.25</v>
      </c>
      <c r="G2171">
        <v>266890</v>
      </c>
      <c r="H2171" s="116"/>
      <c r="I2171" s="116"/>
      <c r="L2171" s="170">
        <v>45202</v>
      </c>
      <c r="M2171" s="116">
        <v>1159.075</v>
      </c>
      <c r="N2171" s="116">
        <v>1167.8</v>
      </c>
      <c r="O2171" s="116">
        <v>1158</v>
      </c>
      <c r="P2171" s="116">
        <v>1164.9749999999999</v>
      </c>
      <c r="Q2171" s="116">
        <v>2318.15</v>
      </c>
      <c r="R2171">
        <v>4429528</v>
      </c>
    </row>
    <row r="2172" spans="1:18" x14ac:dyDescent="0.25">
      <c r="A2172" s="170">
        <v>45203</v>
      </c>
      <c r="B2172" s="116">
        <v>1159.3499999999999</v>
      </c>
      <c r="C2172" s="116">
        <v>1157.1500000000001</v>
      </c>
      <c r="D2172" s="116">
        <v>1147.575</v>
      </c>
      <c r="E2172" s="116">
        <v>1156</v>
      </c>
      <c r="F2172" s="116">
        <v>2314.3000000000002</v>
      </c>
      <c r="G2172">
        <v>269205</v>
      </c>
      <c r="H2172" s="116"/>
      <c r="I2172" s="116"/>
      <c r="L2172" s="170">
        <v>45203</v>
      </c>
      <c r="M2172" s="116">
        <v>1157.075</v>
      </c>
      <c r="N2172" s="116">
        <v>1159.5</v>
      </c>
      <c r="O2172" s="116">
        <v>1147.55</v>
      </c>
      <c r="P2172" s="116">
        <v>1154.5</v>
      </c>
      <c r="Q2172" s="116">
        <v>2314.15</v>
      </c>
      <c r="R2172">
        <v>5143193</v>
      </c>
    </row>
    <row r="2173" spans="1:18" x14ac:dyDescent="0.25">
      <c r="A2173" s="170">
        <v>45204</v>
      </c>
      <c r="B2173" s="116">
        <v>1164.5</v>
      </c>
      <c r="C2173" s="116">
        <v>1156.925</v>
      </c>
      <c r="D2173" s="116">
        <v>1155</v>
      </c>
      <c r="E2173" s="116">
        <v>1162.5</v>
      </c>
      <c r="F2173" s="116">
        <v>2313.85</v>
      </c>
      <c r="G2173">
        <v>194952</v>
      </c>
      <c r="H2173" s="116"/>
      <c r="I2173" s="116"/>
      <c r="L2173" s="170">
        <v>45204</v>
      </c>
      <c r="M2173" s="116">
        <v>1157.05</v>
      </c>
      <c r="N2173" s="116">
        <v>1164.7</v>
      </c>
      <c r="O2173" s="116">
        <v>1154.5</v>
      </c>
      <c r="P2173" s="116">
        <v>1159.625</v>
      </c>
      <c r="Q2173" s="116">
        <v>2314.1</v>
      </c>
      <c r="R2173">
        <v>5476841</v>
      </c>
    </row>
    <row r="2174" spans="1:18" x14ac:dyDescent="0.25">
      <c r="A2174" s="170">
        <v>45205</v>
      </c>
      <c r="B2174" s="116">
        <v>1162.5</v>
      </c>
      <c r="C2174" s="116">
        <v>1158.95</v>
      </c>
      <c r="D2174" s="116">
        <v>1156</v>
      </c>
      <c r="E2174" s="116">
        <v>1161.4749999999999</v>
      </c>
      <c r="F2174" s="116">
        <v>2317.9</v>
      </c>
      <c r="G2174">
        <v>356117</v>
      </c>
      <c r="H2174" s="116"/>
      <c r="I2174" s="116"/>
      <c r="L2174" s="170">
        <v>45205</v>
      </c>
      <c r="M2174" s="116">
        <v>1159</v>
      </c>
      <c r="N2174" s="116">
        <v>1162.4000000000001</v>
      </c>
      <c r="O2174" s="116">
        <v>1156.0250000000001</v>
      </c>
      <c r="P2174" s="116">
        <v>1158.5250000000001</v>
      </c>
      <c r="Q2174" s="116">
        <v>2318</v>
      </c>
      <c r="R2174">
        <v>2715513</v>
      </c>
    </row>
    <row r="2175" spans="1:18" x14ac:dyDescent="0.25">
      <c r="A2175" s="170">
        <v>45208</v>
      </c>
      <c r="B2175" s="116">
        <v>1156.2750000000001</v>
      </c>
      <c r="C2175" s="116">
        <v>1148.875</v>
      </c>
      <c r="D2175" s="116">
        <v>1147.5</v>
      </c>
      <c r="E2175" s="116">
        <v>1154.9749999999999</v>
      </c>
      <c r="F2175" s="116">
        <v>2297.75</v>
      </c>
      <c r="G2175">
        <v>96352</v>
      </c>
      <c r="H2175" s="116"/>
      <c r="I2175" s="116"/>
      <c r="L2175" s="170">
        <v>45208</v>
      </c>
      <c r="M2175" s="116">
        <v>1149.125</v>
      </c>
      <c r="N2175" s="116">
        <v>1155.9749999999999</v>
      </c>
      <c r="O2175" s="116">
        <v>1147.5</v>
      </c>
      <c r="P2175" s="116">
        <v>1154.05</v>
      </c>
      <c r="Q2175" s="116">
        <v>2298.25</v>
      </c>
      <c r="R2175">
        <v>3788439</v>
      </c>
    </row>
    <row r="2176" spans="1:18" x14ac:dyDescent="0.25">
      <c r="A2176" s="170">
        <v>45209</v>
      </c>
      <c r="B2176" s="116">
        <v>1158.95</v>
      </c>
      <c r="C2176" s="116">
        <v>1154.2750000000001</v>
      </c>
      <c r="D2176" s="116">
        <v>1151.7249999999999</v>
      </c>
      <c r="E2176" s="116">
        <v>1152.5250000000001</v>
      </c>
      <c r="F2176" s="116">
        <v>2308.5500000000002</v>
      </c>
      <c r="G2176">
        <v>87798</v>
      </c>
      <c r="H2176" s="116"/>
      <c r="I2176" s="116"/>
      <c r="L2176" s="170">
        <v>45209</v>
      </c>
      <c r="M2176" s="116">
        <v>1154.2</v>
      </c>
      <c r="N2176" s="116">
        <v>1158.95</v>
      </c>
      <c r="O2176" s="116">
        <v>1151.875</v>
      </c>
      <c r="P2176" s="116">
        <v>1153.2750000000001</v>
      </c>
      <c r="Q2176" s="116">
        <v>2308.4</v>
      </c>
      <c r="R2176">
        <v>5118016</v>
      </c>
    </row>
    <row r="2177" spans="1:18" x14ac:dyDescent="0.25">
      <c r="A2177" s="170">
        <v>45210</v>
      </c>
      <c r="B2177" s="116">
        <v>1174.75</v>
      </c>
      <c r="C2177" s="116">
        <v>1172.5</v>
      </c>
      <c r="D2177" s="116">
        <v>1157</v>
      </c>
      <c r="E2177" s="116">
        <v>1157.45</v>
      </c>
      <c r="F2177" s="116">
        <v>2345</v>
      </c>
      <c r="G2177">
        <v>1384096</v>
      </c>
      <c r="H2177" s="116"/>
      <c r="I2177" s="116"/>
      <c r="L2177" s="170">
        <v>45210</v>
      </c>
      <c r="M2177" s="116">
        <v>1172.5250000000001</v>
      </c>
      <c r="N2177" s="116">
        <v>1174.8499999999999</v>
      </c>
      <c r="O2177" s="116">
        <v>1156.5</v>
      </c>
      <c r="P2177" s="116">
        <v>1157.2249999999999</v>
      </c>
      <c r="Q2177" s="116">
        <v>2345.0500000000002</v>
      </c>
      <c r="R2177">
        <v>4907059</v>
      </c>
    </row>
    <row r="2178" spans="1:18" x14ac:dyDescent="0.25">
      <c r="A2178" s="170">
        <v>45211</v>
      </c>
      <c r="B2178" s="116">
        <v>1179.5</v>
      </c>
      <c r="C2178" s="116">
        <v>1174.425</v>
      </c>
      <c r="D2178" s="116">
        <v>1169.0250000000001</v>
      </c>
      <c r="E2178" s="116">
        <v>1173.825</v>
      </c>
      <c r="F2178" s="116">
        <v>2348.85</v>
      </c>
      <c r="G2178">
        <v>308005</v>
      </c>
      <c r="H2178" s="116"/>
      <c r="I2178" s="116"/>
      <c r="L2178" s="170">
        <v>45211</v>
      </c>
      <c r="M2178" s="116">
        <v>1174.7</v>
      </c>
      <c r="N2178" s="116">
        <v>1179.675</v>
      </c>
      <c r="O2178" s="116">
        <v>1169.075</v>
      </c>
      <c r="P2178" s="116">
        <v>1171.925</v>
      </c>
      <c r="Q2178" s="116">
        <v>2349.4</v>
      </c>
      <c r="R2178">
        <v>6277225</v>
      </c>
    </row>
    <row r="2179" spans="1:18" x14ac:dyDescent="0.25">
      <c r="A2179" s="170">
        <v>45212</v>
      </c>
      <c r="B2179" s="116">
        <v>1179</v>
      </c>
      <c r="C2179" s="116">
        <v>1175.3499999999999</v>
      </c>
      <c r="D2179" s="116">
        <v>1165</v>
      </c>
      <c r="E2179" s="116">
        <v>1171.45</v>
      </c>
      <c r="F2179" s="116">
        <v>2350.6999999999998</v>
      </c>
      <c r="G2179">
        <v>686714</v>
      </c>
      <c r="H2179" s="116"/>
      <c r="I2179" s="116"/>
      <c r="L2179" s="170">
        <v>45212</v>
      </c>
      <c r="M2179" s="116">
        <v>1174.6500000000001</v>
      </c>
      <c r="N2179" s="116">
        <v>1178.75</v>
      </c>
      <c r="O2179" s="116">
        <v>1164.575</v>
      </c>
      <c r="P2179" s="116">
        <v>1170</v>
      </c>
      <c r="Q2179" s="116">
        <v>2349.3000000000002</v>
      </c>
      <c r="R2179">
        <v>5075158</v>
      </c>
    </row>
    <row r="2180" spans="1:18" x14ac:dyDescent="0.25">
      <c r="A2180" s="170">
        <v>45215</v>
      </c>
      <c r="B2180" s="116">
        <v>1177</v>
      </c>
      <c r="C2180" s="116">
        <v>1171.45</v>
      </c>
      <c r="D2180" s="116">
        <v>1168</v>
      </c>
      <c r="E2180" s="116">
        <v>1174</v>
      </c>
      <c r="F2180" s="116">
        <v>2342.9</v>
      </c>
      <c r="G2180">
        <v>208827</v>
      </c>
      <c r="H2180" s="116"/>
      <c r="I2180" s="116"/>
      <c r="L2180" s="170">
        <v>45215</v>
      </c>
      <c r="M2180" s="116">
        <v>1172.0250000000001</v>
      </c>
      <c r="N2180" s="116">
        <v>1177.2750000000001</v>
      </c>
      <c r="O2180" s="116">
        <v>1168</v>
      </c>
      <c r="P2180" s="116">
        <v>1172.5</v>
      </c>
      <c r="Q2180" s="116">
        <v>2344.0500000000002</v>
      </c>
      <c r="R2180">
        <v>2964518</v>
      </c>
    </row>
    <row r="2181" spans="1:18" x14ac:dyDescent="0.25">
      <c r="A2181" s="170">
        <v>45216</v>
      </c>
      <c r="B2181" s="116">
        <v>1180</v>
      </c>
      <c r="C2181" s="116">
        <v>1177.8</v>
      </c>
      <c r="D2181" s="116">
        <v>1171</v>
      </c>
      <c r="E2181" s="116">
        <v>1176.2249999999999</v>
      </c>
      <c r="F2181" s="116">
        <v>2355.6</v>
      </c>
      <c r="G2181">
        <v>135643</v>
      </c>
      <c r="H2181" s="116"/>
      <c r="I2181" s="116"/>
      <c r="L2181" s="170">
        <v>45216</v>
      </c>
      <c r="M2181" s="116">
        <v>1177.625</v>
      </c>
      <c r="N2181" s="116">
        <v>1179.8499999999999</v>
      </c>
      <c r="O2181" s="116">
        <v>1170.6500000000001</v>
      </c>
      <c r="P2181" s="116">
        <v>1178</v>
      </c>
      <c r="Q2181" s="116">
        <v>2355.25</v>
      </c>
      <c r="R2181">
        <v>3964090</v>
      </c>
    </row>
    <row r="2182" spans="1:18" x14ac:dyDescent="0.25">
      <c r="A2182" s="170">
        <v>45217</v>
      </c>
      <c r="B2182" s="116">
        <v>1183.575</v>
      </c>
      <c r="C2182" s="116">
        <v>1161.8</v>
      </c>
      <c r="D2182" s="116">
        <v>1160.0999999999999</v>
      </c>
      <c r="E2182" s="116">
        <v>1177.625</v>
      </c>
      <c r="F2182" s="116">
        <v>2323.6</v>
      </c>
      <c r="G2182">
        <v>260837</v>
      </c>
      <c r="H2182" s="116"/>
      <c r="I2182" s="116"/>
      <c r="L2182" s="170">
        <v>45217</v>
      </c>
      <c r="M2182" s="116">
        <v>1162</v>
      </c>
      <c r="N2182" s="116">
        <v>1183.5</v>
      </c>
      <c r="O2182" s="116">
        <v>1160.5</v>
      </c>
      <c r="P2182" s="116">
        <v>1177.625</v>
      </c>
      <c r="Q2182" s="116">
        <v>2324</v>
      </c>
      <c r="R2182">
        <v>4459160</v>
      </c>
    </row>
    <row r="2183" spans="1:18" x14ac:dyDescent="0.25">
      <c r="A2183" s="170">
        <v>45218</v>
      </c>
      <c r="B2183" s="116">
        <v>1160.7</v>
      </c>
      <c r="C2183" s="116">
        <v>1152.7750000000001</v>
      </c>
      <c r="D2183" s="116">
        <v>1150.7750000000001</v>
      </c>
      <c r="E2183" s="116">
        <v>1157.4749999999999</v>
      </c>
      <c r="F2183" s="116">
        <v>2305.5500000000002</v>
      </c>
      <c r="G2183">
        <v>590336</v>
      </c>
      <c r="H2183" s="116"/>
      <c r="I2183" s="116"/>
      <c r="L2183" s="170">
        <v>45218</v>
      </c>
      <c r="M2183" s="116">
        <v>1153.075</v>
      </c>
      <c r="N2183" s="116">
        <v>1160.9000000000001</v>
      </c>
      <c r="O2183" s="116">
        <v>1150.5</v>
      </c>
      <c r="P2183" s="116">
        <v>1156</v>
      </c>
      <c r="Q2183" s="116">
        <v>2306.15</v>
      </c>
      <c r="R2183">
        <v>6016278</v>
      </c>
    </row>
    <row r="2184" spans="1:18" x14ac:dyDescent="0.25">
      <c r="A2184" s="170">
        <v>45219</v>
      </c>
      <c r="B2184" s="116">
        <v>1157.4000000000001</v>
      </c>
      <c r="C2184" s="116">
        <v>1149.575</v>
      </c>
      <c r="D2184" s="116">
        <v>1148.0250000000001</v>
      </c>
      <c r="E2184" s="116">
        <v>1151.2249999999999</v>
      </c>
      <c r="F2184" s="116">
        <v>2299.15</v>
      </c>
      <c r="G2184">
        <v>474553</v>
      </c>
      <c r="H2184" s="116"/>
      <c r="I2184" s="116"/>
      <c r="L2184" s="170">
        <v>45219</v>
      </c>
      <c r="M2184" s="116">
        <v>1149.55</v>
      </c>
      <c r="N2184" s="116">
        <v>1157.3499999999999</v>
      </c>
      <c r="O2184" s="116">
        <v>1148.1500000000001</v>
      </c>
      <c r="P2184" s="116">
        <v>1150</v>
      </c>
      <c r="Q2184" s="116">
        <v>2299.1</v>
      </c>
      <c r="R2184">
        <v>4456656</v>
      </c>
    </row>
    <row r="2185" spans="1:18" x14ac:dyDescent="0.25">
      <c r="A2185" s="170">
        <v>45222</v>
      </c>
      <c r="B2185" s="116">
        <v>1153.3499999999999</v>
      </c>
      <c r="C2185" s="116">
        <v>1131.325</v>
      </c>
      <c r="D2185" s="116">
        <v>1127.125</v>
      </c>
      <c r="E2185" s="116">
        <v>1146</v>
      </c>
      <c r="F2185" s="116">
        <v>2262.65</v>
      </c>
      <c r="G2185">
        <v>250465</v>
      </c>
      <c r="H2185" s="116"/>
      <c r="I2185" s="116"/>
      <c r="L2185" s="170">
        <v>45222</v>
      </c>
      <c r="M2185" s="116">
        <v>1131.5999999999999</v>
      </c>
      <c r="N2185" s="116">
        <v>1153.125</v>
      </c>
      <c r="O2185" s="116">
        <v>1127.625</v>
      </c>
      <c r="P2185" s="116">
        <v>1145</v>
      </c>
      <c r="Q2185" s="116">
        <v>2263.1999999999998</v>
      </c>
      <c r="R2185">
        <v>3926981</v>
      </c>
    </row>
    <row r="2186" spans="1:18" x14ac:dyDescent="0.25">
      <c r="A2186" s="170">
        <v>45224</v>
      </c>
      <c r="B2186" s="116">
        <v>1140.75</v>
      </c>
      <c r="C2186" s="116">
        <v>1129</v>
      </c>
      <c r="D2186" s="116">
        <v>1121.2</v>
      </c>
      <c r="E2186" s="116">
        <v>1126.4749999999999</v>
      </c>
      <c r="F2186" s="116">
        <v>2258</v>
      </c>
      <c r="G2186">
        <v>217481</v>
      </c>
      <c r="H2186" s="116"/>
      <c r="I2186" s="116"/>
      <c r="L2186" s="170">
        <v>45224</v>
      </c>
      <c r="M2186" s="116">
        <v>1128.9749999999999</v>
      </c>
      <c r="N2186" s="116">
        <v>1140.5999999999999</v>
      </c>
      <c r="O2186" s="116">
        <v>1121.5</v>
      </c>
      <c r="P2186" s="116">
        <v>1125.0250000000001</v>
      </c>
      <c r="Q2186" s="116">
        <v>2257.9499999999998</v>
      </c>
      <c r="R2186">
        <v>5810344</v>
      </c>
    </row>
    <row r="2187" spans="1:18" x14ac:dyDescent="0.25">
      <c r="A2187" s="170">
        <v>45225</v>
      </c>
      <c r="B2187" s="116">
        <v>1129</v>
      </c>
      <c r="C2187" s="116">
        <v>1113.0999999999999</v>
      </c>
      <c r="D2187" s="116">
        <v>1110.5250000000001</v>
      </c>
      <c r="E2187" s="116">
        <v>1128.9749999999999</v>
      </c>
      <c r="F2187" s="116">
        <v>2226.1999999999998</v>
      </c>
      <c r="G2187">
        <v>682499</v>
      </c>
      <c r="H2187" s="116"/>
      <c r="I2187" s="116"/>
      <c r="L2187" s="170">
        <v>45225</v>
      </c>
      <c r="M2187" s="116">
        <v>1113.25</v>
      </c>
      <c r="N2187" s="116">
        <v>1129</v>
      </c>
      <c r="O2187" s="116">
        <v>1110.1500000000001</v>
      </c>
      <c r="P2187" s="116">
        <v>1125.5</v>
      </c>
      <c r="Q2187" s="116">
        <v>2226.5</v>
      </c>
      <c r="R2187">
        <v>7611267</v>
      </c>
    </row>
    <row r="2188" spans="1:18" x14ac:dyDescent="0.25">
      <c r="A2188" s="170">
        <v>45226</v>
      </c>
      <c r="B2188" s="116">
        <v>1137.0250000000001</v>
      </c>
      <c r="C2188" s="116">
        <v>1132.625</v>
      </c>
      <c r="D2188" s="116">
        <v>1118.0250000000001</v>
      </c>
      <c r="E2188" s="116">
        <v>1121</v>
      </c>
      <c r="F2188" s="116">
        <v>2265.25</v>
      </c>
      <c r="G2188">
        <v>793186</v>
      </c>
      <c r="H2188" s="116"/>
      <c r="I2188" s="116"/>
      <c r="L2188" s="170">
        <v>45226</v>
      </c>
      <c r="M2188" s="116">
        <v>1132.9000000000001</v>
      </c>
      <c r="N2188" s="116">
        <v>1136.75</v>
      </c>
      <c r="O2188" s="116">
        <v>1117.9749999999999</v>
      </c>
      <c r="P2188" s="116">
        <v>1120</v>
      </c>
      <c r="Q2188" s="116">
        <v>2265.8000000000002</v>
      </c>
      <c r="R2188">
        <v>5885542</v>
      </c>
    </row>
    <row r="2189" spans="1:18" x14ac:dyDescent="0.25">
      <c r="A2189" s="170">
        <v>45229</v>
      </c>
      <c r="B2189" s="116">
        <v>1162.3</v>
      </c>
      <c r="C2189" s="116">
        <v>1155.675</v>
      </c>
      <c r="D2189" s="116">
        <v>1136</v>
      </c>
      <c r="E2189" s="116">
        <v>1141.9749999999999</v>
      </c>
      <c r="F2189" s="116">
        <v>2311.35</v>
      </c>
      <c r="G2189">
        <v>271749</v>
      </c>
      <c r="H2189" s="116"/>
      <c r="I2189" s="116"/>
      <c r="L2189" s="170">
        <v>45229</v>
      </c>
      <c r="M2189" s="116">
        <v>1156.25</v>
      </c>
      <c r="N2189" s="116">
        <v>1162.5</v>
      </c>
      <c r="O2189" s="116">
        <v>1134.9749999999999</v>
      </c>
      <c r="P2189" s="116">
        <v>1137</v>
      </c>
      <c r="Q2189" s="116">
        <v>2312.5</v>
      </c>
      <c r="R2189">
        <v>8406652</v>
      </c>
    </row>
    <row r="2190" spans="1:18" x14ac:dyDescent="0.25">
      <c r="A2190" s="170">
        <v>45230</v>
      </c>
      <c r="B2190" s="116">
        <v>1166.4749999999999</v>
      </c>
      <c r="C2190" s="116">
        <v>1144.2750000000001</v>
      </c>
      <c r="D2190" s="116">
        <v>1141.4000000000001</v>
      </c>
      <c r="E2190" s="116">
        <v>1166.4749999999999</v>
      </c>
      <c r="F2190" s="116">
        <v>2288.5500000000002</v>
      </c>
      <c r="G2190">
        <v>146839</v>
      </c>
      <c r="H2190" s="116"/>
      <c r="I2190" s="116"/>
      <c r="L2190" s="170">
        <v>45230</v>
      </c>
      <c r="M2190" s="116">
        <v>1143.95</v>
      </c>
      <c r="N2190" s="116">
        <v>1164</v>
      </c>
      <c r="O2190" s="116">
        <v>1141.45</v>
      </c>
      <c r="P2190" s="116">
        <v>1164</v>
      </c>
      <c r="Q2190" s="116">
        <v>2287.9</v>
      </c>
      <c r="R2190">
        <v>6404219</v>
      </c>
    </row>
    <row r="2191" spans="1:18" x14ac:dyDescent="0.25">
      <c r="A2191" s="170">
        <v>45231</v>
      </c>
      <c r="B2191" s="116">
        <v>1158.75</v>
      </c>
      <c r="C2191" s="116">
        <v>1148.325</v>
      </c>
      <c r="D2191" s="116">
        <v>1137.625</v>
      </c>
      <c r="E2191" s="116">
        <v>1144.95</v>
      </c>
      <c r="F2191" s="116">
        <v>2296.65</v>
      </c>
      <c r="G2191">
        <v>263097</v>
      </c>
      <c r="H2191" s="116"/>
      <c r="I2191" s="116"/>
      <c r="L2191" s="170">
        <v>45231</v>
      </c>
      <c r="M2191" s="116">
        <v>1148.7</v>
      </c>
      <c r="N2191" s="116">
        <v>1158.75</v>
      </c>
      <c r="O2191" s="116">
        <v>1137.5999999999999</v>
      </c>
      <c r="P2191" s="116">
        <v>1144.575</v>
      </c>
      <c r="Q2191" s="116">
        <v>2297.4</v>
      </c>
      <c r="R2191">
        <v>5154595</v>
      </c>
    </row>
    <row r="2192" spans="1:18" x14ac:dyDescent="0.25">
      <c r="A2192" s="170">
        <v>45232</v>
      </c>
      <c r="B2192" s="116">
        <v>1162</v>
      </c>
      <c r="C2192" s="116">
        <v>1159.925</v>
      </c>
      <c r="D2192" s="116">
        <v>1153.25</v>
      </c>
      <c r="E2192" s="116">
        <v>1154.5</v>
      </c>
      <c r="F2192" s="116">
        <v>2319.85</v>
      </c>
      <c r="G2192">
        <v>84609</v>
      </c>
      <c r="H2192" s="116"/>
      <c r="I2192" s="116"/>
      <c r="L2192" s="170">
        <v>45232</v>
      </c>
      <c r="M2192" s="116">
        <v>1160.0999999999999</v>
      </c>
      <c r="N2192" s="116">
        <v>1162.1500000000001</v>
      </c>
      <c r="O2192" s="116">
        <v>1153.9749999999999</v>
      </c>
      <c r="P2192" s="116">
        <v>1156.9749999999999</v>
      </c>
      <c r="Q2192" s="116">
        <v>2320.1999999999998</v>
      </c>
      <c r="R2192">
        <v>5281052</v>
      </c>
    </row>
    <row r="2193" spans="1:18" x14ac:dyDescent="0.25">
      <c r="A2193" s="170">
        <v>45233</v>
      </c>
      <c r="B2193" s="116">
        <v>1167.5</v>
      </c>
      <c r="C2193" s="116">
        <v>1159.5250000000001</v>
      </c>
      <c r="D2193" s="116">
        <v>1157.45</v>
      </c>
      <c r="E2193" s="116">
        <v>1164.325</v>
      </c>
      <c r="F2193" s="116">
        <v>2319.0500000000002</v>
      </c>
      <c r="G2193">
        <v>813331</v>
      </c>
      <c r="H2193" s="116"/>
      <c r="I2193" s="116"/>
      <c r="L2193" s="170">
        <v>45233</v>
      </c>
      <c r="M2193" s="116">
        <v>1159.8499999999999</v>
      </c>
      <c r="N2193" s="116">
        <v>1167.4749999999999</v>
      </c>
      <c r="O2193" s="116">
        <v>1157.875</v>
      </c>
      <c r="P2193" s="116">
        <v>1163.5999999999999</v>
      </c>
      <c r="Q2193" s="116">
        <v>2319.6999999999998</v>
      </c>
      <c r="R2193">
        <v>4425078</v>
      </c>
    </row>
    <row r="2194" spans="1:18" x14ac:dyDescent="0.25">
      <c r="A2194" s="170">
        <v>45236</v>
      </c>
      <c r="B2194" s="116">
        <v>1170</v>
      </c>
      <c r="C2194" s="116">
        <v>1169.5250000000001</v>
      </c>
      <c r="D2194" s="116">
        <v>1163.0250000000001</v>
      </c>
      <c r="E2194" s="116">
        <v>1167.4749999999999</v>
      </c>
      <c r="F2194" s="116">
        <v>2339.0500000000002</v>
      </c>
      <c r="G2194">
        <v>326958</v>
      </c>
      <c r="H2194" s="116"/>
      <c r="I2194" s="116"/>
      <c r="L2194" s="170">
        <v>45236</v>
      </c>
      <c r="M2194" s="116">
        <v>1169.5</v>
      </c>
      <c r="N2194" s="116">
        <v>1170</v>
      </c>
      <c r="O2194" s="116">
        <v>1162.8</v>
      </c>
      <c r="P2194" s="116">
        <v>1166.1500000000001</v>
      </c>
      <c r="Q2194" s="116">
        <v>2339</v>
      </c>
      <c r="R2194">
        <v>5323652</v>
      </c>
    </row>
    <row r="2195" spans="1:18" x14ac:dyDescent="0.25">
      <c r="A2195" s="170">
        <v>45237</v>
      </c>
      <c r="B2195" s="116">
        <v>1169.7249999999999</v>
      </c>
      <c r="C2195" s="116">
        <v>1162.0999999999999</v>
      </c>
      <c r="D2195" s="116">
        <v>1160</v>
      </c>
      <c r="E2195" s="116">
        <v>1168.875</v>
      </c>
      <c r="F2195" s="116">
        <v>2324.1999999999998</v>
      </c>
      <c r="G2195">
        <v>205366</v>
      </c>
      <c r="H2195" s="116"/>
      <c r="I2195" s="116"/>
      <c r="L2195" s="170">
        <v>45237</v>
      </c>
      <c r="M2195" s="116">
        <v>1161.9000000000001</v>
      </c>
      <c r="N2195" s="116">
        <v>1169.55</v>
      </c>
      <c r="O2195" s="116">
        <v>1159.7750000000001</v>
      </c>
      <c r="P2195" s="116">
        <v>1167.0250000000001</v>
      </c>
      <c r="Q2195" s="116">
        <v>2323.8000000000002</v>
      </c>
      <c r="R2195">
        <v>3480102</v>
      </c>
    </row>
    <row r="2196" spans="1:18" x14ac:dyDescent="0.25">
      <c r="A2196" s="170">
        <v>45238</v>
      </c>
      <c r="B2196" s="116">
        <v>1170.5</v>
      </c>
      <c r="C2196" s="116">
        <v>1168.3</v>
      </c>
      <c r="D2196" s="116">
        <v>1161.3</v>
      </c>
      <c r="E2196" s="116">
        <v>1166.8499999999999</v>
      </c>
      <c r="F2196" s="116">
        <v>2336.6</v>
      </c>
      <c r="G2196">
        <v>317763</v>
      </c>
      <c r="H2196" s="116"/>
      <c r="I2196" s="116"/>
      <c r="L2196" s="170">
        <v>45238</v>
      </c>
      <c r="M2196" s="116">
        <v>1167.95</v>
      </c>
      <c r="N2196" s="116">
        <v>1170.5</v>
      </c>
      <c r="O2196" s="116">
        <v>1160.875</v>
      </c>
      <c r="P2196" s="116">
        <v>1166</v>
      </c>
      <c r="Q2196" s="116">
        <v>2335.9</v>
      </c>
      <c r="R2196">
        <v>3942247</v>
      </c>
    </row>
    <row r="2197" spans="1:18" x14ac:dyDescent="0.25">
      <c r="A2197" s="170">
        <v>45239</v>
      </c>
      <c r="B2197" s="116">
        <v>1168.2750000000001</v>
      </c>
      <c r="C2197" s="116">
        <v>1155.325</v>
      </c>
      <c r="D2197" s="116">
        <v>1152.5</v>
      </c>
      <c r="E2197" s="116">
        <v>1165.2750000000001</v>
      </c>
      <c r="F2197" s="116">
        <v>2310.65</v>
      </c>
      <c r="G2197">
        <v>211600</v>
      </c>
      <c r="H2197" s="116"/>
      <c r="I2197" s="116"/>
      <c r="L2197" s="170">
        <v>45239</v>
      </c>
      <c r="M2197" s="116">
        <v>1155.2750000000001</v>
      </c>
      <c r="N2197" s="116">
        <v>1167.95</v>
      </c>
      <c r="O2197" s="116">
        <v>1152.0999999999999</v>
      </c>
      <c r="P2197" s="116">
        <v>1167.925</v>
      </c>
      <c r="Q2197" s="116">
        <v>2310.5500000000002</v>
      </c>
      <c r="R2197">
        <v>7256805</v>
      </c>
    </row>
    <row r="2198" spans="1:18" x14ac:dyDescent="0.25">
      <c r="A2198" s="170">
        <v>45240</v>
      </c>
      <c r="B2198" s="116">
        <v>1158.5</v>
      </c>
      <c r="C2198" s="116">
        <v>1157.1500000000001</v>
      </c>
      <c r="D2198" s="116">
        <v>1149.075</v>
      </c>
      <c r="E2198" s="116">
        <v>1154</v>
      </c>
      <c r="F2198" s="116">
        <v>2314.3000000000002</v>
      </c>
      <c r="G2198">
        <v>499796</v>
      </c>
      <c r="H2198" s="116"/>
      <c r="I2198" s="116"/>
      <c r="L2198" s="170">
        <v>45240</v>
      </c>
      <c r="M2198" s="116">
        <v>1157.45</v>
      </c>
      <c r="N2198" s="116">
        <v>1158.175</v>
      </c>
      <c r="O2198" s="116">
        <v>1149.0250000000001</v>
      </c>
      <c r="P2198" s="116">
        <v>1152.7750000000001</v>
      </c>
      <c r="Q2198" s="116">
        <v>2314.9</v>
      </c>
      <c r="R2198">
        <v>3867477</v>
      </c>
    </row>
    <row r="2199" spans="1:18" x14ac:dyDescent="0.25">
      <c r="A2199" s="170">
        <v>45242</v>
      </c>
      <c r="B2199" s="116">
        <v>1166.2750000000001</v>
      </c>
      <c r="C2199" s="116">
        <v>1165.45</v>
      </c>
      <c r="D2199" s="116">
        <v>1161.3499999999999</v>
      </c>
      <c r="E2199" s="116">
        <v>1164.8499999999999</v>
      </c>
      <c r="F2199" s="116">
        <v>2330.9</v>
      </c>
      <c r="G2199">
        <v>35991</v>
      </c>
      <c r="H2199" s="116"/>
      <c r="I2199" s="116"/>
      <c r="L2199" s="170">
        <v>45242</v>
      </c>
      <c r="M2199" s="116">
        <v>1165.325</v>
      </c>
      <c r="N2199" s="116">
        <v>1166</v>
      </c>
      <c r="O2199" s="116">
        <v>1161.25</v>
      </c>
      <c r="P2199" s="116">
        <v>1163.0250000000001</v>
      </c>
      <c r="Q2199" s="116">
        <v>2330.65</v>
      </c>
      <c r="R2199">
        <v>709922</v>
      </c>
    </row>
    <row r="2200" spans="1:18" x14ac:dyDescent="0.25">
      <c r="A2200" s="170">
        <v>45243</v>
      </c>
      <c r="B2200" s="116">
        <v>1162.5</v>
      </c>
      <c r="C2200" s="116">
        <v>1157.1500000000001</v>
      </c>
      <c r="D2200" s="116">
        <v>1155.825</v>
      </c>
      <c r="E2200" s="116">
        <v>1162.5</v>
      </c>
      <c r="F2200" s="116">
        <v>2314.3000000000002</v>
      </c>
      <c r="G2200">
        <v>127884</v>
      </c>
      <c r="H2200" s="116"/>
      <c r="I2200" s="116"/>
      <c r="L2200" s="170">
        <v>45243</v>
      </c>
      <c r="M2200" s="116">
        <v>1157.3</v>
      </c>
      <c r="N2200" s="116">
        <v>1162.3</v>
      </c>
      <c r="O2200" s="116">
        <v>1155.8499999999999</v>
      </c>
      <c r="P2200" s="116">
        <v>1161.45</v>
      </c>
      <c r="Q2200" s="116">
        <v>2314.6</v>
      </c>
      <c r="R2200">
        <v>1927405</v>
      </c>
    </row>
    <row r="2201" spans="1:18" x14ac:dyDescent="0.25">
      <c r="A2201" s="170">
        <v>45245</v>
      </c>
      <c r="B2201" s="116">
        <v>1181.175</v>
      </c>
      <c r="C2201" s="116">
        <v>1178.45</v>
      </c>
      <c r="D2201" s="116">
        <v>1163.4000000000001</v>
      </c>
      <c r="E2201" s="116">
        <v>1167.75</v>
      </c>
      <c r="F2201" s="116">
        <v>2356.9</v>
      </c>
      <c r="G2201">
        <v>104539</v>
      </c>
      <c r="H2201" s="116"/>
      <c r="I2201" s="116"/>
      <c r="L2201" s="170">
        <v>45245</v>
      </c>
      <c r="M2201" s="116">
        <v>1178.2249999999999</v>
      </c>
      <c r="N2201" s="116">
        <v>1180.9749999999999</v>
      </c>
      <c r="O2201" s="116">
        <v>1163.5</v>
      </c>
      <c r="P2201" s="116">
        <v>1170</v>
      </c>
      <c r="Q2201" s="116">
        <v>2356.4499999999998</v>
      </c>
      <c r="R2201">
        <v>6110324</v>
      </c>
    </row>
    <row r="2202" spans="1:18" x14ac:dyDescent="0.25">
      <c r="A2202" s="170">
        <v>45246</v>
      </c>
      <c r="B2202" s="116">
        <v>1186.8499999999999</v>
      </c>
      <c r="C2202" s="116">
        <v>1181.675</v>
      </c>
      <c r="D2202" s="116">
        <v>1173.4000000000001</v>
      </c>
      <c r="E2202" s="116">
        <v>1174.9749999999999</v>
      </c>
      <c r="F2202" s="116">
        <v>2363.35</v>
      </c>
      <c r="G2202">
        <v>435606</v>
      </c>
      <c r="H2202" s="116"/>
      <c r="I2202" s="116"/>
      <c r="L2202" s="170">
        <v>45246</v>
      </c>
      <c r="M2202" s="116">
        <v>1180.3499999999999</v>
      </c>
      <c r="N2202" s="116">
        <v>1187.075</v>
      </c>
      <c r="O2202" s="116">
        <v>1173.4749999999999</v>
      </c>
      <c r="P2202" s="116">
        <v>1175.55</v>
      </c>
      <c r="Q2202" s="116">
        <v>2360.6999999999998</v>
      </c>
      <c r="R2202">
        <v>6567455</v>
      </c>
    </row>
    <row r="2203" spans="1:18" x14ac:dyDescent="0.25">
      <c r="A2203" s="170">
        <v>45247</v>
      </c>
      <c r="B2203" s="116">
        <v>1186.5</v>
      </c>
      <c r="C2203" s="116">
        <v>1177.925</v>
      </c>
      <c r="D2203" s="116">
        <v>1176.5</v>
      </c>
      <c r="E2203" s="116">
        <v>1178.675</v>
      </c>
      <c r="F2203" s="116">
        <v>2355.85</v>
      </c>
      <c r="G2203">
        <v>573100</v>
      </c>
      <c r="H2203" s="116"/>
      <c r="I2203" s="116"/>
      <c r="L2203" s="170">
        <v>45247</v>
      </c>
      <c r="M2203" s="116">
        <v>1177.7750000000001</v>
      </c>
      <c r="N2203" s="116">
        <v>1186.625</v>
      </c>
      <c r="O2203" s="116">
        <v>1176.0250000000001</v>
      </c>
      <c r="P2203" s="116">
        <v>1176.45</v>
      </c>
      <c r="Q2203" s="116">
        <v>2355.5500000000002</v>
      </c>
      <c r="R2203">
        <v>3879317</v>
      </c>
    </row>
    <row r="2204" spans="1:18" x14ac:dyDescent="0.25">
      <c r="A2204" s="170">
        <v>45250</v>
      </c>
      <c r="B2204" s="116">
        <v>1179</v>
      </c>
      <c r="C2204" s="116">
        <v>1174.6500000000001</v>
      </c>
      <c r="D2204" s="116">
        <v>1168.425</v>
      </c>
      <c r="E2204" s="116">
        <v>1174.5</v>
      </c>
      <c r="F2204" s="116">
        <v>2349.3000000000002</v>
      </c>
      <c r="G2204">
        <v>163824</v>
      </c>
      <c r="H2204" s="116"/>
      <c r="I2204" s="116"/>
      <c r="L2204" s="170">
        <v>45250</v>
      </c>
      <c r="M2204" s="116">
        <v>1174.675</v>
      </c>
      <c r="N2204" s="116">
        <v>1179.2</v>
      </c>
      <c r="O2204" s="116">
        <v>1168.2</v>
      </c>
      <c r="P2204" s="116">
        <v>1174.2750000000001</v>
      </c>
      <c r="Q2204" s="116">
        <v>2349.35</v>
      </c>
      <c r="R2204">
        <v>2245093</v>
      </c>
    </row>
    <row r="2205" spans="1:18" x14ac:dyDescent="0.25">
      <c r="A2205" s="170">
        <v>45251</v>
      </c>
      <c r="B2205" s="116">
        <v>1193.825</v>
      </c>
      <c r="C2205" s="116">
        <v>1189.25</v>
      </c>
      <c r="D2205" s="116">
        <v>1179.7</v>
      </c>
      <c r="E2205" s="116">
        <v>1181.0250000000001</v>
      </c>
      <c r="F2205" s="116">
        <v>2378.5</v>
      </c>
      <c r="G2205">
        <v>76008</v>
      </c>
      <c r="H2205" s="116"/>
      <c r="I2205" s="116"/>
      <c r="L2205" s="170">
        <v>45251</v>
      </c>
      <c r="M2205" s="116">
        <v>1189.45</v>
      </c>
      <c r="N2205" s="116">
        <v>1194</v>
      </c>
      <c r="O2205" s="116">
        <v>1180.0999999999999</v>
      </c>
      <c r="P2205" s="116">
        <v>1183</v>
      </c>
      <c r="Q2205" s="116">
        <v>2378.9</v>
      </c>
      <c r="R2205">
        <v>4107225</v>
      </c>
    </row>
    <row r="2206" spans="1:18" x14ac:dyDescent="0.25">
      <c r="A2206" s="170">
        <v>45252</v>
      </c>
      <c r="B2206" s="116">
        <v>1197.375</v>
      </c>
      <c r="C2206" s="116">
        <v>1193.875</v>
      </c>
      <c r="D2206" s="116">
        <v>1186.2</v>
      </c>
      <c r="E2206" s="116">
        <v>1186.3499999999999</v>
      </c>
      <c r="F2206" s="116">
        <v>2387.75</v>
      </c>
      <c r="G2206">
        <v>63242</v>
      </c>
      <c r="H2206" s="116"/>
      <c r="I2206" s="116"/>
      <c r="L2206" s="170">
        <v>45252</v>
      </c>
      <c r="M2206" s="116">
        <v>1194.0999999999999</v>
      </c>
      <c r="N2206" s="116">
        <v>1197.2249999999999</v>
      </c>
      <c r="O2206" s="116">
        <v>1186.0999999999999</v>
      </c>
      <c r="P2206" s="116">
        <v>1187.5</v>
      </c>
      <c r="Q2206" s="116">
        <v>2388.1999999999998</v>
      </c>
      <c r="R2206">
        <v>4267407</v>
      </c>
    </row>
    <row r="2207" spans="1:18" x14ac:dyDescent="0.25">
      <c r="A2207" s="170">
        <v>45253</v>
      </c>
      <c r="B2207" s="116">
        <v>1200.625</v>
      </c>
      <c r="C2207" s="116">
        <v>1197.575</v>
      </c>
      <c r="D2207" s="116">
        <v>1193.875</v>
      </c>
      <c r="E2207" s="116">
        <v>1193.875</v>
      </c>
      <c r="F2207" s="116">
        <v>2395.15</v>
      </c>
      <c r="G2207">
        <v>227525</v>
      </c>
      <c r="H2207" s="116"/>
      <c r="I2207" s="116"/>
      <c r="L2207" s="170">
        <v>45253</v>
      </c>
      <c r="M2207" s="116">
        <v>1197.75</v>
      </c>
      <c r="N2207" s="116">
        <v>1200</v>
      </c>
      <c r="O2207" s="116">
        <v>1194.0999999999999</v>
      </c>
      <c r="P2207" s="116">
        <v>1194.0999999999999</v>
      </c>
      <c r="Q2207" s="116">
        <v>2395.5</v>
      </c>
      <c r="R2207">
        <v>4265771</v>
      </c>
    </row>
    <row r="2208" spans="1:18" x14ac:dyDescent="0.25">
      <c r="A2208" s="170">
        <v>45254</v>
      </c>
      <c r="B2208" s="116">
        <v>1201.2</v>
      </c>
      <c r="C2208" s="116">
        <v>1197.1500000000001</v>
      </c>
      <c r="D2208" s="116">
        <v>1195.0999999999999</v>
      </c>
      <c r="E2208" s="116">
        <v>1195.0999999999999</v>
      </c>
      <c r="F2208" s="116">
        <v>2394.3000000000002</v>
      </c>
      <c r="G2208">
        <v>584860</v>
      </c>
      <c r="H2208" s="116"/>
      <c r="I2208" s="116"/>
      <c r="L2208" s="170">
        <v>45254</v>
      </c>
      <c r="M2208" s="116">
        <v>1196.95</v>
      </c>
      <c r="N2208" s="116">
        <v>1201.3</v>
      </c>
      <c r="O2208" s="116">
        <v>1195.5250000000001</v>
      </c>
      <c r="P2208" s="116">
        <v>1195.8</v>
      </c>
      <c r="Q2208" s="116">
        <v>2393.9</v>
      </c>
      <c r="R2208">
        <v>3374743</v>
      </c>
    </row>
    <row r="2209" spans="1:18" x14ac:dyDescent="0.25">
      <c r="A2209" s="170">
        <v>45258</v>
      </c>
      <c r="B2209" s="116">
        <v>1199.4000000000001</v>
      </c>
      <c r="C2209" s="116">
        <v>1197.2750000000001</v>
      </c>
      <c r="D2209" s="116">
        <v>1187.5</v>
      </c>
      <c r="E2209" s="116">
        <v>1196.5</v>
      </c>
      <c r="F2209" s="116">
        <v>2394.5500000000002</v>
      </c>
      <c r="G2209">
        <v>353122</v>
      </c>
      <c r="H2209" s="116"/>
      <c r="I2209" s="116"/>
      <c r="L2209" s="170">
        <v>45258</v>
      </c>
      <c r="M2209" s="116">
        <v>1197.2</v>
      </c>
      <c r="N2209" s="116">
        <v>1199.8499999999999</v>
      </c>
      <c r="O2209" s="116">
        <v>1187.625</v>
      </c>
      <c r="P2209" s="116">
        <v>1196.95</v>
      </c>
      <c r="Q2209" s="116">
        <v>2394.4</v>
      </c>
      <c r="R2209">
        <v>6896087</v>
      </c>
    </row>
    <row r="2210" spans="1:18" x14ac:dyDescent="0.25">
      <c r="A2210" s="170">
        <v>45259</v>
      </c>
      <c r="B2210" s="116">
        <v>1205.875</v>
      </c>
      <c r="C2210" s="116">
        <v>1200.25</v>
      </c>
      <c r="D2210" s="116">
        <v>1199.125</v>
      </c>
      <c r="E2210" s="116">
        <v>1202.575</v>
      </c>
      <c r="F2210" s="116">
        <v>2400.5</v>
      </c>
      <c r="G2210">
        <v>323782</v>
      </c>
      <c r="H2210" s="116"/>
      <c r="I2210" s="116"/>
      <c r="L2210" s="170">
        <v>45259</v>
      </c>
      <c r="M2210" s="116">
        <v>1200.3499999999999</v>
      </c>
      <c r="N2210" s="116">
        <v>1205.9749999999999</v>
      </c>
      <c r="O2210" s="116">
        <v>1199.0250000000001</v>
      </c>
      <c r="P2210" s="116">
        <v>1204</v>
      </c>
      <c r="Q2210" s="116">
        <v>2400.6999999999998</v>
      </c>
      <c r="R2210">
        <v>6265653</v>
      </c>
    </row>
    <row r="2211" spans="1:18" x14ac:dyDescent="0.25">
      <c r="A2211" s="170">
        <v>45260</v>
      </c>
      <c r="B2211" s="116">
        <v>1200.25</v>
      </c>
      <c r="C2211" s="116">
        <v>1188.2</v>
      </c>
      <c r="D2211" s="116">
        <v>1185.625</v>
      </c>
      <c r="E2211" s="116">
        <v>1199</v>
      </c>
      <c r="F2211" s="116">
        <v>2376.4</v>
      </c>
      <c r="G2211">
        <v>4376134</v>
      </c>
      <c r="H2211" s="116"/>
      <c r="I2211" s="116"/>
      <c r="L2211" s="170">
        <v>45260</v>
      </c>
      <c r="M2211" s="116">
        <v>1188.7249999999999</v>
      </c>
      <c r="N2211" s="116">
        <v>1200.3499999999999</v>
      </c>
      <c r="O2211" s="116">
        <v>1184.95</v>
      </c>
      <c r="P2211" s="116">
        <v>1197.3499999999999</v>
      </c>
      <c r="Q2211" s="116">
        <v>2377.4499999999998</v>
      </c>
      <c r="R2211">
        <v>14219992</v>
      </c>
    </row>
    <row r="2212" spans="1:18" x14ac:dyDescent="0.25">
      <c r="A2212" s="170">
        <v>45261</v>
      </c>
      <c r="B2212" s="116">
        <v>1198.45</v>
      </c>
      <c r="C2212" s="116">
        <v>1196.7249999999999</v>
      </c>
      <c r="D2212" s="116">
        <v>1190</v>
      </c>
      <c r="E2212" s="116">
        <v>1190.5</v>
      </c>
      <c r="F2212" s="116">
        <v>2393.4499999999998</v>
      </c>
      <c r="G2212">
        <v>2830557</v>
      </c>
      <c r="H2212" s="116"/>
      <c r="I2212" s="116"/>
      <c r="L2212" s="170">
        <v>45261</v>
      </c>
      <c r="M2212" s="116">
        <v>1197.1500000000001</v>
      </c>
      <c r="N2212" s="116">
        <v>1198.2</v>
      </c>
      <c r="O2212" s="116">
        <v>1188.8</v>
      </c>
      <c r="P2212" s="116">
        <v>1189</v>
      </c>
      <c r="Q2212" s="116">
        <v>2394.3000000000002</v>
      </c>
      <c r="R2212">
        <v>7171421</v>
      </c>
    </row>
    <row r="2213" spans="1:18" x14ac:dyDescent="0.25">
      <c r="A2213" s="170">
        <v>45264</v>
      </c>
      <c r="B2213" s="116">
        <v>1222.5</v>
      </c>
      <c r="C2213" s="116">
        <v>1210.5</v>
      </c>
      <c r="D2213" s="116">
        <v>1197.5</v>
      </c>
      <c r="E2213" s="116">
        <v>1220.0250000000001</v>
      </c>
      <c r="F2213" s="116">
        <v>2421</v>
      </c>
      <c r="G2213">
        <v>6478365</v>
      </c>
      <c r="H2213" s="116"/>
      <c r="I2213" s="116"/>
      <c r="L2213" s="170">
        <v>45264</v>
      </c>
      <c r="M2213" s="116">
        <v>1210.0999999999999</v>
      </c>
      <c r="N2213" s="116">
        <v>1225</v>
      </c>
      <c r="O2213" s="116">
        <v>1199.3</v>
      </c>
      <c r="P2213" s="116">
        <v>1225</v>
      </c>
      <c r="Q2213" s="116">
        <v>2420.1999999999998</v>
      </c>
      <c r="R2213">
        <v>7795495</v>
      </c>
    </row>
    <row r="2214" spans="1:18" x14ac:dyDescent="0.25">
      <c r="A2214" s="170">
        <v>45265</v>
      </c>
      <c r="B2214" s="116">
        <v>1220.25</v>
      </c>
      <c r="C2214" s="116">
        <v>1218.7750000000001</v>
      </c>
      <c r="D2214" s="116">
        <v>1210.675</v>
      </c>
      <c r="E2214" s="116">
        <v>1216.5</v>
      </c>
      <c r="F2214" s="116">
        <v>2437.5500000000002</v>
      </c>
      <c r="G2214">
        <v>390820</v>
      </c>
      <c r="H2214" s="116"/>
      <c r="I2214" s="116"/>
      <c r="L2214" s="170">
        <v>45265</v>
      </c>
      <c r="M2214" s="116">
        <v>1218.875</v>
      </c>
      <c r="N2214" s="116">
        <v>1220.425</v>
      </c>
      <c r="O2214" s="116">
        <v>1210.825</v>
      </c>
      <c r="P2214" s="116">
        <v>1219.5</v>
      </c>
      <c r="Q2214" s="116">
        <v>2437.75</v>
      </c>
      <c r="R2214">
        <v>6346812</v>
      </c>
    </row>
    <row r="2215" spans="1:18" x14ac:dyDescent="0.25">
      <c r="A2215" s="170">
        <v>45266</v>
      </c>
      <c r="B2215" s="116">
        <v>1236.8</v>
      </c>
      <c r="C2215" s="116">
        <v>1230.3499999999999</v>
      </c>
      <c r="D2215" s="116">
        <v>1220.1500000000001</v>
      </c>
      <c r="E2215" s="116">
        <v>1221.625</v>
      </c>
      <c r="F2215" s="116">
        <v>2460.6999999999998</v>
      </c>
      <c r="G2215">
        <v>130350</v>
      </c>
      <c r="H2215" s="116"/>
      <c r="I2215" s="116"/>
      <c r="L2215" s="170">
        <v>45266</v>
      </c>
      <c r="M2215" s="116">
        <v>1230.55</v>
      </c>
      <c r="N2215" s="116">
        <v>1236.4749999999999</v>
      </c>
      <c r="O2215" s="116">
        <v>1217.5</v>
      </c>
      <c r="P2215" s="116">
        <v>1223.55</v>
      </c>
      <c r="Q2215" s="116">
        <v>2461.1</v>
      </c>
      <c r="R2215">
        <v>8211221</v>
      </c>
    </row>
    <row r="2216" spans="1:18" x14ac:dyDescent="0.25">
      <c r="A2216" s="170">
        <v>45267</v>
      </c>
      <c r="B2216" s="116">
        <v>1230.5250000000001</v>
      </c>
      <c r="C2216" s="116">
        <v>1228.8</v>
      </c>
      <c r="D2216" s="116">
        <v>1221</v>
      </c>
      <c r="E2216" s="116">
        <v>1230.3499999999999</v>
      </c>
      <c r="F2216" s="116">
        <v>2457.6</v>
      </c>
      <c r="G2216">
        <v>2891485</v>
      </c>
      <c r="H2216" s="116"/>
      <c r="I2216" s="116"/>
      <c r="L2216" s="170">
        <v>45267</v>
      </c>
      <c r="M2216" s="116">
        <v>1228.5250000000001</v>
      </c>
      <c r="N2216" s="116">
        <v>1230.4749999999999</v>
      </c>
      <c r="O2216" s="116">
        <v>1221</v>
      </c>
      <c r="P2216" s="116">
        <v>1230</v>
      </c>
      <c r="Q2216" s="116">
        <v>2457.0500000000002</v>
      </c>
      <c r="R2216">
        <v>4071048</v>
      </c>
    </row>
    <row r="2217" spans="1:18" x14ac:dyDescent="0.25">
      <c r="A2217" s="170">
        <v>45268</v>
      </c>
      <c r="B2217" s="116">
        <v>1237.8499999999999</v>
      </c>
      <c r="C2217" s="116">
        <v>1228.0999999999999</v>
      </c>
      <c r="D2217" s="116">
        <v>1222.25</v>
      </c>
      <c r="E2217" s="116">
        <v>1230.5999999999999</v>
      </c>
      <c r="F2217" s="116">
        <v>2456.1999999999998</v>
      </c>
      <c r="G2217">
        <v>1107109</v>
      </c>
      <c r="H2217" s="116"/>
      <c r="I2217" s="116"/>
      <c r="L2217" s="170">
        <v>45268</v>
      </c>
      <c r="M2217" s="116">
        <v>1227.875</v>
      </c>
      <c r="N2217" s="116">
        <v>1238.3499999999999</v>
      </c>
      <c r="O2217" s="116">
        <v>1222.5</v>
      </c>
      <c r="P2217" s="116">
        <v>1231.925</v>
      </c>
      <c r="Q2217" s="116">
        <v>2455.75</v>
      </c>
      <c r="R2217">
        <v>5102447</v>
      </c>
    </row>
    <row r="2218" spans="1:18" x14ac:dyDescent="0.25">
      <c r="A2218" s="170">
        <v>45271</v>
      </c>
      <c r="B2218" s="116">
        <v>1233.7</v>
      </c>
      <c r="C2218" s="116">
        <v>1229.5250000000001</v>
      </c>
      <c r="D2218" s="116">
        <v>1226.075</v>
      </c>
      <c r="E2218" s="116">
        <v>1226.075</v>
      </c>
      <c r="F2218" s="116">
        <v>2459.0500000000002</v>
      </c>
      <c r="G2218">
        <v>169515</v>
      </c>
      <c r="H2218" s="116"/>
      <c r="I2218" s="116"/>
      <c r="L2218" s="170">
        <v>45271</v>
      </c>
      <c r="M2218" s="116">
        <v>1229.675</v>
      </c>
      <c r="N2218" s="116">
        <v>1233.8</v>
      </c>
      <c r="O2218" s="116">
        <v>1226.2</v>
      </c>
      <c r="P2218" s="116">
        <v>1228</v>
      </c>
      <c r="Q2218" s="116">
        <v>2459.35</v>
      </c>
      <c r="R2218">
        <v>3533069</v>
      </c>
    </row>
    <row r="2219" spans="1:18" x14ac:dyDescent="0.25">
      <c r="A2219" s="170">
        <v>45272</v>
      </c>
      <c r="B2219" s="116">
        <v>1232.45</v>
      </c>
      <c r="C2219" s="116">
        <v>1211.9749999999999</v>
      </c>
      <c r="D2219" s="116">
        <v>1210.125</v>
      </c>
      <c r="E2219" s="116">
        <v>1229</v>
      </c>
      <c r="F2219" s="116">
        <v>2423.9499999999998</v>
      </c>
      <c r="G2219">
        <v>98105</v>
      </c>
      <c r="H2219" s="116"/>
      <c r="I2219" s="116"/>
      <c r="L2219" s="170">
        <v>45272</v>
      </c>
      <c r="M2219" s="116">
        <v>1212.0250000000001</v>
      </c>
      <c r="N2219" s="116">
        <v>1232.4749999999999</v>
      </c>
      <c r="O2219" s="116">
        <v>1210.075</v>
      </c>
      <c r="P2219" s="116">
        <v>1230</v>
      </c>
      <c r="Q2219" s="116">
        <v>2424.0500000000002</v>
      </c>
      <c r="R2219">
        <v>4598562</v>
      </c>
    </row>
    <row r="2220" spans="1:18" x14ac:dyDescent="0.25">
      <c r="A2220" s="170">
        <v>45273</v>
      </c>
      <c r="B2220" s="116">
        <v>1219</v>
      </c>
      <c r="C2220" s="116">
        <v>1216.7</v>
      </c>
      <c r="D2220" s="116">
        <v>1203.1500000000001</v>
      </c>
      <c r="E2220" s="116">
        <v>1213.875</v>
      </c>
      <c r="F2220" s="116">
        <v>2433.4</v>
      </c>
      <c r="G2220">
        <v>137296</v>
      </c>
      <c r="H2220" s="116"/>
      <c r="I2220" s="116"/>
      <c r="L2220" s="170">
        <v>45273</v>
      </c>
      <c r="M2220" s="116">
        <v>1216.9749999999999</v>
      </c>
      <c r="N2220" s="116">
        <v>1219.175</v>
      </c>
      <c r="O2220" s="116">
        <v>1203.1500000000001</v>
      </c>
      <c r="P2220" s="116">
        <v>1211</v>
      </c>
      <c r="Q2220" s="116">
        <v>2433.9499999999998</v>
      </c>
      <c r="R2220">
        <v>5015591</v>
      </c>
    </row>
    <row r="2221" spans="1:18" x14ac:dyDescent="0.25">
      <c r="A2221" s="170">
        <v>45274</v>
      </c>
      <c r="B2221" s="116">
        <v>1237.5</v>
      </c>
      <c r="C2221" s="116">
        <v>1232.25</v>
      </c>
      <c r="D2221" s="116">
        <v>1221.3499999999999</v>
      </c>
      <c r="E2221" s="116">
        <v>1226.5</v>
      </c>
      <c r="F2221" s="116">
        <v>2464.5</v>
      </c>
      <c r="G2221">
        <v>3647716</v>
      </c>
      <c r="H2221" s="116"/>
      <c r="I2221" s="116"/>
      <c r="L2221" s="170">
        <v>45274</v>
      </c>
      <c r="M2221" s="116">
        <v>1232.075</v>
      </c>
      <c r="N2221" s="116">
        <v>1237.4749999999999</v>
      </c>
      <c r="O2221" s="116">
        <v>1221.325</v>
      </c>
      <c r="P2221" s="116">
        <v>1227</v>
      </c>
      <c r="Q2221" s="116">
        <v>2464.15</v>
      </c>
      <c r="R2221">
        <v>8486177</v>
      </c>
    </row>
    <row r="2222" spans="1:18" x14ac:dyDescent="0.25">
      <c r="A2222" s="170">
        <v>45275</v>
      </c>
      <c r="B2222" s="116">
        <v>1249.9749999999999</v>
      </c>
      <c r="C2222" s="116">
        <v>1247.5999999999999</v>
      </c>
      <c r="D2222" s="116">
        <v>1234.5250000000001</v>
      </c>
      <c r="E2222" s="116">
        <v>1236.075</v>
      </c>
      <c r="F2222" s="116">
        <v>2495.1999999999998</v>
      </c>
      <c r="G2222">
        <v>681578</v>
      </c>
      <c r="H2222" s="116"/>
      <c r="I2222" s="116"/>
      <c r="L2222" s="170">
        <v>45275</v>
      </c>
      <c r="M2222" s="116">
        <v>1247.8</v>
      </c>
      <c r="N2222" s="116">
        <v>1250</v>
      </c>
      <c r="O2222" s="116">
        <v>1235.0250000000001</v>
      </c>
      <c r="P2222" s="116">
        <v>1239</v>
      </c>
      <c r="Q2222" s="116">
        <v>2495.6</v>
      </c>
      <c r="R2222">
        <v>7966076</v>
      </c>
    </row>
    <row r="2223" spans="1:18" x14ac:dyDescent="0.25">
      <c r="A2223" s="170">
        <v>45278</v>
      </c>
      <c r="B2223" s="116">
        <v>1267.2</v>
      </c>
      <c r="C2223" s="116">
        <v>1259.9749999999999</v>
      </c>
      <c r="D2223" s="116">
        <v>1245.5250000000001</v>
      </c>
      <c r="E2223" s="116">
        <v>1247.0999999999999</v>
      </c>
      <c r="F2223" s="116">
        <v>2519.9499999999998</v>
      </c>
      <c r="G2223">
        <v>196178</v>
      </c>
      <c r="H2223" s="116"/>
      <c r="I2223" s="116"/>
      <c r="L2223" s="170">
        <v>45278</v>
      </c>
      <c r="M2223" s="116">
        <v>1260.5</v>
      </c>
      <c r="N2223" s="116">
        <v>1267.45</v>
      </c>
      <c r="O2223" s="116">
        <v>1245.4749999999999</v>
      </c>
      <c r="P2223" s="116">
        <v>1247.8</v>
      </c>
      <c r="Q2223" s="116">
        <v>2521</v>
      </c>
      <c r="R2223">
        <v>7082594</v>
      </c>
    </row>
    <row r="2224" spans="1:18" x14ac:dyDescent="0.25">
      <c r="A2224" s="170">
        <v>45279</v>
      </c>
      <c r="B2224" s="116">
        <v>1286.5</v>
      </c>
      <c r="C2224" s="116">
        <v>1279.2249999999999</v>
      </c>
      <c r="D2224" s="116">
        <v>1262.925</v>
      </c>
      <c r="E2224" s="116">
        <v>1268.8499999999999</v>
      </c>
      <c r="F2224" s="116">
        <v>2558.4499999999998</v>
      </c>
      <c r="G2224">
        <v>234379</v>
      </c>
      <c r="H2224" s="116"/>
      <c r="I2224" s="116"/>
      <c r="L2224" s="170">
        <v>45279</v>
      </c>
      <c r="M2224" s="116">
        <v>1279.05</v>
      </c>
      <c r="N2224" s="116">
        <v>1286.95</v>
      </c>
      <c r="O2224" s="116">
        <v>1262.5999999999999</v>
      </c>
      <c r="P2224" s="116">
        <v>1277.5</v>
      </c>
      <c r="Q2224" s="116">
        <v>2558.1</v>
      </c>
      <c r="R2224">
        <v>8410302</v>
      </c>
    </row>
    <row r="2225" spans="1:18" x14ac:dyDescent="0.25">
      <c r="A2225" s="170">
        <v>45280</v>
      </c>
      <c r="B2225" s="116">
        <v>1298.925</v>
      </c>
      <c r="C2225" s="116">
        <v>1263.675</v>
      </c>
      <c r="D2225" s="116">
        <v>1260</v>
      </c>
      <c r="E2225" s="116">
        <v>1280.1500000000001</v>
      </c>
      <c r="F2225" s="116">
        <v>2527.35</v>
      </c>
      <c r="G2225">
        <v>649409</v>
      </c>
      <c r="H2225" s="116"/>
      <c r="I2225" s="116"/>
      <c r="L2225" s="170">
        <v>45280</v>
      </c>
      <c r="M2225" s="116">
        <v>1263.575</v>
      </c>
      <c r="N2225" s="116">
        <v>1299.425</v>
      </c>
      <c r="O2225" s="116">
        <v>1260</v>
      </c>
      <c r="P2225" s="116">
        <v>1285.5250000000001</v>
      </c>
      <c r="Q2225" s="116">
        <v>2527.15</v>
      </c>
      <c r="R2225">
        <v>8868361</v>
      </c>
    </row>
    <row r="2226" spans="1:18" x14ac:dyDescent="0.25">
      <c r="A2226" s="170">
        <v>45281</v>
      </c>
      <c r="B2226" s="116">
        <v>1286.25</v>
      </c>
      <c r="C2226" s="116">
        <v>1281.0999999999999</v>
      </c>
      <c r="D2226" s="116">
        <v>1255.2249999999999</v>
      </c>
      <c r="E2226" s="116">
        <v>1255.2249999999999</v>
      </c>
      <c r="F2226" s="116">
        <v>2562.1999999999998</v>
      </c>
      <c r="G2226">
        <v>364795</v>
      </c>
      <c r="H2226" s="116"/>
      <c r="I2226" s="116"/>
      <c r="L2226" s="170">
        <v>45281</v>
      </c>
      <c r="M2226" s="116">
        <v>1281.2750000000001</v>
      </c>
      <c r="N2226" s="116">
        <v>1286.75</v>
      </c>
      <c r="O2226" s="116">
        <v>1259.125</v>
      </c>
      <c r="P2226" s="116">
        <v>1263.5</v>
      </c>
      <c r="Q2226" s="116">
        <v>2562.5500000000002</v>
      </c>
      <c r="R2226">
        <v>6882727</v>
      </c>
    </row>
    <row r="2227" spans="1:18" x14ac:dyDescent="0.25">
      <c r="A2227" s="170">
        <v>45282</v>
      </c>
      <c r="B2227" s="116">
        <v>1290.2750000000001</v>
      </c>
      <c r="C2227" s="116">
        <v>1282.3499999999999</v>
      </c>
      <c r="D2227" s="116">
        <v>1274</v>
      </c>
      <c r="E2227" s="116">
        <v>1281.0999999999999</v>
      </c>
      <c r="F2227" s="116">
        <v>2564.6999999999998</v>
      </c>
      <c r="G2227">
        <v>524558</v>
      </c>
      <c r="H2227" s="116"/>
      <c r="I2227" s="116"/>
      <c r="L2227" s="170">
        <v>45282</v>
      </c>
      <c r="M2227" s="116">
        <v>1282.5250000000001</v>
      </c>
      <c r="N2227" s="116">
        <v>1290.45</v>
      </c>
      <c r="O2227" s="116">
        <v>1273.825</v>
      </c>
      <c r="P2227" s="116">
        <v>1279.8</v>
      </c>
      <c r="Q2227" s="116">
        <v>2565.0500000000002</v>
      </c>
      <c r="R2227">
        <v>8270892</v>
      </c>
    </row>
    <row r="2228" spans="1:18" x14ac:dyDescent="0.25">
      <c r="A2228" s="170">
        <v>45286</v>
      </c>
      <c r="B2228" s="116">
        <v>1296.45</v>
      </c>
      <c r="C2228" s="116">
        <v>1288.75</v>
      </c>
      <c r="D2228" s="116">
        <v>1281.5</v>
      </c>
      <c r="E2228" s="116">
        <v>1285</v>
      </c>
      <c r="F2228" s="116">
        <v>2577.5</v>
      </c>
      <c r="G2228">
        <v>90284</v>
      </c>
      <c r="H2228" s="116"/>
      <c r="I2228" s="116"/>
      <c r="L2228" s="170">
        <v>45286</v>
      </c>
      <c r="M2228" s="116">
        <v>1289.0250000000001</v>
      </c>
      <c r="N2228" s="116">
        <v>1295.9749999999999</v>
      </c>
      <c r="O2228" s="116">
        <v>1281.3499999999999</v>
      </c>
      <c r="P2228" s="116">
        <v>1284</v>
      </c>
      <c r="Q2228" s="116">
        <v>2578.0500000000002</v>
      </c>
      <c r="R2228">
        <v>3732832</v>
      </c>
    </row>
    <row r="2229" spans="1:18" x14ac:dyDescent="0.25">
      <c r="A2229" s="170">
        <v>45287</v>
      </c>
      <c r="B2229" s="116">
        <v>1299.675</v>
      </c>
      <c r="C2229" s="116">
        <v>1293.175</v>
      </c>
      <c r="D2229" s="116">
        <v>1286.125</v>
      </c>
      <c r="E2229" s="116">
        <v>1289.25</v>
      </c>
      <c r="F2229" s="116">
        <v>2586.35</v>
      </c>
      <c r="G2229">
        <v>103806</v>
      </c>
      <c r="H2229" s="116"/>
      <c r="I2229" s="116"/>
      <c r="L2229" s="170">
        <v>45287</v>
      </c>
      <c r="M2229" s="116">
        <v>1293.425</v>
      </c>
      <c r="N2229" s="116">
        <v>1299.95</v>
      </c>
      <c r="O2229" s="116">
        <v>1286.55</v>
      </c>
      <c r="P2229" s="116">
        <v>1291</v>
      </c>
      <c r="Q2229" s="116">
        <v>2586.85</v>
      </c>
      <c r="R2229">
        <v>4602078</v>
      </c>
    </row>
    <row r="2230" spans="1:18" x14ac:dyDescent="0.25">
      <c r="A2230" s="170">
        <v>45288</v>
      </c>
      <c r="B2230" s="116">
        <v>1305.675</v>
      </c>
      <c r="C2230" s="116">
        <v>1302.9000000000001</v>
      </c>
      <c r="D2230" s="116">
        <v>1293.5</v>
      </c>
      <c r="E2230" s="116">
        <v>1293.5</v>
      </c>
      <c r="F2230" s="116">
        <v>2605.8000000000002</v>
      </c>
      <c r="G2230">
        <v>183810</v>
      </c>
      <c r="H2230" s="116"/>
      <c r="I2230" s="116"/>
      <c r="L2230" s="170">
        <v>45288</v>
      </c>
      <c r="M2230" s="116">
        <v>1302.7750000000001</v>
      </c>
      <c r="N2230" s="116">
        <v>1306</v>
      </c>
      <c r="O2230" s="116">
        <v>1293.425</v>
      </c>
      <c r="P2230" s="116">
        <v>1294.9000000000001</v>
      </c>
      <c r="Q2230" s="116">
        <v>2605.5500000000002</v>
      </c>
      <c r="R2230">
        <v>6151318</v>
      </c>
    </row>
    <row r="2231" spans="1:18" x14ac:dyDescent="0.25">
      <c r="A2231" s="170">
        <v>45289</v>
      </c>
      <c r="B2231" s="116">
        <v>1307.4000000000001</v>
      </c>
      <c r="C2231" s="116">
        <v>1292.425</v>
      </c>
      <c r="D2231" s="116">
        <v>1289.575</v>
      </c>
      <c r="E2231" s="116">
        <v>1304.0250000000001</v>
      </c>
      <c r="F2231" s="116">
        <v>2584.85</v>
      </c>
      <c r="G2231">
        <v>848448</v>
      </c>
      <c r="H2231" s="116"/>
      <c r="I2231" s="116"/>
      <c r="L2231" s="170">
        <v>45289</v>
      </c>
      <c r="M2231" s="116">
        <v>1292.4749999999999</v>
      </c>
      <c r="N2231" s="116">
        <v>1307</v>
      </c>
      <c r="O2231" s="116">
        <v>1289.6500000000001</v>
      </c>
      <c r="P2231" s="116">
        <v>1305.55</v>
      </c>
      <c r="Q2231" s="116">
        <v>2584.9499999999998</v>
      </c>
      <c r="R2231">
        <v>5432292</v>
      </c>
    </row>
    <row r="2232" spans="1:18" x14ac:dyDescent="0.25">
      <c r="A2232" s="170">
        <v>45292</v>
      </c>
      <c r="B2232" s="116">
        <v>1303</v>
      </c>
      <c r="C2232" s="116">
        <v>1294.925</v>
      </c>
      <c r="D2232" s="116">
        <v>1286.7750000000001</v>
      </c>
      <c r="E2232" s="116">
        <v>1290.5250000000001</v>
      </c>
      <c r="F2232" s="116">
        <v>2589.85</v>
      </c>
      <c r="G2232">
        <v>67641</v>
      </c>
      <c r="H2232" s="116"/>
      <c r="I2232" s="116"/>
      <c r="L2232" s="170">
        <v>45292</v>
      </c>
      <c r="M2232" s="116">
        <v>1295.125</v>
      </c>
      <c r="N2232" s="116">
        <v>1303.425</v>
      </c>
      <c r="O2232" s="116">
        <v>1286.575</v>
      </c>
      <c r="P2232" s="116">
        <v>1290.2750000000001</v>
      </c>
      <c r="Q2232" s="116">
        <v>2590.25</v>
      </c>
      <c r="R2232">
        <v>2015270</v>
      </c>
    </row>
    <row r="2233" spans="1:18" x14ac:dyDescent="0.25">
      <c r="A2233" s="170">
        <v>45293</v>
      </c>
      <c r="B2233" s="116">
        <v>1307.45</v>
      </c>
      <c r="C2233" s="116">
        <v>1305.45</v>
      </c>
      <c r="D2233" s="116">
        <v>1286.75</v>
      </c>
      <c r="E2233" s="116">
        <v>1293.825</v>
      </c>
      <c r="F2233" s="116">
        <v>2610.9</v>
      </c>
      <c r="G2233">
        <v>86186</v>
      </c>
      <c r="H2233" s="116"/>
      <c r="I2233" s="116"/>
      <c r="L2233" s="170">
        <v>45293</v>
      </c>
      <c r="M2233" s="116">
        <v>1305.8499999999999</v>
      </c>
      <c r="N2233" s="116">
        <v>1307.5</v>
      </c>
      <c r="O2233" s="116">
        <v>1286.5</v>
      </c>
      <c r="P2233" s="116">
        <v>1292.5</v>
      </c>
      <c r="Q2233" s="116">
        <v>2611.6999999999998</v>
      </c>
      <c r="R2233">
        <v>3724400</v>
      </c>
    </row>
    <row r="2234" spans="1:18" x14ac:dyDescent="0.25">
      <c r="A2234" s="170">
        <v>45294</v>
      </c>
      <c r="B2234" s="116">
        <v>1317</v>
      </c>
      <c r="C2234" s="116">
        <v>1291.4749999999999</v>
      </c>
      <c r="D2234" s="116">
        <v>1288.575</v>
      </c>
      <c r="E2234" s="116">
        <v>1304.05</v>
      </c>
      <c r="F2234" s="116">
        <v>2582.9499999999998</v>
      </c>
      <c r="G2234">
        <v>107501</v>
      </c>
      <c r="H2234" s="116"/>
      <c r="I2234" s="116"/>
      <c r="L2234" s="170">
        <v>45294</v>
      </c>
      <c r="M2234" s="116">
        <v>1291.6500000000001</v>
      </c>
      <c r="N2234" s="116">
        <v>1317</v>
      </c>
      <c r="O2234" s="116">
        <v>1288.5999999999999</v>
      </c>
      <c r="P2234" s="116">
        <v>1305</v>
      </c>
      <c r="Q2234" s="116">
        <v>2583.3000000000002</v>
      </c>
      <c r="R2234">
        <v>4518768</v>
      </c>
    </row>
    <row r="2235" spans="1:18" x14ac:dyDescent="0.25">
      <c r="A2235" s="170">
        <v>45295</v>
      </c>
      <c r="B2235" s="116">
        <v>1304.875</v>
      </c>
      <c r="C2235" s="116">
        <v>1298.7</v>
      </c>
      <c r="D2235" s="116">
        <v>1290</v>
      </c>
      <c r="E2235" s="116">
        <v>1294.7</v>
      </c>
      <c r="F2235" s="116">
        <v>2597.4</v>
      </c>
      <c r="G2235">
        <v>162584</v>
      </c>
      <c r="H2235" s="116"/>
      <c r="I2235" s="116"/>
      <c r="L2235" s="170">
        <v>45295</v>
      </c>
      <c r="M2235" s="116">
        <v>1298.325</v>
      </c>
      <c r="N2235" s="116">
        <v>1304.925</v>
      </c>
      <c r="O2235" s="116">
        <v>1289.55</v>
      </c>
      <c r="P2235" s="116">
        <v>1294</v>
      </c>
      <c r="Q2235" s="116">
        <v>2596.65</v>
      </c>
      <c r="R2235">
        <v>4806389</v>
      </c>
    </row>
    <row r="2236" spans="1:18" x14ac:dyDescent="0.25">
      <c r="A2236" s="170">
        <v>45296</v>
      </c>
      <c r="B2236" s="116">
        <v>1309.7249999999999</v>
      </c>
      <c r="C2236" s="116">
        <v>1303.375</v>
      </c>
      <c r="D2236" s="116">
        <v>1298.9749999999999</v>
      </c>
      <c r="E2236" s="116">
        <v>1300.075</v>
      </c>
      <c r="F2236" s="116">
        <v>2606.75</v>
      </c>
      <c r="G2236">
        <v>465515</v>
      </c>
      <c r="H2236" s="116"/>
      <c r="I2236" s="116"/>
      <c r="L2236" s="170">
        <v>45296</v>
      </c>
      <c r="M2236" s="116">
        <v>1303.8499999999999</v>
      </c>
      <c r="N2236" s="116">
        <v>1309.925</v>
      </c>
      <c r="O2236" s="116">
        <v>1299</v>
      </c>
      <c r="P2236" s="116">
        <v>1301.45</v>
      </c>
      <c r="Q2236" s="116">
        <v>2607.6999999999998</v>
      </c>
      <c r="R2236">
        <v>4043203</v>
      </c>
    </row>
    <row r="2237" spans="1:18" x14ac:dyDescent="0.25">
      <c r="A2237" s="170">
        <v>45299</v>
      </c>
      <c r="B2237" s="116">
        <v>1316</v>
      </c>
      <c r="C2237" s="116">
        <v>1293.05</v>
      </c>
      <c r="D2237" s="116">
        <v>1284.1500000000001</v>
      </c>
      <c r="E2237" s="116">
        <v>1306.2</v>
      </c>
      <c r="F2237" s="116">
        <v>2586.1</v>
      </c>
      <c r="G2237">
        <v>87501</v>
      </c>
      <c r="H2237" s="116"/>
      <c r="I2237" s="116"/>
      <c r="L2237" s="170">
        <v>45299</v>
      </c>
      <c r="M2237" s="116">
        <v>1293.675</v>
      </c>
      <c r="N2237" s="116">
        <v>1315.9749999999999</v>
      </c>
      <c r="O2237" s="116">
        <v>1284.4749999999999</v>
      </c>
      <c r="P2237" s="116">
        <v>1305</v>
      </c>
      <c r="Q2237" s="116">
        <v>2587.35</v>
      </c>
      <c r="R2237">
        <v>3867326</v>
      </c>
    </row>
    <row r="2238" spans="1:18" x14ac:dyDescent="0.25">
      <c r="A2238" s="170">
        <v>45300</v>
      </c>
      <c r="B2238" s="116">
        <v>1303.5250000000001</v>
      </c>
      <c r="C2238" s="116">
        <v>1290.3</v>
      </c>
      <c r="D2238" s="116">
        <v>1288.125</v>
      </c>
      <c r="E2238" s="116">
        <v>1298.675</v>
      </c>
      <c r="F2238" s="116">
        <v>2580.6</v>
      </c>
      <c r="G2238">
        <v>140422</v>
      </c>
      <c r="H2238" s="116"/>
      <c r="I2238" s="116"/>
      <c r="L2238" s="170">
        <v>45300</v>
      </c>
      <c r="M2238" s="116">
        <v>1290.25</v>
      </c>
      <c r="N2238" s="116">
        <v>1303.4000000000001</v>
      </c>
      <c r="O2238" s="116">
        <v>1288.5999999999999</v>
      </c>
      <c r="P2238" s="116">
        <v>1300</v>
      </c>
      <c r="Q2238" s="116">
        <v>2580.5</v>
      </c>
      <c r="R2238">
        <v>2701537</v>
      </c>
    </row>
    <row r="2239" spans="1:18" x14ac:dyDescent="0.25">
      <c r="A2239" s="170">
        <v>45301</v>
      </c>
      <c r="B2239" s="116">
        <v>1329.4749999999999</v>
      </c>
      <c r="C2239" s="116">
        <v>1324.9749999999999</v>
      </c>
      <c r="D2239" s="116">
        <v>1288.6500000000001</v>
      </c>
      <c r="E2239" s="116">
        <v>1290.3</v>
      </c>
      <c r="F2239" s="116">
        <v>2649.95</v>
      </c>
      <c r="G2239">
        <v>458001</v>
      </c>
      <c r="H2239" s="116"/>
      <c r="I2239" s="116"/>
      <c r="L2239" s="170">
        <v>45301</v>
      </c>
      <c r="M2239" s="116">
        <v>1325.05</v>
      </c>
      <c r="N2239" s="116">
        <v>1329.5</v>
      </c>
      <c r="O2239" s="116">
        <v>1287.5250000000001</v>
      </c>
      <c r="P2239" s="116">
        <v>1288.5</v>
      </c>
      <c r="Q2239" s="116">
        <v>2650.1</v>
      </c>
      <c r="R2239">
        <v>5551370</v>
      </c>
    </row>
    <row r="2240" spans="1:18" x14ac:dyDescent="0.25">
      <c r="A2240" s="170">
        <v>45302</v>
      </c>
      <c r="B2240" s="116">
        <v>1362.4749999999999</v>
      </c>
      <c r="C2240" s="116">
        <v>1359.2</v>
      </c>
      <c r="D2240" s="116">
        <v>1327.85</v>
      </c>
      <c r="E2240" s="116">
        <v>1327.85</v>
      </c>
      <c r="F2240" s="116">
        <v>2718.4</v>
      </c>
      <c r="G2240">
        <v>344195</v>
      </c>
      <c r="H2240" s="116"/>
      <c r="I2240" s="116"/>
      <c r="L2240" s="170">
        <v>45302</v>
      </c>
      <c r="M2240" s="116">
        <v>1359.9</v>
      </c>
      <c r="N2240" s="116">
        <v>1362.5</v>
      </c>
      <c r="O2240" s="116">
        <v>1328.5</v>
      </c>
      <c r="P2240" s="116">
        <v>1329.5</v>
      </c>
      <c r="Q2240" s="116">
        <v>2719.8</v>
      </c>
      <c r="R2240">
        <v>11862926</v>
      </c>
    </row>
    <row r="2241" spans="1:18" x14ac:dyDescent="0.25">
      <c r="A2241" s="170">
        <v>45303</v>
      </c>
      <c r="B2241" s="116">
        <v>1373.2249999999999</v>
      </c>
      <c r="C2241" s="116">
        <v>1370.05</v>
      </c>
      <c r="D2241" s="116">
        <v>1345.7750000000001</v>
      </c>
      <c r="E2241" s="116">
        <v>1359.2</v>
      </c>
      <c r="F2241" s="116">
        <v>2740.1</v>
      </c>
      <c r="G2241">
        <v>606506</v>
      </c>
      <c r="H2241" s="116"/>
      <c r="I2241" s="116"/>
      <c r="L2241" s="170">
        <v>45303</v>
      </c>
      <c r="M2241" s="116">
        <v>1370.7249999999999</v>
      </c>
      <c r="N2241" s="116">
        <v>1373.325</v>
      </c>
      <c r="O2241" s="116">
        <v>1345.75</v>
      </c>
      <c r="P2241" s="116">
        <v>1359.9</v>
      </c>
      <c r="Q2241" s="116">
        <v>2741.45</v>
      </c>
      <c r="R2241">
        <v>7506082</v>
      </c>
    </row>
    <row r="2242" spans="1:18" x14ac:dyDescent="0.25">
      <c r="A2242" s="170">
        <v>45306</v>
      </c>
      <c r="B2242" s="116">
        <v>1396.325</v>
      </c>
      <c r="C2242" s="116">
        <v>1393.75</v>
      </c>
      <c r="D2242" s="116">
        <v>1366</v>
      </c>
      <c r="E2242" s="116">
        <v>1373.45</v>
      </c>
      <c r="F2242" s="116">
        <v>2787.5</v>
      </c>
      <c r="G2242">
        <v>121727</v>
      </c>
      <c r="H2242" s="116"/>
      <c r="I2242" s="116"/>
      <c r="L2242" s="170">
        <v>45306</v>
      </c>
      <c r="M2242" s="116">
        <v>1394.125</v>
      </c>
      <c r="N2242" s="116">
        <v>1396.45</v>
      </c>
      <c r="O2242" s="116">
        <v>1366</v>
      </c>
      <c r="P2242" s="116">
        <v>1375</v>
      </c>
      <c r="Q2242" s="116">
        <v>2788.25</v>
      </c>
      <c r="R2242">
        <v>4305297</v>
      </c>
    </row>
    <row r="2243" spans="1:18" x14ac:dyDescent="0.25">
      <c r="A2243" s="170">
        <v>45307</v>
      </c>
      <c r="B2243" s="116">
        <v>1396.25</v>
      </c>
      <c r="C2243" s="116">
        <v>1373.825</v>
      </c>
      <c r="D2243" s="116">
        <v>1370.5</v>
      </c>
      <c r="E2243" s="116">
        <v>1390.925</v>
      </c>
      <c r="F2243" s="116">
        <v>2747.65</v>
      </c>
      <c r="G2243">
        <v>153804</v>
      </c>
      <c r="H2243" s="116"/>
      <c r="I2243" s="116"/>
      <c r="L2243" s="170">
        <v>45307</v>
      </c>
      <c r="M2243" s="116">
        <v>1374.625</v>
      </c>
      <c r="N2243" s="116">
        <v>1396.3</v>
      </c>
      <c r="O2243" s="116">
        <v>1370.5</v>
      </c>
      <c r="P2243" s="116">
        <v>1389.9749999999999</v>
      </c>
      <c r="Q2243" s="116">
        <v>2749.25</v>
      </c>
      <c r="R2243">
        <v>4534512</v>
      </c>
    </row>
    <row r="2244" spans="1:18" x14ac:dyDescent="0.25">
      <c r="A2244" s="170">
        <v>45308</v>
      </c>
      <c r="B2244" s="116">
        <v>1386</v>
      </c>
      <c r="C2244" s="116">
        <v>1361.4</v>
      </c>
      <c r="D2244" s="116">
        <v>1355.5</v>
      </c>
      <c r="E2244" s="116">
        <v>1364.925</v>
      </c>
      <c r="F2244" s="116">
        <v>2722.8</v>
      </c>
      <c r="G2244">
        <v>115862</v>
      </c>
      <c r="H2244" s="116"/>
      <c r="I2244" s="116"/>
      <c r="L2244" s="170">
        <v>45308</v>
      </c>
      <c r="M2244" s="116">
        <v>1361.575</v>
      </c>
      <c r="N2244" s="116">
        <v>1386.2750000000001</v>
      </c>
      <c r="O2244" s="116">
        <v>1355.0250000000001</v>
      </c>
      <c r="P2244" s="116">
        <v>1359.5</v>
      </c>
      <c r="Q2244" s="116">
        <v>2723.15</v>
      </c>
      <c r="R2244">
        <v>6098691</v>
      </c>
    </row>
    <row r="2245" spans="1:18" x14ac:dyDescent="0.25">
      <c r="A2245" s="170">
        <v>45309</v>
      </c>
      <c r="B2245" s="116">
        <v>1371</v>
      </c>
      <c r="C2245" s="116">
        <v>1367.45</v>
      </c>
      <c r="D2245" s="116">
        <v>1350</v>
      </c>
      <c r="E2245" s="116">
        <v>1350</v>
      </c>
      <c r="F2245" s="116">
        <v>2734.9</v>
      </c>
      <c r="G2245">
        <v>158982</v>
      </c>
      <c r="H2245" s="116"/>
      <c r="I2245" s="116"/>
      <c r="L2245" s="170">
        <v>45309</v>
      </c>
      <c r="M2245" s="116">
        <v>1367.95</v>
      </c>
      <c r="N2245" s="116">
        <v>1371</v>
      </c>
      <c r="O2245" s="116">
        <v>1351.25</v>
      </c>
      <c r="P2245" s="116">
        <v>1351.4</v>
      </c>
      <c r="Q2245" s="116">
        <v>2735.9</v>
      </c>
      <c r="R2245">
        <v>5139719</v>
      </c>
    </row>
    <row r="2246" spans="1:18" x14ac:dyDescent="0.25">
      <c r="A2246" s="170">
        <v>45310</v>
      </c>
      <c r="B2246" s="116">
        <v>1376.5</v>
      </c>
      <c r="C2246" s="116">
        <v>1367.5250000000001</v>
      </c>
      <c r="D2246" s="116">
        <v>1358.425</v>
      </c>
      <c r="E2246" s="116">
        <v>1376.5</v>
      </c>
      <c r="F2246" s="116">
        <v>2735.05</v>
      </c>
      <c r="G2246">
        <v>483007</v>
      </c>
      <c r="H2246" s="116"/>
      <c r="I2246" s="116"/>
      <c r="L2246" s="170">
        <v>45310</v>
      </c>
      <c r="M2246" s="116">
        <v>1367.45</v>
      </c>
      <c r="N2246" s="116">
        <v>1376</v>
      </c>
      <c r="O2246" s="116">
        <v>1359</v>
      </c>
      <c r="P2246" s="116">
        <v>1376</v>
      </c>
      <c r="Q2246" s="116">
        <v>2734.9</v>
      </c>
      <c r="R2246">
        <v>5211352</v>
      </c>
    </row>
    <row r="2247" spans="1:18" x14ac:dyDescent="0.25">
      <c r="A2247" s="170">
        <v>45311</v>
      </c>
      <c r="B2247" s="116">
        <v>1382.5250000000001</v>
      </c>
      <c r="C2247" s="116">
        <v>1356.6</v>
      </c>
      <c r="D2247" s="116">
        <v>1349.3</v>
      </c>
      <c r="E2247" s="116">
        <v>1364.9749999999999</v>
      </c>
      <c r="F2247" s="116">
        <v>2713.2</v>
      </c>
      <c r="G2247">
        <v>171490</v>
      </c>
      <c r="H2247" s="116"/>
      <c r="I2247" s="116"/>
      <c r="L2247" s="170">
        <v>45311</v>
      </c>
      <c r="M2247" s="116">
        <v>1356.65</v>
      </c>
      <c r="N2247" s="116">
        <v>1383.4749999999999</v>
      </c>
      <c r="O2247" s="116">
        <v>1350</v>
      </c>
      <c r="P2247" s="116">
        <v>1365</v>
      </c>
      <c r="Q2247" s="116">
        <v>2713.3</v>
      </c>
      <c r="R2247">
        <v>3641697</v>
      </c>
    </row>
    <row r="2248" spans="1:18" x14ac:dyDescent="0.25">
      <c r="A2248" s="170">
        <v>45314</v>
      </c>
      <c r="B2248" s="116">
        <v>1371.375</v>
      </c>
      <c r="C2248" s="116">
        <v>1328</v>
      </c>
      <c r="D2248" s="116">
        <v>1322.5</v>
      </c>
      <c r="E2248" s="116">
        <v>1366.075</v>
      </c>
      <c r="F2248" s="116">
        <v>2656</v>
      </c>
      <c r="G2248">
        <v>102297</v>
      </c>
      <c r="H2248" s="116"/>
      <c r="I2248" s="116"/>
      <c r="L2248" s="170">
        <v>45314</v>
      </c>
      <c r="M2248" s="116">
        <v>1328.575</v>
      </c>
      <c r="N2248" s="116">
        <v>1371.75</v>
      </c>
      <c r="O2248" s="116">
        <v>1322.55</v>
      </c>
      <c r="P2248" s="116">
        <v>1371.75</v>
      </c>
      <c r="Q2248" s="116">
        <v>2657.15</v>
      </c>
      <c r="R2248">
        <v>10027710</v>
      </c>
    </row>
    <row r="2249" spans="1:18" x14ac:dyDescent="0.25">
      <c r="A2249" s="170">
        <v>45315</v>
      </c>
      <c r="B2249" s="116">
        <v>1349.5</v>
      </c>
      <c r="C2249" s="116">
        <v>1344.35</v>
      </c>
      <c r="D2249" s="116">
        <v>1324.5</v>
      </c>
      <c r="E2249" s="116">
        <v>1330</v>
      </c>
      <c r="F2249" s="116">
        <v>2688.7</v>
      </c>
      <c r="G2249">
        <v>273061</v>
      </c>
      <c r="H2249" s="116"/>
      <c r="I2249" s="116"/>
      <c r="L2249" s="170">
        <v>45315</v>
      </c>
      <c r="M2249" s="116">
        <v>1343.875</v>
      </c>
      <c r="N2249" s="116">
        <v>1349.5</v>
      </c>
      <c r="O2249" s="116">
        <v>1323.925</v>
      </c>
      <c r="P2249" s="116">
        <v>1335.2249999999999</v>
      </c>
      <c r="Q2249" s="116">
        <v>2687.75</v>
      </c>
      <c r="R2249">
        <v>10959564</v>
      </c>
    </row>
    <row r="2250" spans="1:18" x14ac:dyDescent="0.25">
      <c r="A2250" s="170">
        <v>45316</v>
      </c>
      <c r="B2250" s="116">
        <v>1362.5</v>
      </c>
      <c r="C2250" s="116">
        <v>1355.175</v>
      </c>
      <c r="D2250" s="116">
        <v>1335.0250000000001</v>
      </c>
      <c r="E2250" s="116">
        <v>1342.25</v>
      </c>
      <c r="F2250" s="116">
        <v>2710.35</v>
      </c>
      <c r="G2250">
        <v>2411115</v>
      </c>
      <c r="H2250" s="116"/>
      <c r="I2250" s="116"/>
      <c r="L2250" s="170">
        <v>45316</v>
      </c>
      <c r="M2250" s="116">
        <v>1353.075</v>
      </c>
      <c r="N2250" s="116">
        <v>1364.15</v>
      </c>
      <c r="O2250" s="116">
        <v>1335.2</v>
      </c>
      <c r="P2250" s="116">
        <v>1342.95</v>
      </c>
      <c r="Q2250" s="116">
        <v>2706.15</v>
      </c>
      <c r="R2250">
        <v>5904436</v>
      </c>
    </row>
    <row r="2251" spans="1:18" x14ac:dyDescent="0.25">
      <c r="A2251" s="170">
        <v>45320</v>
      </c>
      <c r="B2251" s="116">
        <v>1452.5</v>
      </c>
      <c r="C2251" s="116">
        <v>1448.075</v>
      </c>
      <c r="D2251" s="116">
        <v>1356.6</v>
      </c>
      <c r="E2251" s="116">
        <v>1356.6</v>
      </c>
      <c r="F2251" s="116">
        <v>2896.15</v>
      </c>
      <c r="G2251">
        <v>823950</v>
      </c>
      <c r="H2251" s="116"/>
      <c r="I2251" s="116"/>
      <c r="L2251" s="170">
        <v>45320</v>
      </c>
      <c r="M2251" s="116">
        <v>1448.05</v>
      </c>
      <c r="N2251" s="116">
        <v>1452.5</v>
      </c>
      <c r="O2251" s="116">
        <v>1360.175</v>
      </c>
      <c r="P2251" s="116">
        <v>1364.5</v>
      </c>
      <c r="Q2251" s="116">
        <v>2896.1</v>
      </c>
      <c r="R2251">
        <v>11946719</v>
      </c>
    </row>
    <row r="2252" spans="1:18" x14ac:dyDescent="0.25">
      <c r="A2252" s="170">
        <v>45321</v>
      </c>
      <c r="B2252" s="116">
        <v>1458.9749999999999</v>
      </c>
      <c r="C2252" s="116">
        <v>1407.425</v>
      </c>
      <c r="D2252" s="116">
        <v>1404.375</v>
      </c>
      <c r="E2252" s="116">
        <v>1452.7</v>
      </c>
      <c r="F2252" s="116">
        <v>2814.85</v>
      </c>
      <c r="G2252">
        <v>303348</v>
      </c>
      <c r="H2252" s="116"/>
      <c r="I2252" s="116"/>
      <c r="L2252" s="170">
        <v>45321</v>
      </c>
      <c r="M2252" s="116">
        <v>1407.625</v>
      </c>
      <c r="N2252" s="116">
        <v>1459.9749999999999</v>
      </c>
      <c r="O2252" s="116">
        <v>1404.425</v>
      </c>
      <c r="P2252" s="116">
        <v>1459.95</v>
      </c>
      <c r="Q2252" s="116">
        <v>2815.25</v>
      </c>
      <c r="R2252">
        <v>7046989</v>
      </c>
    </row>
    <row r="2253" spans="1:18" x14ac:dyDescent="0.25">
      <c r="A2253" s="170">
        <v>45322</v>
      </c>
      <c r="B2253" s="116">
        <v>1434.7249999999999</v>
      </c>
      <c r="C2253" s="116">
        <v>1426.6</v>
      </c>
      <c r="D2253" s="116">
        <v>1402.4749999999999</v>
      </c>
      <c r="E2253" s="116">
        <v>1405.7249999999999</v>
      </c>
      <c r="F2253" s="116">
        <v>2853.2</v>
      </c>
      <c r="G2253">
        <v>108704</v>
      </c>
      <c r="H2253" s="116"/>
      <c r="I2253" s="116"/>
      <c r="L2253" s="170">
        <v>45322</v>
      </c>
      <c r="M2253" s="116">
        <v>1426.625</v>
      </c>
      <c r="N2253" s="116">
        <v>1434.25</v>
      </c>
      <c r="O2253" s="116">
        <v>1402.5</v>
      </c>
      <c r="P2253" s="116">
        <v>1404</v>
      </c>
      <c r="Q2253" s="116">
        <v>2853.25</v>
      </c>
      <c r="R2253">
        <v>7565113</v>
      </c>
    </row>
    <row r="2254" spans="1:18" x14ac:dyDescent="0.25">
      <c r="A2254" s="170">
        <v>45323</v>
      </c>
      <c r="B2254" s="116">
        <v>1442.625</v>
      </c>
      <c r="C2254" s="116">
        <v>1426.35</v>
      </c>
      <c r="D2254" s="116">
        <v>1418.35</v>
      </c>
      <c r="E2254" s="116">
        <v>1435.6</v>
      </c>
      <c r="F2254" s="116">
        <v>2852.7</v>
      </c>
      <c r="G2254">
        <v>88274</v>
      </c>
      <c r="H2254" s="116"/>
      <c r="I2254" s="116"/>
      <c r="L2254" s="170">
        <v>45323</v>
      </c>
      <c r="M2254" s="116">
        <v>1426.65</v>
      </c>
      <c r="N2254" s="116">
        <v>1443.35</v>
      </c>
      <c r="O2254" s="116">
        <v>1418.05</v>
      </c>
      <c r="P2254" s="116">
        <v>1435</v>
      </c>
      <c r="Q2254" s="116">
        <v>2853.3</v>
      </c>
      <c r="R2254">
        <v>6674681</v>
      </c>
    </row>
    <row r="2255" spans="1:18" x14ac:dyDescent="0.25">
      <c r="A2255" s="170">
        <v>45324</v>
      </c>
      <c r="B2255" s="116">
        <v>1474.95</v>
      </c>
      <c r="C2255" s="116">
        <v>1457.375</v>
      </c>
      <c r="D2255" s="116">
        <v>1432.2249999999999</v>
      </c>
      <c r="E2255" s="116">
        <v>1432.2249999999999</v>
      </c>
      <c r="F2255" s="116">
        <v>2914.75</v>
      </c>
      <c r="G2255">
        <v>653622</v>
      </c>
      <c r="H2255" s="116"/>
      <c r="I2255" s="116"/>
      <c r="L2255" s="170">
        <v>45324</v>
      </c>
      <c r="M2255" s="116">
        <v>1457.7</v>
      </c>
      <c r="N2255" s="116">
        <v>1474.9</v>
      </c>
      <c r="O2255" s="116">
        <v>1433.175</v>
      </c>
      <c r="P2255" s="116">
        <v>1433.175</v>
      </c>
      <c r="Q2255" s="116">
        <v>2915.4</v>
      </c>
      <c r="R2255">
        <v>9826294</v>
      </c>
    </row>
    <row r="2256" spans="1:18" x14ac:dyDescent="0.25">
      <c r="A2256" s="170">
        <v>45327</v>
      </c>
      <c r="B2256" s="116">
        <v>1470</v>
      </c>
      <c r="C2256" s="116">
        <v>1438.5250000000001</v>
      </c>
      <c r="D2256" s="116">
        <v>1432</v>
      </c>
      <c r="E2256" s="116">
        <v>1460.6</v>
      </c>
      <c r="F2256" s="116">
        <v>2877.05</v>
      </c>
      <c r="G2256">
        <v>128072</v>
      </c>
      <c r="H2256" s="116"/>
      <c r="I2256" s="116"/>
      <c r="L2256" s="170">
        <v>45327</v>
      </c>
      <c r="M2256" s="116">
        <v>1439.0250000000001</v>
      </c>
      <c r="N2256" s="116">
        <v>1470.5</v>
      </c>
      <c r="O2256" s="116">
        <v>1431.5250000000001</v>
      </c>
      <c r="P2256" s="116">
        <v>1460.75</v>
      </c>
      <c r="Q2256" s="116">
        <v>2878.05</v>
      </c>
      <c r="R2256">
        <v>4407216</v>
      </c>
    </row>
    <row r="2257" spans="1:18" x14ac:dyDescent="0.25">
      <c r="A2257" s="170">
        <v>45328</v>
      </c>
      <c r="B2257" s="116">
        <v>1443.7</v>
      </c>
      <c r="C2257" s="116">
        <v>1428.4</v>
      </c>
      <c r="D2257" s="116">
        <v>1420.4</v>
      </c>
      <c r="E2257" s="116">
        <v>1443.7</v>
      </c>
      <c r="F2257" s="116">
        <v>2856.8</v>
      </c>
      <c r="G2257">
        <v>115081</v>
      </c>
      <c r="H2257" s="116"/>
      <c r="I2257" s="116"/>
      <c r="L2257" s="170">
        <v>45328</v>
      </c>
      <c r="M2257" s="116">
        <v>1427.8</v>
      </c>
      <c r="N2257" s="116">
        <v>1441.85</v>
      </c>
      <c r="O2257" s="116">
        <v>1419.825</v>
      </c>
      <c r="P2257" s="116">
        <v>1441.85</v>
      </c>
      <c r="Q2257" s="116">
        <v>2855.6</v>
      </c>
      <c r="R2257">
        <v>4523992</v>
      </c>
    </row>
    <row r="2258" spans="1:18" x14ac:dyDescent="0.25">
      <c r="A2258" s="170">
        <v>45329</v>
      </c>
      <c r="B2258" s="116">
        <v>1449</v>
      </c>
      <c r="C2258" s="116">
        <v>1441.7</v>
      </c>
      <c r="D2258" s="116">
        <v>1429.2249999999999</v>
      </c>
      <c r="E2258" s="116">
        <v>1435</v>
      </c>
      <c r="F2258" s="116">
        <v>2883.4</v>
      </c>
      <c r="G2258">
        <v>320512</v>
      </c>
      <c r="H2258" s="116"/>
      <c r="I2258" s="116"/>
      <c r="L2258" s="170">
        <v>45329</v>
      </c>
      <c r="M2258" s="116">
        <v>1442.15</v>
      </c>
      <c r="N2258" s="116">
        <v>1449.5</v>
      </c>
      <c r="O2258" s="116">
        <v>1429.25</v>
      </c>
      <c r="P2258" s="116">
        <v>1435.925</v>
      </c>
      <c r="Q2258" s="116">
        <v>2884.3</v>
      </c>
      <c r="R2258">
        <v>4648284</v>
      </c>
    </row>
    <row r="2259" spans="1:18" x14ac:dyDescent="0.25">
      <c r="A2259" s="170">
        <v>45330</v>
      </c>
      <c r="B2259" s="116">
        <v>1459.875</v>
      </c>
      <c r="C2259" s="116">
        <v>1451.4749999999999</v>
      </c>
      <c r="D2259" s="116">
        <v>1428.35</v>
      </c>
      <c r="E2259" s="116">
        <v>1447.8</v>
      </c>
      <c r="F2259" s="116">
        <v>2902.95</v>
      </c>
      <c r="G2259">
        <v>98849</v>
      </c>
      <c r="H2259" s="116"/>
      <c r="I2259" s="116"/>
      <c r="L2259" s="170">
        <v>45330</v>
      </c>
      <c r="M2259" s="116">
        <v>1450.125</v>
      </c>
      <c r="N2259" s="116">
        <v>1459.4749999999999</v>
      </c>
      <c r="O2259" s="116">
        <v>1427.5250000000001</v>
      </c>
      <c r="P2259" s="116">
        <v>1450</v>
      </c>
      <c r="Q2259" s="116">
        <v>2900.25</v>
      </c>
      <c r="R2259">
        <v>7347317</v>
      </c>
    </row>
    <row r="2260" spans="1:18" x14ac:dyDescent="0.25">
      <c r="A2260" s="170">
        <v>45331</v>
      </c>
      <c r="B2260" s="116">
        <v>1472.075</v>
      </c>
      <c r="C2260" s="116">
        <v>1461.15</v>
      </c>
      <c r="D2260" s="116">
        <v>1451.3</v>
      </c>
      <c r="E2260" s="116">
        <v>1452.5</v>
      </c>
      <c r="F2260" s="116">
        <v>2922.3</v>
      </c>
      <c r="G2260">
        <v>812171</v>
      </c>
      <c r="H2260" s="116"/>
      <c r="I2260" s="116"/>
      <c r="L2260" s="170">
        <v>45331</v>
      </c>
      <c r="M2260" s="116">
        <v>1460.75</v>
      </c>
      <c r="N2260" s="116">
        <v>1471.9749999999999</v>
      </c>
      <c r="O2260" s="116">
        <v>1450.95</v>
      </c>
      <c r="P2260" s="116">
        <v>1454</v>
      </c>
      <c r="Q2260" s="116">
        <v>2921.5</v>
      </c>
      <c r="R2260">
        <v>6278399</v>
      </c>
    </row>
    <row r="2261" spans="1:18" x14ac:dyDescent="0.25">
      <c r="A2261" s="170">
        <v>45334</v>
      </c>
      <c r="B2261" s="116">
        <v>1461.175</v>
      </c>
      <c r="C2261" s="116">
        <v>1451.4749999999999</v>
      </c>
      <c r="D2261" s="116">
        <v>1442.5</v>
      </c>
      <c r="E2261" s="116">
        <v>1461.15</v>
      </c>
      <c r="F2261" s="116">
        <v>2902.95</v>
      </c>
      <c r="G2261">
        <v>147206</v>
      </c>
      <c r="H2261" s="116"/>
      <c r="I2261" s="116"/>
      <c r="L2261" s="170">
        <v>45334</v>
      </c>
      <c r="M2261" s="116">
        <v>1452.35</v>
      </c>
      <c r="N2261" s="116">
        <v>1461</v>
      </c>
      <c r="O2261" s="116">
        <v>1442.35</v>
      </c>
      <c r="P2261" s="116">
        <v>1460.75</v>
      </c>
      <c r="Q2261" s="116">
        <v>2904.7</v>
      </c>
      <c r="R2261">
        <v>3337215</v>
      </c>
    </row>
    <row r="2262" spans="1:18" x14ac:dyDescent="0.25">
      <c r="A2262" s="170">
        <v>45335</v>
      </c>
      <c r="B2262" s="116">
        <v>1478.9</v>
      </c>
      <c r="C2262" s="116">
        <v>1464.4749999999999</v>
      </c>
      <c r="D2262" s="116">
        <v>1454.7</v>
      </c>
      <c r="E2262" s="116">
        <v>1455.2</v>
      </c>
      <c r="F2262" s="116">
        <v>2928.95</v>
      </c>
      <c r="G2262">
        <v>322902</v>
      </c>
      <c r="H2262" s="116"/>
      <c r="I2262" s="116"/>
      <c r="L2262" s="170">
        <v>45335</v>
      </c>
      <c r="M2262" s="116">
        <v>1465.1</v>
      </c>
      <c r="N2262" s="116">
        <v>1479</v>
      </c>
      <c r="O2262" s="116">
        <v>1454</v>
      </c>
      <c r="P2262" s="116">
        <v>1455.5</v>
      </c>
      <c r="Q2262" s="116">
        <v>2930.2</v>
      </c>
      <c r="R2262">
        <v>3857797</v>
      </c>
    </row>
    <row r="2263" spans="1:18" x14ac:dyDescent="0.25">
      <c r="A2263" s="170">
        <v>45336</v>
      </c>
      <c r="B2263" s="116">
        <v>1483.3</v>
      </c>
      <c r="C2263" s="116">
        <v>1481.3</v>
      </c>
      <c r="D2263" s="116">
        <v>1455.7</v>
      </c>
      <c r="E2263" s="116">
        <v>1455.7</v>
      </c>
      <c r="F2263" s="116">
        <v>2962.6</v>
      </c>
      <c r="G2263">
        <v>122707</v>
      </c>
      <c r="H2263" s="116"/>
      <c r="I2263" s="116"/>
      <c r="L2263" s="170">
        <v>45336</v>
      </c>
      <c r="M2263" s="116">
        <v>1481.375</v>
      </c>
      <c r="N2263" s="116">
        <v>1483.65</v>
      </c>
      <c r="O2263" s="116">
        <v>1457.5</v>
      </c>
      <c r="P2263" s="116">
        <v>1457.5</v>
      </c>
      <c r="Q2263" s="116">
        <v>2962.75</v>
      </c>
      <c r="R2263">
        <v>3558944</v>
      </c>
    </row>
    <row r="2264" spans="1:18" x14ac:dyDescent="0.25">
      <c r="A2264" s="170">
        <v>45337</v>
      </c>
      <c r="B2264" s="116">
        <v>1484.2</v>
      </c>
      <c r="C2264" s="116">
        <v>1470.95</v>
      </c>
      <c r="D2264" s="116">
        <v>1466.45</v>
      </c>
      <c r="E2264" s="116">
        <v>1481.7</v>
      </c>
      <c r="F2264" s="116">
        <v>2941.9</v>
      </c>
      <c r="G2264">
        <v>81881</v>
      </c>
      <c r="H2264" s="116"/>
      <c r="I2264" s="116"/>
      <c r="L2264" s="170">
        <v>45337</v>
      </c>
      <c r="M2264" s="116">
        <v>1470.6</v>
      </c>
      <c r="N2264" s="116">
        <v>1484.7249999999999</v>
      </c>
      <c r="O2264" s="116">
        <v>1466.5250000000001</v>
      </c>
      <c r="P2264" s="116">
        <v>1483.35</v>
      </c>
      <c r="Q2264" s="116">
        <v>2941.2</v>
      </c>
      <c r="R2264">
        <v>5003391</v>
      </c>
    </row>
    <row r="2265" spans="1:18" x14ac:dyDescent="0.25">
      <c r="A2265" s="170">
        <v>45338</v>
      </c>
      <c r="B2265" s="116">
        <v>1476.65</v>
      </c>
      <c r="C2265" s="116">
        <v>1460.675</v>
      </c>
      <c r="D2265" s="116">
        <v>1458.675</v>
      </c>
      <c r="E2265" s="116">
        <v>1472.5250000000001</v>
      </c>
      <c r="F2265" s="116">
        <v>2921.35</v>
      </c>
      <c r="G2265">
        <v>542931</v>
      </c>
      <c r="H2265" s="116"/>
      <c r="I2265" s="116"/>
      <c r="L2265" s="170">
        <v>45338</v>
      </c>
      <c r="M2265" s="116">
        <v>1460.575</v>
      </c>
      <c r="N2265" s="116">
        <v>1477</v>
      </c>
      <c r="O2265" s="116">
        <v>1458.55</v>
      </c>
      <c r="P2265" s="116">
        <v>1476.4749999999999</v>
      </c>
      <c r="Q2265" s="116">
        <v>2921.15</v>
      </c>
      <c r="R2265">
        <v>4883749</v>
      </c>
    </row>
    <row r="2266" spans="1:18" x14ac:dyDescent="0.25">
      <c r="A2266" s="170">
        <v>45341</v>
      </c>
      <c r="B2266" s="116">
        <v>1479.4</v>
      </c>
      <c r="C2266" s="116">
        <v>1473.075</v>
      </c>
      <c r="D2266" s="116">
        <v>1453.7750000000001</v>
      </c>
      <c r="E2266" s="116">
        <v>1460.675</v>
      </c>
      <c r="F2266" s="116">
        <v>2946.15</v>
      </c>
      <c r="G2266">
        <v>163441</v>
      </c>
      <c r="H2266" s="116"/>
      <c r="I2266" s="116"/>
      <c r="L2266" s="170">
        <v>45341</v>
      </c>
      <c r="M2266" s="116">
        <v>1474</v>
      </c>
      <c r="N2266" s="116">
        <v>1479.5</v>
      </c>
      <c r="O2266" s="116">
        <v>1453.5250000000001</v>
      </c>
      <c r="P2266" s="116">
        <v>1462.05</v>
      </c>
      <c r="Q2266" s="116">
        <v>2948</v>
      </c>
      <c r="R2266">
        <v>3364914</v>
      </c>
    </row>
    <row r="2267" spans="1:18" x14ac:dyDescent="0.25">
      <c r="A2267" s="170">
        <v>45342</v>
      </c>
      <c r="B2267" s="116">
        <v>1474.95</v>
      </c>
      <c r="C2267" s="116">
        <v>1470.375</v>
      </c>
      <c r="D2267" s="116">
        <v>1462</v>
      </c>
      <c r="E2267" s="116">
        <v>1474.95</v>
      </c>
      <c r="F2267" s="116">
        <v>2940.75</v>
      </c>
      <c r="G2267">
        <v>104430</v>
      </c>
      <c r="H2267" s="116"/>
      <c r="I2267" s="116"/>
      <c r="L2267" s="170">
        <v>45342</v>
      </c>
      <c r="M2267" s="116">
        <v>1471.0250000000001</v>
      </c>
      <c r="N2267" s="116">
        <v>1475.5</v>
      </c>
      <c r="O2267" s="116">
        <v>1461.8</v>
      </c>
      <c r="P2267" s="116">
        <v>1475.0250000000001</v>
      </c>
      <c r="Q2267" s="116">
        <v>2942.05</v>
      </c>
      <c r="R2267">
        <v>3558748</v>
      </c>
    </row>
    <row r="2268" spans="1:18" x14ac:dyDescent="0.25">
      <c r="A2268" s="170">
        <v>45343</v>
      </c>
      <c r="B2268" s="116">
        <v>1488.5</v>
      </c>
      <c r="C2268" s="116">
        <v>1469.1</v>
      </c>
      <c r="D2268" s="116">
        <v>1458.075</v>
      </c>
      <c r="E2268" s="116">
        <v>1471.925</v>
      </c>
      <c r="F2268" s="116">
        <v>2938.2</v>
      </c>
      <c r="G2268">
        <v>103405</v>
      </c>
      <c r="H2268" s="116"/>
      <c r="I2268" s="116"/>
      <c r="L2268" s="170">
        <v>45343</v>
      </c>
      <c r="M2268" s="116">
        <v>1467.7</v>
      </c>
      <c r="N2268" s="116">
        <v>1488.5250000000001</v>
      </c>
      <c r="O2268" s="116">
        <v>1457.55</v>
      </c>
      <c r="P2268" s="116">
        <v>1474</v>
      </c>
      <c r="Q2268" s="116">
        <v>2935.4</v>
      </c>
      <c r="R2268">
        <v>6360146</v>
      </c>
    </row>
    <row r="2269" spans="1:18" x14ac:dyDescent="0.25">
      <c r="A2269" s="170">
        <v>45344</v>
      </c>
      <c r="B2269" s="116">
        <v>1484.55</v>
      </c>
      <c r="C2269" s="116">
        <v>1481.675</v>
      </c>
      <c r="D2269" s="116">
        <v>1458</v>
      </c>
      <c r="E2269" s="116">
        <v>1468.9749999999999</v>
      </c>
      <c r="F2269" s="116">
        <v>2963.35</v>
      </c>
      <c r="G2269">
        <v>212597</v>
      </c>
      <c r="H2269" s="116"/>
      <c r="I2269" s="116"/>
      <c r="L2269" s="170">
        <v>45344</v>
      </c>
      <c r="M2269" s="116">
        <v>1481.75</v>
      </c>
      <c r="N2269" s="116">
        <v>1484.95</v>
      </c>
      <c r="O2269" s="116">
        <v>1458</v>
      </c>
      <c r="P2269" s="116">
        <v>1468.15</v>
      </c>
      <c r="Q2269" s="116">
        <v>2963.5</v>
      </c>
      <c r="R2269">
        <v>9246864</v>
      </c>
    </row>
    <row r="2270" spans="1:18" x14ac:dyDescent="0.25">
      <c r="A2270" s="170">
        <v>45345</v>
      </c>
      <c r="B2270" s="116">
        <v>1498.075</v>
      </c>
      <c r="C2270" s="116">
        <v>1493.175</v>
      </c>
      <c r="D2270" s="116">
        <v>1482.625</v>
      </c>
      <c r="E2270" s="116">
        <v>1485.7</v>
      </c>
      <c r="F2270" s="116">
        <v>2986.35</v>
      </c>
      <c r="G2270">
        <v>653001</v>
      </c>
      <c r="H2270" s="116"/>
      <c r="I2270" s="116"/>
      <c r="L2270" s="170">
        <v>45345</v>
      </c>
      <c r="M2270" s="116">
        <v>1493.625</v>
      </c>
      <c r="N2270" s="116">
        <v>1497.55</v>
      </c>
      <c r="O2270" s="116">
        <v>1483.35</v>
      </c>
      <c r="P2270" s="116">
        <v>1489.5</v>
      </c>
      <c r="Q2270" s="116">
        <v>2987.25</v>
      </c>
      <c r="R2270">
        <v>7219292</v>
      </c>
    </row>
    <row r="2271" spans="1:18" x14ac:dyDescent="0.25">
      <c r="A2271" s="170">
        <v>45348</v>
      </c>
      <c r="B2271" s="116">
        <v>1494.875</v>
      </c>
      <c r="C2271" s="116">
        <v>1487.175</v>
      </c>
      <c r="D2271" s="116">
        <v>1482.2750000000001</v>
      </c>
      <c r="E2271" s="116">
        <v>1494.875</v>
      </c>
      <c r="F2271" s="116">
        <v>2974.35</v>
      </c>
      <c r="G2271">
        <v>40874</v>
      </c>
      <c r="H2271" s="116"/>
      <c r="I2271" s="116"/>
      <c r="L2271" s="170">
        <v>45348</v>
      </c>
      <c r="M2271" s="116">
        <v>1487.325</v>
      </c>
      <c r="N2271" s="116">
        <v>1494.5250000000001</v>
      </c>
      <c r="O2271" s="116">
        <v>1482.5</v>
      </c>
      <c r="P2271" s="116">
        <v>1493.55</v>
      </c>
      <c r="Q2271" s="116">
        <v>2974.65</v>
      </c>
      <c r="R2271">
        <v>3756553</v>
      </c>
    </row>
    <row r="2272" spans="1:18" x14ac:dyDescent="0.25">
      <c r="A2272" s="170">
        <v>45349</v>
      </c>
      <c r="B2272" s="116">
        <v>1499.925</v>
      </c>
      <c r="C2272" s="116">
        <v>1485.2</v>
      </c>
      <c r="D2272" s="116">
        <v>1478</v>
      </c>
      <c r="E2272" s="116">
        <v>1484.4</v>
      </c>
      <c r="F2272" s="116">
        <v>2970.4</v>
      </c>
      <c r="G2272">
        <v>83211</v>
      </c>
      <c r="H2272" s="116"/>
      <c r="I2272" s="116"/>
      <c r="L2272" s="170">
        <v>45349</v>
      </c>
      <c r="M2272" s="116">
        <v>1485.65</v>
      </c>
      <c r="N2272" s="116">
        <v>1499.95</v>
      </c>
      <c r="O2272" s="116">
        <v>1478.05</v>
      </c>
      <c r="P2272" s="116">
        <v>1483.0250000000001</v>
      </c>
      <c r="Q2272" s="116">
        <v>2971.3</v>
      </c>
      <c r="R2272">
        <v>5413022</v>
      </c>
    </row>
    <row r="2273" spans="1:18" x14ac:dyDescent="0.25">
      <c r="A2273" s="170">
        <v>45350</v>
      </c>
      <c r="B2273" s="116">
        <v>1491</v>
      </c>
      <c r="C2273" s="116">
        <v>1454.5</v>
      </c>
      <c r="D2273" s="116">
        <v>1450.2750000000001</v>
      </c>
      <c r="E2273" s="116">
        <v>1482.45</v>
      </c>
      <c r="F2273" s="116">
        <v>2909</v>
      </c>
      <c r="G2273">
        <v>64333</v>
      </c>
      <c r="H2273" s="116"/>
      <c r="I2273" s="116"/>
      <c r="L2273" s="170">
        <v>45350</v>
      </c>
      <c r="M2273" s="116">
        <v>1455.625</v>
      </c>
      <c r="N2273" s="116">
        <v>1491.2750000000001</v>
      </c>
      <c r="O2273" s="116">
        <v>1450.175</v>
      </c>
      <c r="P2273" s="116">
        <v>1483</v>
      </c>
      <c r="Q2273" s="116">
        <v>2911.25</v>
      </c>
      <c r="R2273">
        <v>4323975</v>
      </c>
    </row>
    <row r="2274" spans="1:18" x14ac:dyDescent="0.25">
      <c r="A2274" s="170">
        <v>45351</v>
      </c>
      <c r="B2274" s="116">
        <v>1479</v>
      </c>
      <c r="C2274" s="116">
        <v>1462.375</v>
      </c>
      <c r="D2274" s="116">
        <v>1454.7750000000001</v>
      </c>
      <c r="E2274" s="116">
        <v>1465.5250000000001</v>
      </c>
      <c r="F2274" s="116">
        <v>2924.75</v>
      </c>
      <c r="G2274">
        <v>192376</v>
      </c>
      <c r="H2274" s="116"/>
      <c r="I2274" s="116"/>
      <c r="L2274" s="170">
        <v>45351</v>
      </c>
      <c r="M2274" s="116">
        <v>1460.8</v>
      </c>
      <c r="N2274" s="116">
        <v>1478.9749999999999</v>
      </c>
      <c r="O2274" s="116">
        <v>1454.5250000000001</v>
      </c>
      <c r="P2274" s="116">
        <v>1465</v>
      </c>
      <c r="Q2274" s="116">
        <v>2921.6</v>
      </c>
      <c r="R2274">
        <v>11814488</v>
      </c>
    </row>
    <row r="2275" spans="1:18" x14ac:dyDescent="0.25">
      <c r="A2275" s="170">
        <v>45352</v>
      </c>
      <c r="B2275" s="116">
        <v>1499.5</v>
      </c>
      <c r="C2275" s="116">
        <v>1493</v>
      </c>
      <c r="D2275" s="116">
        <v>1458.35</v>
      </c>
      <c r="E2275" s="116">
        <v>1458.35</v>
      </c>
      <c r="F2275" s="116">
        <v>2986</v>
      </c>
      <c r="G2275">
        <v>544407</v>
      </c>
      <c r="H2275" s="116"/>
      <c r="I2275" s="116"/>
      <c r="L2275" s="170">
        <v>45352</v>
      </c>
      <c r="M2275" s="116">
        <v>1492.125</v>
      </c>
      <c r="N2275" s="116">
        <v>1500</v>
      </c>
      <c r="O2275" s="116">
        <v>1462.5</v>
      </c>
      <c r="P2275" s="116">
        <v>1463.5</v>
      </c>
      <c r="Q2275" s="116">
        <v>2984.25</v>
      </c>
      <c r="R2275">
        <v>6066463</v>
      </c>
    </row>
    <row r="2276" spans="1:18" x14ac:dyDescent="0.25">
      <c r="A2276" s="170">
        <v>45353</v>
      </c>
      <c r="B2276" s="116">
        <v>1500</v>
      </c>
      <c r="C2276" s="116">
        <v>1490.425</v>
      </c>
      <c r="D2276" s="116">
        <v>1487.5</v>
      </c>
      <c r="E2276" s="116">
        <v>1490.35</v>
      </c>
      <c r="F2276" s="116">
        <v>2980.85</v>
      </c>
      <c r="G2276">
        <v>36619</v>
      </c>
      <c r="H2276" s="116"/>
      <c r="I2276" s="116"/>
      <c r="L2276" s="170">
        <v>45353</v>
      </c>
      <c r="M2276" s="116">
        <v>1491.075</v>
      </c>
      <c r="N2276" s="116">
        <v>1500.45</v>
      </c>
      <c r="O2276" s="116">
        <v>1488</v>
      </c>
      <c r="P2276" s="116">
        <v>1492</v>
      </c>
      <c r="Q2276" s="116">
        <v>2982.15</v>
      </c>
      <c r="R2276">
        <v>358150</v>
      </c>
    </row>
    <row r="2277" spans="1:18" x14ac:dyDescent="0.25">
      <c r="A2277" s="170">
        <v>45355</v>
      </c>
      <c r="B2277" s="116">
        <v>1512.4</v>
      </c>
      <c r="C2277" s="116">
        <v>1505.8</v>
      </c>
      <c r="D2277" s="116">
        <v>1487.5250000000001</v>
      </c>
      <c r="E2277" s="116">
        <v>1490.5</v>
      </c>
      <c r="F2277" s="116">
        <v>3011.6</v>
      </c>
      <c r="G2277">
        <v>139795</v>
      </c>
      <c r="H2277" s="116"/>
      <c r="I2277" s="116"/>
      <c r="L2277" s="170">
        <v>45355</v>
      </c>
      <c r="M2277" s="116">
        <v>1507.4</v>
      </c>
      <c r="N2277" s="116">
        <v>1512.45</v>
      </c>
      <c r="O2277" s="116">
        <v>1487.2249999999999</v>
      </c>
      <c r="P2277" s="116">
        <v>1490.4749999999999</v>
      </c>
      <c r="Q2277" s="116">
        <v>3014.8</v>
      </c>
      <c r="R2277">
        <v>5012210</v>
      </c>
    </row>
    <row r="2278" spans="1:18" x14ac:dyDescent="0.25">
      <c r="A2278" s="170">
        <v>45356</v>
      </c>
      <c r="B2278" s="116">
        <v>1505.85</v>
      </c>
      <c r="C2278" s="116">
        <v>1499.15</v>
      </c>
      <c r="D2278" s="116">
        <v>1486.5</v>
      </c>
      <c r="E2278" s="116">
        <v>1505.85</v>
      </c>
      <c r="F2278" s="116">
        <v>2998.3</v>
      </c>
      <c r="G2278">
        <v>70928</v>
      </c>
      <c r="H2278" s="116"/>
      <c r="I2278" s="116"/>
      <c r="L2278" s="170">
        <v>45356</v>
      </c>
      <c r="M2278" s="116">
        <v>1500.2</v>
      </c>
      <c r="N2278" s="116">
        <v>1507.4</v>
      </c>
      <c r="O2278" s="116">
        <v>1486.05</v>
      </c>
      <c r="P2278" s="116">
        <v>1505.7750000000001</v>
      </c>
      <c r="Q2278" s="116">
        <v>3000.4</v>
      </c>
      <c r="R2278">
        <v>3553834</v>
      </c>
    </row>
    <row r="2279" spans="1:18" x14ac:dyDescent="0.25">
      <c r="A2279" s="170">
        <v>45357</v>
      </c>
      <c r="B2279" s="116">
        <v>1509.5</v>
      </c>
      <c r="C2279" s="116">
        <v>1502.9749999999999</v>
      </c>
      <c r="D2279" s="116">
        <v>1478.5</v>
      </c>
      <c r="E2279" s="116">
        <v>1494.7249999999999</v>
      </c>
      <c r="F2279" s="116">
        <v>3005.95</v>
      </c>
      <c r="G2279">
        <v>110021</v>
      </c>
      <c r="H2279" s="116"/>
      <c r="I2279" s="116"/>
      <c r="L2279" s="170">
        <v>45357</v>
      </c>
      <c r="M2279" s="116">
        <v>1503</v>
      </c>
      <c r="N2279" s="116">
        <v>1509</v>
      </c>
      <c r="O2279" s="116">
        <v>1478.5</v>
      </c>
      <c r="P2279" s="116">
        <v>1493.45</v>
      </c>
      <c r="Q2279" s="116">
        <v>3006</v>
      </c>
      <c r="R2279">
        <v>3902838</v>
      </c>
    </row>
    <row r="2280" spans="1:18" x14ac:dyDescent="0.25">
      <c r="A2280" s="170">
        <v>45358</v>
      </c>
      <c r="B2280" s="116">
        <v>1502.95</v>
      </c>
      <c r="C2280" s="116">
        <v>1479.05</v>
      </c>
      <c r="D2280" s="116">
        <v>1475.625</v>
      </c>
      <c r="E2280" s="116">
        <v>1501.075</v>
      </c>
      <c r="F2280" s="116">
        <v>2958.1</v>
      </c>
      <c r="G2280">
        <v>387052</v>
      </c>
      <c r="H2280" s="116"/>
      <c r="I2280" s="116"/>
      <c r="L2280" s="170">
        <v>45358</v>
      </c>
      <c r="M2280" s="116">
        <v>1478.925</v>
      </c>
      <c r="N2280" s="116">
        <v>1503.1</v>
      </c>
      <c r="O2280" s="116">
        <v>1475.55</v>
      </c>
      <c r="P2280" s="116">
        <v>1502.9749999999999</v>
      </c>
      <c r="Q2280" s="116">
        <v>2957.85</v>
      </c>
      <c r="R2280">
        <v>4157863</v>
      </c>
    </row>
    <row r="2281" spans="1:18" x14ac:dyDescent="0.25">
      <c r="A2281" s="170">
        <v>45362</v>
      </c>
      <c r="B2281" s="116">
        <v>1492.35</v>
      </c>
      <c r="C2281" s="116">
        <v>1465.6</v>
      </c>
      <c r="D2281" s="116">
        <v>1463.675</v>
      </c>
      <c r="E2281" s="116">
        <v>1492.35</v>
      </c>
      <c r="F2281" s="116">
        <v>2931.2</v>
      </c>
      <c r="G2281">
        <v>111587</v>
      </c>
      <c r="H2281" s="116"/>
      <c r="I2281" s="116"/>
      <c r="L2281" s="170">
        <v>45362</v>
      </c>
      <c r="M2281" s="116">
        <v>1466.6</v>
      </c>
      <c r="N2281" s="116">
        <v>1489</v>
      </c>
      <c r="O2281" s="116">
        <v>1463.5</v>
      </c>
      <c r="P2281" s="116">
        <v>1489</v>
      </c>
      <c r="Q2281" s="116">
        <v>2933.2</v>
      </c>
      <c r="R2281">
        <v>5638565</v>
      </c>
    </row>
    <row r="2282" spans="1:18" x14ac:dyDescent="0.25">
      <c r="A2282" s="170">
        <v>45363</v>
      </c>
      <c r="B2282" s="116">
        <v>1488.15</v>
      </c>
      <c r="C2282" s="116">
        <v>1475.1</v>
      </c>
      <c r="D2282" s="116">
        <v>1466</v>
      </c>
      <c r="E2282" s="116">
        <v>1466</v>
      </c>
      <c r="F2282" s="116">
        <v>2950.2</v>
      </c>
      <c r="G2282">
        <v>83500</v>
      </c>
      <c r="H2282" s="116"/>
      <c r="I2282" s="116"/>
      <c r="L2282" s="170">
        <v>45363</v>
      </c>
      <c r="M2282" s="116">
        <v>1475.425</v>
      </c>
      <c r="N2282" s="116">
        <v>1488</v>
      </c>
      <c r="O2282" s="116">
        <v>1465.0250000000001</v>
      </c>
      <c r="P2282" s="116">
        <v>1466.6</v>
      </c>
      <c r="Q2282" s="116">
        <v>2950.85</v>
      </c>
      <c r="R2282">
        <v>4716339</v>
      </c>
    </row>
    <row r="2283" spans="1:18" x14ac:dyDescent="0.25">
      <c r="A2283" s="170">
        <v>45364</v>
      </c>
      <c r="B2283" s="116">
        <v>1482.9749999999999</v>
      </c>
      <c r="C2283" s="116">
        <v>1432.35</v>
      </c>
      <c r="D2283" s="116">
        <v>1427.925</v>
      </c>
      <c r="E2283" s="116">
        <v>1477.7249999999999</v>
      </c>
      <c r="F2283" s="116">
        <v>2864.7</v>
      </c>
      <c r="G2283">
        <v>97957</v>
      </c>
      <c r="H2283" s="116"/>
      <c r="I2283" s="116"/>
      <c r="L2283" s="170">
        <v>45364</v>
      </c>
      <c r="M2283" s="116">
        <v>1432.175</v>
      </c>
      <c r="N2283" s="116">
        <v>1483.1</v>
      </c>
      <c r="O2283" s="116">
        <v>1427.7750000000001</v>
      </c>
      <c r="P2283" s="116">
        <v>1479.7750000000001</v>
      </c>
      <c r="Q2283" s="116">
        <v>2864.35</v>
      </c>
      <c r="R2283">
        <v>6761067</v>
      </c>
    </row>
    <row r="2284" spans="1:18" x14ac:dyDescent="0.25">
      <c r="A2284" s="170">
        <v>45365</v>
      </c>
      <c r="B2284" s="116">
        <v>1448.675</v>
      </c>
      <c r="C2284" s="116">
        <v>1432.625</v>
      </c>
      <c r="D2284" s="116">
        <v>1425.5</v>
      </c>
      <c r="E2284" s="116">
        <v>1432.5</v>
      </c>
      <c r="F2284" s="116">
        <v>2865.25</v>
      </c>
      <c r="G2284">
        <v>162637</v>
      </c>
      <c r="H2284" s="116"/>
      <c r="I2284" s="116"/>
      <c r="L2284" s="170">
        <v>45365</v>
      </c>
      <c r="M2284" s="116">
        <v>1431.4749999999999</v>
      </c>
      <c r="N2284" s="116">
        <v>1448.5250000000001</v>
      </c>
      <c r="O2284" s="116">
        <v>1425.5</v>
      </c>
      <c r="P2284" s="116">
        <v>1439.7</v>
      </c>
      <c r="Q2284" s="116">
        <v>2862.95</v>
      </c>
      <c r="R2284">
        <v>9285551</v>
      </c>
    </row>
    <row r="2285" spans="1:18" x14ac:dyDescent="0.25">
      <c r="A2285" s="170">
        <v>45366</v>
      </c>
      <c r="B2285" s="116">
        <v>1433.2249999999999</v>
      </c>
      <c r="C2285" s="116">
        <v>1418.625</v>
      </c>
      <c r="D2285" s="116">
        <v>1413.45</v>
      </c>
      <c r="E2285" s="116">
        <v>1427.4749999999999</v>
      </c>
      <c r="F2285" s="116">
        <v>2837.25</v>
      </c>
      <c r="G2285">
        <v>396001</v>
      </c>
      <c r="H2285" s="116"/>
      <c r="I2285" s="116"/>
      <c r="L2285" s="170">
        <v>45366</v>
      </c>
      <c r="M2285" s="116">
        <v>1418.2249999999999</v>
      </c>
      <c r="N2285" s="116">
        <v>1433.2249999999999</v>
      </c>
      <c r="O2285" s="116">
        <v>1412.9</v>
      </c>
      <c r="P2285" s="116">
        <v>1425.95</v>
      </c>
      <c r="Q2285" s="116">
        <v>2836.45</v>
      </c>
      <c r="R2285">
        <v>9611909</v>
      </c>
    </row>
    <row r="2286" spans="1:18" x14ac:dyDescent="0.25">
      <c r="A2286" s="170">
        <v>45369</v>
      </c>
      <c r="B2286" s="116">
        <v>1441.5</v>
      </c>
      <c r="C2286" s="116">
        <v>1439.175</v>
      </c>
      <c r="D2286" s="116">
        <v>1416.825</v>
      </c>
      <c r="E2286" s="116">
        <v>1418.6</v>
      </c>
      <c r="F2286" s="116">
        <v>2878.35</v>
      </c>
      <c r="G2286">
        <v>146410</v>
      </c>
      <c r="H2286" s="116"/>
      <c r="I2286" s="116"/>
      <c r="L2286" s="170">
        <v>45369</v>
      </c>
      <c r="M2286" s="116">
        <v>1439.4749999999999</v>
      </c>
      <c r="N2286" s="116">
        <v>1441.7249999999999</v>
      </c>
      <c r="O2286" s="116">
        <v>1416.5250000000001</v>
      </c>
      <c r="P2286" s="116">
        <v>1420</v>
      </c>
      <c r="Q2286" s="116">
        <v>2878.95</v>
      </c>
      <c r="R2286">
        <v>4584696</v>
      </c>
    </row>
    <row r="2287" spans="1:18" x14ac:dyDescent="0.25">
      <c r="A2287" s="170">
        <v>45370</v>
      </c>
      <c r="B2287" s="116">
        <v>1436.8</v>
      </c>
      <c r="C2287" s="116">
        <v>1425.375</v>
      </c>
      <c r="D2287" s="116">
        <v>1417.5</v>
      </c>
      <c r="E2287" s="116">
        <v>1432.8</v>
      </c>
      <c r="F2287" s="116">
        <v>2850.75</v>
      </c>
      <c r="G2287">
        <v>128206</v>
      </c>
      <c r="H2287" s="116"/>
      <c r="I2287" s="116"/>
      <c r="L2287" s="170">
        <v>45370</v>
      </c>
      <c r="M2287" s="116">
        <v>1425.25</v>
      </c>
      <c r="N2287" s="116">
        <v>1437.6</v>
      </c>
      <c r="O2287" s="116">
        <v>1417.25</v>
      </c>
      <c r="P2287" s="116">
        <v>1428.75</v>
      </c>
      <c r="Q2287" s="116">
        <v>2850.5</v>
      </c>
      <c r="R2287">
        <v>4137882</v>
      </c>
    </row>
    <row r="2288" spans="1:18" x14ac:dyDescent="0.25">
      <c r="A2288" s="170">
        <v>45371</v>
      </c>
      <c r="B2288" s="116">
        <v>1445.1</v>
      </c>
      <c r="C2288" s="116">
        <v>1443.4</v>
      </c>
      <c r="D2288" s="116">
        <v>1424.0250000000001</v>
      </c>
      <c r="E2288" s="116">
        <v>1425.5250000000001</v>
      </c>
      <c r="F2288" s="116">
        <v>2886.8</v>
      </c>
      <c r="G2288">
        <v>152906</v>
      </c>
      <c r="H2288" s="116"/>
      <c r="I2288" s="116"/>
      <c r="L2288" s="170">
        <v>45371</v>
      </c>
      <c r="M2288" s="116">
        <v>1443.75</v>
      </c>
      <c r="N2288" s="116">
        <v>1445</v>
      </c>
      <c r="O2288" s="116">
        <v>1424.0250000000001</v>
      </c>
      <c r="P2288" s="116">
        <v>1427.95</v>
      </c>
      <c r="Q2288" s="116">
        <v>2887.5</v>
      </c>
      <c r="R2288">
        <v>4244403</v>
      </c>
    </row>
    <row r="2289" spans="1:18" x14ac:dyDescent="0.25">
      <c r="A2289" s="170">
        <v>45372</v>
      </c>
      <c r="B2289" s="116">
        <v>1457.5</v>
      </c>
      <c r="C2289" s="116">
        <v>1450.65</v>
      </c>
      <c r="D2289" s="116">
        <v>1444.825</v>
      </c>
      <c r="E2289" s="116">
        <v>1445.7</v>
      </c>
      <c r="F2289" s="116">
        <v>2901.3</v>
      </c>
      <c r="G2289">
        <v>77091</v>
      </c>
      <c r="H2289" s="116"/>
      <c r="I2289" s="116"/>
      <c r="L2289" s="170">
        <v>45372</v>
      </c>
      <c r="M2289" s="116">
        <v>1450.9749999999999</v>
      </c>
      <c r="N2289" s="116">
        <v>1457.9</v>
      </c>
      <c r="O2289" s="116">
        <v>1444.675</v>
      </c>
      <c r="P2289" s="116">
        <v>1452.5250000000001</v>
      </c>
      <c r="Q2289" s="116">
        <v>2901.95</v>
      </c>
      <c r="R2289">
        <v>6503468</v>
      </c>
    </row>
    <row r="2290" spans="1:18" x14ac:dyDescent="0.25">
      <c r="A2290" s="170">
        <v>45373</v>
      </c>
      <c r="B2290" s="116">
        <v>1460</v>
      </c>
      <c r="C2290" s="116">
        <v>1454.95</v>
      </c>
      <c r="D2290" s="116">
        <v>1447.675</v>
      </c>
      <c r="E2290" s="116">
        <v>1448.5250000000001</v>
      </c>
      <c r="F2290" s="116">
        <v>2909.9</v>
      </c>
      <c r="G2290">
        <v>562484</v>
      </c>
      <c r="H2290" s="116"/>
      <c r="I2290" s="116"/>
      <c r="L2290" s="170">
        <v>45373</v>
      </c>
      <c r="M2290" s="116">
        <v>1455.0250000000001</v>
      </c>
      <c r="N2290" s="116">
        <v>1460</v>
      </c>
      <c r="O2290" s="116">
        <v>1447.35</v>
      </c>
      <c r="P2290" s="116">
        <v>1449.9749999999999</v>
      </c>
      <c r="Q2290" s="116">
        <v>2910.05</v>
      </c>
      <c r="R2290">
        <v>9763804</v>
      </c>
    </row>
    <row r="2291" spans="1:18" x14ac:dyDescent="0.25">
      <c r="A2291" s="170">
        <v>45377</v>
      </c>
      <c r="B2291" s="116">
        <v>1452.625</v>
      </c>
      <c r="C2291" s="116">
        <v>1442.075</v>
      </c>
      <c r="D2291" s="116">
        <v>1438.5</v>
      </c>
      <c r="E2291" s="116">
        <v>1444.3</v>
      </c>
      <c r="F2291" s="116">
        <v>2884.15</v>
      </c>
      <c r="G2291">
        <v>943865</v>
      </c>
      <c r="H2291" s="116"/>
      <c r="I2291" s="116"/>
      <c r="L2291" s="170">
        <v>45377</v>
      </c>
      <c r="M2291" s="116">
        <v>1441.575</v>
      </c>
      <c r="N2291" s="116">
        <v>1452.4</v>
      </c>
      <c r="O2291" s="116">
        <v>1439</v>
      </c>
      <c r="P2291" s="116">
        <v>1445</v>
      </c>
      <c r="Q2291" s="116">
        <v>2883.15</v>
      </c>
      <c r="R2291">
        <v>5707953</v>
      </c>
    </row>
    <row r="2292" spans="1:18" x14ac:dyDescent="0.25">
      <c r="A2292" s="170">
        <v>45378</v>
      </c>
      <c r="B2292" s="116">
        <v>1499.95</v>
      </c>
      <c r="C2292" s="116">
        <v>1493.925</v>
      </c>
      <c r="D2292" s="116">
        <v>1448.95</v>
      </c>
      <c r="E2292" s="116">
        <v>1449.825</v>
      </c>
      <c r="F2292" s="116">
        <v>2987.85</v>
      </c>
      <c r="G2292">
        <v>471025</v>
      </c>
      <c r="H2292" s="116"/>
      <c r="I2292" s="116"/>
      <c r="L2292" s="170">
        <v>45378</v>
      </c>
      <c r="M2292" s="116">
        <v>1492.85</v>
      </c>
      <c r="N2292" s="116">
        <v>1500</v>
      </c>
      <c r="O2292" s="116">
        <v>1447</v>
      </c>
      <c r="P2292" s="116">
        <v>1448</v>
      </c>
      <c r="Q2292" s="116">
        <v>2985.7</v>
      </c>
      <c r="R2292">
        <v>8163322</v>
      </c>
    </row>
    <row r="2293" spans="1:18" x14ac:dyDescent="0.25">
      <c r="A2293" s="170">
        <v>45379</v>
      </c>
      <c r="B2293" s="116">
        <v>1505.625</v>
      </c>
      <c r="C2293" s="116">
        <v>1488.4</v>
      </c>
      <c r="D2293" s="116">
        <v>1479.5</v>
      </c>
      <c r="E2293" s="116">
        <v>1497.175</v>
      </c>
      <c r="F2293" s="116">
        <v>2976.8</v>
      </c>
      <c r="G2293">
        <v>422263</v>
      </c>
      <c r="H2293" s="116"/>
      <c r="I2293" s="116"/>
      <c r="L2293" s="170">
        <v>45379</v>
      </c>
      <c r="M2293" s="116">
        <v>1485.85</v>
      </c>
      <c r="N2293" s="116">
        <v>1505.95</v>
      </c>
      <c r="O2293" s="116">
        <v>1478.65</v>
      </c>
      <c r="P2293" s="116">
        <v>1492.875</v>
      </c>
      <c r="Q2293" s="116">
        <v>2971.7</v>
      </c>
      <c r="R2293">
        <v>10927182</v>
      </c>
    </row>
    <row r="2294" spans="1:18" x14ac:dyDescent="0.25">
      <c r="A2294" s="170">
        <v>45383</v>
      </c>
      <c r="B2294" s="116">
        <v>1494.25</v>
      </c>
      <c r="C2294" s="116">
        <v>1484.75</v>
      </c>
      <c r="D2294" s="116">
        <v>1482.5</v>
      </c>
      <c r="E2294" s="116">
        <v>1492.5</v>
      </c>
      <c r="F2294" s="116">
        <v>2969.5</v>
      </c>
      <c r="G2294">
        <v>229355</v>
      </c>
      <c r="H2294" s="116"/>
      <c r="I2294" s="116"/>
      <c r="L2294" s="170">
        <v>45383</v>
      </c>
      <c r="M2294" s="116">
        <v>1484.7750000000001</v>
      </c>
      <c r="N2294" s="116">
        <v>1493.9749999999999</v>
      </c>
      <c r="O2294" s="116">
        <v>1482.5</v>
      </c>
      <c r="P2294" s="116">
        <v>1492.4749999999999</v>
      </c>
      <c r="Q2294" s="116">
        <v>2969.55</v>
      </c>
      <c r="R2294">
        <v>2506940</v>
      </c>
    </row>
    <row r="2295" spans="1:18" x14ac:dyDescent="0.25">
      <c r="A2295" s="170">
        <v>45384</v>
      </c>
      <c r="B2295" s="116">
        <v>1493.95</v>
      </c>
      <c r="C2295" s="116">
        <v>1485.65</v>
      </c>
      <c r="D2295" s="116">
        <v>1475</v>
      </c>
      <c r="E2295" s="116">
        <v>1484.75</v>
      </c>
      <c r="F2295" s="116">
        <v>2971.3</v>
      </c>
      <c r="G2295">
        <v>118525</v>
      </c>
      <c r="H2295" s="116"/>
      <c r="I2295" s="116"/>
      <c r="L2295" s="170">
        <v>45384</v>
      </c>
      <c r="M2295" s="116">
        <v>1486.95</v>
      </c>
      <c r="N2295" s="116">
        <v>1494</v>
      </c>
      <c r="O2295" s="116">
        <v>1475</v>
      </c>
      <c r="P2295" s="116">
        <v>1484</v>
      </c>
      <c r="Q2295" s="116">
        <v>2973.9</v>
      </c>
      <c r="R2295">
        <v>4455083</v>
      </c>
    </row>
    <row r="2296" spans="1:18" x14ac:dyDescent="0.25">
      <c r="A2296" s="170">
        <v>45385</v>
      </c>
      <c r="B2296" s="116">
        <v>1483.45</v>
      </c>
      <c r="C2296" s="116">
        <v>1471.2</v>
      </c>
      <c r="D2296" s="116">
        <v>1469</v>
      </c>
      <c r="E2296" s="116">
        <v>1483.45</v>
      </c>
      <c r="F2296" s="116">
        <v>2942.4</v>
      </c>
      <c r="G2296">
        <v>127109</v>
      </c>
      <c r="H2296" s="116"/>
      <c r="I2296" s="116"/>
      <c r="L2296" s="170">
        <v>45385</v>
      </c>
      <c r="M2296" s="116">
        <v>1471.6</v>
      </c>
      <c r="N2296" s="116">
        <v>1484.45</v>
      </c>
      <c r="O2296" s="116">
        <v>1468.9</v>
      </c>
      <c r="P2296" s="116">
        <v>1482.075</v>
      </c>
      <c r="Q2296" s="116">
        <v>2943.2</v>
      </c>
      <c r="R2296">
        <v>3504146</v>
      </c>
    </row>
    <row r="2297" spans="1:18" x14ac:dyDescent="0.25">
      <c r="A2297" s="170">
        <v>45386</v>
      </c>
      <c r="B2297" s="116">
        <v>1479.2750000000001</v>
      </c>
      <c r="C2297" s="116">
        <v>1463.2249999999999</v>
      </c>
      <c r="D2297" s="116">
        <v>1450.25</v>
      </c>
      <c r="E2297" s="116">
        <v>1479.2750000000001</v>
      </c>
      <c r="F2297" s="116">
        <v>2926.45</v>
      </c>
      <c r="G2297">
        <v>104590</v>
      </c>
      <c r="H2297" s="116"/>
      <c r="I2297" s="116"/>
      <c r="L2297" s="170">
        <v>45386</v>
      </c>
      <c r="M2297" s="116">
        <v>1462.925</v>
      </c>
      <c r="N2297" s="116">
        <v>1479.75</v>
      </c>
      <c r="O2297" s="116">
        <v>1450</v>
      </c>
      <c r="P2297" s="116">
        <v>1479.75</v>
      </c>
      <c r="Q2297" s="116">
        <v>2925.85</v>
      </c>
      <c r="R2297">
        <v>7245136</v>
      </c>
    </row>
    <row r="2298" spans="1:18" x14ac:dyDescent="0.25">
      <c r="A2298" s="170">
        <v>45387</v>
      </c>
      <c r="B2298" s="116">
        <v>1470.75</v>
      </c>
      <c r="C2298" s="116">
        <v>1459.9749999999999</v>
      </c>
      <c r="D2298" s="116">
        <v>1455.95</v>
      </c>
      <c r="E2298" s="116">
        <v>1464</v>
      </c>
      <c r="F2298" s="116">
        <v>2919.95</v>
      </c>
      <c r="G2298">
        <v>431312</v>
      </c>
      <c r="H2298" s="116"/>
      <c r="I2298" s="116"/>
      <c r="L2298" s="170">
        <v>45387</v>
      </c>
      <c r="M2298" s="116">
        <v>1460.1</v>
      </c>
      <c r="N2298" s="116">
        <v>1470.8</v>
      </c>
      <c r="O2298" s="116">
        <v>1456</v>
      </c>
      <c r="P2298" s="116">
        <v>1460.875</v>
      </c>
      <c r="Q2298" s="116">
        <v>2920.2</v>
      </c>
      <c r="R2298">
        <v>3721149</v>
      </c>
    </row>
    <row r="2299" spans="1:18" x14ac:dyDescent="0.25">
      <c r="A2299" s="170">
        <v>45390</v>
      </c>
      <c r="B2299" s="116">
        <v>1490.25</v>
      </c>
      <c r="C2299" s="116">
        <v>1485.5</v>
      </c>
      <c r="D2299" s="116">
        <v>1461.7</v>
      </c>
      <c r="E2299" s="116">
        <v>1461.7</v>
      </c>
      <c r="F2299" s="116">
        <v>2971</v>
      </c>
      <c r="G2299">
        <v>148392</v>
      </c>
      <c r="H2299" s="116"/>
      <c r="I2299" s="116"/>
      <c r="L2299" s="170">
        <v>45390</v>
      </c>
      <c r="M2299" s="116">
        <v>1485.9749999999999</v>
      </c>
      <c r="N2299" s="116">
        <v>1490.9749999999999</v>
      </c>
      <c r="O2299" s="116">
        <v>1461</v>
      </c>
      <c r="P2299" s="116">
        <v>1462.9749999999999</v>
      </c>
      <c r="Q2299" s="116">
        <v>2971.95</v>
      </c>
      <c r="R2299">
        <v>4178559</v>
      </c>
    </row>
    <row r="2300" spans="1:18" x14ac:dyDescent="0.25">
      <c r="A2300" s="170">
        <v>45391</v>
      </c>
      <c r="B2300" s="116">
        <v>1489.375</v>
      </c>
      <c r="C2300" s="116">
        <v>1463.55</v>
      </c>
      <c r="D2300" s="116">
        <v>1462.5</v>
      </c>
      <c r="E2300" s="116">
        <v>1487.5</v>
      </c>
      <c r="F2300" s="116">
        <v>2927.1</v>
      </c>
      <c r="G2300">
        <v>59883</v>
      </c>
      <c r="H2300" s="116"/>
      <c r="I2300" s="116"/>
      <c r="L2300" s="170">
        <v>45391</v>
      </c>
      <c r="M2300" s="116">
        <v>1463.65</v>
      </c>
      <c r="N2300" s="116">
        <v>1489.8</v>
      </c>
      <c r="O2300" s="116">
        <v>1462.5</v>
      </c>
      <c r="P2300" s="116">
        <v>1489</v>
      </c>
      <c r="Q2300" s="116">
        <v>2927.3</v>
      </c>
      <c r="R2300">
        <v>3535707</v>
      </c>
    </row>
    <row r="2301" spans="1:18" x14ac:dyDescent="0.25">
      <c r="A2301" s="170">
        <v>45392</v>
      </c>
      <c r="B2301" s="116">
        <v>1487</v>
      </c>
      <c r="C2301" s="116">
        <v>1479.3</v>
      </c>
      <c r="D2301" s="116">
        <v>1467.2750000000001</v>
      </c>
      <c r="E2301" s="116">
        <v>1474.9749999999999</v>
      </c>
      <c r="F2301" s="116">
        <v>2958.6</v>
      </c>
      <c r="G2301">
        <v>164355</v>
      </c>
      <c r="H2301" s="116"/>
      <c r="I2301" s="116"/>
      <c r="L2301" s="170">
        <v>45392</v>
      </c>
      <c r="M2301" s="116">
        <v>1479.575</v>
      </c>
      <c r="N2301" s="116">
        <v>1487</v>
      </c>
      <c r="O2301" s="116">
        <v>1466.35</v>
      </c>
      <c r="P2301" s="116">
        <v>1466.35</v>
      </c>
      <c r="Q2301" s="116">
        <v>2959.15</v>
      </c>
      <c r="R2301">
        <v>4569165</v>
      </c>
    </row>
    <row r="2302" spans="1:18" x14ac:dyDescent="0.25">
      <c r="A2302" s="170">
        <v>45394</v>
      </c>
      <c r="B2302" s="116">
        <v>1486.5</v>
      </c>
      <c r="C2302" s="116">
        <v>1467.55</v>
      </c>
      <c r="D2302" s="116">
        <v>1462.85</v>
      </c>
      <c r="E2302" s="116">
        <v>1477.5</v>
      </c>
      <c r="F2302" s="116">
        <v>2935.1</v>
      </c>
      <c r="G2302">
        <v>677948</v>
      </c>
      <c r="H2302" s="116"/>
      <c r="I2302" s="116"/>
      <c r="L2302" s="170">
        <v>45394</v>
      </c>
      <c r="M2302" s="116">
        <v>1467.15</v>
      </c>
      <c r="N2302" s="116">
        <v>1486.4749999999999</v>
      </c>
      <c r="O2302" s="116">
        <v>1463.075</v>
      </c>
      <c r="P2302" s="116">
        <v>1475.875</v>
      </c>
      <c r="Q2302" s="116">
        <v>2934.3</v>
      </c>
      <c r="R2302">
        <v>7775506</v>
      </c>
    </row>
    <row r="2303" spans="1:18" x14ac:dyDescent="0.25">
      <c r="A2303" s="170">
        <v>45397</v>
      </c>
      <c r="B2303" s="116">
        <v>1482.25</v>
      </c>
      <c r="C2303" s="116">
        <v>1466.45</v>
      </c>
      <c r="D2303" s="116">
        <v>1446.575</v>
      </c>
      <c r="E2303" s="116">
        <v>1454.325</v>
      </c>
      <c r="F2303" s="116">
        <v>2932.9</v>
      </c>
      <c r="G2303">
        <v>301990</v>
      </c>
      <c r="H2303" s="116"/>
      <c r="I2303" s="116"/>
      <c r="L2303" s="170">
        <v>45397</v>
      </c>
      <c r="M2303" s="116">
        <v>1464.825</v>
      </c>
      <c r="N2303" s="116">
        <v>1482.125</v>
      </c>
      <c r="O2303" s="116">
        <v>1446.325</v>
      </c>
      <c r="P2303" s="116">
        <v>1461</v>
      </c>
      <c r="Q2303" s="116">
        <v>2929.65</v>
      </c>
      <c r="R2303">
        <v>6451031</v>
      </c>
    </row>
    <row r="2304" spans="1:18" x14ac:dyDescent="0.25">
      <c r="A2304" s="170">
        <v>45398</v>
      </c>
      <c r="B2304" s="116">
        <v>1471</v>
      </c>
      <c r="C2304" s="116">
        <v>1467.2249999999999</v>
      </c>
      <c r="D2304" s="116">
        <v>1451.05</v>
      </c>
      <c r="E2304" s="116">
        <v>1454.9749999999999</v>
      </c>
      <c r="F2304" s="116">
        <v>2934.45</v>
      </c>
      <c r="G2304">
        <v>157052</v>
      </c>
      <c r="H2304" s="116"/>
      <c r="I2304" s="116"/>
      <c r="L2304" s="170">
        <v>45398</v>
      </c>
      <c r="M2304" s="116">
        <v>1465.75</v>
      </c>
      <c r="N2304" s="116">
        <v>1471.175</v>
      </c>
      <c r="O2304" s="116">
        <v>1450.925</v>
      </c>
      <c r="P2304" s="116">
        <v>1453.35</v>
      </c>
      <c r="Q2304" s="116">
        <v>2931.5</v>
      </c>
      <c r="R2304">
        <v>4683092</v>
      </c>
    </row>
    <row r="2305" spans="1:18" x14ac:dyDescent="0.25">
      <c r="A2305" s="170">
        <v>45400</v>
      </c>
      <c r="B2305" s="116">
        <v>1485.75</v>
      </c>
      <c r="C2305" s="116">
        <v>1464.075</v>
      </c>
      <c r="D2305" s="116">
        <v>1459.5</v>
      </c>
      <c r="E2305" s="116">
        <v>1464.5</v>
      </c>
      <c r="F2305" s="116">
        <v>2928.15</v>
      </c>
      <c r="G2305">
        <v>205714</v>
      </c>
      <c r="H2305" s="116"/>
      <c r="I2305" s="116"/>
      <c r="L2305" s="170">
        <v>45400</v>
      </c>
      <c r="M2305" s="116">
        <v>1464.325</v>
      </c>
      <c r="N2305" s="116">
        <v>1486</v>
      </c>
      <c r="O2305" s="116">
        <v>1459.35</v>
      </c>
      <c r="P2305" s="116">
        <v>1463.5</v>
      </c>
      <c r="Q2305" s="116">
        <v>2928.65</v>
      </c>
      <c r="R2305">
        <v>9502846</v>
      </c>
    </row>
    <row r="2306" spans="1:18" x14ac:dyDescent="0.25">
      <c r="A2306" s="170">
        <v>45401</v>
      </c>
      <c r="B2306" s="116">
        <v>1473.5</v>
      </c>
      <c r="C2306" s="116">
        <v>1470.8</v>
      </c>
      <c r="D2306" s="116">
        <v>1443.375</v>
      </c>
      <c r="E2306" s="116">
        <v>1459.4749999999999</v>
      </c>
      <c r="F2306" s="116">
        <v>2941.6</v>
      </c>
      <c r="G2306">
        <v>530975</v>
      </c>
      <c r="H2306" s="116"/>
      <c r="I2306" s="116"/>
      <c r="L2306" s="170">
        <v>45401</v>
      </c>
      <c r="M2306" s="116">
        <v>1470.125</v>
      </c>
      <c r="N2306" s="116">
        <v>1474</v>
      </c>
      <c r="O2306" s="116">
        <v>1443.0250000000001</v>
      </c>
      <c r="P2306" s="116">
        <v>1456.7750000000001</v>
      </c>
      <c r="Q2306" s="116">
        <v>2940.25</v>
      </c>
      <c r="R2306">
        <v>7870889</v>
      </c>
    </row>
    <row r="2307" spans="1:18" x14ac:dyDescent="0.25">
      <c r="A2307" s="170">
        <v>45404</v>
      </c>
      <c r="B2307" s="116">
        <v>1482.15</v>
      </c>
      <c r="C2307" s="116">
        <v>1480.3</v>
      </c>
      <c r="D2307" s="116">
        <v>1468.3</v>
      </c>
      <c r="E2307" s="116">
        <v>1475</v>
      </c>
      <c r="F2307" s="116">
        <v>2960.6</v>
      </c>
      <c r="G2307">
        <v>175983</v>
      </c>
      <c r="H2307" s="116"/>
      <c r="I2307" s="116"/>
      <c r="L2307" s="170">
        <v>45404</v>
      </c>
      <c r="M2307" s="116">
        <v>1479.85</v>
      </c>
      <c r="N2307" s="116">
        <v>1482.825</v>
      </c>
      <c r="O2307" s="116">
        <v>1467.8</v>
      </c>
      <c r="P2307" s="116">
        <v>1472.45</v>
      </c>
      <c r="Q2307" s="116">
        <v>2959.7</v>
      </c>
      <c r="R2307">
        <v>5175181</v>
      </c>
    </row>
    <row r="2308" spans="1:18" x14ac:dyDescent="0.25">
      <c r="A2308" s="170">
        <v>45405</v>
      </c>
      <c r="B2308" s="116">
        <v>1493.0250000000001</v>
      </c>
      <c r="C2308" s="116">
        <v>1459.25</v>
      </c>
      <c r="D2308" s="116">
        <v>1456.25</v>
      </c>
      <c r="E2308" s="116">
        <v>1484.2750000000001</v>
      </c>
      <c r="F2308" s="116">
        <v>2918.5</v>
      </c>
      <c r="G2308">
        <v>273433</v>
      </c>
      <c r="H2308" s="116"/>
      <c r="I2308" s="116"/>
      <c r="L2308" s="170">
        <v>45405</v>
      </c>
      <c r="M2308" s="116">
        <v>1459.325</v>
      </c>
      <c r="N2308" s="116">
        <v>1493.5</v>
      </c>
      <c r="O2308" s="116">
        <v>1455.55</v>
      </c>
      <c r="P2308" s="116">
        <v>1479</v>
      </c>
      <c r="Q2308" s="116">
        <v>2918.65</v>
      </c>
      <c r="R2308">
        <v>7302777</v>
      </c>
    </row>
    <row r="2309" spans="1:18" x14ac:dyDescent="0.25">
      <c r="A2309" s="170">
        <v>45406</v>
      </c>
      <c r="B2309" s="116">
        <v>1468.325</v>
      </c>
      <c r="C2309" s="116">
        <v>1450.3</v>
      </c>
      <c r="D2309" s="116">
        <v>1449.35</v>
      </c>
      <c r="E2309" s="116">
        <v>1461.15</v>
      </c>
      <c r="F2309" s="116">
        <v>2900.6</v>
      </c>
      <c r="G2309">
        <v>78386</v>
      </c>
      <c r="H2309" s="116"/>
      <c r="I2309" s="116"/>
      <c r="L2309" s="170">
        <v>45406</v>
      </c>
      <c r="M2309" s="116">
        <v>1450.175</v>
      </c>
      <c r="N2309" s="116">
        <v>1468.55</v>
      </c>
      <c r="O2309" s="116">
        <v>1449.5</v>
      </c>
      <c r="P2309" s="116">
        <v>1463.5</v>
      </c>
      <c r="Q2309" s="116">
        <v>2900.35</v>
      </c>
      <c r="R2309">
        <v>5231388</v>
      </c>
    </row>
    <row r="2310" spans="1:18" x14ac:dyDescent="0.25">
      <c r="A2310" s="170">
        <v>45407</v>
      </c>
      <c r="B2310" s="116">
        <v>1467.5</v>
      </c>
      <c r="C2310" s="116">
        <v>1459.2</v>
      </c>
      <c r="D2310" s="116">
        <v>1442.6</v>
      </c>
      <c r="E2310" s="116">
        <v>1444</v>
      </c>
      <c r="F2310" s="116">
        <v>2918.4</v>
      </c>
      <c r="G2310">
        <v>192974</v>
      </c>
      <c r="H2310" s="116"/>
      <c r="I2310" s="116"/>
      <c r="L2310" s="170">
        <v>45407</v>
      </c>
      <c r="M2310" s="116">
        <v>1459.9749999999999</v>
      </c>
      <c r="N2310" s="116">
        <v>1467.9749999999999</v>
      </c>
      <c r="O2310" s="116">
        <v>1441.5</v>
      </c>
      <c r="P2310" s="116">
        <v>1442.5</v>
      </c>
      <c r="Q2310" s="116">
        <v>2919.95</v>
      </c>
      <c r="R2310">
        <v>7971963</v>
      </c>
    </row>
    <row r="2311" spans="1:18" x14ac:dyDescent="0.25">
      <c r="A2311" s="170">
        <v>45408</v>
      </c>
      <c r="B2311" s="116">
        <v>1465</v>
      </c>
      <c r="C2311" s="116">
        <v>1451.5</v>
      </c>
      <c r="D2311" s="116">
        <v>1450</v>
      </c>
      <c r="E2311" s="116">
        <v>1462.575</v>
      </c>
      <c r="F2311" s="116">
        <v>2903</v>
      </c>
      <c r="G2311">
        <v>450580</v>
      </c>
      <c r="H2311" s="116"/>
      <c r="I2311" s="116"/>
      <c r="L2311" s="170">
        <v>45408</v>
      </c>
      <c r="M2311" s="116">
        <v>1452.55</v>
      </c>
      <c r="N2311" s="116">
        <v>1465</v>
      </c>
      <c r="O2311" s="116">
        <v>1450</v>
      </c>
      <c r="P2311" s="116">
        <v>1463.95</v>
      </c>
      <c r="Q2311" s="116">
        <v>2905.1</v>
      </c>
      <c r="R2311">
        <v>4706924</v>
      </c>
    </row>
    <row r="2312" spans="1:18" x14ac:dyDescent="0.25">
      <c r="A2312" s="170">
        <v>45411</v>
      </c>
      <c r="B2312" s="116">
        <v>1467.7750000000001</v>
      </c>
      <c r="C2312" s="116">
        <v>1465.25</v>
      </c>
      <c r="D2312" s="116">
        <v>1450.05</v>
      </c>
      <c r="E2312" s="116">
        <v>1451.4749999999999</v>
      </c>
      <c r="F2312" s="116">
        <v>2930.5</v>
      </c>
      <c r="G2312">
        <v>194646</v>
      </c>
      <c r="H2312" s="116"/>
      <c r="I2312" s="116"/>
      <c r="L2312" s="170">
        <v>45411</v>
      </c>
      <c r="M2312" s="116">
        <v>1465.0250000000001</v>
      </c>
      <c r="N2312" s="116">
        <v>1467.9</v>
      </c>
      <c r="O2312" s="116">
        <v>1450</v>
      </c>
      <c r="P2312" s="116">
        <v>1450</v>
      </c>
      <c r="Q2312" s="116">
        <v>2930.05</v>
      </c>
      <c r="R2312">
        <v>3623987</v>
      </c>
    </row>
    <row r="2313" spans="1:18" x14ac:dyDescent="0.25">
      <c r="A2313" s="170">
        <v>45412</v>
      </c>
      <c r="B2313" s="116">
        <v>1482.5</v>
      </c>
      <c r="C2313" s="116">
        <v>1465.575</v>
      </c>
      <c r="D2313" s="116">
        <v>1463.5</v>
      </c>
      <c r="E2313" s="116">
        <v>1465.45</v>
      </c>
      <c r="F2313" s="116">
        <v>2931.15</v>
      </c>
      <c r="G2313">
        <v>237096</v>
      </c>
      <c r="H2313" s="116"/>
      <c r="I2313" s="116"/>
      <c r="L2313" s="170">
        <v>45412</v>
      </c>
      <c r="M2313" s="116">
        <v>1467</v>
      </c>
      <c r="N2313" s="116">
        <v>1483.075</v>
      </c>
      <c r="O2313" s="116">
        <v>1462.875</v>
      </c>
      <c r="P2313" s="116">
        <v>1468</v>
      </c>
      <c r="Q2313" s="116">
        <v>2934</v>
      </c>
      <c r="R2313">
        <v>5737131</v>
      </c>
    </row>
    <row r="2314" spans="1:18" x14ac:dyDescent="0.25">
      <c r="A2314" s="170">
        <v>45414</v>
      </c>
      <c r="B2314" s="116">
        <v>1476.95</v>
      </c>
      <c r="C2314" s="116">
        <v>1466.05</v>
      </c>
      <c r="D2314" s="116">
        <v>1463.825</v>
      </c>
      <c r="E2314" s="116">
        <v>1472.675</v>
      </c>
      <c r="F2314" s="116">
        <v>2932.1</v>
      </c>
      <c r="G2314">
        <v>124785</v>
      </c>
      <c r="H2314" s="116"/>
      <c r="I2314" s="116"/>
      <c r="L2314" s="170">
        <v>45414</v>
      </c>
      <c r="M2314" s="116">
        <v>1466.55</v>
      </c>
      <c r="N2314" s="116">
        <v>1477.325</v>
      </c>
      <c r="O2314" s="116">
        <v>1464.125</v>
      </c>
      <c r="P2314" s="116">
        <v>1472</v>
      </c>
      <c r="Q2314" s="116">
        <v>2933.1</v>
      </c>
      <c r="R2314">
        <v>7256323</v>
      </c>
    </row>
    <row r="2315" spans="1:18" x14ac:dyDescent="0.25">
      <c r="A2315" s="170">
        <v>45415</v>
      </c>
      <c r="B2315" s="116">
        <v>1474.55</v>
      </c>
      <c r="C2315" s="116">
        <v>1434.25</v>
      </c>
      <c r="D2315" s="116">
        <v>1416.35</v>
      </c>
      <c r="E2315" s="116">
        <v>1469.2750000000001</v>
      </c>
      <c r="F2315" s="116">
        <v>2868.5</v>
      </c>
      <c r="G2315">
        <v>343554</v>
      </c>
      <c r="H2315" s="116"/>
      <c r="I2315" s="116"/>
      <c r="L2315" s="170">
        <v>45415</v>
      </c>
      <c r="M2315" s="116">
        <v>1434</v>
      </c>
      <c r="N2315" s="116">
        <v>1474.95</v>
      </c>
      <c r="O2315" s="116">
        <v>1416.15</v>
      </c>
      <c r="P2315" s="116">
        <v>1471</v>
      </c>
      <c r="Q2315" s="116">
        <v>2868</v>
      </c>
      <c r="R2315">
        <v>8613479</v>
      </c>
    </row>
    <row r="2316" spans="1:18" x14ac:dyDescent="0.25">
      <c r="A2316" s="170">
        <v>45418</v>
      </c>
      <c r="B2316" s="116">
        <v>1440.7249999999999</v>
      </c>
      <c r="C2316" s="116">
        <v>1419.5</v>
      </c>
      <c r="D2316" s="116">
        <v>1418.125</v>
      </c>
      <c r="E2316" s="116">
        <v>1437.5</v>
      </c>
      <c r="F2316" s="116">
        <v>2839</v>
      </c>
      <c r="G2316">
        <v>143404</v>
      </c>
      <c r="H2316" s="116"/>
      <c r="I2316" s="116"/>
      <c r="L2316" s="170">
        <v>45418</v>
      </c>
      <c r="M2316" s="116">
        <v>1419.5250000000001</v>
      </c>
      <c r="N2316" s="116">
        <v>1440</v>
      </c>
      <c r="O2316" s="116">
        <v>1418</v>
      </c>
      <c r="P2316" s="116">
        <v>1435.5</v>
      </c>
      <c r="Q2316" s="116">
        <v>2839.05</v>
      </c>
      <c r="R2316">
        <v>3697104</v>
      </c>
    </row>
    <row r="2317" spans="1:18" x14ac:dyDescent="0.25">
      <c r="A2317" s="170">
        <v>45419</v>
      </c>
      <c r="B2317" s="116">
        <v>1420.375</v>
      </c>
      <c r="C2317" s="116">
        <v>1401.9749999999999</v>
      </c>
      <c r="D2317" s="116">
        <v>1392.5</v>
      </c>
      <c r="E2317" s="116">
        <v>1416</v>
      </c>
      <c r="F2317" s="116">
        <v>2803.95</v>
      </c>
      <c r="G2317">
        <v>169570</v>
      </c>
      <c r="H2317" s="116"/>
      <c r="I2317" s="116"/>
      <c r="L2317" s="170">
        <v>45419</v>
      </c>
      <c r="M2317" s="116">
        <v>1401.4749999999999</v>
      </c>
      <c r="N2317" s="116">
        <v>1420.75</v>
      </c>
      <c r="O2317" s="116">
        <v>1392</v>
      </c>
      <c r="P2317" s="116">
        <v>1415.9749999999999</v>
      </c>
      <c r="Q2317" s="116">
        <v>2802.95</v>
      </c>
      <c r="R2317">
        <v>7258736</v>
      </c>
    </row>
    <row r="2318" spans="1:18" x14ac:dyDescent="0.25">
      <c r="A2318" s="170">
        <v>45420</v>
      </c>
      <c r="B2318" s="116">
        <v>1433.4749999999999</v>
      </c>
      <c r="C2318" s="116">
        <v>1418.4749999999999</v>
      </c>
      <c r="D2318" s="116">
        <v>1397.5</v>
      </c>
      <c r="E2318" s="116">
        <v>1397.5</v>
      </c>
      <c r="F2318" s="116">
        <v>2836.95</v>
      </c>
      <c r="G2318">
        <v>278869</v>
      </c>
      <c r="H2318" s="116"/>
      <c r="I2318" s="116"/>
      <c r="L2318" s="170">
        <v>45420</v>
      </c>
      <c r="M2318" s="116">
        <v>1418.55</v>
      </c>
      <c r="N2318" s="116">
        <v>1432.95</v>
      </c>
      <c r="O2318" s="116">
        <v>1397.5</v>
      </c>
      <c r="P2318" s="116">
        <v>1397.5</v>
      </c>
      <c r="Q2318" s="116">
        <v>2837.1</v>
      </c>
      <c r="R2318">
        <v>4719501</v>
      </c>
    </row>
    <row r="2319" spans="1:18" x14ac:dyDescent="0.25">
      <c r="A2319" s="170">
        <v>45421</v>
      </c>
      <c r="B2319" s="116">
        <v>1429.5</v>
      </c>
      <c r="C2319" s="116">
        <v>1393.4</v>
      </c>
      <c r="D2319" s="116">
        <v>1390</v>
      </c>
      <c r="E2319" s="116">
        <v>1429.5</v>
      </c>
      <c r="F2319" s="116">
        <v>2786.8</v>
      </c>
      <c r="G2319">
        <v>106347</v>
      </c>
      <c r="H2319" s="116"/>
      <c r="I2319" s="116"/>
      <c r="L2319" s="170">
        <v>45421</v>
      </c>
      <c r="M2319" s="116">
        <v>1394.125</v>
      </c>
      <c r="N2319" s="116">
        <v>1423.75</v>
      </c>
      <c r="O2319" s="116">
        <v>1390</v>
      </c>
      <c r="P2319" s="116">
        <v>1413</v>
      </c>
      <c r="Q2319" s="116">
        <v>2788.25</v>
      </c>
      <c r="R2319">
        <v>5504806</v>
      </c>
    </row>
    <row r="2320" spans="1:18" x14ac:dyDescent="0.25">
      <c r="A2320" s="170">
        <v>45422</v>
      </c>
      <c r="B2320" s="116">
        <v>1410.675</v>
      </c>
      <c r="C2320" s="116">
        <v>1407.575</v>
      </c>
      <c r="D2320" s="116">
        <v>1387.6</v>
      </c>
      <c r="E2320" s="116">
        <v>1395.075</v>
      </c>
      <c r="F2320" s="116">
        <v>2815.15</v>
      </c>
      <c r="G2320">
        <v>382788</v>
      </c>
      <c r="H2320" s="116"/>
      <c r="I2320" s="116"/>
      <c r="L2320" s="170">
        <v>45422</v>
      </c>
      <c r="M2320" s="116">
        <v>1407.425</v>
      </c>
      <c r="N2320" s="116">
        <v>1410</v>
      </c>
      <c r="O2320" s="116">
        <v>1388.075</v>
      </c>
      <c r="P2320" s="116">
        <v>1396.75</v>
      </c>
      <c r="Q2320" s="116">
        <v>2814.85</v>
      </c>
      <c r="R2320">
        <v>5252548</v>
      </c>
    </row>
    <row r="2321" spans="1:18" x14ac:dyDescent="0.25">
      <c r="A2321" s="170">
        <v>45425</v>
      </c>
      <c r="B2321" s="116">
        <v>1406.575</v>
      </c>
      <c r="C2321" s="116">
        <v>1402.65</v>
      </c>
      <c r="D2321" s="116">
        <v>1384.0250000000001</v>
      </c>
      <c r="E2321" s="116">
        <v>1399.0250000000001</v>
      </c>
      <c r="F2321" s="116">
        <v>2805.3</v>
      </c>
      <c r="G2321">
        <v>131567</v>
      </c>
      <c r="H2321" s="116"/>
      <c r="I2321" s="116"/>
      <c r="L2321" s="170">
        <v>45425</v>
      </c>
      <c r="M2321" s="116">
        <v>1402.7</v>
      </c>
      <c r="N2321" s="116">
        <v>1406.9749999999999</v>
      </c>
      <c r="O2321" s="116">
        <v>1384</v>
      </c>
      <c r="P2321" s="116">
        <v>1399.9</v>
      </c>
      <c r="Q2321" s="116">
        <v>2805.4</v>
      </c>
      <c r="R2321">
        <v>4228310</v>
      </c>
    </row>
    <row r="2322" spans="1:18" x14ac:dyDescent="0.25">
      <c r="A2322" s="170">
        <v>45426</v>
      </c>
      <c r="B2322" s="116">
        <v>1427.0250000000001</v>
      </c>
      <c r="C2322" s="116">
        <v>1419.9</v>
      </c>
      <c r="D2322" s="116">
        <v>1400</v>
      </c>
      <c r="E2322" s="116">
        <v>1402.5</v>
      </c>
      <c r="F2322" s="116">
        <v>2839.8</v>
      </c>
      <c r="G2322">
        <v>137617</v>
      </c>
      <c r="H2322" s="116"/>
      <c r="I2322" s="116"/>
      <c r="L2322" s="170">
        <v>45426</v>
      </c>
      <c r="M2322" s="116">
        <v>1420.075</v>
      </c>
      <c r="N2322" s="116">
        <v>1427.075</v>
      </c>
      <c r="O2322" s="116">
        <v>1400.0250000000001</v>
      </c>
      <c r="P2322" s="116">
        <v>1400.9749999999999</v>
      </c>
      <c r="Q2322" s="116">
        <v>2840.15</v>
      </c>
      <c r="R2322">
        <v>3594150</v>
      </c>
    </row>
    <row r="2323" spans="1:18" x14ac:dyDescent="0.25">
      <c r="A2323" s="170">
        <v>45427</v>
      </c>
      <c r="B2323" s="116">
        <v>1429.7</v>
      </c>
      <c r="C2323" s="116">
        <v>1415.575</v>
      </c>
      <c r="D2323" s="116">
        <v>1412.75</v>
      </c>
      <c r="E2323" s="116">
        <v>1422.5</v>
      </c>
      <c r="F2323" s="116">
        <v>2831.15</v>
      </c>
      <c r="G2323">
        <v>51822</v>
      </c>
      <c r="H2323" s="116"/>
      <c r="I2323" s="116"/>
      <c r="L2323" s="170">
        <v>45427</v>
      </c>
      <c r="M2323" s="116">
        <v>1416.2750000000001</v>
      </c>
      <c r="N2323" s="116">
        <v>1429.9749999999999</v>
      </c>
      <c r="O2323" s="116">
        <v>1413.0250000000001</v>
      </c>
      <c r="P2323" s="116">
        <v>1420.5</v>
      </c>
      <c r="Q2323" s="116">
        <v>2832.55</v>
      </c>
      <c r="R2323">
        <v>2523267</v>
      </c>
    </row>
    <row r="2324" spans="1:18" x14ac:dyDescent="0.25">
      <c r="A2324" s="170">
        <v>45428</v>
      </c>
      <c r="B2324" s="116">
        <v>1427.15</v>
      </c>
      <c r="C2324" s="116">
        <v>1425.1</v>
      </c>
      <c r="D2324" s="116">
        <v>1398.3</v>
      </c>
      <c r="E2324" s="116">
        <v>1417.5</v>
      </c>
      <c r="F2324" s="116">
        <v>2850.2</v>
      </c>
      <c r="G2324">
        <v>71121</v>
      </c>
      <c r="H2324" s="116"/>
      <c r="I2324" s="116"/>
      <c r="L2324" s="170">
        <v>45428</v>
      </c>
      <c r="M2324" s="116">
        <v>1425.35</v>
      </c>
      <c r="N2324" s="116">
        <v>1427.5</v>
      </c>
      <c r="O2324" s="116">
        <v>1398.0250000000001</v>
      </c>
      <c r="P2324" s="116">
        <v>1418.55</v>
      </c>
      <c r="Q2324" s="116">
        <v>2850.7</v>
      </c>
      <c r="R2324">
        <v>7355887</v>
      </c>
    </row>
    <row r="2325" spans="1:18" x14ac:dyDescent="0.25">
      <c r="A2325" s="170">
        <v>45429</v>
      </c>
      <c r="B2325" s="116">
        <v>1437.425</v>
      </c>
      <c r="C2325" s="116">
        <v>1435.35</v>
      </c>
      <c r="D2325" s="116">
        <v>1413</v>
      </c>
      <c r="E2325" s="116">
        <v>1421.175</v>
      </c>
      <c r="F2325" s="116">
        <v>2870.7</v>
      </c>
      <c r="G2325">
        <v>415357</v>
      </c>
      <c r="H2325" s="116"/>
      <c r="I2325" s="116"/>
      <c r="L2325" s="170">
        <v>45429</v>
      </c>
      <c r="M2325" s="116">
        <v>1435.7</v>
      </c>
      <c r="N2325" s="116">
        <v>1437.2</v>
      </c>
      <c r="O2325" s="116">
        <v>1413.25</v>
      </c>
      <c r="P2325" s="116">
        <v>1423.05</v>
      </c>
      <c r="Q2325" s="116">
        <v>2871.4</v>
      </c>
      <c r="R2325">
        <v>5458238</v>
      </c>
    </row>
    <row r="2326" spans="1:18" x14ac:dyDescent="0.25">
      <c r="A2326" s="170">
        <v>45430</v>
      </c>
      <c r="B2326" s="116">
        <v>1439.4</v>
      </c>
      <c r="C2326" s="116">
        <v>1434.5250000000001</v>
      </c>
      <c r="D2326" s="116">
        <v>1432.5</v>
      </c>
      <c r="E2326" s="116">
        <v>1436.05</v>
      </c>
      <c r="F2326" s="116">
        <v>2869.05</v>
      </c>
      <c r="G2326">
        <v>9314</v>
      </c>
      <c r="H2326" s="116"/>
      <c r="I2326" s="116"/>
      <c r="L2326" s="170">
        <v>45430</v>
      </c>
      <c r="M2326" s="116">
        <v>1434.825</v>
      </c>
      <c r="N2326" s="116">
        <v>1439.5</v>
      </c>
      <c r="O2326" s="116">
        <v>1432.7</v>
      </c>
      <c r="P2326" s="116">
        <v>1437.5</v>
      </c>
      <c r="Q2326" s="116">
        <v>2869.65</v>
      </c>
      <c r="R2326">
        <v>213020</v>
      </c>
    </row>
    <row r="2327" spans="1:18" x14ac:dyDescent="0.25">
      <c r="A2327" s="170">
        <v>45433</v>
      </c>
      <c r="B2327" s="116">
        <v>1441.5</v>
      </c>
      <c r="C2327" s="116">
        <v>1435.65</v>
      </c>
      <c r="D2327" s="116">
        <v>1426.45</v>
      </c>
      <c r="E2327" s="116">
        <v>1429.5</v>
      </c>
      <c r="F2327" s="116">
        <v>2871.3</v>
      </c>
      <c r="G2327">
        <v>130907</v>
      </c>
      <c r="H2327" s="116"/>
      <c r="I2327" s="116"/>
      <c r="L2327" s="170">
        <v>45433</v>
      </c>
      <c r="M2327" s="116">
        <v>1436.125</v>
      </c>
      <c r="N2327" s="116">
        <v>1441.825</v>
      </c>
      <c r="O2327" s="116">
        <v>1425.6</v>
      </c>
      <c r="P2327" s="116">
        <v>1425.6</v>
      </c>
      <c r="Q2327" s="116">
        <v>2872.25</v>
      </c>
      <c r="R2327">
        <v>5588064</v>
      </c>
    </row>
    <row r="2328" spans="1:18" x14ac:dyDescent="0.25">
      <c r="A2328" s="170">
        <v>45434</v>
      </c>
      <c r="B2328" s="116">
        <v>1468.4</v>
      </c>
      <c r="C2328" s="116">
        <v>1460.375</v>
      </c>
      <c r="D2328" s="116">
        <v>1436.45</v>
      </c>
      <c r="E2328" s="116">
        <v>1436.45</v>
      </c>
      <c r="F2328" s="116">
        <v>2920.75</v>
      </c>
      <c r="G2328">
        <v>110842</v>
      </c>
      <c r="H2328" s="116"/>
      <c r="I2328" s="116"/>
      <c r="L2328" s="170">
        <v>45434</v>
      </c>
      <c r="M2328" s="116">
        <v>1460.65</v>
      </c>
      <c r="N2328" s="116">
        <v>1468.7750000000001</v>
      </c>
      <c r="O2328" s="116">
        <v>1436.2750000000001</v>
      </c>
      <c r="P2328" s="116">
        <v>1436.2750000000001</v>
      </c>
      <c r="Q2328" s="116">
        <v>2921.3</v>
      </c>
      <c r="R2328">
        <v>5140802</v>
      </c>
    </row>
    <row r="2329" spans="1:18" x14ac:dyDescent="0.25">
      <c r="A2329" s="170">
        <v>45435</v>
      </c>
      <c r="B2329" s="116">
        <v>1491.7750000000001</v>
      </c>
      <c r="C2329" s="116">
        <v>1486.6</v>
      </c>
      <c r="D2329" s="116">
        <v>1456</v>
      </c>
      <c r="E2329" s="116">
        <v>1459.15</v>
      </c>
      <c r="F2329" s="116">
        <v>2973.2</v>
      </c>
      <c r="G2329">
        <v>197056</v>
      </c>
      <c r="H2329" s="116"/>
      <c r="I2329" s="116"/>
      <c r="L2329" s="170">
        <v>45435</v>
      </c>
      <c r="M2329" s="116">
        <v>1486.05</v>
      </c>
      <c r="N2329" s="116">
        <v>1492.2249999999999</v>
      </c>
      <c r="O2329" s="116">
        <v>1455</v>
      </c>
      <c r="P2329" s="116">
        <v>1458.55</v>
      </c>
      <c r="Q2329" s="116">
        <v>2972.1</v>
      </c>
      <c r="R2329">
        <v>7304130</v>
      </c>
    </row>
    <row r="2330" spans="1:18" x14ac:dyDescent="0.25">
      <c r="A2330" s="170">
        <v>45436</v>
      </c>
      <c r="B2330" s="116">
        <v>1488.5</v>
      </c>
      <c r="C2330" s="116">
        <v>1479.9</v>
      </c>
      <c r="D2330" s="116">
        <v>1475.6</v>
      </c>
      <c r="E2330" s="116">
        <v>1483</v>
      </c>
      <c r="F2330" s="116">
        <v>2959.8</v>
      </c>
      <c r="G2330">
        <v>456597</v>
      </c>
      <c r="H2330" s="116"/>
      <c r="I2330" s="116"/>
      <c r="L2330" s="170">
        <v>45436</v>
      </c>
      <c r="M2330" s="116">
        <v>1480.25</v>
      </c>
      <c r="N2330" s="116">
        <v>1488.5</v>
      </c>
      <c r="O2330" s="116">
        <v>1476.1</v>
      </c>
      <c r="P2330" s="116">
        <v>1483.625</v>
      </c>
      <c r="Q2330" s="116">
        <v>2960.5</v>
      </c>
      <c r="R2330">
        <v>3547388</v>
      </c>
    </row>
    <row r="2331" spans="1:18" x14ac:dyDescent="0.25">
      <c r="A2331" s="170">
        <v>45439</v>
      </c>
      <c r="B2331" s="116">
        <v>1483.7249999999999</v>
      </c>
      <c r="C2331" s="116">
        <v>1466.2249999999999</v>
      </c>
      <c r="D2331" s="116">
        <v>1462</v>
      </c>
      <c r="E2331" s="116">
        <v>1480.4</v>
      </c>
      <c r="F2331" s="116">
        <v>2932.45</v>
      </c>
      <c r="G2331">
        <v>134571</v>
      </c>
      <c r="H2331" s="116"/>
      <c r="I2331" s="116"/>
      <c r="L2331" s="170">
        <v>45439</v>
      </c>
      <c r="M2331" s="116">
        <v>1466.25</v>
      </c>
      <c r="N2331" s="116">
        <v>1484.9</v>
      </c>
      <c r="O2331" s="116">
        <v>1461.55</v>
      </c>
      <c r="P2331" s="116">
        <v>1480.2249999999999</v>
      </c>
      <c r="Q2331" s="116">
        <v>2932.5</v>
      </c>
      <c r="R2331">
        <v>3314505</v>
      </c>
    </row>
    <row r="2332" spans="1:18" x14ac:dyDescent="0.25">
      <c r="A2332" s="170">
        <v>45440</v>
      </c>
      <c r="B2332" s="116">
        <v>1478.5</v>
      </c>
      <c r="C2332" s="116">
        <v>1455.625</v>
      </c>
      <c r="D2332" s="116">
        <v>1452.7</v>
      </c>
      <c r="E2332" s="116">
        <v>1470.9749999999999</v>
      </c>
      <c r="F2332" s="116">
        <v>2911.25</v>
      </c>
      <c r="G2332">
        <v>116320</v>
      </c>
      <c r="H2332" s="116"/>
      <c r="I2332" s="116"/>
      <c r="L2332" s="170">
        <v>45440</v>
      </c>
      <c r="M2332" s="116">
        <v>1456.2</v>
      </c>
      <c r="N2332" s="116">
        <v>1478.5</v>
      </c>
      <c r="O2332" s="116">
        <v>1452.75</v>
      </c>
      <c r="P2332" s="116">
        <v>1468</v>
      </c>
      <c r="Q2332" s="116">
        <v>2912.4</v>
      </c>
      <c r="R2332">
        <v>3910081</v>
      </c>
    </row>
    <row r="2333" spans="1:18" x14ac:dyDescent="0.25">
      <c r="A2333" s="170">
        <v>45441</v>
      </c>
      <c r="B2333" s="116">
        <v>1458.05</v>
      </c>
      <c r="C2333" s="116">
        <v>1440.7249999999999</v>
      </c>
      <c r="D2333" s="116">
        <v>1438.5</v>
      </c>
      <c r="E2333" s="116">
        <v>1448.5</v>
      </c>
      <c r="F2333" s="116">
        <v>2881.45</v>
      </c>
      <c r="G2333">
        <v>65081</v>
      </c>
      <c r="H2333" s="116"/>
      <c r="I2333" s="116"/>
      <c r="L2333" s="170">
        <v>45441</v>
      </c>
      <c r="M2333" s="116">
        <v>1440.7750000000001</v>
      </c>
      <c r="N2333" s="116">
        <v>1458</v>
      </c>
      <c r="O2333" s="116">
        <v>1438.45</v>
      </c>
      <c r="P2333" s="116">
        <v>1446.5</v>
      </c>
      <c r="Q2333" s="116">
        <v>2881.55</v>
      </c>
      <c r="R2333">
        <v>3691778</v>
      </c>
    </row>
    <row r="2334" spans="1:18" x14ac:dyDescent="0.25">
      <c r="A2334" s="170">
        <v>45442</v>
      </c>
      <c r="B2334" s="116">
        <v>1442</v>
      </c>
      <c r="C2334" s="116">
        <v>1425</v>
      </c>
      <c r="D2334" s="116">
        <v>1420.75</v>
      </c>
      <c r="E2334" s="116">
        <v>1442</v>
      </c>
      <c r="F2334" s="116">
        <v>2850</v>
      </c>
      <c r="G2334">
        <v>54132</v>
      </c>
      <c r="H2334" s="116"/>
      <c r="I2334" s="116"/>
      <c r="L2334" s="170">
        <v>45442</v>
      </c>
      <c r="M2334" s="116">
        <v>1424.85</v>
      </c>
      <c r="N2334" s="116">
        <v>1440.4</v>
      </c>
      <c r="O2334" s="116">
        <v>1420.1</v>
      </c>
      <c r="P2334" s="116">
        <v>1435.5</v>
      </c>
      <c r="Q2334" s="116">
        <v>2849.7</v>
      </c>
      <c r="R2334">
        <v>6603429</v>
      </c>
    </row>
    <row r="2335" spans="1:18" x14ac:dyDescent="0.25">
      <c r="A2335" s="170">
        <v>45443</v>
      </c>
      <c r="B2335" s="116">
        <v>1442.1</v>
      </c>
      <c r="C2335" s="116">
        <v>1429.8</v>
      </c>
      <c r="D2335" s="116">
        <v>1421.625</v>
      </c>
      <c r="E2335" s="116">
        <v>1432.325</v>
      </c>
      <c r="F2335" s="116">
        <v>2859.6</v>
      </c>
      <c r="G2335">
        <v>797286</v>
      </c>
      <c r="H2335" s="116"/>
      <c r="I2335" s="116"/>
      <c r="L2335" s="170">
        <v>45443</v>
      </c>
      <c r="M2335" s="116">
        <v>1430.4</v>
      </c>
      <c r="N2335" s="116">
        <v>1442.25</v>
      </c>
      <c r="O2335" s="116">
        <v>1422.25</v>
      </c>
      <c r="P2335" s="116">
        <v>1431.3</v>
      </c>
      <c r="Q2335" s="116">
        <v>2860.8</v>
      </c>
      <c r="R2335">
        <v>15534916</v>
      </c>
    </row>
    <row r="2336" spans="1:18" x14ac:dyDescent="0.25">
      <c r="A2336" s="170">
        <v>45446</v>
      </c>
      <c r="B2336" s="116">
        <v>1514.95</v>
      </c>
      <c r="C2336" s="116">
        <v>1510.625</v>
      </c>
      <c r="D2336" s="116">
        <v>1459</v>
      </c>
      <c r="E2336" s="116">
        <v>1487.45</v>
      </c>
      <c r="F2336" s="116">
        <v>3021.25</v>
      </c>
      <c r="G2336">
        <v>315231</v>
      </c>
      <c r="H2336" s="116"/>
      <c r="I2336" s="116"/>
      <c r="L2336" s="170">
        <v>45446</v>
      </c>
      <c r="M2336" s="116">
        <v>1510.325</v>
      </c>
      <c r="N2336" s="116">
        <v>1514.5</v>
      </c>
      <c r="O2336" s="116">
        <v>1459</v>
      </c>
      <c r="P2336" s="116">
        <v>1483</v>
      </c>
      <c r="Q2336" s="116">
        <v>3020.65</v>
      </c>
      <c r="R2336">
        <v>10763971</v>
      </c>
    </row>
    <row r="2337" spans="1:18" x14ac:dyDescent="0.25">
      <c r="A2337" s="170">
        <v>45447</v>
      </c>
      <c r="B2337" s="116">
        <v>1503.9749999999999</v>
      </c>
      <c r="C2337" s="116">
        <v>1396.8</v>
      </c>
      <c r="D2337" s="116">
        <v>1359.575</v>
      </c>
      <c r="E2337" s="116">
        <v>1503.9749999999999</v>
      </c>
      <c r="F2337" s="116">
        <v>2793.6</v>
      </c>
      <c r="G2337">
        <v>1035428</v>
      </c>
      <c r="H2337" s="116"/>
      <c r="I2337" s="116"/>
      <c r="L2337" s="170">
        <v>45447</v>
      </c>
      <c r="M2337" s="116">
        <v>1397.2750000000001</v>
      </c>
      <c r="N2337" s="116">
        <v>1498.05</v>
      </c>
      <c r="O2337" s="116">
        <v>1359.3</v>
      </c>
      <c r="P2337" s="116">
        <v>1498.05</v>
      </c>
      <c r="Q2337" s="116">
        <v>2794.55</v>
      </c>
      <c r="R2337">
        <v>18354549</v>
      </c>
    </row>
    <row r="2338" spans="1:18" x14ac:dyDescent="0.25">
      <c r="A2338" s="170">
        <v>45448</v>
      </c>
      <c r="B2338" s="116">
        <v>1430.675</v>
      </c>
      <c r="C2338" s="116">
        <v>1421.075</v>
      </c>
      <c r="D2338" s="116">
        <v>1384.0250000000001</v>
      </c>
      <c r="E2338" s="116">
        <v>1424.4749999999999</v>
      </c>
      <c r="F2338" s="116">
        <v>2842.15</v>
      </c>
      <c r="G2338">
        <v>180086</v>
      </c>
      <c r="H2338" s="116"/>
      <c r="I2338" s="116"/>
      <c r="L2338" s="170">
        <v>45448</v>
      </c>
      <c r="M2338" s="116">
        <v>1420.75</v>
      </c>
      <c r="N2338" s="116">
        <v>1431.15</v>
      </c>
      <c r="O2338" s="116">
        <v>1384.1</v>
      </c>
      <c r="P2338" s="116">
        <v>1422</v>
      </c>
      <c r="Q2338" s="116">
        <v>2841.5</v>
      </c>
      <c r="R2338">
        <v>8732445</v>
      </c>
    </row>
    <row r="2339" spans="1:18" x14ac:dyDescent="0.25">
      <c r="A2339" s="170">
        <v>45449</v>
      </c>
      <c r="B2339" s="116">
        <v>1443</v>
      </c>
      <c r="C2339" s="116">
        <v>1431.875</v>
      </c>
      <c r="D2339" s="116">
        <v>1421.5</v>
      </c>
      <c r="E2339" s="116">
        <v>1434.5</v>
      </c>
      <c r="F2339" s="116">
        <v>2863.75</v>
      </c>
      <c r="G2339">
        <v>255378</v>
      </c>
      <c r="H2339" s="116"/>
      <c r="I2339" s="116"/>
      <c r="L2339" s="170">
        <v>45449</v>
      </c>
      <c r="M2339" s="116">
        <v>1431.6</v>
      </c>
      <c r="N2339" s="116">
        <v>1443.7</v>
      </c>
      <c r="O2339" s="116">
        <v>1421.35</v>
      </c>
      <c r="P2339" s="116">
        <v>1435</v>
      </c>
      <c r="Q2339" s="116">
        <v>2863.2</v>
      </c>
      <c r="R2339">
        <v>8927861</v>
      </c>
    </row>
    <row r="2340" spans="1:18" x14ac:dyDescent="0.25">
      <c r="A2340" s="170">
        <v>45450</v>
      </c>
      <c r="B2340" s="116">
        <v>1472.25</v>
      </c>
      <c r="C2340" s="116">
        <v>1469.7249999999999</v>
      </c>
      <c r="D2340" s="116">
        <v>1426.4749999999999</v>
      </c>
      <c r="E2340" s="116">
        <v>1429</v>
      </c>
      <c r="F2340" s="116">
        <v>2939.45</v>
      </c>
      <c r="G2340">
        <v>952205</v>
      </c>
      <c r="H2340" s="116"/>
      <c r="I2340" s="116"/>
      <c r="L2340" s="170">
        <v>45450</v>
      </c>
      <c r="M2340" s="116">
        <v>1469.95</v>
      </c>
      <c r="N2340" s="116">
        <v>1472</v>
      </c>
      <c r="O2340" s="116">
        <v>1426.5</v>
      </c>
      <c r="P2340" s="116">
        <v>1428.5</v>
      </c>
      <c r="Q2340" s="116">
        <v>2939.9</v>
      </c>
      <c r="R2340">
        <v>9279348</v>
      </c>
    </row>
    <row r="2341" spans="1:18" x14ac:dyDescent="0.25">
      <c r="A2341" s="170">
        <v>45453</v>
      </c>
      <c r="B2341" s="116">
        <v>1493.2750000000001</v>
      </c>
      <c r="C2341" s="116">
        <v>1470.3</v>
      </c>
      <c r="D2341" s="116">
        <v>1467.7750000000001</v>
      </c>
      <c r="E2341" s="116">
        <v>1471.875</v>
      </c>
      <c r="F2341" s="116">
        <v>2940.6</v>
      </c>
      <c r="G2341">
        <v>87066</v>
      </c>
      <c r="H2341" s="116"/>
      <c r="I2341" s="116"/>
      <c r="L2341" s="170">
        <v>45453</v>
      </c>
      <c r="M2341" s="116">
        <v>1471.4</v>
      </c>
      <c r="N2341" s="116">
        <v>1493.35</v>
      </c>
      <c r="O2341" s="116">
        <v>1468.075</v>
      </c>
      <c r="P2341" s="116">
        <v>1469.95</v>
      </c>
      <c r="Q2341" s="116">
        <v>2942.8</v>
      </c>
      <c r="R2341">
        <v>4625880</v>
      </c>
    </row>
    <row r="2342" spans="1:18" x14ac:dyDescent="0.25">
      <c r="A2342" s="170">
        <v>45454</v>
      </c>
      <c r="B2342" s="116">
        <v>1474.9749999999999</v>
      </c>
      <c r="C2342" s="116">
        <v>1456.75</v>
      </c>
      <c r="D2342" s="116">
        <v>1455</v>
      </c>
      <c r="E2342" s="116">
        <v>1474.9749999999999</v>
      </c>
      <c r="F2342" s="116">
        <v>2913.5</v>
      </c>
      <c r="G2342">
        <v>125968</v>
      </c>
      <c r="H2342" s="116"/>
      <c r="I2342" s="116"/>
      <c r="L2342" s="170">
        <v>45454</v>
      </c>
      <c r="M2342" s="116">
        <v>1456.675</v>
      </c>
      <c r="N2342" s="116">
        <v>1473.675</v>
      </c>
      <c r="O2342" s="116">
        <v>1454.675</v>
      </c>
      <c r="P2342" s="116">
        <v>1469</v>
      </c>
      <c r="Q2342" s="116">
        <v>2913.35</v>
      </c>
      <c r="R2342">
        <v>5887451</v>
      </c>
    </row>
    <row r="2343" spans="1:18" x14ac:dyDescent="0.25">
      <c r="A2343" s="170">
        <v>45455</v>
      </c>
      <c r="B2343" s="116">
        <v>1476</v>
      </c>
      <c r="C2343" s="116">
        <v>1463.0250000000001</v>
      </c>
      <c r="D2343" s="116">
        <v>1455.5</v>
      </c>
      <c r="E2343" s="116">
        <v>1456.75</v>
      </c>
      <c r="F2343" s="116">
        <v>2926.05</v>
      </c>
      <c r="G2343">
        <v>172574</v>
      </c>
      <c r="H2343" s="116"/>
      <c r="I2343" s="116"/>
      <c r="L2343" s="170">
        <v>45455</v>
      </c>
      <c r="M2343" s="116">
        <v>1463.325</v>
      </c>
      <c r="N2343" s="116">
        <v>1476</v>
      </c>
      <c r="O2343" s="116">
        <v>1455.175</v>
      </c>
      <c r="P2343" s="116">
        <v>1457.5</v>
      </c>
      <c r="Q2343" s="116">
        <v>2926.65</v>
      </c>
      <c r="R2343">
        <v>5040871</v>
      </c>
    </row>
    <row r="2344" spans="1:18" x14ac:dyDescent="0.25">
      <c r="A2344" s="170">
        <v>45456</v>
      </c>
      <c r="B2344" s="116">
        <v>1473</v>
      </c>
      <c r="C2344" s="116">
        <v>1464.325</v>
      </c>
      <c r="D2344" s="116">
        <v>1460.2750000000001</v>
      </c>
      <c r="E2344" s="116">
        <v>1473</v>
      </c>
      <c r="F2344" s="116">
        <v>2928.65</v>
      </c>
      <c r="G2344">
        <v>57563</v>
      </c>
      <c r="H2344" s="116"/>
      <c r="I2344" s="116"/>
      <c r="L2344" s="170">
        <v>45456</v>
      </c>
      <c r="M2344" s="116">
        <v>1465.25</v>
      </c>
      <c r="N2344" s="116">
        <v>1472.25</v>
      </c>
      <c r="O2344" s="116">
        <v>1460.1</v>
      </c>
      <c r="P2344" s="116">
        <v>1472</v>
      </c>
      <c r="Q2344" s="116">
        <v>2930.5</v>
      </c>
      <c r="R2344">
        <v>4590580</v>
      </c>
    </row>
    <row r="2345" spans="1:18" x14ac:dyDescent="0.25">
      <c r="A2345" s="170">
        <v>45457</v>
      </c>
      <c r="B2345" s="116">
        <v>1479.35</v>
      </c>
      <c r="C2345" s="116">
        <v>1477.2750000000001</v>
      </c>
      <c r="D2345" s="116">
        <v>1456.7</v>
      </c>
      <c r="E2345" s="116">
        <v>1468.05</v>
      </c>
      <c r="F2345" s="116">
        <v>2954.55</v>
      </c>
      <c r="G2345">
        <v>186345</v>
      </c>
      <c r="H2345" s="116"/>
      <c r="I2345" s="116"/>
      <c r="L2345" s="170">
        <v>45457</v>
      </c>
      <c r="M2345" s="116">
        <v>1477.55</v>
      </c>
      <c r="N2345" s="116">
        <v>1479.675</v>
      </c>
      <c r="O2345" s="116">
        <v>1457.2249999999999</v>
      </c>
      <c r="P2345" s="116">
        <v>1470</v>
      </c>
      <c r="Q2345" s="116">
        <v>2955.1</v>
      </c>
      <c r="R2345">
        <v>4078999</v>
      </c>
    </row>
    <row r="2346" spans="1:18" x14ac:dyDescent="0.25">
      <c r="A2346" s="170">
        <v>45461</v>
      </c>
      <c r="B2346" s="116">
        <v>1487</v>
      </c>
      <c r="C2346" s="116">
        <v>1480.7</v>
      </c>
      <c r="D2346" s="116">
        <v>1470.6</v>
      </c>
      <c r="E2346" s="116">
        <v>1485.1</v>
      </c>
      <c r="F2346" s="116">
        <v>2961.4</v>
      </c>
      <c r="G2346">
        <v>108022</v>
      </c>
      <c r="H2346" s="116"/>
      <c r="I2346" s="116"/>
      <c r="L2346" s="170">
        <v>45461</v>
      </c>
      <c r="M2346" s="116">
        <v>1481.0250000000001</v>
      </c>
      <c r="N2346" s="116">
        <v>1487.4</v>
      </c>
      <c r="O2346" s="116">
        <v>1471.35</v>
      </c>
      <c r="P2346" s="116">
        <v>1487.35</v>
      </c>
      <c r="Q2346" s="116">
        <v>2962.05</v>
      </c>
      <c r="R2346">
        <v>3598383</v>
      </c>
    </row>
    <row r="2347" spans="1:18" x14ac:dyDescent="0.25">
      <c r="A2347" s="170">
        <v>45462</v>
      </c>
      <c r="B2347" s="116">
        <v>1487.6</v>
      </c>
      <c r="C2347" s="116">
        <v>1458.6</v>
      </c>
      <c r="D2347" s="116">
        <v>1455.625</v>
      </c>
      <c r="E2347" s="116">
        <v>1485.7</v>
      </c>
      <c r="F2347" s="116">
        <v>2917.2</v>
      </c>
      <c r="G2347">
        <v>97508</v>
      </c>
      <c r="H2347" s="116"/>
      <c r="I2347" s="116"/>
      <c r="L2347" s="170">
        <v>45462</v>
      </c>
      <c r="M2347" s="116">
        <v>1458.65</v>
      </c>
      <c r="N2347" s="116">
        <v>1487.5</v>
      </c>
      <c r="O2347" s="116">
        <v>1456</v>
      </c>
      <c r="P2347" s="116">
        <v>1487.5</v>
      </c>
      <c r="Q2347" s="116">
        <v>2917.3</v>
      </c>
      <c r="R2347">
        <v>4362937</v>
      </c>
    </row>
    <row r="2348" spans="1:18" x14ac:dyDescent="0.25">
      <c r="A2348" s="170">
        <v>45463</v>
      </c>
      <c r="B2348" s="116">
        <v>1482.45</v>
      </c>
      <c r="C2348" s="116">
        <v>1473.2</v>
      </c>
      <c r="D2348" s="116">
        <v>1450.35</v>
      </c>
      <c r="E2348" s="116">
        <v>1464.9749999999999</v>
      </c>
      <c r="F2348" s="116">
        <v>2946.4</v>
      </c>
      <c r="G2348">
        <v>99122</v>
      </c>
      <c r="H2348" s="116"/>
      <c r="I2348" s="116"/>
      <c r="L2348" s="170">
        <v>45463</v>
      </c>
      <c r="M2348" s="116">
        <v>1473.7</v>
      </c>
      <c r="N2348" s="116">
        <v>1482.85</v>
      </c>
      <c r="O2348" s="116">
        <v>1450.1</v>
      </c>
      <c r="P2348" s="116">
        <v>1459</v>
      </c>
      <c r="Q2348" s="116">
        <v>2947.4</v>
      </c>
      <c r="R2348">
        <v>8056888</v>
      </c>
    </row>
    <row r="2349" spans="1:18" x14ac:dyDescent="0.25">
      <c r="A2349" s="170">
        <v>45464</v>
      </c>
      <c r="B2349" s="116">
        <v>1474.5250000000001</v>
      </c>
      <c r="C2349" s="116">
        <v>1453.4</v>
      </c>
      <c r="D2349" s="116">
        <v>1440.25</v>
      </c>
      <c r="E2349" s="116">
        <v>1471.7</v>
      </c>
      <c r="F2349" s="116">
        <v>2906.8</v>
      </c>
      <c r="G2349">
        <v>897470</v>
      </c>
      <c r="H2349" s="116"/>
      <c r="I2349" s="116"/>
      <c r="L2349" s="170">
        <v>45464</v>
      </c>
      <c r="M2349" s="116">
        <v>1454.2</v>
      </c>
      <c r="N2349" s="116">
        <v>1474.7</v>
      </c>
      <c r="O2349" s="116">
        <v>1440.575</v>
      </c>
      <c r="P2349" s="116">
        <v>1473.625</v>
      </c>
      <c r="Q2349" s="116">
        <v>2908.4</v>
      </c>
      <c r="R2349">
        <v>15585180</v>
      </c>
    </row>
    <row r="2350" spans="1:18" x14ac:dyDescent="0.25">
      <c r="A2350" s="170">
        <v>45467</v>
      </c>
      <c r="B2350" s="116">
        <v>1449.5</v>
      </c>
      <c r="C2350" s="116">
        <v>1441.5</v>
      </c>
      <c r="D2350" s="116">
        <v>1437.2</v>
      </c>
      <c r="E2350" s="116">
        <v>1446</v>
      </c>
      <c r="F2350" s="116">
        <v>2883</v>
      </c>
      <c r="G2350">
        <v>62693</v>
      </c>
      <c r="H2350" s="116"/>
      <c r="I2350" s="116"/>
      <c r="L2350" s="170">
        <v>45467</v>
      </c>
      <c r="M2350" s="116">
        <v>1441.4749999999999</v>
      </c>
      <c r="N2350" s="116">
        <v>1449.5</v>
      </c>
      <c r="O2350" s="116">
        <v>1437.5</v>
      </c>
      <c r="P2350" s="116">
        <v>1445.5250000000001</v>
      </c>
      <c r="Q2350" s="116">
        <v>2882.95</v>
      </c>
      <c r="R2350">
        <v>4439193</v>
      </c>
    </row>
    <row r="2351" spans="1:18" x14ac:dyDescent="0.25">
      <c r="A2351" s="170">
        <v>45468</v>
      </c>
      <c r="B2351" s="116">
        <v>1456.05</v>
      </c>
      <c r="C2351" s="116">
        <v>1454.25</v>
      </c>
      <c r="D2351" s="116">
        <v>1441.7</v>
      </c>
      <c r="E2351" s="116">
        <v>1447.5</v>
      </c>
      <c r="F2351" s="116">
        <v>2908.5</v>
      </c>
      <c r="G2351">
        <v>209726</v>
      </c>
      <c r="H2351" s="116"/>
      <c r="I2351" s="116"/>
      <c r="L2351" s="170">
        <v>45468</v>
      </c>
      <c r="M2351" s="116">
        <v>1454.15</v>
      </c>
      <c r="N2351" s="116">
        <v>1455.925</v>
      </c>
      <c r="O2351" s="116">
        <v>1441</v>
      </c>
      <c r="P2351" s="116">
        <v>1443</v>
      </c>
      <c r="Q2351" s="116">
        <v>2908.3</v>
      </c>
      <c r="R2351">
        <v>3522693</v>
      </c>
    </row>
    <row r="2352" spans="1:18" x14ac:dyDescent="0.25">
      <c r="A2352" s="170">
        <v>45469</v>
      </c>
      <c r="B2352" s="116">
        <v>1518.5</v>
      </c>
      <c r="C2352" s="116">
        <v>1513.7</v>
      </c>
      <c r="D2352" s="116">
        <v>1445.075</v>
      </c>
      <c r="E2352" s="116">
        <v>1449.9749999999999</v>
      </c>
      <c r="F2352" s="116">
        <v>3027.4</v>
      </c>
      <c r="G2352">
        <v>722696</v>
      </c>
      <c r="H2352" s="116"/>
      <c r="I2352" s="116"/>
      <c r="L2352" s="170">
        <v>45469</v>
      </c>
      <c r="M2352" s="116">
        <v>1514.0250000000001</v>
      </c>
      <c r="N2352" s="116">
        <v>1518.9749999999999</v>
      </c>
      <c r="O2352" s="116">
        <v>1445.125</v>
      </c>
      <c r="P2352" s="116">
        <v>1446.05</v>
      </c>
      <c r="Q2352" s="116">
        <v>3028.05</v>
      </c>
      <c r="R2352">
        <v>11007441</v>
      </c>
    </row>
    <row r="2353" spans="1:18" x14ac:dyDescent="0.25">
      <c r="A2353" s="170">
        <v>45470</v>
      </c>
      <c r="B2353" s="116">
        <v>1537.5</v>
      </c>
      <c r="C2353" s="116">
        <v>1530.55</v>
      </c>
      <c r="D2353" s="116">
        <v>1506.05</v>
      </c>
      <c r="E2353" s="116">
        <v>1510.75</v>
      </c>
      <c r="F2353" s="116">
        <v>3061.1</v>
      </c>
      <c r="G2353">
        <v>331110</v>
      </c>
      <c r="H2353" s="116"/>
      <c r="I2353" s="116"/>
      <c r="L2353" s="170">
        <v>45470</v>
      </c>
      <c r="M2353" s="116">
        <v>1530.55</v>
      </c>
      <c r="N2353" s="116">
        <v>1537.5</v>
      </c>
      <c r="O2353" s="116">
        <v>1506</v>
      </c>
      <c r="P2353" s="116">
        <v>1513.75</v>
      </c>
      <c r="Q2353" s="116">
        <v>3061.1</v>
      </c>
      <c r="R2353">
        <v>14191515</v>
      </c>
    </row>
    <row r="2354" spans="1:18" x14ac:dyDescent="0.25">
      <c r="A2354" s="170">
        <v>45471</v>
      </c>
      <c r="B2354" s="116">
        <v>1580.7249999999999</v>
      </c>
      <c r="C2354" s="116">
        <v>1565.925</v>
      </c>
      <c r="D2354" s="116">
        <v>1530.4749999999999</v>
      </c>
      <c r="E2354" s="116">
        <v>1530.4749999999999</v>
      </c>
      <c r="F2354" s="116">
        <v>3131.85</v>
      </c>
      <c r="G2354">
        <v>1032891</v>
      </c>
      <c r="H2354" s="116"/>
      <c r="I2354" s="116"/>
      <c r="L2354" s="170">
        <v>45471</v>
      </c>
      <c r="M2354" s="116">
        <v>1565.4</v>
      </c>
      <c r="N2354" s="116">
        <v>1581</v>
      </c>
      <c r="O2354" s="116">
        <v>1531.0250000000001</v>
      </c>
      <c r="P2354" s="116">
        <v>1531.0250000000001</v>
      </c>
      <c r="Q2354" s="116">
        <v>3130.8</v>
      </c>
      <c r="R2354">
        <v>14478668</v>
      </c>
    </row>
    <row r="2355" spans="1:18" x14ac:dyDescent="0.25">
      <c r="A2355" s="170">
        <v>45474</v>
      </c>
      <c r="B2355" s="116">
        <v>1578.7750000000001</v>
      </c>
      <c r="C2355" s="116">
        <v>1560.175</v>
      </c>
      <c r="D2355" s="116">
        <v>1555.2</v>
      </c>
      <c r="E2355" s="116">
        <v>1564.9749999999999</v>
      </c>
      <c r="F2355" s="116">
        <v>3120.35</v>
      </c>
      <c r="G2355">
        <v>187606</v>
      </c>
      <c r="H2355" s="116"/>
      <c r="I2355" s="116"/>
      <c r="L2355" s="170">
        <v>45474</v>
      </c>
      <c r="M2355" s="116">
        <v>1560.15</v>
      </c>
      <c r="N2355" s="116">
        <v>1579.4</v>
      </c>
      <c r="O2355" s="116">
        <v>1555.675</v>
      </c>
      <c r="P2355" s="116">
        <v>1562.5250000000001</v>
      </c>
      <c r="Q2355" s="116">
        <v>3120.3</v>
      </c>
      <c r="R2355">
        <v>3862153</v>
      </c>
    </row>
    <row r="2356" spans="1:18" x14ac:dyDescent="0.25">
      <c r="A2356" s="170">
        <v>45475</v>
      </c>
      <c r="B2356" s="116">
        <v>1575</v>
      </c>
      <c r="C2356" s="116">
        <v>1566.15</v>
      </c>
      <c r="D2356" s="116">
        <v>1556.675</v>
      </c>
      <c r="E2356" s="116">
        <v>1566.9</v>
      </c>
      <c r="F2356" s="116">
        <v>3132.3</v>
      </c>
      <c r="G2356">
        <v>157108</v>
      </c>
      <c r="H2356" s="116"/>
      <c r="I2356" s="116"/>
      <c r="L2356" s="170">
        <v>45475</v>
      </c>
      <c r="M2356" s="116">
        <v>1565.175</v>
      </c>
      <c r="N2356" s="116">
        <v>1573.5</v>
      </c>
      <c r="O2356" s="116">
        <v>1557</v>
      </c>
      <c r="P2356" s="116">
        <v>1569.5</v>
      </c>
      <c r="Q2356" s="116">
        <v>3130.35</v>
      </c>
      <c r="R2356">
        <v>3874623</v>
      </c>
    </row>
    <row r="2357" spans="1:18" x14ac:dyDescent="0.25">
      <c r="A2357" s="170">
        <v>45476</v>
      </c>
      <c r="B2357" s="116">
        <v>1574.75</v>
      </c>
      <c r="C2357" s="116">
        <v>1552.65</v>
      </c>
      <c r="D2357" s="116">
        <v>1542.6</v>
      </c>
      <c r="E2357" s="116">
        <v>1565.175</v>
      </c>
      <c r="F2357" s="116">
        <v>3105.3</v>
      </c>
      <c r="G2357">
        <v>171684</v>
      </c>
      <c r="H2357" s="116"/>
      <c r="I2357" s="116"/>
      <c r="L2357" s="170">
        <v>45476</v>
      </c>
      <c r="M2357" s="116">
        <v>1552.425</v>
      </c>
      <c r="N2357" s="116">
        <v>1575</v>
      </c>
      <c r="O2357" s="116">
        <v>1542.7750000000001</v>
      </c>
      <c r="P2357" s="116">
        <v>1566.325</v>
      </c>
      <c r="Q2357" s="116">
        <v>3104.85</v>
      </c>
      <c r="R2357">
        <v>4524810</v>
      </c>
    </row>
    <row r="2358" spans="1:18" x14ac:dyDescent="0.25">
      <c r="A2358" s="170">
        <v>45477</v>
      </c>
      <c r="B2358" s="116">
        <v>1567.25</v>
      </c>
      <c r="C2358" s="116">
        <v>1553.95</v>
      </c>
      <c r="D2358" s="116">
        <v>1551.15</v>
      </c>
      <c r="E2358" s="116">
        <v>1558.4749999999999</v>
      </c>
      <c r="F2358" s="116">
        <v>3107.9</v>
      </c>
      <c r="G2358">
        <v>132481</v>
      </c>
      <c r="H2358" s="116"/>
      <c r="I2358" s="116"/>
      <c r="L2358" s="170">
        <v>45477</v>
      </c>
      <c r="M2358" s="116">
        <v>1554.0250000000001</v>
      </c>
      <c r="N2358" s="116">
        <v>1567.5</v>
      </c>
      <c r="O2358" s="116">
        <v>1550.8</v>
      </c>
      <c r="P2358" s="116">
        <v>1557</v>
      </c>
      <c r="Q2358" s="116">
        <v>3108.05</v>
      </c>
      <c r="R2358">
        <v>3418588</v>
      </c>
    </row>
    <row r="2359" spans="1:18" x14ac:dyDescent="0.25">
      <c r="A2359" s="170">
        <v>45478</v>
      </c>
      <c r="B2359" s="116">
        <v>1598.825</v>
      </c>
      <c r="C2359" s="116">
        <v>1590.0250000000001</v>
      </c>
      <c r="D2359" s="116">
        <v>1548.05</v>
      </c>
      <c r="E2359" s="116">
        <v>1551.9</v>
      </c>
      <c r="F2359" s="116">
        <v>3180.05</v>
      </c>
      <c r="G2359">
        <v>758977</v>
      </c>
      <c r="H2359" s="116"/>
      <c r="I2359" s="116"/>
      <c r="L2359" s="170">
        <v>45478</v>
      </c>
      <c r="M2359" s="116">
        <v>1588.625</v>
      </c>
      <c r="N2359" s="116">
        <v>1598.5</v>
      </c>
      <c r="O2359" s="116">
        <v>1548</v>
      </c>
      <c r="P2359" s="116">
        <v>1553.825</v>
      </c>
      <c r="Q2359" s="116">
        <v>3177.25</v>
      </c>
      <c r="R2359">
        <v>6134855</v>
      </c>
    </row>
    <row r="2360" spans="1:18" x14ac:dyDescent="0.25">
      <c r="A2360" s="170">
        <v>45481</v>
      </c>
      <c r="B2360" s="116">
        <v>1608.95</v>
      </c>
      <c r="C2360" s="116">
        <v>1601.05</v>
      </c>
      <c r="D2360" s="116">
        <v>1582.5</v>
      </c>
      <c r="E2360" s="116">
        <v>1589.95</v>
      </c>
      <c r="F2360" s="116">
        <v>3202.1</v>
      </c>
      <c r="G2360">
        <v>191870</v>
      </c>
      <c r="H2360" s="116"/>
      <c r="I2360" s="116"/>
      <c r="L2360" s="170">
        <v>45481</v>
      </c>
      <c r="M2360" s="116">
        <v>1600.9</v>
      </c>
      <c r="N2360" s="116">
        <v>1608.8</v>
      </c>
      <c r="O2360" s="116">
        <v>1582.5250000000001</v>
      </c>
      <c r="P2360" s="116">
        <v>1589</v>
      </c>
      <c r="Q2360" s="116">
        <v>3201.8</v>
      </c>
      <c r="R2360">
        <v>4750403</v>
      </c>
    </row>
    <row r="2361" spans="1:18" x14ac:dyDescent="0.25">
      <c r="A2361" s="170">
        <v>45482</v>
      </c>
      <c r="B2361" s="116">
        <v>1600.55</v>
      </c>
      <c r="C2361" s="116">
        <v>1590.075</v>
      </c>
      <c r="D2361" s="116">
        <v>1581.0250000000001</v>
      </c>
      <c r="E2361" s="116">
        <v>1599.9749999999999</v>
      </c>
      <c r="F2361" s="116">
        <v>3180.15</v>
      </c>
      <c r="G2361">
        <v>167556</v>
      </c>
      <c r="H2361" s="116"/>
      <c r="I2361" s="116"/>
      <c r="L2361" s="170">
        <v>45482</v>
      </c>
      <c r="M2361" s="116">
        <v>1590.2750000000001</v>
      </c>
      <c r="N2361" s="116">
        <v>1600.5</v>
      </c>
      <c r="O2361" s="116">
        <v>1580.5</v>
      </c>
      <c r="P2361" s="116">
        <v>1597.6</v>
      </c>
      <c r="Q2361" s="116">
        <v>3180.55</v>
      </c>
      <c r="R2361">
        <v>3480001</v>
      </c>
    </row>
    <row r="2362" spans="1:18" x14ac:dyDescent="0.25">
      <c r="A2362" s="170">
        <v>45483</v>
      </c>
      <c r="B2362" s="116">
        <v>1597.5</v>
      </c>
      <c r="C2362" s="116">
        <v>1583.45</v>
      </c>
      <c r="D2362" s="116">
        <v>1563.375</v>
      </c>
      <c r="E2362" s="116">
        <v>1592.5</v>
      </c>
      <c r="F2362" s="116">
        <v>3166.9</v>
      </c>
      <c r="G2362">
        <v>70908</v>
      </c>
      <c r="H2362" s="116"/>
      <c r="I2362" s="116"/>
      <c r="L2362" s="170">
        <v>45483</v>
      </c>
      <c r="M2362" s="116">
        <v>1584.2249999999999</v>
      </c>
      <c r="N2362" s="116">
        <v>1597.5</v>
      </c>
      <c r="O2362" s="116">
        <v>1563.15</v>
      </c>
      <c r="P2362" s="116">
        <v>1595</v>
      </c>
      <c r="Q2362" s="116">
        <v>3168.45</v>
      </c>
      <c r="R2362">
        <v>3567289</v>
      </c>
    </row>
    <row r="2363" spans="1:18" x14ac:dyDescent="0.25">
      <c r="A2363" s="170">
        <v>45484</v>
      </c>
      <c r="B2363" s="116">
        <v>1603.925</v>
      </c>
      <c r="C2363" s="116">
        <v>1581.75</v>
      </c>
      <c r="D2363" s="116">
        <v>1570.325</v>
      </c>
      <c r="E2363" s="116">
        <v>1589</v>
      </c>
      <c r="F2363" s="116">
        <v>3163.5</v>
      </c>
      <c r="G2363">
        <v>103182</v>
      </c>
      <c r="H2363" s="116"/>
      <c r="I2363" s="116"/>
      <c r="L2363" s="170">
        <v>45484</v>
      </c>
      <c r="M2363" s="116">
        <v>1580.65</v>
      </c>
      <c r="N2363" s="116">
        <v>1604.25</v>
      </c>
      <c r="O2363" s="116">
        <v>1570.5</v>
      </c>
      <c r="P2363" s="116">
        <v>1587.5</v>
      </c>
      <c r="Q2363" s="116">
        <v>3161.3</v>
      </c>
      <c r="R2363">
        <v>5970473</v>
      </c>
    </row>
    <row r="2364" spans="1:18" x14ac:dyDescent="0.25">
      <c r="A2364" s="170">
        <v>45485</v>
      </c>
      <c r="B2364" s="116">
        <v>1604.9749999999999</v>
      </c>
      <c r="C2364" s="116">
        <v>1596.7249999999999</v>
      </c>
      <c r="D2364" s="116">
        <v>1574.325</v>
      </c>
      <c r="E2364" s="116">
        <v>1586.4</v>
      </c>
      <c r="F2364" s="116">
        <v>3193.45</v>
      </c>
      <c r="G2364">
        <v>722287</v>
      </c>
      <c r="H2364" s="116"/>
      <c r="I2364" s="116"/>
      <c r="L2364" s="170">
        <v>45485</v>
      </c>
      <c r="M2364" s="116">
        <v>1596.7249999999999</v>
      </c>
      <c r="N2364" s="116">
        <v>1605.15</v>
      </c>
      <c r="O2364" s="116">
        <v>1574.5</v>
      </c>
      <c r="P2364" s="116">
        <v>1584.5</v>
      </c>
      <c r="Q2364" s="116">
        <v>3193.45</v>
      </c>
      <c r="R2364">
        <v>6462392</v>
      </c>
    </row>
    <row r="2365" spans="1:18" x14ac:dyDescent="0.25">
      <c r="A2365" s="170">
        <v>45488</v>
      </c>
      <c r="B2365" s="116">
        <v>1605.7249999999999</v>
      </c>
      <c r="C2365" s="116">
        <v>1596.85</v>
      </c>
      <c r="D2365" s="116">
        <v>1585.5</v>
      </c>
      <c r="E2365" s="116">
        <v>1600.075</v>
      </c>
      <c r="F2365" s="116">
        <v>3193.7</v>
      </c>
      <c r="G2365">
        <v>159246</v>
      </c>
      <c r="H2365" s="116"/>
      <c r="I2365" s="116"/>
      <c r="L2365" s="170">
        <v>45488</v>
      </c>
      <c r="M2365" s="116">
        <v>1597.2249999999999</v>
      </c>
      <c r="N2365" s="116">
        <v>1605.85</v>
      </c>
      <c r="O2365" s="116">
        <v>1585.5</v>
      </c>
      <c r="P2365" s="116">
        <v>1604.45</v>
      </c>
      <c r="Q2365" s="116">
        <v>3194.45</v>
      </c>
      <c r="R2365">
        <v>2664844</v>
      </c>
    </row>
    <row r="2366" spans="1:18" x14ac:dyDescent="0.25">
      <c r="A2366" s="170">
        <v>45489</v>
      </c>
      <c r="B2366" s="116">
        <v>1600</v>
      </c>
      <c r="C2366" s="116">
        <v>1575.7249999999999</v>
      </c>
      <c r="D2366" s="116">
        <v>1569.075</v>
      </c>
      <c r="E2366" s="116">
        <v>1596.2</v>
      </c>
      <c r="F2366" s="116">
        <v>3151.45</v>
      </c>
      <c r="G2366">
        <v>59156</v>
      </c>
      <c r="H2366" s="116"/>
      <c r="I2366" s="116"/>
      <c r="L2366" s="170">
        <v>45489</v>
      </c>
      <c r="M2366" s="116">
        <v>1576.25</v>
      </c>
      <c r="N2366" s="116">
        <v>1600</v>
      </c>
      <c r="O2366" s="116">
        <v>1569.125</v>
      </c>
      <c r="P2366" s="116">
        <v>1593.5</v>
      </c>
      <c r="Q2366" s="116">
        <v>3152.5</v>
      </c>
      <c r="R2366">
        <v>4693419</v>
      </c>
    </row>
    <row r="2367" spans="1:18" x14ac:dyDescent="0.25">
      <c r="A2367" s="170">
        <v>45491</v>
      </c>
      <c r="B2367" s="116">
        <v>1593.3</v>
      </c>
      <c r="C2367" s="116">
        <v>1585.175</v>
      </c>
      <c r="D2367" s="116">
        <v>1558.05</v>
      </c>
      <c r="E2367" s="116">
        <v>1576</v>
      </c>
      <c r="F2367" s="116">
        <v>3170.35</v>
      </c>
      <c r="G2367">
        <v>156250</v>
      </c>
      <c r="H2367" s="116"/>
      <c r="I2367" s="116"/>
      <c r="L2367" s="170">
        <v>45491</v>
      </c>
      <c r="M2367" s="116">
        <v>1586.675</v>
      </c>
      <c r="N2367" s="116">
        <v>1593.9</v>
      </c>
      <c r="O2367" s="116">
        <v>1557.825</v>
      </c>
      <c r="P2367" s="116">
        <v>1576</v>
      </c>
      <c r="Q2367" s="116">
        <v>3173.35</v>
      </c>
      <c r="R2367">
        <v>6149187</v>
      </c>
    </row>
    <row r="2368" spans="1:18" x14ac:dyDescent="0.25">
      <c r="A2368" s="170">
        <v>45492</v>
      </c>
      <c r="B2368" s="116">
        <v>1589.5</v>
      </c>
      <c r="C2368" s="116">
        <v>1554.75</v>
      </c>
      <c r="D2368" s="116">
        <v>1552.075</v>
      </c>
      <c r="E2368" s="116">
        <v>1587.5</v>
      </c>
      <c r="F2368" s="116">
        <v>3109.5</v>
      </c>
      <c r="G2368">
        <v>573855</v>
      </c>
      <c r="H2368" s="116"/>
      <c r="I2368" s="116"/>
      <c r="L2368" s="170">
        <v>45492</v>
      </c>
      <c r="M2368" s="116">
        <v>1555.15</v>
      </c>
      <c r="N2368" s="116">
        <v>1589.9749999999999</v>
      </c>
      <c r="O2368" s="116">
        <v>1552.8</v>
      </c>
      <c r="P2368" s="116">
        <v>1586</v>
      </c>
      <c r="Q2368" s="116">
        <v>3110.3</v>
      </c>
      <c r="R2368">
        <v>6570195</v>
      </c>
    </row>
    <row r="2369" spans="1:18" x14ac:dyDescent="0.25">
      <c r="A2369" s="170">
        <v>45495</v>
      </c>
      <c r="B2369" s="116">
        <v>1536.675</v>
      </c>
      <c r="C2369" s="116">
        <v>1500.55</v>
      </c>
      <c r="D2369" s="116">
        <v>1499.4</v>
      </c>
      <c r="E2369" s="116">
        <v>1535.075</v>
      </c>
      <c r="F2369" s="116">
        <v>3001.1</v>
      </c>
      <c r="G2369">
        <v>190073</v>
      </c>
      <c r="H2369" s="116"/>
      <c r="I2369" s="116"/>
      <c r="L2369" s="170">
        <v>45495</v>
      </c>
      <c r="M2369" s="116">
        <v>1500.675</v>
      </c>
      <c r="N2369" s="116">
        <v>1537.5</v>
      </c>
      <c r="O2369" s="116">
        <v>1499.2750000000001</v>
      </c>
      <c r="P2369" s="116">
        <v>1537.25</v>
      </c>
      <c r="Q2369" s="116">
        <v>3001.35</v>
      </c>
      <c r="R2369">
        <v>9837188</v>
      </c>
    </row>
    <row r="2370" spans="1:18" x14ac:dyDescent="0.25">
      <c r="A2370" s="170">
        <v>45496</v>
      </c>
      <c r="B2370" s="116">
        <v>1506.425</v>
      </c>
      <c r="C2370" s="116">
        <v>1487.825</v>
      </c>
      <c r="D2370" s="116">
        <v>1463.55</v>
      </c>
      <c r="E2370" s="116">
        <v>1502.4749999999999</v>
      </c>
      <c r="F2370" s="116">
        <v>2975.65</v>
      </c>
      <c r="G2370">
        <v>263864</v>
      </c>
      <c r="H2370" s="116"/>
      <c r="I2370" s="116"/>
      <c r="L2370" s="170">
        <v>45496</v>
      </c>
      <c r="M2370" s="116">
        <v>1487.9</v>
      </c>
      <c r="N2370" s="116">
        <v>1505.75</v>
      </c>
      <c r="O2370" s="116">
        <v>1463</v>
      </c>
      <c r="P2370" s="116">
        <v>1501</v>
      </c>
      <c r="Q2370" s="116">
        <v>2975.8</v>
      </c>
      <c r="R2370">
        <v>9026022</v>
      </c>
    </row>
    <row r="2371" spans="1:18" x14ac:dyDescent="0.25">
      <c r="A2371" s="170">
        <v>45497</v>
      </c>
      <c r="B2371" s="116">
        <v>1510</v>
      </c>
      <c r="C2371" s="116">
        <v>1495.325</v>
      </c>
      <c r="D2371" s="116">
        <v>1476.85</v>
      </c>
      <c r="E2371" s="116">
        <v>1482.425</v>
      </c>
      <c r="F2371" s="116">
        <v>2990.65</v>
      </c>
      <c r="G2371">
        <v>164239</v>
      </c>
      <c r="H2371" s="116"/>
      <c r="I2371" s="116"/>
      <c r="L2371" s="170">
        <v>45497</v>
      </c>
      <c r="M2371" s="116">
        <v>1495.7</v>
      </c>
      <c r="N2371" s="116">
        <v>1509.5</v>
      </c>
      <c r="O2371" s="116">
        <v>1476.4</v>
      </c>
      <c r="P2371" s="116">
        <v>1485</v>
      </c>
      <c r="Q2371" s="116">
        <v>2991.4</v>
      </c>
      <c r="R2371">
        <v>5956681</v>
      </c>
    </row>
    <row r="2372" spans="1:18" x14ac:dyDescent="0.25">
      <c r="A2372" s="170">
        <v>45498</v>
      </c>
      <c r="B2372" s="116">
        <v>1500.575</v>
      </c>
      <c r="C2372" s="116">
        <v>1491.3</v>
      </c>
      <c r="D2372" s="116">
        <v>1477.35</v>
      </c>
      <c r="E2372" s="116">
        <v>1480.5</v>
      </c>
      <c r="F2372" s="116">
        <v>2982.6</v>
      </c>
      <c r="G2372">
        <v>87372</v>
      </c>
      <c r="H2372" s="116"/>
      <c r="I2372" s="116"/>
      <c r="L2372" s="170">
        <v>45498</v>
      </c>
      <c r="M2372" s="116">
        <v>1492.4</v>
      </c>
      <c r="N2372" s="116">
        <v>1500.4749999999999</v>
      </c>
      <c r="O2372" s="116">
        <v>1477.075</v>
      </c>
      <c r="P2372" s="116">
        <v>1481</v>
      </c>
      <c r="Q2372" s="116">
        <v>2984.8</v>
      </c>
      <c r="R2372">
        <v>6259938</v>
      </c>
    </row>
    <row r="2373" spans="1:18" x14ac:dyDescent="0.25">
      <c r="A2373" s="170">
        <v>45499</v>
      </c>
      <c r="B2373" s="116">
        <v>1512.9749999999999</v>
      </c>
      <c r="C2373" s="116">
        <v>1508.925</v>
      </c>
      <c r="D2373" s="116">
        <v>1490.95</v>
      </c>
      <c r="E2373" s="116">
        <v>1499.375</v>
      </c>
      <c r="F2373" s="116">
        <v>3017.85</v>
      </c>
      <c r="G2373">
        <v>771164</v>
      </c>
      <c r="H2373" s="116"/>
      <c r="I2373" s="116"/>
      <c r="L2373" s="170">
        <v>45499</v>
      </c>
      <c r="M2373" s="116">
        <v>1509.0250000000001</v>
      </c>
      <c r="N2373" s="116">
        <v>1512.425</v>
      </c>
      <c r="O2373" s="116">
        <v>1490.35</v>
      </c>
      <c r="P2373" s="116">
        <v>1492.4</v>
      </c>
      <c r="Q2373" s="116">
        <v>3018.05</v>
      </c>
      <c r="R2373">
        <v>4929970</v>
      </c>
    </row>
    <row r="2374" spans="1:18" x14ac:dyDescent="0.25">
      <c r="A2374" s="170">
        <v>45502</v>
      </c>
      <c r="B2374" s="116">
        <v>1527</v>
      </c>
      <c r="C2374" s="116">
        <v>1520.375</v>
      </c>
      <c r="D2374" s="116">
        <v>1512.7249999999999</v>
      </c>
      <c r="E2374" s="116">
        <v>1519.9749999999999</v>
      </c>
      <c r="F2374" s="116">
        <v>3040.75</v>
      </c>
      <c r="G2374">
        <v>59528</v>
      </c>
      <c r="H2374" s="116"/>
      <c r="I2374" s="116"/>
      <c r="L2374" s="170">
        <v>45502</v>
      </c>
      <c r="M2374" s="116">
        <v>1520.1</v>
      </c>
      <c r="N2374" s="116">
        <v>1527.5</v>
      </c>
      <c r="O2374" s="116">
        <v>1511.7750000000001</v>
      </c>
      <c r="P2374" s="116">
        <v>1511.95</v>
      </c>
      <c r="Q2374" s="116">
        <v>3040.2</v>
      </c>
      <c r="R2374">
        <v>3769275</v>
      </c>
    </row>
    <row r="2375" spans="1:18" x14ac:dyDescent="0.25">
      <c r="A2375" s="170">
        <v>45503</v>
      </c>
      <c r="B2375" s="116">
        <v>1524.95</v>
      </c>
      <c r="C2375" s="116">
        <v>1512.7750000000001</v>
      </c>
      <c r="D2375" s="116">
        <v>1510.575</v>
      </c>
      <c r="E2375" s="116">
        <v>1517.375</v>
      </c>
      <c r="F2375" s="116">
        <v>3025.55</v>
      </c>
      <c r="G2375">
        <v>145741</v>
      </c>
      <c r="H2375" s="116"/>
      <c r="I2375" s="116"/>
      <c r="L2375" s="170">
        <v>45503</v>
      </c>
      <c r="M2375" s="116">
        <v>1513.15</v>
      </c>
      <c r="N2375" s="116">
        <v>1525</v>
      </c>
      <c r="O2375" s="116">
        <v>1510</v>
      </c>
      <c r="P2375" s="116">
        <v>1517.0250000000001</v>
      </c>
      <c r="Q2375" s="116">
        <v>3026.3</v>
      </c>
      <c r="R2375">
        <v>4114104</v>
      </c>
    </row>
    <row r="2376" spans="1:18" x14ac:dyDescent="0.25">
      <c r="A2376" s="170">
        <v>45504</v>
      </c>
      <c r="B2376" s="116">
        <v>1510.4749999999999</v>
      </c>
      <c r="C2376" s="116">
        <v>1505.125</v>
      </c>
      <c r="D2376" s="116">
        <v>1501.55</v>
      </c>
      <c r="E2376" s="116">
        <v>1506.9749999999999</v>
      </c>
      <c r="F2376" s="116">
        <v>3010.25</v>
      </c>
      <c r="G2376">
        <v>62664</v>
      </c>
      <c r="H2376" s="116"/>
      <c r="I2376" s="116"/>
      <c r="L2376" s="170">
        <v>45504</v>
      </c>
      <c r="M2376" s="116">
        <v>1505.425</v>
      </c>
      <c r="N2376" s="116">
        <v>1510.45</v>
      </c>
      <c r="O2376" s="116">
        <v>1501.15</v>
      </c>
      <c r="P2376" s="116">
        <v>1504</v>
      </c>
      <c r="Q2376" s="116">
        <v>3010.85</v>
      </c>
      <c r="R2376">
        <v>5028673</v>
      </c>
    </row>
    <row r="2377" spans="1:18" x14ac:dyDescent="0.25">
      <c r="A2377" s="170">
        <v>45505</v>
      </c>
      <c r="B2377" s="116">
        <v>1518.45</v>
      </c>
      <c r="C2377" s="116">
        <v>1515.85</v>
      </c>
      <c r="D2377" s="116">
        <v>1504.925</v>
      </c>
      <c r="E2377" s="116">
        <v>1511.9</v>
      </c>
      <c r="F2377" s="116">
        <v>3031.7</v>
      </c>
      <c r="G2377">
        <v>69866</v>
      </c>
      <c r="H2377" s="116"/>
      <c r="I2377" s="116"/>
      <c r="L2377" s="170">
        <v>45505</v>
      </c>
      <c r="M2377" s="116">
        <v>1515.3</v>
      </c>
      <c r="N2377" s="116">
        <v>1518</v>
      </c>
      <c r="O2377" s="116">
        <v>1504.3</v>
      </c>
      <c r="P2377" s="116">
        <v>1512</v>
      </c>
      <c r="Q2377" s="116">
        <v>3030.6</v>
      </c>
      <c r="R2377">
        <v>5382111</v>
      </c>
    </row>
    <row r="2378" spans="1:18" x14ac:dyDescent="0.25">
      <c r="A2378" s="170">
        <v>45506</v>
      </c>
      <c r="B2378" s="116">
        <v>1509.175</v>
      </c>
      <c r="C2378" s="116">
        <v>1499.2249999999999</v>
      </c>
      <c r="D2378" s="116">
        <v>1492.9</v>
      </c>
      <c r="E2378" s="116">
        <v>1500.2</v>
      </c>
      <c r="F2378" s="116">
        <v>2998.45</v>
      </c>
      <c r="G2378">
        <v>612462</v>
      </c>
      <c r="H2378" s="116"/>
      <c r="I2378" s="116"/>
      <c r="L2378" s="170">
        <v>45506</v>
      </c>
      <c r="M2378" s="116">
        <v>1499.325</v>
      </c>
      <c r="N2378" s="116">
        <v>1509.325</v>
      </c>
      <c r="O2378" s="116">
        <v>1493.2750000000001</v>
      </c>
      <c r="P2378" s="116">
        <v>1505</v>
      </c>
      <c r="Q2378" s="116">
        <v>2998.65</v>
      </c>
      <c r="R2378">
        <v>5134124</v>
      </c>
    </row>
    <row r="2379" spans="1:18" x14ac:dyDescent="0.25">
      <c r="A2379" s="170">
        <v>45509</v>
      </c>
      <c r="B2379" s="116">
        <v>1480.05</v>
      </c>
      <c r="C2379" s="116">
        <v>1447.35</v>
      </c>
      <c r="D2379" s="116">
        <v>1432.9</v>
      </c>
      <c r="E2379" s="116">
        <v>1475.0250000000001</v>
      </c>
      <c r="F2379" s="116">
        <v>2894.7</v>
      </c>
      <c r="G2379">
        <v>247164</v>
      </c>
      <c r="H2379" s="116"/>
      <c r="I2379" s="116"/>
      <c r="L2379" s="170">
        <v>45509</v>
      </c>
      <c r="M2379" s="116">
        <v>1447.325</v>
      </c>
      <c r="N2379" s="116">
        <v>1483.9</v>
      </c>
      <c r="O2379" s="116">
        <v>1433.25</v>
      </c>
      <c r="P2379" s="116">
        <v>1480</v>
      </c>
      <c r="Q2379" s="116">
        <v>2894.65</v>
      </c>
      <c r="R2379">
        <v>8523352</v>
      </c>
    </row>
    <row r="2380" spans="1:18" x14ac:dyDescent="0.25">
      <c r="A2380" s="170">
        <v>45510</v>
      </c>
      <c r="B2380" s="116">
        <v>1477.675</v>
      </c>
      <c r="C2380" s="116">
        <v>1455.9</v>
      </c>
      <c r="D2380" s="116">
        <v>1450.575</v>
      </c>
      <c r="E2380" s="116">
        <v>1450.575</v>
      </c>
      <c r="F2380" s="116">
        <v>2911.8</v>
      </c>
      <c r="G2380">
        <v>194135</v>
      </c>
      <c r="H2380" s="116"/>
      <c r="I2380" s="116"/>
      <c r="L2380" s="170">
        <v>45510</v>
      </c>
      <c r="M2380" s="116">
        <v>1456.05</v>
      </c>
      <c r="N2380" s="116">
        <v>1477.5</v>
      </c>
      <c r="O2380" s="116">
        <v>1451.325</v>
      </c>
      <c r="P2380" s="116">
        <v>1455.15</v>
      </c>
      <c r="Q2380" s="116">
        <v>2912.1</v>
      </c>
      <c r="R2380">
        <v>5118093</v>
      </c>
    </row>
    <row r="2381" spans="1:18" x14ac:dyDescent="0.25">
      <c r="A2381" s="170">
        <v>45511</v>
      </c>
      <c r="B2381" s="116">
        <v>1473.05</v>
      </c>
      <c r="C2381" s="116">
        <v>1464.6</v>
      </c>
      <c r="D2381" s="116">
        <v>1461.5</v>
      </c>
      <c r="E2381" s="116">
        <v>1472.875</v>
      </c>
      <c r="F2381" s="116">
        <v>2929.2</v>
      </c>
      <c r="G2381">
        <v>122273</v>
      </c>
      <c r="H2381" s="116"/>
      <c r="I2381" s="116"/>
      <c r="L2381" s="170">
        <v>45511</v>
      </c>
      <c r="M2381" s="116">
        <v>1464.825</v>
      </c>
      <c r="N2381" s="116">
        <v>1472.5</v>
      </c>
      <c r="O2381" s="116">
        <v>1461.5</v>
      </c>
      <c r="P2381" s="116">
        <v>1469</v>
      </c>
      <c r="Q2381" s="116">
        <v>2929.65</v>
      </c>
      <c r="R2381">
        <v>4087284</v>
      </c>
    </row>
    <row r="2382" spans="1:18" x14ac:dyDescent="0.25">
      <c r="A2382" s="170">
        <v>45512</v>
      </c>
      <c r="B2382" s="116">
        <v>1463.6</v>
      </c>
      <c r="C2382" s="116">
        <v>1447.75</v>
      </c>
      <c r="D2382" s="116">
        <v>1446.125</v>
      </c>
      <c r="E2382" s="116">
        <v>1461.5</v>
      </c>
      <c r="F2382" s="116">
        <v>2895.5</v>
      </c>
      <c r="G2382">
        <v>177212</v>
      </c>
      <c r="H2382" s="116"/>
      <c r="I2382" s="116"/>
      <c r="L2382" s="170">
        <v>45512</v>
      </c>
      <c r="M2382" s="116">
        <v>1449.125</v>
      </c>
      <c r="N2382" s="116">
        <v>1465</v>
      </c>
      <c r="O2382" s="116">
        <v>1445.925</v>
      </c>
      <c r="P2382" s="116">
        <v>1457.5250000000001</v>
      </c>
      <c r="Q2382" s="116">
        <v>2898.25</v>
      </c>
      <c r="R2382">
        <v>6193596</v>
      </c>
    </row>
    <row r="2383" spans="1:18" x14ac:dyDescent="0.25">
      <c r="A2383" s="170">
        <v>45513</v>
      </c>
      <c r="B2383" s="116">
        <v>1477.0250000000001</v>
      </c>
      <c r="C2383" s="116">
        <v>1474.15</v>
      </c>
      <c r="D2383" s="116">
        <v>1456.0250000000001</v>
      </c>
      <c r="E2383" s="116">
        <v>1463.85</v>
      </c>
      <c r="F2383" s="116">
        <v>2948.3</v>
      </c>
      <c r="G2383">
        <v>381256</v>
      </c>
      <c r="H2383" s="116"/>
      <c r="I2383" s="116"/>
      <c r="L2383" s="170">
        <v>45513</v>
      </c>
      <c r="M2383" s="116">
        <v>1474.3</v>
      </c>
      <c r="N2383" s="116">
        <v>1476.5</v>
      </c>
      <c r="O2383" s="116">
        <v>1456</v>
      </c>
      <c r="P2383" s="116">
        <v>1460</v>
      </c>
      <c r="Q2383" s="116">
        <v>2948.6</v>
      </c>
      <c r="R2383">
        <v>3124888</v>
      </c>
    </row>
    <row r="2384" spans="1:18" x14ac:dyDescent="0.25">
      <c r="A2384" s="170">
        <v>45516</v>
      </c>
      <c r="B2384" s="116">
        <v>1473</v>
      </c>
      <c r="C2384" s="116">
        <v>1460.75</v>
      </c>
      <c r="D2384" s="116">
        <v>1458.1</v>
      </c>
      <c r="E2384" s="116">
        <v>1466.2</v>
      </c>
      <c r="F2384" s="116">
        <v>2921.5</v>
      </c>
      <c r="G2384">
        <v>146474</v>
      </c>
      <c r="H2384" s="116"/>
      <c r="I2384" s="116"/>
      <c r="L2384" s="170">
        <v>45516</v>
      </c>
      <c r="M2384" s="116">
        <v>1460.625</v>
      </c>
      <c r="N2384" s="116">
        <v>1473</v>
      </c>
      <c r="O2384" s="116">
        <v>1457.75</v>
      </c>
      <c r="P2384" s="116">
        <v>1470</v>
      </c>
      <c r="Q2384" s="116">
        <v>2921.25</v>
      </c>
      <c r="R2384">
        <v>4092292</v>
      </c>
    </row>
    <row r="2385" spans="1:18" x14ac:dyDescent="0.25">
      <c r="A2385" s="170">
        <v>45517</v>
      </c>
      <c r="B2385" s="116">
        <v>1469.95</v>
      </c>
      <c r="C2385" s="116">
        <v>1463.45</v>
      </c>
      <c r="D2385" s="116">
        <v>1457.8</v>
      </c>
      <c r="E2385" s="116">
        <v>1462.5</v>
      </c>
      <c r="F2385" s="116">
        <v>2926.9</v>
      </c>
      <c r="G2385">
        <v>1486008</v>
      </c>
      <c r="H2385" s="116"/>
      <c r="I2385" s="116"/>
      <c r="L2385" s="170">
        <v>45517</v>
      </c>
      <c r="M2385" s="116">
        <v>1463.625</v>
      </c>
      <c r="N2385" s="116">
        <v>1470.075</v>
      </c>
      <c r="O2385" s="116">
        <v>1458</v>
      </c>
      <c r="P2385" s="116">
        <v>1460.75</v>
      </c>
      <c r="Q2385" s="116">
        <v>2927.25</v>
      </c>
      <c r="R2385">
        <v>3132532</v>
      </c>
    </row>
    <row r="2386" spans="1:18" x14ac:dyDescent="0.25">
      <c r="A2386" s="170">
        <v>45518</v>
      </c>
      <c r="B2386" s="116">
        <v>1471.7</v>
      </c>
      <c r="C2386" s="116">
        <v>1461.325</v>
      </c>
      <c r="D2386" s="116">
        <v>1454</v>
      </c>
      <c r="E2386" s="116">
        <v>1463.25</v>
      </c>
      <c r="F2386" s="116">
        <v>2922.65</v>
      </c>
      <c r="G2386">
        <v>57087</v>
      </c>
      <c r="H2386" s="116"/>
      <c r="I2386" s="116"/>
      <c r="L2386" s="170">
        <v>45518</v>
      </c>
      <c r="M2386" s="116">
        <v>1461.85</v>
      </c>
      <c r="N2386" s="116">
        <v>1472</v>
      </c>
      <c r="O2386" s="116">
        <v>1453.7</v>
      </c>
      <c r="P2386" s="116">
        <v>1463.55</v>
      </c>
      <c r="Q2386" s="116">
        <v>2923.7</v>
      </c>
      <c r="R2386">
        <v>3133733</v>
      </c>
    </row>
    <row r="2387" spans="1:18" x14ac:dyDescent="0.25">
      <c r="A2387" s="170">
        <v>45520</v>
      </c>
      <c r="B2387" s="116">
        <v>1480.5</v>
      </c>
      <c r="C2387" s="116">
        <v>1478.075</v>
      </c>
      <c r="D2387" s="116">
        <v>1458.325</v>
      </c>
      <c r="E2387" s="116">
        <v>1466.675</v>
      </c>
      <c r="F2387" s="116">
        <v>2956.15</v>
      </c>
      <c r="G2387">
        <v>623255</v>
      </c>
      <c r="H2387" s="116"/>
      <c r="I2387" s="116"/>
      <c r="L2387" s="170">
        <v>45520</v>
      </c>
      <c r="M2387" s="116">
        <v>1478.2</v>
      </c>
      <c r="N2387" s="116">
        <v>1480.4</v>
      </c>
      <c r="O2387" s="116">
        <v>1458.05</v>
      </c>
      <c r="P2387" s="116">
        <v>1468.65</v>
      </c>
      <c r="Q2387" s="116">
        <v>2956.4</v>
      </c>
      <c r="R2387">
        <v>4708451</v>
      </c>
    </row>
    <row r="2388" spans="1:18" x14ac:dyDescent="0.25">
      <c r="A2388" s="170">
        <v>45523</v>
      </c>
      <c r="B2388" s="116">
        <v>1498.175</v>
      </c>
      <c r="C2388" s="116">
        <v>1488.6</v>
      </c>
      <c r="D2388" s="116">
        <v>1481.5</v>
      </c>
      <c r="E2388" s="116">
        <v>1483.7249999999999</v>
      </c>
      <c r="F2388" s="116">
        <v>2977.2</v>
      </c>
      <c r="G2388">
        <v>92320</v>
      </c>
      <c r="H2388" s="116"/>
      <c r="I2388" s="116"/>
      <c r="L2388" s="170">
        <v>45523</v>
      </c>
      <c r="M2388" s="116">
        <v>1488.4</v>
      </c>
      <c r="N2388" s="116">
        <v>1498.3</v>
      </c>
      <c r="O2388" s="116">
        <v>1480.5</v>
      </c>
      <c r="P2388" s="116">
        <v>1482.5</v>
      </c>
      <c r="Q2388" s="116">
        <v>2976.8</v>
      </c>
      <c r="R2388">
        <v>6898871</v>
      </c>
    </row>
    <row r="2389" spans="1:18" x14ac:dyDescent="0.25">
      <c r="A2389" s="170">
        <v>45524</v>
      </c>
      <c r="B2389" s="116">
        <v>1503.825</v>
      </c>
      <c r="C2389" s="116">
        <v>1496.675</v>
      </c>
      <c r="D2389" s="116">
        <v>1490.5</v>
      </c>
      <c r="E2389" s="116">
        <v>1493.125</v>
      </c>
      <c r="F2389" s="116">
        <v>2993.35</v>
      </c>
      <c r="G2389">
        <v>311800</v>
      </c>
      <c r="H2389" s="116"/>
      <c r="I2389" s="116"/>
      <c r="L2389" s="170">
        <v>45524</v>
      </c>
      <c r="M2389" s="116">
        <v>1495.95</v>
      </c>
      <c r="N2389" s="116">
        <v>1503.925</v>
      </c>
      <c r="O2389" s="116">
        <v>1490.0250000000001</v>
      </c>
      <c r="P2389" s="116">
        <v>1497.2249999999999</v>
      </c>
      <c r="Q2389" s="116">
        <v>2991.9</v>
      </c>
      <c r="R2389">
        <v>4205904</v>
      </c>
    </row>
    <row r="2390" spans="1:18" x14ac:dyDescent="0.25">
      <c r="A2390" s="170">
        <v>45525</v>
      </c>
      <c r="B2390" s="116">
        <v>1507.925</v>
      </c>
      <c r="C2390" s="116">
        <v>1498.2750000000001</v>
      </c>
      <c r="D2390" s="116">
        <v>1490</v>
      </c>
      <c r="E2390" s="116">
        <v>1492.5</v>
      </c>
      <c r="F2390" s="116">
        <v>2996.55</v>
      </c>
      <c r="G2390">
        <v>90361</v>
      </c>
      <c r="H2390" s="116"/>
      <c r="I2390" s="116"/>
      <c r="L2390" s="170">
        <v>45525</v>
      </c>
      <c r="M2390" s="116">
        <v>1498.675</v>
      </c>
      <c r="N2390" s="116">
        <v>1507.875</v>
      </c>
      <c r="O2390" s="116">
        <v>1490</v>
      </c>
      <c r="P2390" s="116">
        <v>1493.25</v>
      </c>
      <c r="Q2390" s="116">
        <v>2997.35</v>
      </c>
      <c r="R2390">
        <v>3884998</v>
      </c>
    </row>
    <row r="2391" spans="1:18" x14ac:dyDescent="0.25">
      <c r="A2391" s="170">
        <v>45526</v>
      </c>
      <c r="B2391" s="116">
        <v>1505.9</v>
      </c>
      <c r="C2391" s="116">
        <v>1497.55</v>
      </c>
      <c r="D2391" s="116">
        <v>1490.675</v>
      </c>
      <c r="E2391" s="116">
        <v>1500.65</v>
      </c>
      <c r="F2391" s="116">
        <v>2995.1</v>
      </c>
      <c r="G2391">
        <v>193482</v>
      </c>
      <c r="H2391" s="116"/>
      <c r="I2391" s="116"/>
      <c r="L2391" s="170">
        <v>45526</v>
      </c>
      <c r="M2391" s="116">
        <v>1498.125</v>
      </c>
      <c r="N2391" s="116">
        <v>1506.5</v>
      </c>
      <c r="O2391" s="116">
        <v>1490.65</v>
      </c>
      <c r="P2391" s="116">
        <v>1503</v>
      </c>
      <c r="Q2391" s="116">
        <v>2996.25</v>
      </c>
      <c r="R2391">
        <v>5222891</v>
      </c>
    </row>
    <row r="2392" spans="1:18" x14ac:dyDescent="0.25">
      <c r="A2392" s="170">
        <v>45527</v>
      </c>
      <c r="B2392" s="116">
        <v>1511.325</v>
      </c>
      <c r="C2392" s="116">
        <v>1499.9749999999999</v>
      </c>
      <c r="D2392" s="116">
        <v>1498.1</v>
      </c>
      <c r="E2392" s="116">
        <v>1507.7</v>
      </c>
      <c r="F2392" s="116">
        <v>2999.95</v>
      </c>
      <c r="G2392">
        <v>525496</v>
      </c>
      <c r="H2392" s="116"/>
      <c r="I2392" s="116"/>
      <c r="L2392" s="170">
        <v>45527</v>
      </c>
      <c r="M2392" s="116">
        <v>1499.9749999999999</v>
      </c>
      <c r="N2392" s="116">
        <v>1511.325</v>
      </c>
      <c r="O2392" s="116">
        <v>1498.425</v>
      </c>
      <c r="P2392" s="116">
        <v>1503.75</v>
      </c>
      <c r="Q2392" s="116">
        <v>2999.95</v>
      </c>
      <c r="R2392">
        <v>4624827</v>
      </c>
    </row>
    <row r="2393" spans="1:18" x14ac:dyDescent="0.25">
      <c r="A2393" s="170">
        <v>45530</v>
      </c>
      <c r="B2393" s="116">
        <v>1523.075</v>
      </c>
      <c r="C2393" s="116">
        <v>1512.075</v>
      </c>
      <c r="D2393" s="116">
        <v>1502.7249999999999</v>
      </c>
      <c r="E2393" s="116">
        <v>1507.5</v>
      </c>
      <c r="F2393" s="116">
        <v>3024.15</v>
      </c>
      <c r="G2393">
        <v>195090</v>
      </c>
      <c r="H2393" s="116"/>
      <c r="I2393" s="116"/>
      <c r="L2393" s="170">
        <v>45530</v>
      </c>
      <c r="M2393" s="116">
        <v>1512.6</v>
      </c>
      <c r="N2393" s="116">
        <v>1523</v>
      </c>
      <c r="O2393" s="116">
        <v>1503</v>
      </c>
      <c r="P2393" s="116">
        <v>1506.9749999999999</v>
      </c>
      <c r="Q2393" s="116">
        <v>3025.2</v>
      </c>
      <c r="R2393">
        <v>4408057</v>
      </c>
    </row>
    <row r="2394" spans="1:18" x14ac:dyDescent="0.25">
      <c r="A2394" s="170">
        <v>45531</v>
      </c>
      <c r="B2394" s="116">
        <v>1512.55</v>
      </c>
      <c r="C2394" s="116">
        <v>1500.2249999999999</v>
      </c>
      <c r="D2394" s="116">
        <v>1499</v>
      </c>
      <c r="E2394" s="116">
        <v>1511.5</v>
      </c>
      <c r="F2394" s="116">
        <v>3000.45</v>
      </c>
      <c r="G2394">
        <v>72560</v>
      </c>
      <c r="H2394" s="116"/>
      <c r="I2394" s="116"/>
      <c r="L2394" s="170">
        <v>45531</v>
      </c>
      <c r="M2394" s="116">
        <v>1500.45</v>
      </c>
      <c r="N2394" s="116">
        <v>1513.4749999999999</v>
      </c>
      <c r="O2394" s="116">
        <v>1499.45</v>
      </c>
      <c r="P2394" s="116">
        <v>1510.5</v>
      </c>
      <c r="Q2394" s="116">
        <v>3000.9</v>
      </c>
      <c r="R2394">
        <v>3125578</v>
      </c>
    </row>
    <row r="2395" spans="1:18" x14ac:dyDescent="0.25">
      <c r="A2395" s="170">
        <v>45532</v>
      </c>
      <c r="B2395" s="116">
        <v>1507.5</v>
      </c>
      <c r="C2395" s="116">
        <v>1497.875</v>
      </c>
      <c r="D2395" s="116">
        <v>1492.675</v>
      </c>
      <c r="E2395" s="116">
        <v>1506.9749999999999</v>
      </c>
      <c r="F2395" s="116">
        <v>2995.75</v>
      </c>
      <c r="G2395">
        <v>51098</v>
      </c>
      <c r="H2395" s="116"/>
      <c r="I2395" s="116"/>
      <c r="L2395" s="170">
        <v>45532</v>
      </c>
      <c r="M2395" s="116">
        <v>1498.3</v>
      </c>
      <c r="N2395" s="116">
        <v>1507.4749999999999</v>
      </c>
      <c r="O2395" s="116">
        <v>1493</v>
      </c>
      <c r="P2395" s="116">
        <v>1505</v>
      </c>
      <c r="Q2395" s="116">
        <v>2996.6</v>
      </c>
      <c r="R2395">
        <v>4805143</v>
      </c>
    </row>
    <row r="2396" spans="1:18" x14ac:dyDescent="0.25">
      <c r="A2396" s="170">
        <v>45533</v>
      </c>
      <c r="B2396" s="116">
        <v>1537.4</v>
      </c>
      <c r="C2396" s="116">
        <v>1520.425</v>
      </c>
      <c r="D2396" s="116">
        <v>1494</v>
      </c>
      <c r="E2396" s="116">
        <v>1507.4749999999999</v>
      </c>
      <c r="F2396" s="116">
        <v>3040.85</v>
      </c>
      <c r="G2396">
        <v>545805</v>
      </c>
      <c r="H2396" s="116"/>
      <c r="I2396" s="116"/>
      <c r="L2396" s="170">
        <v>45533</v>
      </c>
      <c r="M2396" s="116">
        <v>1520.925</v>
      </c>
      <c r="N2396" s="116">
        <v>1537</v>
      </c>
      <c r="O2396" s="116">
        <v>1494</v>
      </c>
      <c r="P2396" s="116">
        <v>1503.1</v>
      </c>
      <c r="Q2396" s="116">
        <v>3041.85</v>
      </c>
      <c r="R2396">
        <v>19167679</v>
      </c>
    </row>
    <row r="2397" spans="1:18" x14ac:dyDescent="0.25">
      <c r="A2397" s="170">
        <v>45534</v>
      </c>
      <c r="B2397" s="116">
        <v>1541.9749999999999</v>
      </c>
      <c r="C2397" s="116">
        <v>1509.875</v>
      </c>
      <c r="D2397" s="116">
        <v>1503.4749999999999</v>
      </c>
      <c r="E2397" s="116">
        <v>1541.9749999999999</v>
      </c>
      <c r="F2397" s="116">
        <v>3019.75</v>
      </c>
      <c r="G2397">
        <v>695904</v>
      </c>
      <c r="H2397" s="116"/>
      <c r="I2397" s="116"/>
      <c r="L2397" s="170">
        <v>45534</v>
      </c>
      <c r="M2397" s="116">
        <v>1509.625</v>
      </c>
      <c r="N2397" s="116">
        <v>1539.7249999999999</v>
      </c>
      <c r="O2397" s="116">
        <v>1503.325</v>
      </c>
      <c r="P2397" s="116">
        <v>1534</v>
      </c>
      <c r="Q2397" s="116">
        <v>3019.25</v>
      </c>
      <c r="R2397">
        <v>20810365</v>
      </c>
    </row>
    <row r="2398" spans="1:18" x14ac:dyDescent="0.25">
      <c r="A2398" s="170">
        <v>45537</v>
      </c>
      <c r="B2398" s="116">
        <v>1526.675</v>
      </c>
      <c r="C2398" s="116">
        <v>1516.4</v>
      </c>
      <c r="D2398" s="116">
        <v>1506.4</v>
      </c>
      <c r="E2398" s="116">
        <v>1515.825</v>
      </c>
      <c r="F2398" s="116">
        <v>3032.8</v>
      </c>
      <c r="G2398">
        <v>300104</v>
      </c>
      <c r="H2398" s="116"/>
      <c r="I2398" s="116"/>
      <c r="L2398" s="170">
        <v>45537</v>
      </c>
      <c r="M2398" s="116">
        <v>1516.25</v>
      </c>
      <c r="N2398" s="116">
        <v>1526.8</v>
      </c>
      <c r="O2398" s="116">
        <v>1506.625</v>
      </c>
      <c r="P2398" s="116">
        <v>1510.875</v>
      </c>
      <c r="Q2398" s="116">
        <v>3032.5</v>
      </c>
      <c r="R2398">
        <v>5620426</v>
      </c>
    </row>
    <row r="2399" spans="1:18" x14ac:dyDescent="0.25">
      <c r="A2399" s="170">
        <v>45538</v>
      </c>
      <c r="B2399" s="116">
        <v>1522.5</v>
      </c>
      <c r="C2399" s="116">
        <v>1509.8</v>
      </c>
      <c r="D2399" s="116">
        <v>1507.65</v>
      </c>
      <c r="E2399" s="116">
        <v>1520.825</v>
      </c>
      <c r="F2399" s="116">
        <v>3019.6</v>
      </c>
      <c r="G2399">
        <v>206877</v>
      </c>
      <c r="H2399" s="116"/>
      <c r="I2399" s="116"/>
      <c r="L2399" s="170">
        <v>45538</v>
      </c>
      <c r="M2399" s="116">
        <v>1509.125</v>
      </c>
      <c r="N2399" s="116">
        <v>1523</v>
      </c>
      <c r="O2399" s="116">
        <v>1507.5</v>
      </c>
      <c r="P2399" s="116">
        <v>1521.25</v>
      </c>
      <c r="Q2399" s="116">
        <v>3018.25</v>
      </c>
      <c r="R2399">
        <v>5461900</v>
      </c>
    </row>
    <row r="2400" spans="1:18" x14ac:dyDescent="0.25">
      <c r="A2400" s="170">
        <v>45539</v>
      </c>
      <c r="B2400" s="116">
        <v>1517</v>
      </c>
      <c r="C2400" s="116">
        <v>1514.9</v>
      </c>
      <c r="D2400" s="116">
        <v>1497.95</v>
      </c>
      <c r="E2400" s="116">
        <v>1497.95</v>
      </c>
      <c r="F2400" s="116">
        <v>3029.8</v>
      </c>
      <c r="G2400">
        <v>201285</v>
      </c>
      <c r="H2400" s="116"/>
      <c r="I2400" s="116"/>
      <c r="L2400" s="170">
        <v>45539</v>
      </c>
      <c r="M2400" s="116">
        <v>1514.55</v>
      </c>
      <c r="N2400" s="116">
        <v>1517.5</v>
      </c>
      <c r="O2400" s="116">
        <v>1499.5</v>
      </c>
      <c r="P2400" s="116">
        <v>1500.7</v>
      </c>
      <c r="Q2400" s="116">
        <v>3029.1</v>
      </c>
      <c r="R2400">
        <v>5991652</v>
      </c>
    </row>
    <row r="2401" spans="1:18" x14ac:dyDescent="0.25">
      <c r="A2401" s="170">
        <v>45540</v>
      </c>
      <c r="B2401" s="116">
        <v>1526.0250000000001</v>
      </c>
      <c r="C2401" s="116">
        <v>1493.575</v>
      </c>
      <c r="D2401" s="116">
        <v>1487.5</v>
      </c>
      <c r="E2401" s="116">
        <v>1519.7249999999999</v>
      </c>
      <c r="F2401" s="116">
        <v>2987.15</v>
      </c>
      <c r="G2401">
        <v>312253</v>
      </c>
      <c r="H2401" s="116"/>
      <c r="I2401" s="116"/>
      <c r="L2401" s="170">
        <v>45540</v>
      </c>
      <c r="M2401" s="116">
        <v>1492.9749999999999</v>
      </c>
      <c r="N2401" s="116">
        <v>1525.7750000000001</v>
      </c>
      <c r="O2401" s="116">
        <v>1487.05</v>
      </c>
      <c r="P2401" s="116">
        <v>1519.05</v>
      </c>
      <c r="Q2401" s="116">
        <v>2985.95</v>
      </c>
      <c r="R2401">
        <v>8132084</v>
      </c>
    </row>
    <row r="2402" spans="1:18" x14ac:dyDescent="0.25">
      <c r="A2402" s="170">
        <v>45541</v>
      </c>
      <c r="B2402" s="116">
        <v>1498.1</v>
      </c>
      <c r="C2402" s="116">
        <v>1464.925</v>
      </c>
      <c r="D2402" s="116">
        <v>1461.375</v>
      </c>
      <c r="E2402" s="116">
        <v>1494.95</v>
      </c>
      <c r="F2402" s="116">
        <v>2929.85</v>
      </c>
      <c r="G2402">
        <v>1020042</v>
      </c>
      <c r="H2402" s="116"/>
      <c r="I2402" s="116"/>
      <c r="L2402" s="170">
        <v>45541</v>
      </c>
      <c r="M2402" s="116">
        <v>1464.825</v>
      </c>
      <c r="N2402" s="116">
        <v>1497</v>
      </c>
      <c r="O2402" s="116">
        <v>1461.625</v>
      </c>
      <c r="P2402" s="116">
        <v>1492.5</v>
      </c>
      <c r="Q2402" s="116">
        <v>2929.65</v>
      </c>
      <c r="R2402">
        <v>9697114</v>
      </c>
    </row>
    <row r="2403" spans="1:18" x14ac:dyDescent="0.25">
      <c r="A2403" s="170">
        <v>45544</v>
      </c>
      <c r="B2403" s="116">
        <v>1469.5</v>
      </c>
      <c r="C2403" s="116">
        <v>1463.0250000000001</v>
      </c>
      <c r="D2403" s="116">
        <v>1456.25</v>
      </c>
      <c r="E2403" s="116">
        <v>1466.05</v>
      </c>
      <c r="F2403" s="116">
        <v>2926.05</v>
      </c>
      <c r="G2403">
        <v>218033</v>
      </c>
      <c r="H2403" s="116"/>
      <c r="I2403" s="116"/>
      <c r="L2403" s="170">
        <v>45544</v>
      </c>
      <c r="M2403" s="116">
        <v>1462.45</v>
      </c>
      <c r="N2403" s="116">
        <v>1469.925</v>
      </c>
      <c r="O2403" s="116">
        <v>1455.6</v>
      </c>
      <c r="P2403" s="116">
        <v>1466.5</v>
      </c>
      <c r="Q2403" s="116">
        <v>2924.9</v>
      </c>
      <c r="R2403">
        <v>4505149</v>
      </c>
    </row>
    <row r="2404" spans="1:18" x14ac:dyDescent="0.25">
      <c r="A2404" s="170">
        <v>45545</v>
      </c>
      <c r="B2404" s="116">
        <v>1471.9749999999999</v>
      </c>
      <c r="C2404" s="116">
        <v>1461.5</v>
      </c>
      <c r="D2404" s="116">
        <v>1458</v>
      </c>
      <c r="E2404" s="116">
        <v>1462.4</v>
      </c>
      <c r="F2404" s="116">
        <v>2923</v>
      </c>
      <c r="G2404">
        <v>217523</v>
      </c>
      <c r="H2404" s="116"/>
      <c r="I2404" s="116"/>
      <c r="L2404" s="170">
        <v>45545</v>
      </c>
      <c r="M2404" s="116">
        <v>1461.5250000000001</v>
      </c>
      <c r="N2404" s="116">
        <v>1472.05</v>
      </c>
      <c r="O2404" s="116">
        <v>1457.575</v>
      </c>
      <c r="P2404" s="116">
        <v>1460.5</v>
      </c>
      <c r="Q2404" s="116">
        <v>2923.05</v>
      </c>
      <c r="R2404">
        <v>5384130</v>
      </c>
    </row>
    <row r="2405" spans="1:18" x14ac:dyDescent="0.25">
      <c r="A2405" s="170">
        <v>45546</v>
      </c>
      <c r="B2405" s="116">
        <v>1468.5</v>
      </c>
      <c r="C2405" s="116">
        <v>1451.55</v>
      </c>
      <c r="D2405" s="116">
        <v>1447.65</v>
      </c>
      <c r="E2405" s="116">
        <v>1464.4749999999999</v>
      </c>
      <c r="F2405" s="116">
        <v>2903.1</v>
      </c>
      <c r="G2405">
        <v>128675</v>
      </c>
      <c r="H2405" s="116"/>
      <c r="I2405" s="116"/>
      <c r="L2405" s="170">
        <v>45546</v>
      </c>
      <c r="M2405" s="116">
        <v>1451.5</v>
      </c>
      <c r="N2405" s="116">
        <v>1468.75</v>
      </c>
      <c r="O2405" s="116">
        <v>1447.55</v>
      </c>
      <c r="P2405" s="116">
        <v>1463.05</v>
      </c>
      <c r="Q2405" s="116">
        <v>2903</v>
      </c>
      <c r="R2405">
        <v>4880101</v>
      </c>
    </row>
    <row r="2406" spans="1:18" x14ac:dyDescent="0.25">
      <c r="A2406" s="170">
        <v>45547</v>
      </c>
      <c r="B2406" s="116">
        <v>1485.5</v>
      </c>
      <c r="C2406" s="116">
        <v>1479.2</v>
      </c>
      <c r="D2406" s="116">
        <v>1446.15</v>
      </c>
      <c r="E2406" s="116">
        <v>1459.375</v>
      </c>
      <c r="F2406" s="116">
        <v>2958.4</v>
      </c>
      <c r="G2406">
        <v>344917</v>
      </c>
      <c r="H2406" s="116"/>
      <c r="I2406" s="116"/>
      <c r="L2406" s="170">
        <v>45547</v>
      </c>
      <c r="M2406" s="116">
        <v>1479.8</v>
      </c>
      <c r="N2406" s="116">
        <v>1486</v>
      </c>
      <c r="O2406" s="116">
        <v>1445.875</v>
      </c>
      <c r="P2406" s="116">
        <v>1457</v>
      </c>
      <c r="Q2406" s="116">
        <v>2959.6</v>
      </c>
      <c r="R2406">
        <v>11174688</v>
      </c>
    </row>
    <row r="2407" spans="1:18" x14ac:dyDescent="0.25">
      <c r="A2407" s="170">
        <v>45548</v>
      </c>
      <c r="B2407" s="116">
        <v>1483</v>
      </c>
      <c r="C2407" s="116">
        <v>1472.2249999999999</v>
      </c>
      <c r="D2407" s="116">
        <v>1469.35</v>
      </c>
      <c r="E2407" s="116">
        <v>1477.2</v>
      </c>
      <c r="F2407" s="116">
        <v>2944.45</v>
      </c>
      <c r="G2407">
        <v>362535</v>
      </c>
      <c r="H2407" s="116"/>
      <c r="I2407" s="116"/>
      <c r="L2407" s="170">
        <v>45548</v>
      </c>
      <c r="M2407" s="116">
        <v>1472.625</v>
      </c>
      <c r="N2407" s="116">
        <v>1483.15</v>
      </c>
      <c r="O2407" s="116">
        <v>1469.5</v>
      </c>
      <c r="P2407" s="116">
        <v>1476.4</v>
      </c>
      <c r="Q2407" s="116">
        <v>2945.25</v>
      </c>
      <c r="R2407">
        <v>4355664</v>
      </c>
    </row>
    <row r="2408" spans="1:18" x14ac:dyDescent="0.25">
      <c r="A2408" s="170">
        <v>45551</v>
      </c>
      <c r="B2408" s="116">
        <v>1480.8</v>
      </c>
      <c r="C2408" s="116">
        <v>1471.45</v>
      </c>
      <c r="D2408" s="116">
        <v>1465</v>
      </c>
      <c r="E2408" s="116">
        <v>1478.75</v>
      </c>
      <c r="F2408" s="116">
        <v>2942.9</v>
      </c>
      <c r="G2408">
        <v>41420</v>
      </c>
      <c r="H2408" s="116"/>
      <c r="I2408" s="116"/>
      <c r="L2408" s="170">
        <v>45551</v>
      </c>
      <c r="M2408" s="116">
        <v>1471.35</v>
      </c>
      <c r="N2408" s="116">
        <v>1480.9</v>
      </c>
      <c r="O2408" s="116">
        <v>1464.75</v>
      </c>
      <c r="P2408" s="116">
        <v>1477.55</v>
      </c>
      <c r="Q2408" s="116">
        <v>2942.7</v>
      </c>
      <c r="R2408">
        <v>2740887</v>
      </c>
    </row>
    <row r="2409" spans="1:18" x14ac:dyDescent="0.25">
      <c r="A2409" s="170">
        <v>45552</v>
      </c>
      <c r="B2409" s="116">
        <v>1477</v>
      </c>
      <c r="C2409" s="116">
        <v>1472.3</v>
      </c>
      <c r="D2409" s="116">
        <v>1466.9</v>
      </c>
      <c r="E2409" s="116">
        <v>1474.35</v>
      </c>
      <c r="F2409" s="116">
        <v>2944.6</v>
      </c>
      <c r="G2409">
        <v>180322</v>
      </c>
      <c r="H2409" s="116"/>
      <c r="I2409" s="116"/>
      <c r="L2409" s="170">
        <v>45552</v>
      </c>
      <c r="M2409" s="116">
        <v>1472.3</v>
      </c>
      <c r="N2409" s="116">
        <v>1477.4749999999999</v>
      </c>
      <c r="O2409" s="116">
        <v>1466.625</v>
      </c>
      <c r="P2409" s="116">
        <v>1474</v>
      </c>
      <c r="Q2409" s="116">
        <v>2944.6</v>
      </c>
      <c r="R2409">
        <v>2967664</v>
      </c>
    </row>
    <row r="2410" spans="1:18" x14ac:dyDescent="0.25">
      <c r="A2410" s="170">
        <v>45553</v>
      </c>
      <c r="B2410" s="116">
        <v>1482</v>
      </c>
      <c r="C2410" s="116">
        <v>1463.125</v>
      </c>
      <c r="D2410" s="116">
        <v>1461</v>
      </c>
      <c r="E2410" s="116">
        <v>1470</v>
      </c>
      <c r="F2410" s="116">
        <v>2926.25</v>
      </c>
      <c r="G2410">
        <v>197345</v>
      </c>
      <c r="H2410" s="116"/>
      <c r="I2410" s="116"/>
      <c r="L2410" s="170">
        <v>45553</v>
      </c>
      <c r="M2410" s="116">
        <v>1463.45</v>
      </c>
      <c r="N2410" s="116">
        <v>1482</v>
      </c>
      <c r="O2410" s="116">
        <v>1460.55</v>
      </c>
      <c r="P2410" s="116">
        <v>1470</v>
      </c>
      <c r="Q2410" s="116">
        <v>2926.9</v>
      </c>
      <c r="R2410">
        <v>4287357</v>
      </c>
    </row>
    <row r="2411" spans="1:18" x14ac:dyDescent="0.25">
      <c r="A2411" s="170">
        <v>45554</v>
      </c>
      <c r="B2411" s="116">
        <v>1476.5</v>
      </c>
      <c r="C2411" s="116">
        <v>1469.675</v>
      </c>
      <c r="D2411" s="116">
        <v>1455.6</v>
      </c>
      <c r="E2411" s="116">
        <v>1465.4749999999999</v>
      </c>
      <c r="F2411" s="116">
        <v>2939.35</v>
      </c>
      <c r="G2411">
        <v>60806</v>
      </c>
      <c r="H2411" s="116"/>
      <c r="I2411" s="116"/>
      <c r="L2411" s="170">
        <v>45554</v>
      </c>
      <c r="M2411" s="116">
        <v>1469.675</v>
      </c>
      <c r="N2411" s="116">
        <v>1476.5</v>
      </c>
      <c r="O2411" s="116">
        <v>1455.55</v>
      </c>
      <c r="P2411" s="116">
        <v>1466.25</v>
      </c>
      <c r="Q2411" s="116">
        <v>2939.35</v>
      </c>
      <c r="R2411">
        <v>8477951</v>
      </c>
    </row>
    <row r="2412" spans="1:18" x14ac:dyDescent="0.25">
      <c r="A2412" s="170">
        <v>45555</v>
      </c>
      <c r="B2412" s="116">
        <v>1495.575</v>
      </c>
      <c r="C2412" s="116">
        <v>1486.55</v>
      </c>
      <c r="D2412" s="116">
        <v>1471.7750000000001</v>
      </c>
      <c r="E2412" s="116">
        <v>1474.5</v>
      </c>
      <c r="F2412" s="116">
        <v>2973.1</v>
      </c>
      <c r="G2412">
        <v>1703033</v>
      </c>
      <c r="H2412" s="116"/>
      <c r="I2412" s="116"/>
      <c r="L2412" s="170">
        <v>45555</v>
      </c>
      <c r="M2412" s="116">
        <v>1485.925</v>
      </c>
      <c r="N2412" s="116">
        <v>1495</v>
      </c>
      <c r="O2412" s="116">
        <v>1471.375</v>
      </c>
      <c r="P2412" s="116">
        <v>1474</v>
      </c>
      <c r="Q2412" s="116">
        <v>2971.85</v>
      </c>
      <c r="R2412">
        <v>15448660</v>
      </c>
    </row>
    <row r="2413" spans="1:18" x14ac:dyDescent="0.25">
      <c r="A2413" s="170">
        <v>45558</v>
      </c>
      <c r="B2413" s="116">
        <v>1501.375</v>
      </c>
      <c r="C2413" s="116">
        <v>1494.2</v>
      </c>
      <c r="D2413" s="116">
        <v>1489.6</v>
      </c>
      <c r="E2413" s="116">
        <v>1490.05</v>
      </c>
      <c r="F2413" s="116">
        <v>2988.4</v>
      </c>
      <c r="G2413">
        <v>298496</v>
      </c>
      <c r="H2413" s="116"/>
      <c r="I2413" s="116"/>
      <c r="L2413" s="170">
        <v>45558</v>
      </c>
      <c r="M2413" s="116">
        <v>1493.375</v>
      </c>
      <c r="N2413" s="116">
        <v>1501.5</v>
      </c>
      <c r="O2413" s="116">
        <v>1488.95</v>
      </c>
      <c r="P2413" s="116">
        <v>1491</v>
      </c>
      <c r="Q2413" s="116">
        <v>2986.75</v>
      </c>
      <c r="R2413">
        <v>4416157</v>
      </c>
    </row>
    <row r="2414" spans="1:18" x14ac:dyDescent="0.25">
      <c r="A2414" s="170">
        <v>45559</v>
      </c>
      <c r="B2414" s="116">
        <v>1500</v>
      </c>
      <c r="C2414" s="116">
        <v>1489.625</v>
      </c>
      <c r="D2414" s="116">
        <v>1488.2</v>
      </c>
      <c r="E2414" s="116">
        <v>1489.9749999999999</v>
      </c>
      <c r="F2414" s="116">
        <v>2979.25</v>
      </c>
      <c r="G2414">
        <v>231805</v>
      </c>
      <c r="H2414" s="116"/>
      <c r="I2414" s="116"/>
      <c r="L2414" s="170">
        <v>45559</v>
      </c>
      <c r="M2414" s="116">
        <v>1489.375</v>
      </c>
      <c r="N2414" s="116">
        <v>1500.5</v>
      </c>
      <c r="O2414" s="116">
        <v>1487.875</v>
      </c>
      <c r="P2414" s="116">
        <v>1488.5</v>
      </c>
      <c r="Q2414" s="116">
        <v>2978.75</v>
      </c>
      <c r="R2414">
        <v>8568722</v>
      </c>
    </row>
    <row r="2415" spans="1:18" x14ac:dyDescent="0.25">
      <c r="A2415" s="170">
        <v>45560</v>
      </c>
      <c r="B2415" s="116">
        <v>1496.8</v>
      </c>
      <c r="C2415" s="116">
        <v>1493.7249999999999</v>
      </c>
      <c r="D2415" s="116">
        <v>1480.25</v>
      </c>
      <c r="E2415" s="116">
        <v>1484.625</v>
      </c>
      <c r="F2415" s="116">
        <v>2987.45</v>
      </c>
      <c r="G2415">
        <v>147398</v>
      </c>
      <c r="H2415" s="116"/>
      <c r="I2415" s="116"/>
      <c r="L2415" s="170">
        <v>45560</v>
      </c>
      <c r="M2415" s="116">
        <v>1493.95</v>
      </c>
      <c r="N2415" s="116">
        <v>1496.5</v>
      </c>
      <c r="O2415" s="116">
        <v>1480.2</v>
      </c>
      <c r="P2415" s="116">
        <v>1483.9</v>
      </c>
      <c r="Q2415" s="116">
        <v>2987.9</v>
      </c>
      <c r="R2415">
        <v>3534501</v>
      </c>
    </row>
    <row r="2416" spans="1:18" x14ac:dyDescent="0.25">
      <c r="A2416" s="170">
        <v>45561</v>
      </c>
      <c r="B2416" s="116">
        <v>1504</v>
      </c>
      <c r="C2416" s="116">
        <v>1500.35</v>
      </c>
      <c r="D2416" s="116">
        <v>1488.05</v>
      </c>
      <c r="E2416" s="116">
        <v>1492.4749999999999</v>
      </c>
      <c r="F2416" s="116">
        <v>3000.7</v>
      </c>
      <c r="G2416">
        <v>151526</v>
      </c>
      <c r="H2416" s="116"/>
      <c r="I2416" s="116"/>
      <c r="L2416" s="170">
        <v>45561</v>
      </c>
      <c r="M2416" s="116">
        <v>1497.95</v>
      </c>
      <c r="N2416" s="116">
        <v>1504</v>
      </c>
      <c r="O2416" s="116">
        <v>1488.05</v>
      </c>
      <c r="P2416" s="116">
        <v>1490.65</v>
      </c>
      <c r="Q2416" s="116">
        <v>2995.9</v>
      </c>
      <c r="R2416">
        <v>9409499</v>
      </c>
    </row>
    <row r="2417" spans="1:18" x14ac:dyDescent="0.25">
      <c r="A2417" s="170">
        <v>45562</v>
      </c>
      <c r="B2417" s="116">
        <v>1533.45</v>
      </c>
      <c r="C2417" s="116">
        <v>1526.2</v>
      </c>
      <c r="D2417" s="116">
        <v>1492</v>
      </c>
      <c r="E2417" s="116">
        <v>1500</v>
      </c>
      <c r="F2417" s="116">
        <v>3052.4</v>
      </c>
      <c r="G2417">
        <v>451159</v>
      </c>
      <c r="H2417" s="116"/>
      <c r="I2417" s="116"/>
      <c r="L2417" s="170">
        <v>45562</v>
      </c>
      <c r="M2417" s="116">
        <v>1526.175</v>
      </c>
      <c r="N2417" s="116">
        <v>1533.4749999999999</v>
      </c>
      <c r="O2417" s="116">
        <v>1492</v>
      </c>
      <c r="P2417" s="116">
        <v>1499</v>
      </c>
      <c r="Q2417" s="116">
        <v>3052.35</v>
      </c>
      <c r="R2417">
        <v>10298739</v>
      </c>
    </row>
    <row r="2418" spans="1:18" x14ac:dyDescent="0.25">
      <c r="A2418" s="170">
        <v>45565</v>
      </c>
      <c r="B2418" s="116">
        <v>1522.15</v>
      </c>
      <c r="C2418" s="116">
        <v>1476.9</v>
      </c>
      <c r="D2418" s="116">
        <v>1475</v>
      </c>
      <c r="E2418" s="116">
        <v>1518</v>
      </c>
      <c r="F2418" s="116">
        <v>2953.8</v>
      </c>
      <c r="G2418">
        <v>425373</v>
      </c>
      <c r="H2418" s="116"/>
      <c r="I2418" s="116"/>
      <c r="L2418" s="170">
        <v>45565</v>
      </c>
      <c r="M2418" s="116">
        <v>1476.575</v>
      </c>
      <c r="N2418" s="116">
        <v>1524.9749999999999</v>
      </c>
      <c r="O2418" s="116">
        <v>1474.4</v>
      </c>
      <c r="P2418" s="116">
        <v>1519.4</v>
      </c>
      <c r="Q2418" s="116">
        <v>2953.15</v>
      </c>
      <c r="R2418">
        <v>13504407</v>
      </c>
    </row>
    <row r="2419" spans="1:18" x14ac:dyDescent="0.25">
      <c r="A2419" s="170">
        <v>45566</v>
      </c>
      <c r="B2419" s="116">
        <v>1489</v>
      </c>
      <c r="C2419" s="116">
        <v>1464.9</v>
      </c>
      <c r="D2419" s="116">
        <v>1463</v>
      </c>
      <c r="E2419" s="116">
        <v>1481.35</v>
      </c>
      <c r="F2419" s="116">
        <v>2929.8</v>
      </c>
      <c r="G2419">
        <v>734210</v>
      </c>
      <c r="H2419" s="116"/>
      <c r="I2419" s="116"/>
      <c r="L2419" s="170">
        <v>45566</v>
      </c>
      <c r="M2419" s="116">
        <v>1464.825</v>
      </c>
      <c r="N2419" s="116">
        <v>1487.95</v>
      </c>
      <c r="O2419" s="116">
        <v>1462.825</v>
      </c>
      <c r="P2419" s="116">
        <v>1480.65</v>
      </c>
      <c r="Q2419" s="116">
        <v>2929.65</v>
      </c>
      <c r="R2419">
        <v>8215821</v>
      </c>
    </row>
    <row r="2420" spans="1:18" x14ac:dyDescent="0.25">
      <c r="A2420" s="170">
        <v>45568</v>
      </c>
      <c r="B2420" s="116">
        <v>1449.9749999999999</v>
      </c>
      <c r="C2420" s="116">
        <v>1407.625</v>
      </c>
      <c r="D2420" s="116">
        <v>1387.5</v>
      </c>
      <c r="E2420" s="116">
        <v>1435.15</v>
      </c>
      <c r="F2420" s="116">
        <v>2815.25</v>
      </c>
      <c r="G2420">
        <v>3544881</v>
      </c>
      <c r="H2420" s="116"/>
      <c r="I2420" s="116"/>
      <c r="L2420" s="170">
        <v>45568</v>
      </c>
      <c r="M2420" s="116">
        <v>1406.9749999999999</v>
      </c>
      <c r="N2420" s="116">
        <v>1449.4</v>
      </c>
      <c r="O2420" s="116">
        <v>1402.075</v>
      </c>
      <c r="P2420" s="116">
        <v>1436.575</v>
      </c>
      <c r="Q2420" s="116">
        <v>2813.95</v>
      </c>
      <c r="R2420">
        <v>18878647</v>
      </c>
    </row>
    <row r="2421" spans="1:18" x14ac:dyDescent="0.25">
      <c r="A2421" s="170">
        <v>45569</v>
      </c>
      <c r="B2421" s="116">
        <v>1417.9749999999999</v>
      </c>
      <c r="C2421" s="116">
        <v>1386.9</v>
      </c>
      <c r="D2421" s="116">
        <v>1383</v>
      </c>
      <c r="E2421" s="116">
        <v>1407</v>
      </c>
      <c r="F2421" s="116">
        <v>2773.8</v>
      </c>
      <c r="G2421">
        <v>1120117</v>
      </c>
      <c r="H2421" s="116"/>
      <c r="I2421" s="116"/>
      <c r="L2421" s="170">
        <v>45569</v>
      </c>
      <c r="M2421" s="116">
        <v>1386.5250000000001</v>
      </c>
      <c r="N2421" s="116">
        <v>1417.35</v>
      </c>
      <c r="O2421" s="116">
        <v>1381.7750000000001</v>
      </c>
      <c r="P2421" s="116">
        <v>1403.925</v>
      </c>
      <c r="Q2421" s="116">
        <v>2773.05</v>
      </c>
      <c r="R2421">
        <v>18536438</v>
      </c>
    </row>
    <row r="2422" spans="1:18" x14ac:dyDescent="0.25">
      <c r="A2422" s="170">
        <v>45572</v>
      </c>
      <c r="B2422" s="116">
        <v>1399.9749999999999</v>
      </c>
      <c r="C2422" s="116">
        <v>1370.4749999999999</v>
      </c>
      <c r="D2422" s="116">
        <v>1361.45</v>
      </c>
      <c r="E2422" s="116">
        <v>1399.9749999999999</v>
      </c>
      <c r="F2422" s="116">
        <v>2740.95</v>
      </c>
      <c r="G2422">
        <v>561201</v>
      </c>
      <c r="H2422" s="116"/>
      <c r="I2422" s="116"/>
      <c r="L2422" s="170">
        <v>45572</v>
      </c>
      <c r="M2422" s="116">
        <v>1370.7249999999999</v>
      </c>
      <c r="N2422" s="116">
        <v>1396.5</v>
      </c>
      <c r="O2422" s="116">
        <v>1361.375</v>
      </c>
      <c r="P2422" s="116">
        <v>1393.5</v>
      </c>
      <c r="Q2422" s="116">
        <v>2741.45</v>
      </c>
      <c r="R2422">
        <v>11090670</v>
      </c>
    </row>
    <row r="2423" spans="1:18" x14ac:dyDescent="0.25">
      <c r="A2423" s="170">
        <v>45573</v>
      </c>
      <c r="B2423" s="116">
        <v>1401.375</v>
      </c>
      <c r="C2423" s="116">
        <v>1398.0250000000001</v>
      </c>
      <c r="D2423" s="116">
        <v>1364.3</v>
      </c>
      <c r="E2423" s="116">
        <v>1380</v>
      </c>
      <c r="F2423" s="116">
        <v>2796.05</v>
      </c>
      <c r="G2423">
        <v>159251</v>
      </c>
      <c r="H2423" s="116"/>
      <c r="I2423" s="116"/>
      <c r="L2423" s="170">
        <v>45573</v>
      </c>
      <c r="M2423" s="116">
        <v>1397.35</v>
      </c>
      <c r="N2423" s="116">
        <v>1401</v>
      </c>
      <c r="O2423" s="116">
        <v>1365.1</v>
      </c>
      <c r="P2423" s="116">
        <v>1372.9749999999999</v>
      </c>
      <c r="Q2423" s="116">
        <v>2794.7</v>
      </c>
      <c r="R2423">
        <v>8510404</v>
      </c>
    </row>
    <row r="2424" spans="1:18" x14ac:dyDescent="0.25">
      <c r="A2424" s="170">
        <v>45574</v>
      </c>
      <c r="B2424" s="116">
        <v>1401.35</v>
      </c>
      <c r="C2424" s="116">
        <v>1375.05</v>
      </c>
      <c r="D2424" s="116">
        <v>1372.075</v>
      </c>
      <c r="E2424" s="116">
        <v>1401.35</v>
      </c>
      <c r="F2424" s="116">
        <v>2750.1</v>
      </c>
      <c r="G2424">
        <v>320542</v>
      </c>
      <c r="H2424" s="116"/>
      <c r="I2424" s="116"/>
      <c r="L2424" s="170">
        <v>45574</v>
      </c>
      <c r="M2424" s="116">
        <v>1374.6</v>
      </c>
      <c r="N2424" s="116">
        <v>1400.9749999999999</v>
      </c>
      <c r="O2424" s="116">
        <v>1372.5</v>
      </c>
      <c r="P2424" s="116">
        <v>1397.5250000000001</v>
      </c>
      <c r="Q2424" s="116">
        <v>2749.2</v>
      </c>
      <c r="R2424">
        <v>7155305</v>
      </c>
    </row>
    <row r="2425" spans="1:18" x14ac:dyDescent="0.25">
      <c r="A2425" s="170">
        <v>45575</v>
      </c>
      <c r="B2425" s="116">
        <v>1386</v>
      </c>
      <c r="C2425" s="116">
        <v>1371.0250000000001</v>
      </c>
      <c r="D2425" s="116">
        <v>1370</v>
      </c>
      <c r="E2425" s="116">
        <v>1382.175</v>
      </c>
      <c r="F2425" s="116">
        <v>2742.05</v>
      </c>
      <c r="G2425">
        <v>365450</v>
      </c>
      <c r="H2425" s="116"/>
      <c r="I2425" s="116"/>
      <c r="L2425" s="170">
        <v>45575</v>
      </c>
      <c r="M2425" s="116">
        <v>1371.05</v>
      </c>
      <c r="N2425" s="116">
        <v>1386</v>
      </c>
      <c r="O2425" s="116">
        <v>1369.425</v>
      </c>
      <c r="P2425" s="116">
        <v>1380.0250000000001</v>
      </c>
      <c r="Q2425" s="116">
        <v>2742.1</v>
      </c>
      <c r="R2425">
        <v>11179323</v>
      </c>
    </row>
    <row r="2426" spans="1:18" x14ac:dyDescent="0.25">
      <c r="A2426" s="170">
        <v>45576</v>
      </c>
      <c r="B2426" s="116">
        <v>1383.5250000000001</v>
      </c>
      <c r="C2426" s="116">
        <v>1371.1</v>
      </c>
      <c r="D2426" s="116">
        <v>1369</v>
      </c>
      <c r="E2426" s="116">
        <v>1371</v>
      </c>
      <c r="F2426" s="116">
        <v>2742.2</v>
      </c>
      <c r="G2426">
        <v>441282</v>
      </c>
      <c r="H2426" s="116"/>
      <c r="I2426" s="116"/>
      <c r="L2426" s="170">
        <v>45576</v>
      </c>
      <c r="M2426" s="116">
        <v>1372.1</v>
      </c>
      <c r="N2426" s="116">
        <v>1383.2750000000001</v>
      </c>
      <c r="O2426" s="116">
        <v>1368.825</v>
      </c>
      <c r="P2426" s="116">
        <v>1370</v>
      </c>
      <c r="Q2426" s="116">
        <v>2744.2</v>
      </c>
      <c r="R2426">
        <v>3990061</v>
      </c>
    </row>
    <row r="2427" spans="1:18" x14ac:dyDescent="0.25">
      <c r="A2427" s="170">
        <v>45579</v>
      </c>
      <c r="B2427" s="116">
        <v>1380.85</v>
      </c>
      <c r="C2427" s="116">
        <v>1372.6</v>
      </c>
      <c r="D2427" s="116">
        <v>1368.25</v>
      </c>
      <c r="E2427" s="116">
        <v>1380.85</v>
      </c>
      <c r="F2427" s="116">
        <v>2745.2</v>
      </c>
      <c r="G2427">
        <v>252419</v>
      </c>
      <c r="H2427" s="116"/>
      <c r="I2427" s="116"/>
      <c r="L2427" s="170">
        <v>45579</v>
      </c>
      <c r="M2427" s="116">
        <v>1372.5250000000001</v>
      </c>
      <c r="N2427" s="116">
        <v>1380.075</v>
      </c>
      <c r="O2427" s="116">
        <v>1368.25</v>
      </c>
      <c r="P2427" s="116">
        <v>1379.45</v>
      </c>
      <c r="Q2427" s="116">
        <v>2745.05</v>
      </c>
      <c r="R2427">
        <v>6110716</v>
      </c>
    </row>
    <row r="2428" spans="1:18" x14ac:dyDescent="0.25">
      <c r="A2428" s="170">
        <v>45580</v>
      </c>
      <c r="B2428" s="116">
        <v>1372</v>
      </c>
      <c r="C2428" s="116">
        <v>1343.95</v>
      </c>
      <c r="D2428" s="116">
        <v>1340.625</v>
      </c>
      <c r="E2428" s="116">
        <v>1359.4749999999999</v>
      </c>
      <c r="F2428" s="116">
        <v>2687.9</v>
      </c>
      <c r="G2428">
        <v>643574</v>
      </c>
      <c r="H2428" s="116"/>
      <c r="I2428" s="116"/>
      <c r="L2428" s="170">
        <v>45580</v>
      </c>
      <c r="M2428" s="116">
        <v>1344.0250000000001</v>
      </c>
      <c r="N2428" s="116">
        <v>1371.7</v>
      </c>
      <c r="O2428" s="116">
        <v>1340.7</v>
      </c>
      <c r="P2428" s="116">
        <v>1358.5250000000001</v>
      </c>
      <c r="Q2428" s="116">
        <v>2688.05</v>
      </c>
      <c r="R2428">
        <v>16881397</v>
      </c>
    </row>
    <row r="2429" spans="1:18" x14ac:dyDescent="0.25">
      <c r="A2429" s="170">
        <v>45581</v>
      </c>
      <c r="B2429" s="116">
        <v>1364.2750000000001</v>
      </c>
      <c r="C2429" s="116">
        <v>1354</v>
      </c>
      <c r="D2429" s="116">
        <v>1338</v>
      </c>
      <c r="E2429" s="116">
        <v>1343.95</v>
      </c>
      <c r="F2429" s="116">
        <v>2708</v>
      </c>
      <c r="G2429">
        <v>317636</v>
      </c>
      <c r="H2429" s="116"/>
      <c r="I2429" s="116"/>
      <c r="L2429" s="170">
        <v>45581</v>
      </c>
      <c r="M2429" s="116">
        <v>1354.075</v>
      </c>
      <c r="N2429" s="116">
        <v>1364</v>
      </c>
      <c r="O2429" s="116">
        <v>1337.625</v>
      </c>
      <c r="P2429" s="116">
        <v>1340</v>
      </c>
      <c r="Q2429" s="116">
        <v>2708.15</v>
      </c>
      <c r="R2429">
        <v>10017219</v>
      </c>
    </row>
    <row r="2430" spans="1:18" x14ac:dyDescent="0.25">
      <c r="A2430" s="170">
        <v>45582</v>
      </c>
      <c r="B2430" s="116">
        <v>1369.35</v>
      </c>
      <c r="C2430" s="116">
        <v>1356.7249999999999</v>
      </c>
      <c r="D2430" s="116">
        <v>1352.5</v>
      </c>
      <c r="E2430" s="116">
        <v>1369.35</v>
      </c>
      <c r="F2430" s="116">
        <v>2713.45</v>
      </c>
      <c r="G2430">
        <v>831186</v>
      </c>
      <c r="H2430" s="116"/>
      <c r="I2430" s="116"/>
      <c r="L2430" s="170">
        <v>45582</v>
      </c>
      <c r="M2430" s="116">
        <v>1356.425</v>
      </c>
      <c r="N2430" s="116">
        <v>1368.45</v>
      </c>
      <c r="O2430" s="116">
        <v>1352.05</v>
      </c>
      <c r="P2430" s="116">
        <v>1365.7</v>
      </c>
      <c r="Q2430" s="116">
        <v>2712.85</v>
      </c>
      <c r="R2430">
        <v>7771830</v>
      </c>
    </row>
    <row r="2431" spans="1:18" x14ac:dyDescent="0.25">
      <c r="A2431" s="170">
        <v>45583</v>
      </c>
      <c r="B2431" s="116">
        <v>1368</v>
      </c>
      <c r="C2431" s="116">
        <v>1358.7750000000001</v>
      </c>
      <c r="D2431" s="116">
        <v>1341.6</v>
      </c>
      <c r="E2431" s="116">
        <v>1353.325</v>
      </c>
      <c r="F2431" s="116">
        <v>2717.55</v>
      </c>
      <c r="G2431">
        <v>709736</v>
      </c>
      <c r="H2431" s="116"/>
      <c r="I2431" s="116"/>
      <c r="L2431" s="170">
        <v>45583</v>
      </c>
      <c r="M2431" s="116">
        <v>1359.3</v>
      </c>
      <c r="N2431" s="116">
        <v>1368.425</v>
      </c>
      <c r="O2431" s="116">
        <v>1341.325</v>
      </c>
      <c r="P2431" s="116">
        <v>1352.175</v>
      </c>
      <c r="Q2431" s="116">
        <v>2718.6</v>
      </c>
      <c r="R2431">
        <v>6041226</v>
      </c>
    </row>
    <row r="2432" spans="1:18" x14ac:dyDescent="0.25">
      <c r="A2432" s="170">
        <v>45586</v>
      </c>
      <c r="B2432" s="116">
        <v>1374</v>
      </c>
      <c r="C2432" s="116">
        <v>1369.125</v>
      </c>
      <c r="D2432" s="116">
        <v>1358.0250000000001</v>
      </c>
      <c r="E2432" s="116">
        <v>1369.825</v>
      </c>
      <c r="F2432" s="116">
        <v>2738.25</v>
      </c>
      <c r="G2432">
        <v>197010</v>
      </c>
      <c r="H2432" s="116"/>
      <c r="I2432" s="116"/>
      <c r="L2432" s="170">
        <v>45586</v>
      </c>
      <c r="M2432" s="116">
        <v>1369.2</v>
      </c>
      <c r="N2432" s="116">
        <v>1374</v>
      </c>
      <c r="O2432" s="116">
        <v>1357.7249999999999</v>
      </c>
      <c r="P2432" s="116">
        <v>1367.125</v>
      </c>
      <c r="Q2432" s="116">
        <v>2738.4</v>
      </c>
      <c r="R2432">
        <v>7033704</v>
      </c>
    </row>
    <row r="2433" spans="1:18" x14ac:dyDescent="0.25">
      <c r="A2433" s="170">
        <v>45587</v>
      </c>
      <c r="B2433" s="116">
        <v>1375.95</v>
      </c>
      <c r="C2433" s="116">
        <v>1343.65</v>
      </c>
      <c r="D2433" s="116">
        <v>1340.4</v>
      </c>
      <c r="E2433" s="116">
        <v>1369.95</v>
      </c>
      <c r="F2433" s="116">
        <v>2687.3</v>
      </c>
      <c r="G2433">
        <v>189138</v>
      </c>
      <c r="H2433" s="116"/>
      <c r="I2433" s="116"/>
      <c r="L2433" s="170">
        <v>45587</v>
      </c>
      <c r="M2433" s="116">
        <v>1343.35</v>
      </c>
      <c r="N2433" s="116">
        <v>1376</v>
      </c>
      <c r="O2433" s="116">
        <v>1340.2249999999999</v>
      </c>
      <c r="P2433" s="116">
        <v>1369.2</v>
      </c>
      <c r="Q2433" s="116">
        <v>2686.7</v>
      </c>
      <c r="R2433">
        <v>7915980</v>
      </c>
    </row>
    <row r="2434" spans="1:18" x14ac:dyDescent="0.25">
      <c r="A2434" s="170">
        <v>45588</v>
      </c>
      <c r="B2434" s="116">
        <v>1357.5</v>
      </c>
      <c r="C2434" s="116">
        <v>1338.85</v>
      </c>
      <c r="D2434" s="116">
        <v>1335.5</v>
      </c>
      <c r="E2434" s="116">
        <v>1340.5</v>
      </c>
      <c r="F2434" s="116">
        <v>2677.7</v>
      </c>
      <c r="G2434">
        <v>424807</v>
      </c>
      <c r="H2434" s="116"/>
      <c r="I2434" s="116"/>
      <c r="L2434" s="170">
        <v>45588</v>
      </c>
      <c r="M2434" s="116">
        <v>1338.5250000000001</v>
      </c>
      <c r="N2434" s="116">
        <v>1357.4749999999999</v>
      </c>
      <c r="O2434" s="116">
        <v>1335</v>
      </c>
      <c r="P2434" s="116">
        <v>1337.5</v>
      </c>
      <c r="Q2434" s="116">
        <v>2677.05</v>
      </c>
      <c r="R2434">
        <v>8607371</v>
      </c>
    </row>
    <row r="2435" spans="1:18" x14ac:dyDescent="0.25">
      <c r="A2435" s="170">
        <v>45589</v>
      </c>
      <c r="B2435" s="116">
        <v>1343.8</v>
      </c>
      <c r="C2435" s="116">
        <v>1339.9749999999999</v>
      </c>
      <c r="D2435" s="116">
        <v>1323.5</v>
      </c>
      <c r="E2435" s="116">
        <v>1337.5</v>
      </c>
      <c r="F2435" s="116">
        <v>2679.95</v>
      </c>
      <c r="G2435">
        <v>433695</v>
      </c>
      <c r="H2435" s="116"/>
      <c r="I2435" s="116"/>
      <c r="L2435" s="170">
        <v>45589</v>
      </c>
      <c r="M2435" s="116">
        <v>1339.8</v>
      </c>
      <c r="N2435" s="116">
        <v>1343.7</v>
      </c>
      <c r="O2435" s="116">
        <v>1323.125</v>
      </c>
      <c r="P2435" s="116">
        <v>1335.2750000000001</v>
      </c>
      <c r="Q2435" s="116">
        <v>2679.6</v>
      </c>
      <c r="R2435">
        <v>11077967</v>
      </c>
    </row>
    <row r="2436" spans="1:18" x14ac:dyDescent="0.25">
      <c r="A2436" s="170">
        <v>45590</v>
      </c>
      <c r="B2436" s="116">
        <v>1343.85</v>
      </c>
      <c r="C2436" s="116">
        <v>1327.7249999999999</v>
      </c>
      <c r="D2436" s="116">
        <v>1322.5</v>
      </c>
      <c r="E2436" s="116">
        <v>1343.85</v>
      </c>
      <c r="F2436" s="116">
        <v>2655.45</v>
      </c>
      <c r="G2436">
        <v>735248</v>
      </c>
      <c r="H2436" s="116"/>
      <c r="I2436" s="116"/>
      <c r="L2436" s="170">
        <v>45590</v>
      </c>
      <c r="M2436" s="116">
        <v>1327.85</v>
      </c>
      <c r="N2436" s="116">
        <v>1344.35</v>
      </c>
      <c r="O2436" s="116">
        <v>1322</v>
      </c>
      <c r="P2436" s="116">
        <v>1343.5</v>
      </c>
      <c r="Q2436" s="116">
        <v>2655.7</v>
      </c>
      <c r="R2436">
        <v>9298748</v>
      </c>
    </row>
    <row r="2437" spans="1:18" x14ac:dyDescent="0.25">
      <c r="A2437" s="170">
        <v>45593</v>
      </c>
      <c r="B2437" s="116">
        <v>1353.15</v>
      </c>
      <c r="C2437" s="116">
        <v>1334.3</v>
      </c>
      <c r="D2437" s="116">
        <v>1322</v>
      </c>
      <c r="E2437" s="116">
        <v>1338</v>
      </c>
      <c r="F2437" s="116">
        <v>1334.3</v>
      </c>
      <c r="G2437">
        <v>384134</v>
      </c>
      <c r="H2437" s="116"/>
      <c r="I2437" s="116"/>
      <c r="L2437" s="170">
        <v>45593</v>
      </c>
      <c r="M2437" s="116">
        <v>1334.35</v>
      </c>
      <c r="N2437" s="116">
        <v>1353</v>
      </c>
      <c r="O2437" s="116">
        <v>1322.1</v>
      </c>
      <c r="P2437" s="116">
        <v>1337</v>
      </c>
      <c r="Q2437" s="116">
        <v>1334.35</v>
      </c>
      <c r="R2437">
        <v>10824350</v>
      </c>
    </row>
    <row r="2438" spans="1:18" x14ac:dyDescent="0.25">
      <c r="A2438" s="170">
        <v>45594</v>
      </c>
      <c r="B2438" s="116">
        <v>1342.9</v>
      </c>
      <c r="C2438" s="116">
        <v>1338.95</v>
      </c>
      <c r="D2438" s="116">
        <v>1320.5</v>
      </c>
      <c r="E2438" s="116">
        <v>1334.3</v>
      </c>
      <c r="F2438" s="116">
        <v>1338.95</v>
      </c>
      <c r="G2438">
        <v>363373</v>
      </c>
      <c r="H2438" s="116"/>
      <c r="I2438" s="116"/>
      <c r="L2438" s="170">
        <v>45594</v>
      </c>
      <c r="M2438" s="116">
        <v>1340</v>
      </c>
      <c r="N2438" s="116">
        <v>1343.2</v>
      </c>
      <c r="O2438" s="116">
        <v>1320.3</v>
      </c>
      <c r="P2438" s="116">
        <v>1328.1</v>
      </c>
      <c r="Q2438" s="116">
        <v>1340</v>
      </c>
      <c r="R2438">
        <v>12008361</v>
      </c>
    </row>
    <row r="2439" spans="1:18" x14ac:dyDescent="0.25">
      <c r="A2439" s="170">
        <v>45595</v>
      </c>
      <c r="B2439" s="116">
        <v>1349.9</v>
      </c>
      <c r="C2439" s="116">
        <v>1343.95</v>
      </c>
      <c r="D2439" s="116">
        <v>1324.8</v>
      </c>
      <c r="E2439" s="116">
        <v>1339.8</v>
      </c>
      <c r="F2439" s="116">
        <v>1343.95</v>
      </c>
      <c r="G2439">
        <v>324321</v>
      </c>
      <c r="H2439" s="116"/>
      <c r="I2439" s="116"/>
      <c r="L2439" s="170">
        <v>45595</v>
      </c>
      <c r="M2439" s="116">
        <v>1343.9</v>
      </c>
      <c r="N2439" s="116">
        <v>1350</v>
      </c>
      <c r="O2439" s="116">
        <v>1325.35</v>
      </c>
      <c r="P2439" s="116">
        <v>1335</v>
      </c>
      <c r="Q2439" s="116">
        <v>1343.9</v>
      </c>
      <c r="R2439">
        <v>11984423</v>
      </c>
    </row>
    <row r="2440" spans="1:18" x14ac:dyDescent="0.25">
      <c r="A2440" s="170">
        <v>45596</v>
      </c>
      <c r="B2440" s="116">
        <v>1342.9</v>
      </c>
      <c r="C2440" s="116">
        <v>1332.6</v>
      </c>
      <c r="D2440" s="116">
        <v>1326.05</v>
      </c>
      <c r="E2440" s="116">
        <v>1341.9</v>
      </c>
      <c r="F2440" s="116">
        <v>1332.6</v>
      </c>
      <c r="G2440">
        <v>657957</v>
      </c>
      <c r="H2440" s="116"/>
      <c r="I2440" s="116"/>
      <c r="L2440" s="170">
        <v>45596</v>
      </c>
      <c r="M2440" s="116">
        <v>1332.05</v>
      </c>
      <c r="N2440" s="116">
        <v>1343</v>
      </c>
      <c r="O2440" s="116">
        <v>1326.15</v>
      </c>
      <c r="P2440" s="116">
        <v>1340</v>
      </c>
      <c r="Q2440" s="116">
        <v>1332.05</v>
      </c>
      <c r="R2440">
        <v>9331650</v>
      </c>
    </row>
    <row r="2441" spans="1:18" x14ac:dyDescent="0.25">
      <c r="A2441" s="170">
        <v>45597</v>
      </c>
      <c r="B2441" s="116">
        <v>1341</v>
      </c>
      <c r="C2441" s="116">
        <v>1339.1</v>
      </c>
      <c r="D2441" s="116">
        <v>1334.3</v>
      </c>
      <c r="E2441" s="116">
        <v>1339.85</v>
      </c>
      <c r="F2441" s="116">
        <v>1339.1</v>
      </c>
      <c r="G2441">
        <v>290859</v>
      </c>
      <c r="H2441" s="116"/>
      <c r="I2441" s="116"/>
      <c r="L2441" s="170">
        <v>45597</v>
      </c>
      <c r="M2441" s="116">
        <v>1338.65</v>
      </c>
      <c r="N2441" s="116">
        <v>1341.95</v>
      </c>
      <c r="O2441" s="116">
        <v>1333</v>
      </c>
      <c r="P2441" s="116">
        <v>1333.05</v>
      </c>
      <c r="Q2441" s="116">
        <v>1338.65</v>
      </c>
      <c r="R2441">
        <v>2127335</v>
      </c>
    </row>
    <row r="2442" spans="1:18" x14ac:dyDescent="0.25">
      <c r="A2442" s="170">
        <v>45600</v>
      </c>
      <c r="B2442" s="116">
        <v>1338.6</v>
      </c>
      <c r="C2442" s="116">
        <v>1302</v>
      </c>
      <c r="D2442" s="116">
        <v>1285.0999999999999</v>
      </c>
      <c r="E2442" s="116">
        <v>1337</v>
      </c>
      <c r="F2442" s="116">
        <v>1302</v>
      </c>
      <c r="G2442">
        <v>1351832</v>
      </c>
      <c r="H2442" s="116"/>
      <c r="I2442" s="116"/>
      <c r="L2442" s="170">
        <v>45600</v>
      </c>
      <c r="M2442" s="116">
        <v>1302.1500000000001</v>
      </c>
      <c r="N2442" s="116">
        <v>1340</v>
      </c>
      <c r="O2442" s="116">
        <v>1285.0999999999999</v>
      </c>
      <c r="P2442" s="116">
        <v>1337.85</v>
      </c>
      <c r="Q2442" s="116">
        <v>1302.1500000000001</v>
      </c>
      <c r="R2442">
        <v>19796890</v>
      </c>
    </row>
    <row r="2443" spans="1:18" x14ac:dyDescent="0.25">
      <c r="A2443" s="170">
        <v>45601</v>
      </c>
      <c r="B2443" s="116">
        <v>1309.3499999999999</v>
      </c>
      <c r="C2443" s="116">
        <v>1305.95</v>
      </c>
      <c r="D2443" s="116">
        <v>1286.1500000000001</v>
      </c>
      <c r="E2443" s="116">
        <v>1293.75</v>
      </c>
      <c r="F2443" s="116">
        <v>1305.95</v>
      </c>
      <c r="G2443">
        <v>410474</v>
      </c>
      <c r="H2443" s="116"/>
      <c r="I2443" s="116"/>
      <c r="L2443" s="170">
        <v>45601</v>
      </c>
      <c r="M2443" s="116">
        <v>1305.3</v>
      </c>
      <c r="N2443" s="116">
        <v>1309.55</v>
      </c>
      <c r="O2443" s="116">
        <v>1286.1500000000001</v>
      </c>
      <c r="P2443" s="116">
        <v>1293</v>
      </c>
      <c r="Q2443" s="116">
        <v>1305.3</v>
      </c>
      <c r="R2443">
        <v>16267479</v>
      </c>
    </row>
    <row r="2444" spans="1:18" x14ac:dyDescent="0.25">
      <c r="A2444" s="170">
        <v>45602</v>
      </c>
      <c r="B2444" s="116">
        <v>1328.45</v>
      </c>
      <c r="C2444" s="116">
        <v>1325.55</v>
      </c>
      <c r="D2444" s="116">
        <v>1300.3</v>
      </c>
      <c r="E2444" s="116">
        <v>1311.85</v>
      </c>
      <c r="F2444" s="116">
        <v>1325.55</v>
      </c>
      <c r="G2444">
        <v>873762</v>
      </c>
      <c r="H2444" s="116"/>
      <c r="I2444" s="116"/>
      <c r="L2444" s="170">
        <v>45602</v>
      </c>
      <c r="M2444" s="116">
        <v>1325.35</v>
      </c>
      <c r="N2444" s="116">
        <v>1328.3</v>
      </c>
      <c r="O2444" s="116">
        <v>1300.2</v>
      </c>
      <c r="P2444" s="116">
        <v>1310</v>
      </c>
      <c r="Q2444" s="116">
        <v>1325.35</v>
      </c>
      <c r="R2444">
        <v>21625209</v>
      </c>
    </row>
    <row r="2445" spans="1:18" x14ac:dyDescent="0.25">
      <c r="A2445" s="170">
        <v>45603</v>
      </c>
      <c r="B2445" s="116">
        <v>1324</v>
      </c>
      <c r="C2445" s="116">
        <v>1305.6500000000001</v>
      </c>
      <c r="D2445" s="116">
        <v>1303.2</v>
      </c>
      <c r="E2445" s="116">
        <v>1322.15</v>
      </c>
      <c r="F2445" s="116">
        <v>1305.6500000000001</v>
      </c>
      <c r="G2445">
        <v>529604</v>
      </c>
      <c r="H2445" s="116"/>
      <c r="I2445" s="116"/>
      <c r="L2445" s="170">
        <v>45603</v>
      </c>
      <c r="M2445" s="116">
        <v>1305.6500000000001</v>
      </c>
      <c r="N2445" s="116">
        <v>1324</v>
      </c>
      <c r="O2445" s="116">
        <v>1302.5999999999999</v>
      </c>
      <c r="P2445" s="116">
        <v>1324</v>
      </c>
      <c r="Q2445" s="116">
        <v>1305.6500000000001</v>
      </c>
      <c r="R2445">
        <v>9611974</v>
      </c>
    </row>
    <row r="2446" spans="1:18" x14ac:dyDescent="0.25">
      <c r="A2446" s="170">
        <v>45604</v>
      </c>
      <c r="B2446" s="116">
        <v>1302.8</v>
      </c>
      <c r="C2446" s="116">
        <v>1284</v>
      </c>
      <c r="D2446" s="116">
        <v>1278</v>
      </c>
      <c r="E2446" s="116">
        <v>1302.6500000000001</v>
      </c>
      <c r="F2446" s="116">
        <v>1284</v>
      </c>
      <c r="G2446">
        <v>927106</v>
      </c>
      <c r="H2446" s="116"/>
      <c r="I2446" s="116"/>
      <c r="L2446" s="170">
        <v>45604</v>
      </c>
      <c r="M2446" s="116">
        <v>1283.75</v>
      </c>
      <c r="N2446" s="116">
        <v>1301.6500000000001</v>
      </c>
      <c r="O2446" s="116">
        <v>1275</v>
      </c>
      <c r="P2446" s="116">
        <v>1297.6500000000001</v>
      </c>
      <c r="Q2446" s="116">
        <v>1283.75</v>
      </c>
      <c r="R2446">
        <v>19814406</v>
      </c>
    </row>
    <row r="2447" spans="1:18" x14ac:dyDescent="0.25">
      <c r="A2447" s="170">
        <v>45607</v>
      </c>
      <c r="B2447" s="116">
        <v>1285.95</v>
      </c>
      <c r="C2447" s="116">
        <v>1273.05</v>
      </c>
      <c r="D2447" s="116">
        <v>1266.3499999999999</v>
      </c>
      <c r="E2447" s="116">
        <v>1282.5999999999999</v>
      </c>
      <c r="F2447" s="116">
        <v>1273.05</v>
      </c>
      <c r="G2447">
        <v>695566</v>
      </c>
      <c r="H2447" s="116"/>
      <c r="I2447" s="116"/>
      <c r="L2447" s="170">
        <v>45607</v>
      </c>
      <c r="M2447" s="116">
        <v>1272.7</v>
      </c>
      <c r="N2447" s="116">
        <v>1286</v>
      </c>
      <c r="O2447" s="116">
        <v>1267</v>
      </c>
      <c r="P2447" s="116">
        <v>1278.95</v>
      </c>
      <c r="Q2447" s="116">
        <v>1272.7</v>
      </c>
      <c r="R2447">
        <v>9056552</v>
      </c>
    </row>
    <row r="2448" spans="1:18" x14ac:dyDescent="0.25">
      <c r="A2448" s="170">
        <v>45608</v>
      </c>
      <c r="B2448" s="116">
        <v>1289.4000000000001</v>
      </c>
      <c r="C2448" s="116">
        <v>1273.0999999999999</v>
      </c>
      <c r="D2448" s="116">
        <v>1269</v>
      </c>
      <c r="E2448" s="116">
        <v>1275</v>
      </c>
      <c r="F2448" s="116">
        <v>1273.0999999999999</v>
      </c>
      <c r="G2448">
        <v>592220</v>
      </c>
      <c r="H2448" s="116"/>
      <c r="I2448" s="116"/>
      <c r="L2448" s="170">
        <v>45608</v>
      </c>
      <c r="M2448" s="116">
        <v>1274.25</v>
      </c>
      <c r="N2448" s="116">
        <v>1289.3</v>
      </c>
      <c r="O2448" s="116">
        <v>1267.5</v>
      </c>
      <c r="P2448" s="116">
        <v>1275.55</v>
      </c>
      <c r="Q2448" s="116">
        <v>1274.25</v>
      </c>
      <c r="R2448">
        <v>10671091</v>
      </c>
    </row>
    <row r="2449" spans="1:18" x14ac:dyDescent="0.25">
      <c r="A2449" s="170">
        <v>45609</v>
      </c>
      <c r="B2449" s="116">
        <v>1275</v>
      </c>
      <c r="C2449" s="116">
        <v>1252.25</v>
      </c>
      <c r="D2449" s="116">
        <v>1249.7</v>
      </c>
      <c r="E2449" s="116">
        <v>1269.5</v>
      </c>
      <c r="F2449" s="116">
        <v>1252.25</v>
      </c>
      <c r="G2449">
        <v>525801</v>
      </c>
      <c r="H2449" s="116"/>
      <c r="I2449" s="116"/>
      <c r="L2449" s="170">
        <v>45609</v>
      </c>
      <c r="M2449" s="116">
        <v>1252.05</v>
      </c>
      <c r="N2449" s="116">
        <v>1275.45</v>
      </c>
      <c r="O2449" s="116">
        <v>1249.5</v>
      </c>
      <c r="P2449" s="116">
        <v>1270.25</v>
      </c>
      <c r="Q2449" s="116">
        <v>1252.05</v>
      </c>
      <c r="R2449">
        <v>14633633</v>
      </c>
    </row>
    <row r="2450" spans="1:18" x14ac:dyDescent="0.25">
      <c r="A2450" s="170">
        <v>45610</v>
      </c>
      <c r="B2450" s="116">
        <v>1272.5</v>
      </c>
      <c r="C2450" s="116">
        <v>1267.7</v>
      </c>
      <c r="D2450" s="116">
        <v>1252.25</v>
      </c>
      <c r="E2450" s="116">
        <v>1254.55</v>
      </c>
      <c r="F2450" s="116">
        <v>1267.7</v>
      </c>
      <c r="G2450">
        <v>799527</v>
      </c>
      <c r="H2450" s="116"/>
      <c r="I2450" s="116"/>
      <c r="L2450" s="170">
        <v>45610</v>
      </c>
      <c r="M2450" s="116">
        <v>1267.5999999999999</v>
      </c>
      <c r="N2450" s="116">
        <v>1272.5999999999999</v>
      </c>
      <c r="O2450" s="116">
        <v>1251.0999999999999</v>
      </c>
      <c r="P2450" s="116">
        <v>1253.5999999999999</v>
      </c>
      <c r="Q2450" s="116">
        <v>1267.5999999999999</v>
      </c>
      <c r="R2450">
        <v>12612633</v>
      </c>
    </row>
    <row r="2451" spans="1:18" x14ac:dyDescent="0.25">
      <c r="A2451" s="170">
        <v>45614</v>
      </c>
      <c r="B2451" s="116">
        <v>1273.0999999999999</v>
      </c>
      <c r="C2451" s="116">
        <v>1260.6500000000001</v>
      </c>
      <c r="D2451" s="116">
        <v>1244</v>
      </c>
      <c r="E2451" s="116">
        <v>1266.55</v>
      </c>
      <c r="F2451" s="116">
        <v>1260.6500000000001</v>
      </c>
      <c r="G2451">
        <v>609245</v>
      </c>
      <c r="H2451" s="116"/>
      <c r="I2451" s="116"/>
      <c r="L2451" s="170">
        <v>45614</v>
      </c>
      <c r="M2451" s="116">
        <v>1260.75</v>
      </c>
      <c r="N2451" s="116">
        <v>1272.9000000000001</v>
      </c>
      <c r="O2451" s="116">
        <v>1243.9000000000001</v>
      </c>
      <c r="P2451" s="116">
        <v>1267.5999999999999</v>
      </c>
      <c r="Q2451" s="116">
        <v>1260.75</v>
      </c>
      <c r="R2451">
        <v>13620611</v>
      </c>
    </row>
    <row r="2452" spans="1:18" x14ac:dyDescent="0.25">
      <c r="A2452" s="170">
        <v>45615</v>
      </c>
      <c r="B2452" s="116">
        <v>1281</v>
      </c>
      <c r="C2452" s="116">
        <v>1241.3</v>
      </c>
      <c r="D2452" s="116">
        <v>1235.45</v>
      </c>
      <c r="E2452" s="116">
        <v>1259.05</v>
      </c>
      <c r="F2452" s="116">
        <v>1241.3</v>
      </c>
      <c r="G2452">
        <v>397953</v>
      </c>
      <c r="H2452" s="116"/>
      <c r="I2452" s="116"/>
      <c r="L2452" s="170">
        <v>45615</v>
      </c>
      <c r="M2452" s="116">
        <v>1241.6500000000001</v>
      </c>
      <c r="N2452" s="116">
        <v>1281.5</v>
      </c>
      <c r="O2452" s="116">
        <v>1235.1500000000001</v>
      </c>
      <c r="P2452" s="116">
        <v>1260.75</v>
      </c>
      <c r="Q2452" s="116">
        <v>1241.6500000000001</v>
      </c>
      <c r="R2452">
        <v>14183746</v>
      </c>
    </row>
    <row r="2453" spans="1:18" x14ac:dyDescent="0.25">
      <c r="A2453" s="170">
        <v>45617</v>
      </c>
      <c r="B2453" s="116">
        <v>1247.05</v>
      </c>
      <c r="C2453" s="116">
        <v>1223.2</v>
      </c>
      <c r="D2453" s="116">
        <v>1217.7</v>
      </c>
      <c r="E2453" s="116">
        <v>1247.05</v>
      </c>
      <c r="F2453" s="116">
        <v>1223.2</v>
      </c>
      <c r="G2453">
        <v>491073</v>
      </c>
      <c r="H2453" s="116"/>
      <c r="I2453" s="116"/>
      <c r="L2453" s="170">
        <v>45617</v>
      </c>
      <c r="M2453" s="116">
        <v>1223</v>
      </c>
      <c r="N2453" s="116">
        <v>1243.95</v>
      </c>
      <c r="O2453" s="116">
        <v>1217.25</v>
      </c>
      <c r="P2453" s="116">
        <v>1241.6500000000001</v>
      </c>
      <c r="Q2453" s="116">
        <v>1223</v>
      </c>
      <c r="R2453">
        <v>19433843</v>
      </c>
    </row>
    <row r="2454" spans="1:18" x14ac:dyDescent="0.25">
      <c r="A2454" s="170">
        <v>45618</v>
      </c>
      <c r="B2454" s="116">
        <v>1268.6500000000001</v>
      </c>
      <c r="C2454" s="116">
        <v>1265.95</v>
      </c>
      <c r="D2454" s="116">
        <v>1223.05</v>
      </c>
      <c r="E2454" s="116">
        <v>1229.9000000000001</v>
      </c>
      <c r="F2454" s="116">
        <v>1265.95</v>
      </c>
      <c r="G2454">
        <v>1055840</v>
      </c>
      <c r="H2454" s="116"/>
      <c r="I2454" s="116"/>
      <c r="L2454" s="170">
        <v>45618</v>
      </c>
      <c r="M2454" s="116">
        <v>1265.4000000000001</v>
      </c>
      <c r="N2454" s="116">
        <v>1268.8499999999999</v>
      </c>
      <c r="O2454" s="116">
        <v>1222.45</v>
      </c>
      <c r="P2454" s="116">
        <v>1229.4000000000001</v>
      </c>
      <c r="Q2454" s="116">
        <v>1265.4000000000001</v>
      </c>
      <c r="R2454">
        <v>20471957</v>
      </c>
    </row>
    <row r="2455" spans="1:18" x14ac:dyDescent="0.25">
      <c r="A2455" s="170">
        <v>45621</v>
      </c>
      <c r="B2455" s="116">
        <v>1304.3499999999999</v>
      </c>
      <c r="C2455" s="116">
        <v>1287.8</v>
      </c>
      <c r="D2455" s="116">
        <v>1282.6500000000001</v>
      </c>
      <c r="E2455" s="116">
        <v>1294.8</v>
      </c>
      <c r="F2455" s="116">
        <v>1287.8</v>
      </c>
      <c r="G2455">
        <v>962533</v>
      </c>
      <c r="H2455" s="116"/>
      <c r="I2455" s="116"/>
      <c r="L2455" s="170">
        <v>45621</v>
      </c>
      <c r="M2455" s="116">
        <v>1287</v>
      </c>
      <c r="N2455" s="116">
        <v>1304.45</v>
      </c>
      <c r="O2455" s="116">
        <v>1282.45</v>
      </c>
      <c r="P2455" s="116">
        <v>1290</v>
      </c>
      <c r="Q2455" s="116">
        <v>1287</v>
      </c>
      <c r="R2455">
        <v>28923341</v>
      </c>
    </row>
    <row r="2456" spans="1:18" x14ac:dyDescent="0.25">
      <c r="A2456" s="170">
        <v>45622</v>
      </c>
      <c r="B2456" s="116">
        <v>1297.8499999999999</v>
      </c>
      <c r="C2456" s="116">
        <v>1295.55</v>
      </c>
      <c r="D2456" s="116">
        <v>1284</v>
      </c>
      <c r="E2456" s="116">
        <v>1296.45</v>
      </c>
      <c r="F2456" s="116">
        <v>1295.55</v>
      </c>
      <c r="G2456">
        <v>487024</v>
      </c>
      <c r="H2456" s="116"/>
      <c r="I2456" s="116"/>
      <c r="L2456" s="170">
        <v>45622</v>
      </c>
      <c r="M2456" s="116">
        <v>1295.7</v>
      </c>
      <c r="N2456" s="116">
        <v>1297.8499999999999</v>
      </c>
      <c r="O2456" s="116">
        <v>1284.2</v>
      </c>
      <c r="P2456" s="116">
        <v>1294.95</v>
      </c>
      <c r="Q2456" s="116">
        <v>1295.7</v>
      </c>
      <c r="R2456">
        <v>9247557</v>
      </c>
    </row>
    <row r="2457" spans="1:18" x14ac:dyDescent="0.25">
      <c r="A2457" s="170">
        <v>45623</v>
      </c>
      <c r="B2457" s="116">
        <v>1303.8</v>
      </c>
      <c r="C2457" s="116">
        <v>1292.9000000000001</v>
      </c>
      <c r="D2457" s="116">
        <v>1286.2</v>
      </c>
      <c r="E2457" s="116">
        <v>1295.75</v>
      </c>
      <c r="F2457" s="116">
        <v>1292.9000000000001</v>
      </c>
      <c r="G2457">
        <v>263573</v>
      </c>
      <c r="H2457" s="116"/>
      <c r="I2457" s="116"/>
      <c r="L2457" s="170">
        <v>45623</v>
      </c>
      <c r="M2457" s="116">
        <v>1293.2</v>
      </c>
      <c r="N2457" s="116">
        <v>1303.8499999999999</v>
      </c>
      <c r="O2457" s="116">
        <v>1286</v>
      </c>
      <c r="P2457" s="116">
        <v>1293.5</v>
      </c>
      <c r="Q2457" s="116">
        <v>1293.2</v>
      </c>
      <c r="R2457">
        <v>9572746</v>
      </c>
    </row>
    <row r="2458" spans="1:18" x14ac:dyDescent="0.25">
      <c r="A2458" s="170">
        <v>45624</v>
      </c>
      <c r="B2458" s="116">
        <v>1296.8</v>
      </c>
      <c r="C2458" s="116">
        <v>1271.3499999999999</v>
      </c>
      <c r="D2458" s="116">
        <v>1269.25</v>
      </c>
      <c r="E2458" s="116">
        <v>1291.95</v>
      </c>
      <c r="F2458" s="116">
        <v>1271.3499999999999</v>
      </c>
      <c r="G2458">
        <v>481819</v>
      </c>
      <c r="H2458" s="116"/>
      <c r="I2458" s="116"/>
      <c r="L2458" s="170">
        <v>45624</v>
      </c>
      <c r="M2458" s="116">
        <v>1270.8</v>
      </c>
      <c r="N2458" s="116">
        <v>1296.5999999999999</v>
      </c>
      <c r="O2458" s="116">
        <v>1269.05</v>
      </c>
      <c r="P2458" s="116">
        <v>1289.95</v>
      </c>
      <c r="Q2458" s="116">
        <v>1270.8</v>
      </c>
      <c r="R2458">
        <v>15027412</v>
      </c>
    </row>
    <row r="2459" spans="1:18" x14ac:dyDescent="0.25">
      <c r="A2459" s="170">
        <v>45625</v>
      </c>
      <c r="B2459" s="116">
        <v>1299.3</v>
      </c>
      <c r="C2459" s="116">
        <v>1292.45</v>
      </c>
      <c r="D2459" s="116">
        <v>1274.75</v>
      </c>
      <c r="E2459" s="116">
        <v>1280</v>
      </c>
      <c r="F2459" s="116">
        <v>1292.45</v>
      </c>
      <c r="G2459">
        <v>748891</v>
      </c>
      <c r="H2459" s="116"/>
      <c r="I2459" s="116"/>
      <c r="L2459" s="170">
        <v>45625</v>
      </c>
      <c r="M2459" s="116">
        <v>1292.2</v>
      </c>
      <c r="N2459" s="116">
        <v>1299.5</v>
      </c>
      <c r="O2459" s="116">
        <v>1275.25</v>
      </c>
      <c r="P2459" s="116">
        <v>1280</v>
      </c>
      <c r="Q2459" s="116">
        <v>1292.2</v>
      </c>
      <c r="R2459">
        <v>13202307</v>
      </c>
    </row>
    <row r="2460" spans="1:18" x14ac:dyDescent="0.25">
      <c r="A2460" s="170">
        <v>45628</v>
      </c>
      <c r="B2460" s="116">
        <v>1311.05</v>
      </c>
      <c r="C2460" s="116">
        <v>1309.05</v>
      </c>
      <c r="D2460" s="116">
        <v>1277</v>
      </c>
      <c r="E2460" s="116">
        <v>1291.6500000000001</v>
      </c>
      <c r="F2460" s="116">
        <v>1309.05</v>
      </c>
      <c r="G2460">
        <v>633384</v>
      </c>
      <c r="H2460" s="116"/>
      <c r="I2460" s="116"/>
      <c r="L2460" s="170">
        <v>45628</v>
      </c>
      <c r="M2460" s="116">
        <v>1309.1500000000001</v>
      </c>
      <c r="N2460" s="116">
        <v>1311.35</v>
      </c>
      <c r="O2460" s="116">
        <v>1277.05</v>
      </c>
      <c r="P2460" s="116">
        <v>1288</v>
      </c>
      <c r="Q2460" s="116">
        <v>1309.1500000000001</v>
      </c>
      <c r="R2460">
        <v>11024152</v>
      </c>
    </row>
    <row r="2461" spans="1:18" x14ac:dyDescent="0.25">
      <c r="A2461" s="170">
        <v>45629</v>
      </c>
      <c r="B2461" s="116">
        <v>1326.7</v>
      </c>
      <c r="C2461" s="116">
        <v>1323.35</v>
      </c>
      <c r="D2461" s="116">
        <v>1307.25</v>
      </c>
      <c r="E2461" s="116">
        <v>1318.85</v>
      </c>
      <c r="F2461" s="116">
        <v>1323.35</v>
      </c>
      <c r="G2461">
        <v>344673</v>
      </c>
      <c r="H2461" s="116"/>
      <c r="I2461" s="116"/>
      <c r="L2461" s="170">
        <v>45629</v>
      </c>
      <c r="M2461" s="116">
        <v>1323.3</v>
      </c>
      <c r="N2461" s="116">
        <v>1326.8</v>
      </c>
      <c r="O2461" s="116">
        <v>1307</v>
      </c>
      <c r="P2461" s="116">
        <v>1317</v>
      </c>
      <c r="Q2461" s="116">
        <v>1323.3</v>
      </c>
      <c r="R2461">
        <v>16869482</v>
      </c>
    </row>
    <row r="2462" spans="1:18" x14ac:dyDescent="0.25">
      <c r="A2462" s="170">
        <v>45630</v>
      </c>
      <c r="B2462" s="116">
        <v>1329</v>
      </c>
      <c r="C2462" s="116">
        <v>1309</v>
      </c>
      <c r="D2462" s="116">
        <v>1305</v>
      </c>
      <c r="E2462" s="116">
        <v>1326.95</v>
      </c>
      <c r="F2462" s="116">
        <v>1309</v>
      </c>
      <c r="G2462">
        <v>438492</v>
      </c>
      <c r="H2462" s="116"/>
      <c r="I2462" s="116"/>
      <c r="L2462" s="170">
        <v>45630</v>
      </c>
      <c r="M2462" s="116">
        <v>1308.95</v>
      </c>
      <c r="N2462" s="116">
        <v>1328.4</v>
      </c>
      <c r="O2462" s="116">
        <v>1304.05</v>
      </c>
      <c r="P2462" s="116">
        <v>1326</v>
      </c>
      <c r="Q2462" s="116">
        <v>1308.95</v>
      </c>
      <c r="R2462">
        <v>19608540</v>
      </c>
    </row>
    <row r="2463" spans="1:18" x14ac:dyDescent="0.25">
      <c r="A2463" s="170">
        <v>45631</v>
      </c>
      <c r="B2463" s="116">
        <v>1329.5</v>
      </c>
      <c r="C2463" s="116">
        <v>1321.2</v>
      </c>
      <c r="D2463" s="116">
        <v>1306.4000000000001</v>
      </c>
      <c r="E2463" s="116">
        <v>1310.75</v>
      </c>
      <c r="F2463" s="116">
        <v>1321.2</v>
      </c>
      <c r="G2463">
        <v>674847</v>
      </c>
      <c r="H2463" s="116"/>
      <c r="I2463" s="116"/>
      <c r="L2463" s="170">
        <v>45631</v>
      </c>
      <c r="M2463" s="116">
        <v>1322.05</v>
      </c>
      <c r="N2463" s="116">
        <v>1329.95</v>
      </c>
      <c r="O2463" s="116">
        <v>1306.1500000000001</v>
      </c>
      <c r="P2463" s="116">
        <v>1314.35</v>
      </c>
      <c r="Q2463" s="116">
        <v>1322.05</v>
      </c>
      <c r="R2463">
        <v>16858723</v>
      </c>
    </row>
    <row r="2464" spans="1:18" x14ac:dyDescent="0.25">
      <c r="A2464" s="170">
        <v>45632</v>
      </c>
      <c r="B2464" s="116">
        <v>1326.9</v>
      </c>
      <c r="C2464" s="116">
        <v>1311.8</v>
      </c>
      <c r="D2464" s="116">
        <v>1309.8</v>
      </c>
      <c r="E2464" s="116">
        <v>1326.9</v>
      </c>
      <c r="F2464" s="116">
        <v>1311.8</v>
      </c>
      <c r="G2464">
        <v>412701</v>
      </c>
      <c r="H2464" s="116"/>
      <c r="I2464" s="116"/>
      <c r="L2464" s="170">
        <v>45632</v>
      </c>
      <c r="M2464" s="116">
        <v>1311.55</v>
      </c>
      <c r="N2464" s="116">
        <v>1323.9</v>
      </c>
      <c r="O2464" s="116">
        <v>1310</v>
      </c>
      <c r="P2464" s="116">
        <v>1323.9</v>
      </c>
      <c r="Q2464" s="116">
        <v>1311.55</v>
      </c>
      <c r="R2464">
        <v>9037514</v>
      </c>
    </row>
    <row r="2465" spans="1:18" x14ac:dyDescent="0.25">
      <c r="A2465" s="170">
        <v>45635</v>
      </c>
      <c r="B2465" s="116">
        <v>1315.45</v>
      </c>
      <c r="C2465" s="116">
        <v>1295.1500000000001</v>
      </c>
      <c r="D2465" s="116">
        <v>1292.9000000000001</v>
      </c>
      <c r="E2465" s="116">
        <v>1303</v>
      </c>
      <c r="F2465" s="116">
        <v>1295.1500000000001</v>
      </c>
      <c r="G2465">
        <v>554024</v>
      </c>
      <c r="H2465" s="116"/>
      <c r="I2465" s="116"/>
      <c r="L2465" s="170">
        <v>45635</v>
      </c>
      <c r="M2465" s="116">
        <v>1295.1500000000001</v>
      </c>
      <c r="N2465" s="116">
        <v>1315</v>
      </c>
      <c r="O2465" s="116">
        <v>1293.0999999999999</v>
      </c>
      <c r="P2465" s="116">
        <v>1303</v>
      </c>
      <c r="Q2465" s="116">
        <v>1295.1500000000001</v>
      </c>
      <c r="R2465">
        <v>14650002</v>
      </c>
    </row>
    <row r="2466" spans="1:18" x14ac:dyDescent="0.25">
      <c r="A2466" s="170">
        <v>45636</v>
      </c>
      <c r="B2466" s="116">
        <v>1295</v>
      </c>
      <c r="C2466" s="116">
        <v>1284.95</v>
      </c>
      <c r="D2466" s="116">
        <v>1280.75</v>
      </c>
      <c r="E2466" s="116">
        <v>1290</v>
      </c>
      <c r="F2466" s="116">
        <v>1284.95</v>
      </c>
      <c r="G2466">
        <v>438986</v>
      </c>
      <c r="H2466" s="116"/>
      <c r="I2466" s="116"/>
      <c r="L2466" s="170">
        <v>45636</v>
      </c>
      <c r="M2466" s="116">
        <v>1284.8499999999999</v>
      </c>
      <c r="N2466" s="116">
        <v>1294.9000000000001</v>
      </c>
      <c r="O2466" s="116">
        <v>1280.2</v>
      </c>
      <c r="P2466" s="116">
        <v>1289.25</v>
      </c>
      <c r="Q2466" s="116">
        <v>1284.8499999999999</v>
      </c>
      <c r="R2466">
        <v>16043729</v>
      </c>
    </row>
    <row r="2467" spans="1:18" x14ac:dyDescent="0.25">
      <c r="A2467" s="170">
        <v>45637</v>
      </c>
      <c r="B2467" s="116">
        <v>1290</v>
      </c>
      <c r="C2467" s="116">
        <v>1278.0999999999999</v>
      </c>
      <c r="D2467" s="116">
        <v>1275.3499999999999</v>
      </c>
      <c r="E2467" s="116">
        <v>1286.5</v>
      </c>
      <c r="F2467" s="116">
        <v>1278.0999999999999</v>
      </c>
      <c r="G2467">
        <v>594409</v>
      </c>
      <c r="H2467" s="116"/>
      <c r="I2467" s="116"/>
      <c r="L2467" s="170">
        <v>45637</v>
      </c>
      <c r="M2467" s="116">
        <v>1278.2</v>
      </c>
      <c r="N2467" s="116">
        <v>1290</v>
      </c>
      <c r="O2467" s="116">
        <v>1276.05</v>
      </c>
      <c r="P2467" s="116">
        <v>1285</v>
      </c>
      <c r="Q2467" s="116">
        <v>1278.2</v>
      </c>
      <c r="R2467">
        <v>11724373</v>
      </c>
    </row>
    <row r="2468" spans="1:18" x14ac:dyDescent="0.25">
      <c r="A2468" s="170">
        <v>45638</v>
      </c>
      <c r="B2468" s="116">
        <v>1278.0999999999999</v>
      </c>
      <c r="C2468" s="116">
        <v>1263.8499999999999</v>
      </c>
      <c r="D2468" s="116">
        <v>1261.05</v>
      </c>
      <c r="E2468" s="116">
        <v>1275.2</v>
      </c>
      <c r="F2468" s="116">
        <v>1263.8499999999999</v>
      </c>
      <c r="G2468">
        <v>683512</v>
      </c>
      <c r="H2468" s="116"/>
      <c r="I2468" s="116"/>
      <c r="L2468" s="170">
        <v>45638</v>
      </c>
      <c r="M2468" s="116">
        <v>1262.9000000000001</v>
      </c>
      <c r="N2468" s="116">
        <v>1278.2</v>
      </c>
      <c r="O2468" s="116">
        <v>1260.5999999999999</v>
      </c>
      <c r="P2468" s="116">
        <v>1270</v>
      </c>
      <c r="Q2468" s="116">
        <v>1262.9000000000001</v>
      </c>
      <c r="R2468">
        <v>20906813</v>
      </c>
    </row>
    <row r="2469" spans="1:18" x14ac:dyDescent="0.25">
      <c r="A2469" s="170">
        <v>45639</v>
      </c>
      <c r="B2469" s="116">
        <v>1275.1500000000001</v>
      </c>
      <c r="C2469" s="116">
        <v>1273.3499999999999</v>
      </c>
      <c r="D2469" s="116">
        <v>1240</v>
      </c>
      <c r="E2469" s="116">
        <v>1265</v>
      </c>
      <c r="F2469" s="116">
        <v>1273.3499999999999</v>
      </c>
      <c r="G2469">
        <v>1106984</v>
      </c>
      <c r="H2469" s="116"/>
      <c r="I2469" s="116"/>
      <c r="L2469" s="170">
        <v>45639</v>
      </c>
      <c r="M2469" s="116">
        <v>1272.8499999999999</v>
      </c>
      <c r="N2469" s="116">
        <v>1275.2</v>
      </c>
      <c r="O2469" s="116">
        <v>1239.5999999999999</v>
      </c>
      <c r="P2469" s="116">
        <v>1260</v>
      </c>
      <c r="Q2469" s="116">
        <v>1272.8499999999999</v>
      </c>
      <c r="R2469">
        <v>28630222</v>
      </c>
    </row>
    <row r="2470" spans="1:18" x14ac:dyDescent="0.25">
      <c r="A2470" s="170">
        <v>45642</v>
      </c>
      <c r="B2470" s="116">
        <v>1281.5999999999999</v>
      </c>
      <c r="C2470" s="116">
        <v>1268.05</v>
      </c>
      <c r="D2470" s="116">
        <v>1266.8499999999999</v>
      </c>
      <c r="E2470" s="116">
        <v>1275</v>
      </c>
      <c r="F2470" s="116">
        <v>1268.05</v>
      </c>
      <c r="G2470">
        <v>465483</v>
      </c>
      <c r="H2470" s="116"/>
      <c r="I2470" s="116"/>
      <c r="L2470" s="170">
        <v>45642</v>
      </c>
      <c r="M2470" s="116">
        <v>1268.3</v>
      </c>
      <c r="N2470" s="116">
        <v>1281</v>
      </c>
      <c r="O2470" s="116">
        <v>1266.55</v>
      </c>
      <c r="P2470" s="116">
        <v>1275</v>
      </c>
      <c r="Q2470" s="116">
        <v>1268.3</v>
      </c>
      <c r="R2470">
        <v>9486781</v>
      </c>
    </row>
    <row r="2471" spans="1:18" x14ac:dyDescent="0.25">
      <c r="A2471" s="170">
        <v>45643</v>
      </c>
      <c r="B2471" s="116">
        <v>1262.6500000000001</v>
      </c>
      <c r="C2471" s="116">
        <v>1245.0999999999999</v>
      </c>
      <c r="D2471" s="116">
        <v>1242.5999999999999</v>
      </c>
      <c r="E2471" s="116">
        <v>1262.6500000000001</v>
      </c>
      <c r="F2471" s="116">
        <v>1245.0999999999999</v>
      </c>
      <c r="G2471">
        <v>639483</v>
      </c>
      <c r="H2471" s="116"/>
      <c r="I2471" s="116"/>
      <c r="L2471" s="170">
        <v>45643</v>
      </c>
      <c r="M2471" s="116">
        <v>1245.3</v>
      </c>
      <c r="N2471" s="116">
        <v>1263.9000000000001</v>
      </c>
      <c r="O2471" s="116">
        <v>1242.8</v>
      </c>
      <c r="P2471" s="116">
        <v>1261.05</v>
      </c>
      <c r="Q2471" s="116">
        <v>1245.3</v>
      </c>
      <c r="R2471">
        <v>17462791</v>
      </c>
    </row>
    <row r="2472" spans="1:18" x14ac:dyDescent="0.25">
      <c r="A2472" s="170">
        <v>45644</v>
      </c>
      <c r="B2472" s="116">
        <v>1259.9000000000001</v>
      </c>
      <c r="C2472" s="116">
        <v>1253.05</v>
      </c>
      <c r="D2472" s="116">
        <v>1241.75</v>
      </c>
      <c r="E2472" s="116">
        <v>1243.4000000000001</v>
      </c>
      <c r="F2472" s="116">
        <v>1253.05</v>
      </c>
      <c r="G2472">
        <v>260426</v>
      </c>
      <c r="H2472" s="116"/>
      <c r="I2472" s="116"/>
      <c r="L2472" s="170">
        <v>45644</v>
      </c>
      <c r="M2472" s="116">
        <v>1253.25</v>
      </c>
      <c r="N2472" s="116">
        <v>1259.95</v>
      </c>
      <c r="O2472" s="116">
        <v>1240.6500000000001</v>
      </c>
      <c r="P2472" s="116">
        <v>1240.6500000000001</v>
      </c>
      <c r="Q2472" s="116">
        <v>1253.25</v>
      </c>
      <c r="R2472">
        <v>12670179</v>
      </c>
    </row>
    <row r="2473" spans="1:18" x14ac:dyDescent="0.25">
      <c r="A2473" s="170">
        <v>45645</v>
      </c>
      <c r="B2473" s="116">
        <v>1244.95</v>
      </c>
      <c r="C2473" s="116">
        <v>1230.5999999999999</v>
      </c>
      <c r="D2473" s="116">
        <v>1229.4000000000001</v>
      </c>
      <c r="E2473" s="116">
        <v>1239.95</v>
      </c>
      <c r="F2473" s="116">
        <v>1230.5999999999999</v>
      </c>
      <c r="G2473">
        <v>424104</v>
      </c>
      <c r="H2473" s="116"/>
      <c r="I2473" s="116"/>
      <c r="L2473" s="170">
        <v>45645</v>
      </c>
      <c r="M2473" s="116">
        <v>1230.45</v>
      </c>
      <c r="N2473" s="116">
        <v>1244.9000000000001</v>
      </c>
      <c r="O2473" s="116">
        <v>1229</v>
      </c>
      <c r="P2473" s="116">
        <v>1239</v>
      </c>
      <c r="Q2473" s="116">
        <v>1230.45</v>
      </c>
      <c r="R2473">
        <v>14244653</v>
      </c>
    </row>
    <row r="2474" spans="1:18" x14ac:dyDescent="0.25">
      <c r="A2474" s="170">
        <v>45646</v>
      </c>
      <c r="B2474" s="116">
        <v>1239.75</v>
      </c>
      <c r="C2474" s="116">
        <v>1206</v>
      </c>
      <c r="D2474" s="116">
        <v>1202.0999999999999</v>
      </c>
      <c r="E2474" s="116">
        <v>1229.95</v>
      </c>
      <c r="F2474" s="116">
        <v>1206</v>
      </c>
      <c r="G2474">
        <v>1166317</v>
      </c>
      <c r="H2474" s="116"/>
      <c r="I2474" s="116"/>
      <c r="L2474" s="170">
        <v>45646</v>
      </c>
      <c r="M2474" s="116">
        <v>1205.3</v>
      </c>
      <c r="N2474" s="116">
        <v>1239.5</v>
      </c>
      <c r="O2474" s="116">
        <v>1201.5</v>
      </c>
      <c r="P2474" s="116">
        <v>1224</v>
      </c>
      <c r="Q2474" s="116">
        <v>1205.3</v>
      </c>
      <c r="R2474">
        <v>20312896</v>
      </c>
    </row>
    <row r="2475" spans="1:18" x14ac:dyDescent="0.25">
      <c r="A2475" s="170">
        <v>45649</v>
      </c>
      <c r="B2475" s="116">
        <v>1227</v>
      </c>
      <c r="C2475" s="116">
        <v>1222.0999999999999</v>
      </c>
      <c r="D2475" s="116">
        <v>1213.1500000000001</v>
      </c>
      <c r="E2475" s="116">
        <v>1217.25</v>
      </c>
      <c r="F2475" s="116">
        <v>1222.0999999999999</v>
      </c>
      <c r="G2475">
        <v>3332773</v>
      </c>
      <c r="H2475" s="116"/>
      <c r="I2475" s="116"/>
      <c r="L2475" s="170">
        <v>45649</v>
      </c>
      <c r="M2475" s="116">
        <v>1222.3</v>
      </c>
      <c r="N2475" s="116">
        <v>1227.2</v>
      </c>
      <c r="O2475" s="116">
        <v>1213.2</v>
      </c>
      <c r="P2475" s="116">
        <v>1215</v>
      </c>
      <c r="Q2475" s="116">
        <v>1222.3</v>
      </c>
      <c r="R2475">
        <v>10052824</v>
      </c>
    </row>
    <row r="2476" spans="1:18" x14ac:dyDescent="0.25">
      <c r="A2476" s="170">
        <v>45650</v>
      </c>
      <c r="B2476" s="116">
        <v>1233.45</v>
      </c>
      <c r="C2476" s="116">
        <v>1223.5</v>
      </c>
      <c r="D2476" s="116">
        <v>1221.45</v>
      </c>
      <c r="E2476" s="116">
        <v>1231.9000000000001</v>
      </c>
      <c r="F2476" s="116">
        <v>1223.5</v>
      </c>
      <c r="G2476">
        <v>268064</v>
      </c>
      <c r="H2476" s="116"/>
      <c r="I2476" s="116"/>
      <c r="L2476" s="170">
        <v>45650</v>
      </c>
      <c r="M2476" s="116">
        <v>1222.75</v>
      </c>
      <c r="N2476" s="116">
        <v>1233.55</v>
      </c>
      <c r="O2476" s="116">
        <v>1221</v>
      </c>
      <c r="P2476" s="116">
        <v>1222.3</v>
      </c>
      <c r="Q2476" s="116">
        <v>1222.75</v>
      </c>
      <c r="R2476">
        <v>6734917</v>
      </c>
    </row>
    <row r="2477" spans="1:18" x14ac:dyDescent="0.25">
      <c r="A2477" s="170">
        <v>45652</v>
      </c>
      <c r="B2477" s="116">
        <v>1228</v>
      </c>
      <c r="C2477" s="116">
        <v>1216.5999999999999</v>
      </c>
      <c r="D2477" s="116">
        <v>1214.45</v>
      </c>
      <c r="E2477" s="116">
        <v>1224.6500000000001</v>
      </c>
      <c r="F2477" s="116">
        <v>1216.5999999999999</v>
      </c>
      <c r="G2477">
        <v>556935</v>
      </c>
      <c r="H2477" s="116"/>
      <c r="I2477" s="116"/>
      <c r="L2477" s="170">
        <v>45652</v>
      </c>
      <c r="M2477" s="116">
        <v>1216.55</v>
      </c>
      <c r="N2477" s="116">
        <v>1227.7</v>
      </c>
      <c r="O2477" s="116">
        <v>1214.25</v>
      </c>
      <c r="P2477" s="116">
        <v>1224.25</v>
      </c>
      <c r="Q2477" s="116">
        <v>1216.55</v>
      </c>
      <c r="R2477">
        <v>10016178</v>
      </c>
    </row>
    <row r="2478" spans="1:18" x14ac:dyDescent="0.25">
      <c r="A2478" s="170">
        <v>45653</v>
      </c>
      <c r="B2478" s="116">
        <v>1227.5999999999999</v>
      </c>
      <c r="C2478" s="116">
        <v>1220.95</v>
      </c>
      <c r="D2478" s="116">
        <v>1216.6500000000001</v>
      </c>
      <c r="E2478" s="116">
        <v>1216.6500000000001</v>
      </c>
      <c r="F2478" s="116">
        <v>1220.95</v>
      </c>
      <c r="G2478">
        <v>653086</v>
      </c>
      <c r="H2478" s="116"/>
      <c r="I2478" s="116"/>
      <c r="L2478" s="170">
        <v>45653</v>
      </c>
      <c r="M2478" s="116">
        <v>1221.05</v>
      </c>
      <c r="N2478" s="116">
        <v>1227.9000000000001</v>
      </c>
      <c r="O2478" s="116">
        <v>1217</v>
      </c>
      <c r="P2478" s="116">
        <v>1218.3</v>
      </c>
      <c r="Q2478" s="116">
        <v>1221.05</v>
      </c>
      <c r="R2478">
        <v>7000397</v>
      </c>
    </row>
    <row r="2479" spans="1:18" x14ac:dyDescent="0.25">
      <c r="A2479" s="170">
        <v>45656</v>
      </c>
      <c r="B2479" s="116">
        <v>1223.3499999999999</v>
      </c>
      <c r="C2479" s="116">
        <v>1210.9000000000001</v>
      </c>
      <c r="D2479" s="116">
        <v>1208.6500000000001</v>
      </c>
      <c r="E2479" s="116">
        <v>1219.6500000000001</v>
      </c>
      <c r="F2479" s="116">
        <v>1210.9000000000001</v>
      </c>
      <c r="G2479">
        <v>314452</v>
      </c>
      <c r="H2479" s="116"/>
      <c r="I2479" s="116"/>
      <c r="L2479" s="170">
        <v>45656</v>
      </c>
      <c r="M2479" s="116">
        <v>1210.7</v>
      </c>
      <c r="N2479" s="116">
        <v>1223.2</v>
      </c>
      <c r="O2479" s="116">
        <v>1208.0999999999999</v>
      </c>
      <c r="P2479" s="116">
        <v>1216.4000000000001</v>
      </c>
      <c r="Q2479" s="116">
        <v>1210.7</v>
      </c>
      <c r="R2479">
        <v>8818766</v>
      </c>
    </row>
    <row r="2480" spans="1:18" x14ac:dyDescent="0.25">
      <c r="A2480" s="170">
        <v>45657</v>
      </c>
      <c r="B2480" s="116">
        <v>1219.05</v>
      </c>
      <c r="C2480" s="116">
        <v>1215.45</v>
      </c>
      <c r="D2480" s="116">
        <v>1206.4000000000001</v>
      </c>
      <c r="E2480" s="116">
        <v>1210.4000000000001</v>
      </c>
      <c r="F2480" s="116">
        <v>1215.45</v>
      </c>
      <c r="G2480">
        <v>444246</v>
      </c>
      <c r="H2480" s="116"/>
      <c r="I2480" s="116"/>
      <c r="L2480" s="170">
        <v>45657</v>
      </c>
      <c r="M2480" s="116">
        <v>1215.45</v>
      </c>
      <c r="N2480" s="116">
        <v>1219.0999999999999</v>
      </c>
      <c r="O2480" s="116">
        <v>1206.1500000000001</v>
      </c>
      <c r="P2480" s="116">
        <v>1208</v>
      </c>
      <c r="Q2480" s="116">
        <v>1215.45</v>
      </c>
      <c r="R2480">
        <v>6405475</v>
      </c>
    </row>
    <row r="2481" spans="1:18" x14ac:dyDescent="0.25">
      <c r="A2481" s="170">
        <v>45658</v>
      </c>
      <c r="B2481" s="116">
        <v>1226.2</v>
      </c>
      <c r="C2481" s="116">
        <v>1221.6500000000001</v>
      </c>
      <c r="D2481" s="116">
        <v>1212.0999999999999</v>
      </c>
      <c r="E2481" s="116">
        <v>1218.95</v>
      </c>
      <c r="F2481" s="116">
        <v>1221.6500000000001</v>
      </c>
      <c r="G2481">
        <v>380215</v>
      </c>
      <c r="H2481" s="116"/>
      <c r="I2481" s="116"/>
      <c r="L2481" s="170">
        <v>45658</v>
      </c>
      <c r="M2481" s="116">
        <v>1221.25</v>
      </c>
      <c r="N2481" s="116">
        <v>1226.3</v>
      </c>
      <c r="O2481" s="116">
        <v>1211.5999999999999</v>
      </c>
      <c r="P2481" s="116">
        <v>1214.8499999999999</v>
      </c>
      <c r="Q2481" s="116">
        <v>1221.25</v>
      </c>
      <c r="R2481">
        <v>5892590</v>
      </c>
    </row>
    <row r="2482" spans="1:18" x14ac:dyDescent="0.25">
      <c r="A2482" s="170">
        <v>45659</v>
      </c>
      <c r="B2482" s="116">
        <v>1244.5</v>
      </c>
      <c r="C2482" s="116">
        <v>1241.6500000000001</v>
      </c>
      <c r="D2482" s="116">
        <v>1220.25</v>
      </c>
      <c r="E2482" s="116">
        <v>1220.7</v>
      </c>
      <c r="F2482" s="116">
        <v>1241.6500000000001</v>
      </c>
      <c r="G2482">
        <v>529144</v>
      </c>
      <c r="H2482" s="116"/>
      <c r="I2482" s="116"/>
      <c r="L2482" s="170">
        <v>45659</v>
      </c>
      <c r="M2482" s="116">
        <v>1241.8</v>
      </c>
      <c r="N2482" s="116">
        <v>1244.45</v>
      </c>
      <c r="O2482" s="116">
        <v>1220</v>
      </c>
      <c r="P2482" s="116">
        <v>1221.25</v>
      </c>
      <c r="Q2482" s="116">
        <v>1241.8</v>
      </c>
      <c r="R2482">
        <v>15486276</v>
      </c>
    </row>
    <row r="2483" spans="1:18" x14ac:dyDescent="0.25">
      <c r="A2483" s="170">
        <v>45660</v>
      </c>
      <c r="B2483" s="116">
        <v>1262.3</v>
      </c>
      <c r="C2483" s="116">
        <v>1251.3499999999999</v>
      </c>
      <c r="D2483" s="116">
        <v>1235.5999999999999</v>
      </c>
      <c r="E2483" s="116">
        <v>1247.75</v>
      </c>
      <c r="F2483" s="116">
        <v>1251.3499999999999</v>
      </c>
      <c r="G2483">
        <v>502895</v>
      </c>
      <c r="H2483" s="116"/>
      <c r="I2483" s="116"/>
      <c r="L2483" s="170">
        <v>45660</v>
      </c>
      <c r="M2483" s="116">
        <v>1251.1500000000001</v>
      </c>
      <c r="N2483" s="116">
        <v>1262.05</v>
      </c>
      <c r="O2483" s="116">
        <v>1235.5</v>
      </c>
      <c r="P2483" s="116">
        <v>1243.9000000000001</v>
      </c>
      <c r="Q2483" s="116">
        <v>1251.1500000000001</v>
      </c>
      <c r="R2483">
        <v>15521102</v>
      </c>
    </row>
    <row r="2484" spans="1:18" x14ac:dyDescent="0.25">
      <c r="A2484" s="170">
        <v>45663</v>
      </c>
      <c r="B2484" s="116">
        <v>1261.7</v>
      </c>
      <c r="C2484" s="116">
        <v>1218.2</v>
      </c>
      <c r="D2484" s="116">
        <v>1215.3</v>
      </c>
      <c r="E2484" s="116">
        <v>1251.55</v>
      </c>
      <c r="F2484" s="116">
        <v>1218.2</v>
      </c>
      <c r="G2484">
        <v>782428</v>
      </c>
      <c r="H2484" s="116"/>
      <c r="I2484" s="116"/>
      <c r="L2484" s="170">
        <v>45663</v>
      </c>
      <c r="M2484" s="116">
        <v>1218</v>
      </c>
      <c r="N2484" s="116">
        <v>1262</v>
      </c>
      <c r="O2484" s="116">
        <v>1215</v>
      </c>
      <c r="P2484" s="116">
        <v>1253.95</v>
      </c>
      <c r="Q2484" s="116">
        <v>1218</v>
      </c>
      <c r="R2484">
        <v>14816766</v>
      </c>
    </row>
    <row r="2485" spans="1:18" x14ac:dyDescent="0.25">
      <c r="A2485" s="170">
        <v>45664</v>
      </c>
      <c r="B2485" s="116">
        <v>1243.4000000000001</v>
      </c>
      <c r="C2485" s="116">
        <v>1240.9000000000001</v>
      </c>
      <c r="D2485" s="116">
        <v>1221.4000000000001</v>
      </c>
      <c r="E2485" s="116">
        <v>1221.6500000000001</v>
      </c>
      <c r="F2485" s="116">
        <v>1240.9000000000001</v>
      </c>
      <c r="G2485">
        <v>512057</v>
      </c>
      <c r="H2485" s="116"/>
      <c r="I2485" s="116"/>
      <c r="L2485" s="170">
        <v>45664</v>
      </c>
      <c r="M2485" s="116">
        <v>1240.8499999999999</v>
      </c>
      <c r="N2485" s="116">
        <v>1244.5</v>
      </c>
      <c r="O2485" s="116">
        <v>1221.25</v>
      </c>
      <c r="P2485" s="116">
        <v>1222</v>
      </c>
      <c r="Q2485" s="116">
        <v>1240.8499999999999</v>
      </c>
      <c r="R2485">
        <v>10070505</v>
      </c>
    </row>
    <row r="2486" spans="1:18" x14ac:dyDescent="0.25">
      <c r="A2486" s="170">
        <v>45665</v>
      </c>
      <c r="B2486" s="116">
        <v>1270.7</v>
      </c>
      <c r="C2486" s="116">
        <v>1264.7</v>
      </c>
      <c r="D2486" s="116">
        <v>1245</v>
      </c>
      <c r="E2486" s="116">
        <v>1251.2</v>
      </c>
      <c r="F2486" s="116">
        <v>1264.7</v>
      </c>
      <c r="G2486">
        <v>881916</v>
      </c>
      <c r="H2486" s="116"/>
      <c r="I2486" s="116"/>
      <c r="L2486" s="170">
        <v>45665</v>
      </c>
      <c r="M2486" s="116">
        <v>1265.5</v>
      </c>
      <c r="N2486" s="116">
        <v>1271.05</v>
      </c>
      <c r="O2486" s="116">
        <v>1245.3499999999999</v>
      </c>
      <c r="P2486" s="116">
        <v>1249</v>
      </c>
      <c r="Q2486" s="116">
        <v>1265.5</v>
      </c>
      <c r="R2486">
        <v>19346579</v>
      </c>
    </row>
    <row r="2487" spans="1:18" x14ac:dyDescent="0.25">
      <c r="A2487" s="170">
        <v>45666</v>
      </c>
      <c r="B2487" s="116">
        <v>1269.4000000000001</v>
      </c>
      <c r="C2487" s="116">
        <v>1255</v>
      </c>
      <c r="D2487" s="116">
        <v>1248</v>
      </c>
      <c r="E2487" s="116">
        <v>1267.9000000000001</v>
      </c>
      <c r="F2487" s="116">
        <v>1255</v>
      </c>
      <c r="G2487">
        <v>262909</v>
      </c>
      <c r="H2487" s="116"/>
      <c r="I2487" s="116"/>
      <c r="L2487" s="170">
        <v>45666</v>
      </c>
      <c r="M2487" s="116">
        <v>1254.75</v>
      </c>
      <c r="N2487" s="116">
        <v>1269.75</v>
      </c>
      <c r="O2487" s="116">
        <v>1248.05</v>
      </c>
      <c r="P2487" s="116">
        <v>1267</v>
      </c>
      <c r="Q2487" s="116">
        <v>1254.75</v>
      </c>
      <c r="R2487">
        <v>12794704</v>
      </c>
    </row>
    <row r="2488" spans="1:18" x14ac:dyDescent="0.25">
      <c r="A2488" s="170">
        <v>45667</v>
      </c>
      <c r="B2488" s="116">
        <v>1256.7</v>
      </c>
      <c r="C2488" s="116">
        <v>1242.3499999999999</v>
      </c>
      <c r="D2488" s="116">
        <v>1236.1500000000001</v>
      </c>
      <c r="E2488" s="116">
        <v>1255.9000000000001</v>
      </c>
      <c r="F2488" s="116">
        <v>1242.3499999999999</v>
      </c>
      <c r="G2488">
        <v>498991</v>
      </c>
      <c r="H2488" s="116"/>
      <c r="I2488" s="116"/>
      <c r="L2488" s="170">
        <v>45667</v>
      </c>
      <c r="M2488" s="116">
        <v>1241.9000000000001</v>
      </c>
      <c r="N2488" s="116">
        <v>1256.75</v>
      </c>
      <c r="O2488" s="116">
        <v>1236</v>
      </c>
      <c r="P2488" s="116">
        <v>1253.8499999999999</v>
      </c>
      <c r="Q2488" s="116">
        <v>1241.9000000000001</v>
      </c>
      <c r="R2488">
        <v>8120332</v>
      </c>
    </row>
    <row r="2489" spans="1:18" x14ac:dyDescent="0.25">
      <c r="A2489" s="170">
        <v>45670</v>
      </c>
      <c r="B2489" s="116">
        <v>1245.1500000000001</v>
      </c>
      <c r="C2489" s="116">
        <v>1240.05</v>
      </c>
      <c r="D2489" s="116">
        <v>1225.5999999999999</v>
      </c>
      <c r="E2489" s="116">
        <v>1230</v>
      </c>
      <c r="F2489" s="116">
        <v>1240.05</v>
      </c>
      <c r="G2489">
        <v>810470</v>
      </c>
      <c r="H2489" s="116"/>
      <c r="I2489" s="116"/>
      <c r="L2489" s="170">
        <v>45670</v>
      </c>
      <c r="M2489" s="116">
        <v>1239.8499999999999</v>
      </c>
      <c r="N2489" s="116">
        <v>1245.25</v>
      </c>
      <c r="O2489" s="116">
        <v>1226.4000000000001</v>
      </c>
      <c r="P2489" s="116">
        <v>1230</v>
      </c>
      <c r="Q2489" s="116">
        <v>1239.8499999999999</v>
      </c>
      <c r="R2489">
        <v>13764861</v>
      </c>
    </row>
    <row r="2490" spans="1:18" x14ac:dyDescent="0.25">
      <c r="A2490" s="170">
        <v>45671</v>
      </c>
      <c r="B2490" s="116">
        <v>1255.05</v>
      </c>
      <c r="C2490" s="116">
        <v>1238.55</v>
      </c>
      <c r="D2490" s="116">
        <v>1227.3</v>
      </c>
      <c r="E2490" s="116">
        <v>1240</v>
      </c>
      <c r="F2490" s="116">
        <v>1238.55</v>
      </c>
      <c r="G2490">
        <v>837785</v>
      </c>
      <c r="H2490" s="116"/>
      <c r="I2490" s="116"/>
      <c r="L2490" s="170">
        <v>45671</v>
      </c>
      <c r="M2490" s="116">
        <v>1238.75</v>
      </c>
      <c r="N2490" s="116">
        <v>1253.3499999999999</v>
      </c>
      <c r="O2490" s="116">
        <v>1227.25</v>
      </c>
      <c r="P2490" s="116">
        <v>1244.0999999999999</v>
      </c>
      <c r="Q2490" s="116">
        <v>1238.75</v>
      </c>
      <c r="R2490">
        <v>13095266</v>
      </c>
    </row>
    <row r="2491" spans="1:18" x14ac:dyDescent="0.25">
      <c r="A2491" s="170">
        <v>45672</v>
      </c>
      <c r="B2491" s="116">
        <v>1256.75</v>
      </c>
      <c r="C2491" s="116">
        <v>1252.3</v>
      </c>
      <c r="D2491" s="116">
        <v>1242.1500000000001</v>
      </c>
      <c r="E2491" s="116">
        <v>1247</v>
      </c>
      <c r="F2491" s="116">
        <v>1252.3</v>
      </c>
      <c r="G2491">
        <v>287139</v>
      </c>
      <c r="H2491" s="116"/>
      <c r="I2491" s="116"/>
      <c r="L2491" s="170">
        <v>45672</v>
      </c>
      <c r="M2491" s="116">
        <v>1252.2</v>
      </c>
      <c r="N2491" s="116">
        <v>1257</v>
      </c>
      <c r="O2491" s="116">
        <v>1241.8499999999999</v>
      </c>
      <c r="P2491" s="116">
        <v>1244.95</v>
      </c>
      <c r="Q2491" s="116">
        <v>1252.2</v>
      </c>
      <c r="R2491">
        <v>9578856</v>
      </c>
    </row>
    <row r="2492" spans="1:18" x14ac:dyDescent="0.25">
      <c r="A2492" s="170">
        <v>45673</v>
      </c>
      <c r="B2492" s="116">
        <v>1275</v>
      </c>
      <c r="C2492" s="116">
        <v>1268.7</v>
      </c>
      <c r="D2492" s="116">
        <v>1251.4000000000001</v>
      </c>
      <c r="E2492" s="116">
        <v>1260.2</v>
      </c>
      <c r="F2492" s="116">
        <v>1268.7</v>
      </c>
      <c r="G2492">
        <v>391749</v>
      </c>
      <c r="H2492" s="116"/>
      <c r="I2492" s="116"/>
      <c r="L2492" s="170">
        <v>45673</v>
      </c>
      <c r="M2492" s="116">
        <v>1266.45</v>
      </c>
      <c r="N2492" s="116">
        <v>1275</v>
      </c>
      <c r="O2492" s="116">
        <v>1251.3</v>
      </c>
      <c r="P2492" s="116">
        <v>1258.9000000000001</v>
      </c>
      <c r="Q2492" s="116">
        <v>1266.45</v>
      </c>
      <c r="R2492">
        <v>14117603</v>
      </c>
    </row>
    <row r="2493" spans="1:18" x14ac:dyDescent="0.25">
      <c r="A2493" s="170">
        <v>45674</v>
      </c>
      <c r="B2493" s="116">
        <v>1325.1</v>
      </c>
      <c r="C2493" s="116">
        <v>1301.3</v>
      </c>
      <c r="D2493" s="116">
        <v>1284.7</v>
      </c>
      <c r="E2493" s="116">
        <v>1325.1</v>
      </c>
      <c r="F2493" s="116">
        <v>1301.3</v>
      </c>
      <c r="G2493">
        <v>1514067</v>
      </c>
      <c r="H2493" s="116"/>
      <c r="I2493" s="116"/>
      <c r="L2493" s="170">
        <v>45674</v>
      </c>
      <c r="M2493" s="116">
        <v>1302.3499999999999</v>
      </c>
      <c r="N2493" s="116">
        <v>1326</v>
      </c>
      <c r="O2493" s="116">
        <v>1285</v>
      </c>
      <c r="P2493" s="116">
        <v>1322.25</v>
      </c>
      <c r="Q2493" s="116">
        <v>1302.3499999999999</v>
      </c>
      <c r="R2493">
        <v>29366277</v>
      </c>
    </row>
    <row r="2494" spans="1:18" x14ac:dyDescent="0.25">
      <c r="A2494" s="170">
        <v>45677</v>
      </c>
      <c r="B2494" s="116">
        <v>1319.35</v>
      </c>
      <c r="C2494" s="116">
        <v>1305</v>
      </c>
      <c r="D2494" s="116">
        <v>1300.55</v>
      </c>
      <c r="E2494" s="116">
        <v>1319.35</v>
      </c>
      <c r="F2494" s="116">
        <v>1305</v>
      </c>
      <c r="G2494">
        <v>242236</v>
      </c>
      <c r="H2494" s="116"/>
      <c r="I2494" s="116"/>
      <c r="L2494" s="170">
        <v>45677</v>
      </c>
      <c r="M2494" s="116">
        <v>1305.45</v>
      </c>
      <c r="N2494" s="116">
        <v>1316</v>
      </c>
      <c r="O2494" s="116">
        <v>1300.25</v>
      </c>
      <c r="P2494" s="116">
        <v>1316</v>
      </c>
      <c r="Q2494" s="116">
        <v>1305.45</v>
      </c>
      <c r="R2494">
        <v>14040244</v>
      </c>
    </row>
    <row r="2495" spans="1:18" x14ac:dyDescent="0.25">
      <c r="A2495" s="170">
        <v>45678</v>
      </c>
      <c r="B2495" s="116">
        <v>1312.85</v>
      </c>
      <c r="C2495" s="116">
        <v>1272.95</v>
      </c>
      <c r="D2495" s="116">
        <v>1269.55</v>
      </c>
      <c r="E2495" s="116">
        <v>1310</v>
      </c>
      <c r="F2495" s="116">
        <v>1272.95</v>
      </c>
      <c r="G2495">
        <v>1210468</v>
      </c>
      <c r="H2495" s="116"/>
      <c r="I2495" s="116"/>
      <c r="L2495" s="170">
        <v>45678</v>
      </c>
      <c r="M2495" s="116">
        <v>1273.7</v>
      </c>
      <c r="N2495" s="116">
        <v>1313</v>
      </c>
      <c r="O2495" s="116">
        <v>1270.2</v>
      </c>
      <c r="P2495" s="116">
        <v>1310.5</v>
      </c>
      <c r="Q2495" s="116">
        <v>1273.7</v>
      </c>
      <c r="R2495">
        <v>14562976</v>
      </c>
    </row>
    <row r="2496" spans="1:18" x14ac:dyDescent="0.25">
      <c r="A2496" s="170">
        <v>45679</v>
      </c>
      <c r="B2496" s="116">
        <v>1282.9000000000001</v>
      </c>
      <c r="C2496" s="116">
        <v>1277.3</v>
      </c>
      <c r="D2496" s="116">
        <v>1268.8</v>
      </c>
      <c r="E2496" s="116">
        <v>1279</v>
      </c>
      <c r="F2496" s="116">
        <v>1277.3</v>
      </c>
      <c r="G2496">
        <v>2201402</v>
      </c>
      <c r="H2496" s="116"/>
      <c r="I2496" s="116"/>
      <c r="L2496" s="170">
        <v>45679</v>
      </c>
      <c r="M2496" s="116">
        <v>1277.0999999999999</v>
      </c>
      <c r="N2496" s="116">
        <v>1282.9000000000001</v>
      </c>
      <c r="O2496" s="116">
        <v>1268.7</v>
      </c>
      <c r="P2496" s="116">
        <v>1278.3</v>
      </c>
      <c r="Q2496" s="116">
        <v>1277.0999999999999</v>
      </c>
      <c r="R2496">
        <v>10273590</v>
      </c>
    </row>
    <row r="2497" spans="1:18" x14ac:dyDescent="0.25">
      <c r="A2497" s="170">
        <v>45680</v>
      </c>
      <c r="B2497" s="116">
        <v>1277.25</v>
      </c>
      <c r="C2497" s="116">
        <v>1263.8499999999999</v>
      </c>
      <c r="D2497" s="116">
        <v>1261.55</v>
      </c>
      <c r="E2497" s="116">
        <v>1274.75</v>
      </c>
      <c r="F2497" s="116">
        <v>1263.8499999999999</v>
      </c>
      <c r="G2497">
        <v>235409</v>
      </c>
      <c r="H2497" s="116"/>
      <c r="I2497" s="116"/>
      <c r="L2497" s="170">
        <v>45680</v>
      </c>
      <c r="M2497" s="116">
        <v>1263.6500000000001</v>
      </c>
      <c r="N2497" s="116">
        <v>1277.3499999999999</v>
      </c>
      <c r="O2497" s="116">
        <v>1261.5999999999999</v>
      </c>
      <c r="P2497" s="116">
        <v>1270</v>
      </c>
      <c r="Q2497" s="116">
        <v>1263.6500000000001</v>
      </c>
      <c r="R2497">
        <v>8720682</v>
      </c>
    </row>
    <row r="2498" spans="1:18" x14ac:dyDescent="0.25">
      <c r="A2498" s="170">
        <v>45681</v>
      </c>
      <c r="B2498" s="116">
        <v>1273.0999999999999</v>
      </c>
      <c r="C2498" s="116">
        <v>1245.9000000000001</v>
      </c>
      <c r="D2498" s="116">
        <v>1244</v>
      </c>
      <c r="E2498" s="116">
        <v>1266.9000000000001</v>
      </c>
      <c r="F2498" s="116">
        <v>1245.9000000000001</v>
      </c>
      <c r="G2498">
        <v>430797</v>
      </c>
      <c r="H2498" s="116"/>
      <c r="I2498" s="116"/>
      <c r="L2498" s="170">
        <v>45681</v>
      </c>
      <c r="M2498" s="116">
        <v>1246.3</v>
      </c>
      <c r="N2498" s="116">
        <v>1273</v>
      </c>
      <c r="O2498" s="116">
        <v>1243.5</v>
      </c>
      <c r="P2498" s="116">
        <v>1266</v>
      </c>
      <c r="Q2498" s="116">
        <v>1246.3</v>
      </c>
      <c r="R2498">
        <v>14235970</v>
      </c>
    </row>
    <row r="2499" spans="1:18" x14ac:dyDescent="0.25">
      <c r="A2499" s="170">
        <v>45684</v>
      </c>
      <c r="B2499" s="116">
        <v>1240.45</v>
      </c>
      <c r="C2499" s="116">
        <v>1229.3</v>
      </c>
      <c r="D2499" s="116">
        <v>1220.05</v>
      </c>
      <c r="E2499" s="116">
        <v>1239.9000000000001</v>
      </c>
      <c r="F2499" s="116">
        <v>1229.3</v>
      </c>
      <c r="G2499">
        <v>411760</v>
      </c>
      <c r="H2499" s="116"/>
      <c r="I2499" s="116"/>
      <c r="L2499" s="170">
        <v>45684</v>
      </c>
      <c r="M2499" s="116">
        <v>1229.3499999999999</v>
      </c>
      <c r="N2499" s="116">
        <v>1240.45</v>
      </c>
      <c r="O2499" s="116">
        <v>1220</v>
      </c>
      <c r="P2499" s="116">
        <v>1239.0999999999999</v>
      </c>
      <c r="Q2499" s="116">
        <v>1229.3499999999999</v>
      </c>
      <c r="R2499">
        <v>9536019</v>
      </c>
    </row>
    <row r="2500" spans="1:18" x14ac:dyDescent="0.25">
      <c r="A2500" s="170">
        <v>45685</v>
      </c>
      <c r="B2500" s="116">
        <v>1244.1500000000001</v>
      </c>
      <c r="C2500" s="116">
        <v>1233.8</v>
      </c>
      <c r="D2500" s="116">
        <v>1218.9000000000001</v>
      </c>
      <c r="E2500" s="116">
        <v>1236.5999999999999</v>
      </c>
      <c r="F2500" s="116">
        <v>1233.8</v>
      </c>
      <c r="G2500">
        <v>364260</v>
      </c>
      <c r="H2500" s="116"/>
      <c r="I2500" s="116"/>
      <c r="L2500" s="170">
        <v>45685</v>
      </c>
      <c r="M2500" s="116">
        <v>1234.4000000000001</v>
      </c>
      <c r="N2500" s="116">
        <v>1244.75</v>
      </c>
      <c r="O2500" s="116">
        <v>1218.5</v>
      </c>
      <c r="P2500" s="116">
        <v>1238</v>
      </c>
      <c r="Q2500" s="116">
        <v>1234.4000000000001</v>
      </c>
      <c r="R2500">
        <v>10568025</v>
      </c>
    </row>
    <row r="2501" spans="1:18" x14ac:dyDescent="0.25">
      <c r="A2501" s="170">
        <v>45686</v>
      </c>
      <c r="B2501" s="116">
        <v>1242.75</v>
      </c>
      <c r="C2501" s="116">
        <v>1235.8</v>
      </c>
      <c r="D2501" s="116">
        <v>1228.45</v>
      </c>
      <c r="E2501" s="116">
        <v>1237.3</v>
      </c>
      <c r="F2501" s="116">
        <v>1235.8</v>
      </c>
      <c r="G2501">
        <v>358148</v>
      </c>
      <c r="H2501" s="116"/>
      <c r="I2501" s="116"/>
      <c r="L2501" s="170">
        <v>45686</v>
      </c>
      <c r="M2501" s="116">
        <v>1235.5</v>
      </c>
      <c r="N2501" s="116">
        <v>1242.75</v>
      </c>
      <c r="O2501" s="116">
        <v>1228.05</v>
      </c>
      <c r="P2501" s="116">
        <v>1236</v>
      </c>
      <c r="Q2501" s="116">
        <v>1235.5</v>
      </c>
      <c r="R2501">
        <v>5928156</v>
      </c>
    </row>
    <row r="2502" spans="1:18" x14ac:dyDescent="0.25">
      <c r="A2502" s="170">
        <v>45687</v>
      </c>
      <c r="B2502" s="116">
        <v>1256.5999999999999</v>
      </c>
      <c r="C2502" s="116">
        <v>1253.5999999999999</v>
      </c>
      <c r="D2502" s="116">
        <v>1232.25</v>
      </c>
      <c r="E2502" s="116">
        <v>1235</v>
      </c>
      <c r="F2502" s="116">
        <v>1253.5999999999999</v>
      </c>
      <c r="G2502">
        <v>462230</v>
      </c>
      <c r="H2502" s="116"/>
      <c r="I2502" s="116"/>
      <c r="L2502" s="170">
        <v>45687</v>
      </c>
      <c r="M2502" s="116">
        <v>1253.05</v>
      </c>
      <c r="N2502" s="116">
        <v>1257</v>
      </c>
      <c r="O2502" s="116">
        <v>1232.4000000000001</v>
      </c>
      <c r="P2502" s="116">
        <v>1235.55</v>
      </c>
      <c r="Q2502" s="116">
        <v>1253.05</v>
      </c>
      <c r="R2502">
        <v>9269259</v>
      </c>
    </row>
    <row r="2503" spans="1:18" x14ac:dyDescent="0.25">
      <c r="A2503" s="170">
        <v>45688</v>
      </c>
      <c r="B2503" s="116">
        <v>1266</v>
      </c>
      <c r="C2503" s="116">
        <v>1264.9000000000001</v>
      </c>
      <c r="D2503" s="116">
        <v>1249.5</v>
      </c>
      <c r="E2503" s="116">
        <v>1257.4000000000001</v>
      </c>
      <c r="F2503" s="116">
        <v>1264.9000000000001</v>
      </c>
      <c r="G2503">
        <v>412707</v>
      </c>
      <c r="H2503" s="116"/>
      <c r="I2503" s="116"/>
      <c r="L2503" s="170">
        <v>45688</v>
      </c>
      <c r="M2503" s="116">
        <v>1265.0999999999999</v>
      </c>
      <c r="N2503" s="116">
        <v>1267</v>
      </c>
      <c r="O2503" s="116">
        <v>1249</v>
      </c>
      <c r="P2503" s="116">
        <v>1255.8499999999999</v>
      </c>
      <c r="Q2503" s="116">
        <v>1265.0999999999999</v>
      </c>
      <c r="R2503">
        <v>6584612</v>
      </c>
    </row>
    <row r="2504" spans="1:18" x14ac:dyDescent="0.25">
      <c r="A2504" s="170">
        <v>45689</v>
      </c>
      <c r="B2504" s="116">
        <v>1269.95</v>
      </c>
      <c r="C2504" s="116">
        <v>1264.6500000000001</v>
      </c>
      <c r="D2504" s="116">
        <v>1241.5</v>
      </c>
      <c r="E2504" s="116">
        <v>1265</v>
      </c>
      <c r="F2504" s="116">
        <v>1264.6500000000001</v>
      </c>
      <c r="G2504">
        <v>266300</v>
      </c>
      <c r="H2504" s="116"/>
      <c r="I2504" s="116"/>
      <c r="L2504" s="170">
        <v>45689</v>
      </c>
      <c r="M2504" s="116">
        <v>1264.5999999999999</v>
      </c>
      <c r="N2504" s="116">
        <v>1270.55</v>
      </c>
      <c r="O2504" s="116">
        <v>1241</v>
      </c>
      <c r="P2504" s="116">
        <v>1265.0999999999999</v>
      </c>
      <c r="Q2504" s="116">
        <v>1264.5999999999999</v>
      </c>
      <c r="R2504">
        <v>7118453</v>
      </c>
    </row>
    <row r="2505" spans="1:18" x14ac:dyDescent="0.25">
      <c r="A2505" s="170">
        <v>45691</v>
      </c>
      <c r="B2505" s="116">
        <v>1255.9000000000001</v>
      </c>
      <c r="C2505" s="116">
        <v>1245.1500000000001</v>
      </c>
      <c r="D2505" s="116">
        <v>1238</v>
      </c>
      <c r="E2505" s="116">
        <v>1250</v>
      </c>
      <c r="F2505" s="116">
        <v>1245.1500000000001</v>
      </c>
      <c r="G2505">
        <v>396687</v>
      </c>
      <c r="H2505" s="116"/>
      <c r="I2505" s="116"/>
      <c r="L2505" s="170">
        <v>45691</v>
      </c>
      <c r="M2505" s="116">
        <v>1245.9000000000001</v>
      </c>
      <c r="N2505" s="116">
        <v>1256</v>
      </c>
      <c r="O2505" s="116">
        <v>1237.55</v>
      </c>
      <c r="P2505" s="116">
        <v>1251</v>
      </c>
      <c r="Q2505" s="116">
        <v>1245.9000000000001</v>
      </c>
      <c r="R2505">
        <v>9252345</v>
      </c>
    </row>
    <row r="2506" spans="1:18" x14ac:dyDescent="0.25">
      <c r="A2506" s="170">
        <v>45692</v>
      </c>
      <c r="B2506" s="116">
        <v>1289</v>
      </c>
      <c r="C2506" s="116">
        <v>1286</v>
      </c>
      <c r="D2506" s="116">
        <v>1246.6500000000001</v>
      </c>
      <c r="E2506" s="116">
        <v>1247.05</v>
      </c>
      <c r="F2506" s="116">
        <v>1286</v>
      </c>
      <c r="G2506">
        <v>397483</v>
      </c>
      <c r="H2506" s="116"/>
      <c r="I2506" s="116"/>
      <c r="L2506" s="170">
        <v>45692</v>
      </c>
      <c r="M2506" s="116">
        <v>1285.2</v>
      </c>
      <c r="N2506" s="116">
        <v>1288.8</v>
      </c>
      <c r="O2506" s="116">
        <v>1246.5999999999999</v>
      </c>
      <c r="P2506" s="116">
        <v>1248.05</v>
      </c>
      <c r="Q2506" s="116">
        <v>1285.2</v>
      </c>
      <c r="R2506">
        <v>16691069</v>
      </c>
    </row>
    <row r="2507" spans="1:18" x14ac:dyDescent="0.25">
      <c r="A2507" s="170">
        <v>45693</v>
      </c>
      <c r="B2507" s="116">
        <v>1290</v>
      </c>
      <c r="C2507" s="116">
        <v>1278.05</v>
      </c>
      <c r="D2507" s="116">
        <v>1276.1500000000001</v>
      </c>
      <c r="E2507" s="116">
        <v>1284.95</v>
      </c>
      <c r="F2507" s="116">
        <v>1278.05</v>
      </c>
      <c r="G2507">
        <v>355650</v>
      </c>
      <c r="H2507" s="116"/>
      <c r="I2507" s="116"/>
      <c r="L2507" s="170">
        <v>45693</v>
      </c>
      <c r="M2507" s="116">
        <v>1278.2</v>
      </c>
      <c r="N2507" s="116">
        <v>1290.5</v>
      </c>
      <c r="O2507" s="116">
        <v>1276.7</v>
      </c>
      <c r="P2507" s="116">
        <v>1282.6500000000001</v>
      </c>
      <c r="Q2507" s="116">
        <v>1278.2</v>
      </c>
      <c r="R2507">
        <v>10112028</v>
      </c>
    </row>
    <row r="2508" spans="1:18" x14ac:dyDescent="0.25">
      <c r="A2508" s="170">
        <v>45694</v>
      </c>
      <c r="B2508" s="116">
        <v>1287.3499999999999</v>
      </c>
      <c r="C2508" s="116">
        <v>1281.55</v>
      </c>
      <c r="D2508" s="116">
        <v>1270.8</v>
      </c>
      <c r="E2508" s="116">
        <v>1276.5999999999999</v>
      </c>
      <c r="F2508" s="116">
        <v>1281.55</v>
      </c>
      <c r="G2508">
        <v>160168</v>
      </c>
      <c r="H2508" s="116"/>
      <c r="I2508" s="116"/>
      <c r="L2508" s="170">
        <v>45694</v>
      </c>
      <c r="M2508" s="116">
        <v>1281.55</v>
      </c>
      <c r="N2508" s="116">
        <v>1288</v>
      </c>
      <c r="O2508" s="116">
        <v>1270.3499999999999</v>
      </c>
      <c r="P2508" s="116">
        <v>1273.7</v>
      </c>
      <c r="Q2508" s="116">
        <v>1281.55</v>
      </c>
      <c r="R2508">
        <v>9956001</v>
      </c>
    </row>
    <row r="2509" spans="1:18" x14ac:dyDescent="0.25">
      <c r="A2509" s="170">
        <v>45695</v>
      </c>
      <c r="B2509" s="116">
        <v>1284.75</v>
      </c>
      <c r="C2509" s="116">
        <v>1266.8499999999999</v>
      </c>
      <c r="D2509" s="116">
        <v>1262</v>
      </c>
      <c r="E2509" s="116">
        <v>1266.45</v>
      </c>
      <c r="F2509" s="116">
        <v>1266.8499999999999</v>
      </c>
      <c r="G2509">
        <v>375026</v>
      </c>
      <c r="H2509" s="116"/>
      <c r="I2509" s="116"/>
      <c r="L2509" s="170">
        <v>45695</v>
      </c>
      <c r="M2509" s="116">
        <v>1266.7</v>
      </c>
      <c r="N2509" s="116">
        <v>1283.7</v>
      </c>
      <c r="O2509" s="116">
        <v>1262</v>
      </c>
      <c r="P2509" s="116">
        <v>1276.1500000000001</v>
      </c>
      <c r="Q2509" s="116">
        <v>1266.7</v>
      </c>
      <c r="R2509">
        <v>8764283</v>
      </c>
    </row>
    <row r="2510" spans="1:18" x14ac:dyDescent="0.25">
      <c r="A2510" s="170">
        <v>45698</v>
      </c>
      <c r="B2510" s="116">
        <v>1266</v>
      </c>
      <c r="C2510" s="116">
        <v>1253.4000000000001</v>
      </c>
      <c r="D2510" s="116">
        <v>1245.8499999999999</v>
      </c>
      <c r="E2510" s="116">
        <v>1263.8</v>
      </c>
      <c r="F2510" s="116">
        <v>1253.4000000000001</v>
      </c>
      <c r="G2510">
        <v>539885</v>
      </c>
      <c r="H2510" s="116"/>
      <c r="I2510" s="116"/>
      <c r="L2510" s="170">
        <v>45698</v>
      </c>
      <c r="M2510" s="116">
        <v>1253.6500000000001</v>
      </c>
      <c r="N2510" s="116">
        <v>1266.5</v>
      </c>
      <c r="O2510" s="116">
        <v>1245.55</v>
      </c>
      <c r="P2510" s="116">
        <v>1264.5</v>
      </c>
      <c r="Q2510" s="116">
        <v>1253.6500000000001</v>
      </c>
      <c r="R2510">
        <v>6970972</v>
      </c>
    </row>
    <row r="2511" spans="1:18" x14ac:dyDescent="0.25">
      <c r="A2511" s="170">
        <v>45699</v>
      </c>
      <c r="B2511" s="116">
        <v>1263.4000000000001</v>
      </c>
      <c r="C2511" s="116">
        <v>1234.5999999999999</v>
      </c>
      <c r="D2511" s="116">
        <v>1230</v>
      </c>
      <c r="E2511" s="116">
        <v>1263.05</v>
      </c>
      <c r="F2511" s="116">
        <v>1234.5999999999999</v>
      </c>
      <c r="G2511">
        <v>554854</v>
      </c>
      <c r="H2511" s="116"/>
      <c r="I2511" s="116"/>
      <c r="L2511" s="170">
        <v>45699</v>
      </c>
      <c r="M2511" s="116">
        <v>1234.8499999999999</v>
      </c>
      <c r="N2511" s="116">
        <v>1264.55</v>
      </c>
      <c r="O2511" s="116">
        <v>1230.0999999999999</v>
      </c>
      <c r="P2511" s="116">
        <v>1264.55</v>
      </c>
      <c r="Q2511" s="116">
        <v>1234.8499999999999</v>
      </c>
      <c r="R2511">
        <v>8859714</v>
      </c>
    </row>
    <row r="2512" spans="1:18" x14ac:dyDescent="0.25">
      <c r="A2512" s="170">
        <v>45700</v>
      </c>
      <c r="B2512" s="116">
        <v>1227.8499999999999</v>
      </c>
      <c r="C2512" s="116">
        <v>1215.7</v>
      </c>
      <c r="D2512" s="116">
        <v>1193.6500000000001</v>
      </c>
      <c r="E2512" s="116">
        <v>1219.95</v>
      </c>
      <c r="F2512" s="116">
        <v>1215.7</v>
      </c>
      <c r="G2512">
        <v>596942</v>
      </c>
      <c r="H2512" s="116"/>
      <c r="I2512" s="116"/>
      <c r="L2512" s="170">
        <v>45700</v>
      </c>
      <c r="M2512" s="116">
        <v>1216.55</v>
      </c>
      <c r="N2512" s="116">
        <v>1226.9000000000001</v>
      </c>
      <c r="O2512" s="116">
        <v>1193.3499999999999</v>
      </c>
      <c r="P2512" s="116">
        <v>1219.45</v>
      </c>
      <c r="Q2512" s="116">
        <v>1216.55</v>
      </c>
      <c r="R2512">
        <v>21131654</v>
      </c>
    </row>
    <row r="2513" spans="1:18" x14ac:dyDescent="0.25">
      <c r="A2513" s="170">
        <v>45701</v>
      </c>
      <c r="B2513" s="116">
        <v>1227.95</v>
      </c>
      <c r="C2513" s="116">
        <v>1216.2</v>
      </c>
      <c r="D2513" s="116">
        <v>1212.1500000000001</v>
      </c>
      <c r="E2513" s="116">
        <v>1218.95</v>
      </c>
      <c r="F2513" s="116">
        <v>1216.2</v>
      </c>
      <c r="G2513">
        <v>360188</v>
      </c>
      <c r="H2513" s="116"/>
      <c r="I2513" s="116"/>
      <c r="L2513" s="170">
        <v>45701</v>
      </c>
      <c r="M2513" s="116">
        <v>1216.0999999999999</v>
      </c>
      <c r="N2513" s="116">
        <v>1228</v>
      </c>
      <c r="O2513" s="116">
        <v>1212</v>
      </c>
      <c r="P2513" s="116">
        <v>1217.05</v>
      </c>
      <c r="Q2513" s="116">
        <v>1216.0999999999999</v>
      </c>
      <c r="R2513">
        <v>8511216</v>
      </c>
    </row>
    <row r="2514" spans="1:18" x14ac:dyDescent="0.25">
      <c r="A2514" s="170">
        <v>45702</v>
      </c>
      <c r="B2514" s="116">
        <v>1224.3</v>
      </c>
      <c r="C2514" s="116">
        <v>1216.95</v>
      </c>
      <c r="D2514" s="116">
        <v>1206</v>
      </c>
      <c r="E2514" s="116">
        <v>1220</v>
      </c>
      <c r="F2514" s="116">
        <v>1216.95</v>
      </c>
      <c r="G2514">
        <v>358010</v>
      </c>
      <c r="H2514" s="116"/>
      <c r="I2514" s="116"/>
      <c r="L2514" s="170">
        <v>45702</v>
      </c>
      <c r="M2514" s="116">
        <v>1217.25</v>
      </c>
      <c r="N2514" s="116">
        <v>1224</v>
      </c>
      <c r="O2514" s="116">
        <v>1205.45</v>
      </c>
      <c r="P2514" s="116">
        <v>1219</v>
      </c>
      <c r="Q2514" s="116">
        <v>1217.25</v>
      </c>
      <c r="R2514">
        <v>10298145</v>
      </c>
    </row>
    <row r="2515" spans="1:18" x14ac:dyDescent="0.25">
      <c r="A2515" s="170">
        <v>45705</v>
      </c>
      <c r="B2515" s="116">
        <v>1227.2</v>
      </c>
      <c r="C2515" s="116">
        <v>1224.75</v>
      </c>
      <c r="D2515" s="116">
        <v>1205.1500000000001</v>
      </c>
      <c r="E2515" s="116">
        <v>1215.75</v>
      </c>
      <c r="F2515" s="116">
        <v>1224.75</v>
      </c>
      <c r="G2515">
        <v>207944</v>
      </c>
      <c r="H2515" s="116"/>
      <c r="I2515" s="116"/>
      <c r="L2515" s="170">
        <v>45705</v>
      </c>
      <c r="M2515" s="116">
        <v>1224.9000000000001</v>
      </c>
      <c r="N2515" s="116">
        <v>1227.5</v>
      </c>
      <c r="O2515" s="116">
        <v>1204.5</v>
      </c>
      <c r="P2515" s="116">
        <v>1211.0999999999999</v>
      </c>
      <c r="Q2515" s="116">
        <v>1224.9000000000001</v>
      </c>
      <c r="R2515">
        <v>8166683</v>
      </c>
    </row>
    <row r="2516" spans="1:18" x14ac:dyDescent="0.25">
      <c r="A2516" s="170">
        <v>45706</v>
      </c>
      <c r="B2516" s="116">
        <v>1229.95</v>
      </c>
      <c r="C2516" s="116">
        <v>1224.95</v>
      </c>
      <c r="D2516" s="116">
        <v>1216.4000000000001</v>
      </c>
      <c r="E2516" s="116">
        <v>1225.25</v>
      </c>
      <c r="F2516" s="116">
        <v>1224.95</v>
      </c>
      <c r="G2516">
        <v>206583</v>
      </c>
      <c r="H2516" s="116"/>
      <c r="I2516" s="116"/>
      <c r="L2516" s="170">
        <v>45706</v>
      </c>
      <c r="M2516" s="116">
        <v>1225.4000000000001</v>
      </c>
      <c r="N2516" s="116">
        <v>1229.9000000000001</v>
      </c>
      <c r="O2516" s="116">
        <v>1216.0999999999999</v>
      </c>
      <c r="P2516" s="116">
        <v>1224.8499999999999</v>
      </c>
      <c r="Q2516" s="116">
        <v>1225.4000000000001</v>
      </c>
      <c r="R2516">
        <v>6673250</v>
      </c>
    </row>
    <row r="2517" spans="1:18" x14ac:dyDescent="0.25">
      <c r="A2517" s="170">
        <v>45707</v>
      </c>
      <c r="B2517" s="116">
        <v>1232.8</v>
      </c>
      <c r="C2517" s="116">
        <v>1226.95</v>
      </c>
      <c r="D2517" s="116">
        <v>1217.5999999999999</v>
      </c>
      <c r="E2517" s="116">
        <v>1222.75</v>
      </c>
      <c r="F2517" s="116">
        <v>1226.95</v>
      </c>
      <c r="G2517">
        <v>110206</v>
      </c>
      <c r="H2517" s="116"/>
      <c r="I2517" s="116"/>
      <c r="L2517" s="170">
        <v>45707</v>
      </c>
      <c r="M2517" s="116">
        <v>1227.45</v>
      </c>
      <c r="N2517" s="116">
        <v>1232.75</v>
      </c>
      <c r="O2517" s="116">
        <v>1217.55</v>
      </c>
      <c r="P2517" s="116">
        <v>1219.5</v>
      </c>
      <c r="Q2517" s="116">
        <v>1227.45</v>
      </c>
      <c r="R2517">
        <v>6217338</v>
      </c>
    </row>
    <row r="2518" spans="1:18" x14ac:dyDescent="0.25">
      <c r="A2518" s="170">
        <v>45708</v>
      </c>
      <c r="B2518" s="116">
        <v>1239.4000000000001</v>
      </c>
      <c r="C2518" s="116">
        <v>1233.05</v>
      </c>
      <c r="D2518" s="116">
        <v>1223</v>
      </c>
      <c r="E2518" s="116">
        <v>1226.25</v>
      </c>
      <c r="F2518" s="116">
        <v>1233.05</v>
      </c>
      <c r="G2518">
        <v>206262</v>
      </c>
      <c r="H2518" s="116"/>
      <c r="I2518" s="116"/>
      <c r="L2518" s="170">
        <v>45708</v>
      </c>
      <c r="M2518" s="116">
        <v>1233</v>
      </c>
      <c r="N2518" s="116">
        <v>1239.3499999999999</v>
      </c>
      <c r="O2518" s="116">
        <v>1222</v>
      </c>
      <c r="P2518" s="116">
        <v>1223.95</v>
      </c>
      <c r="Q2518" s="116">
        <v>1233</v>
      </c>
      <c r="R2518">
        <v>7795582</v>
      </c>
    </row>
    <row r="2519" spans="1:18" x14ac:dyDescent="0.25">
      <c r="A2519" s="170">
        <v>45709</v>
      </c>
      <c r="B2519" s="116">
        <v>1239.95</v>
      </c>
      <c r="C2519" s="116">
        <v>1227.7</v>
      </c>
      <c r="D2519" s="116">
        <v>1222.3499999999999</v>
      </c>
      <c r="E2519" s="116">
        <v>1229.95</v>
      </c>
      <c r="F2519" s="116">
        <v>1227.7</v>
      </c>
      <c r="G2519">
        <v>907589</v>
      </c>
      <c r="H2519" s="116"/>
      <c r="I2519" s="116"/>
      <c r="L2519" s="170">
        <v>45709</v>
      </c>
      <c r="M2519" s="116">
        <v>1228.1500000000001</v>
      </c>
      <c r="N2519" s="116">
        <v>1240</v>
      </c>
      <c r="O2519" s="116">
        <v>1222.1500000000001</v>
      </c>
      <c r="P2519" s="116">
        <v>1228.7</v>
      </c>
      <c r="Q2519" s="116">
        <v>1228.1500000000001</v>
      </c>
      <c r="R2519">
        <v>6904025</v>
      </c>
    </row>
    <row r="2520" spans="1:18" x14ac:dyDescent="0.25">
      <c r="A2520" s="170">
        <v>45712</v>
      </c>
      <c r="B2520" s="116">
        <v>1223</v>
      </c>
      <c r="C2520" s="116">
        <v>1214.75</v>
      </c>
      <c r="D2520" s="116">
        <v>1210.5999999999999</v>
      </c>
      <c r="E2520" s="116">
        <v>1219.4000000000001</v>
      </c>
      <c r="F2520" s="116">
        <v>1214.75</v>
      </c>
      <c r="G2520">
        <v>477209</v>
      </c>
      <c r="H2520" s="116"/>
      <c r="I2520" s="116"/>
      <c r="L2520" s="170">
        <v>45712</v>
      </c>
      <c r="M2520" s="116">
        <v>1214.55</v>
      </c>
      <c r="N2520" s="116">
        <v>1223.25</v>
      </c>
      <c r="O2520" s="116">
        <v>1210.5</v>
      </c>
      <c r="P2520" s="116">
        <v>1216.55</v>
      </c>
      <c r="Q2520" s="116">
        <v>1214.55</v>
      </c>
      <c r="R2520">
        <v>7172498</v>
      </c>
    </row>
    <row r="2521" spans="1:18" x14ac:dyDescent="0.25">
      <c r="A2521" s="170">
        <v>45713</v>
      </c>
      <c r="B2521" s="116">
        <v>1221</v>
      </c>
      <c r="C2521" s="116">
        <v>1203.9000000000001</v>
      </c>
      <c r="D2521" s="116">
        <v>1201</v>
      </c>
      <c r="E2521" s="116">
        <v>1213.95</v>
      </c>
      <c r="F2521" s="116">
        <v>1203.9000000000001</v>
      </c>
      <c r="G2521">
        <v>881729</v>
      </c>
      <c r="H2521" s="116"/>
      <c r="I2521" s="116"/>
      <c r="L2521" s="170">
        <v>45713</v>
      </c>
      <c r="M2521" s="116">
        <v>1204</v>
      </c>
      <c r="N2521" s="116">
        <v>1221</v>
      </c>
      <c r="O2521" s="116">
        <v>1201.5</v>
      </c>
      <c r="P2521" s="116">
        <v>1211</v>
      </c>
      <c r="Q2521" s="116">
        <v>1204</v>
      </c>
      <c r="R2521">
        <v>11552182</v>
      </c>
    </row>
    <row r="2522" spans="1:18" x14ac:dyDescent="0.25">
      <c r="A2522" s="170">
        <v>45715</v>
      </c>
      <c r="B2522" s="116">
        <v>1215</v>
      </c>
      <c r="C2522" s="116">
        <v>1207.05</v>
      </c>
      <c r="D2522" s="116">
        <v>1201</v>
      </c>
      <c r="E2522" s="116">
        <v>1213.55</v>
      </c>
      <c r="F2522" s="116">
        <v>1207.05</v>
      </c>
      <c r="G2522">
        <v>193166</v>
      </c>
      <c r="H2522" s="116"/>
      <c r="I2522" s="116"/>
      <c r="L2522" s="170">
        <v>45715</v>
      </c>
      <c r="M2522" s="116">
        <v>1207.0999999999999</v>
      </c>
      <c r="N2522" s="116">
        <v>1215</v>
      </c>
      <c r="O2522" s="116">
        <v>1200.6500000000001</v>
      </c>
      <c r="P2522" s="116">
        <v>1212.8</v>
      </c>
      <c r="Q2522" s="116">
        <v>1207.0999999999999</v>
      </c>
      <c r="R2522">
        <v>11509215</v>
      </c>
    </row>
    <row r="2523" spans="1:18" x14ac:dyDescent="0.25">
      <c r="A2523" s="170">
        <v>45716</v>
      </c>
      <c r="B2523" s="116">
        <v>1217.4000000000001</v>
      </c>
      <c r="C2523" s="116">
        <v>1199.5999999999999</v>
      </c>
      <c r="D2523" s="116">
        <v>1193.3</v>
      </c>
      <c r="E2523" s="116">
        <v>1201</v>
      </c>
      <c r="F2523" s="116">
        <v>1199.5999999999999</v>
      </c>
      <c r="G2523">
        <v>437656</v>
      </c>
      <c r="H2523" s="116"/>
      <c r="I2523" s="116"/>
      <c r="L2523" s="170">
        <v>45716</v>
      </c>
      <c r="M2523" s="116">
        <v>1200.0999999999999</v>
      </c>
      <c r="N2523" s="116">
        <v>1217.3499999999999</v>
      </c>
      <c r="O2523" s="116">
        <v>1193.3</v>
      </c>
      <c r="P2523" s="116">
        <v>1202</v>
      </c>
      <c r="Q2523" s="116">
        <v>1200.0999999999999</v>
      </c>
      <c r="R2523">
        <v>23007298</v>
      </c>
    </row>
    <row r="2524" spans="1:18" x14ac:dyDescent="0.25">
      <c r="A2524" s="170">
        <v>45719</v>
      </c>
      <c r="B2524" s="116">
        <v>1209.8</v>
      </c>
      <c r="C2524" s="116">
        <v>1171.0999999999999</v>
      </c>
      <c r="D2524" s="116">
        <v>1156</v>
      </c>
      <c r="E2524" s="116">
        <v>1209.8</v>
      </c>
      <c r="F2524" s="116">
        <v>1171.0999999999999</v>
      </c>
      <c r="G2524">
        <v>542446</v>
      </c>
      <c r="H2524" s="116"/>
      <c r="I2524" s="116"/>
      <c r="L2524" s="170">
        <v>45719</v>
      </c>
      <c r="M2524" s="116">
        <v>1171.25</v>
      </c>
      <c r="N2524" s="116">
        <v>1206.45</v>
      </c>
      <c r="O2524" s="116">
        <v>1156</v>
      </c>
      <c r="P2524" s="116">
        <v>1204</v>
      </c>
      <c r="Q2524" s="116">
        <v>1171.25</v>
      </c>
      <c r="R2524">
        <v>17944938</v>
      </c>
    </row>
    <row r="2525" spans="1:18" x14ac:dyDescent="0.25">
      <c r="A2525" s="170">
        <v>45720</v>
      </c>
      <c r="B2525" s="116">
        <v>1174.0999999999999</v>
      </c>
      <c r="C2525" s="116">
        <v>1161.7</v>
      </c>
      <c r="D2525" s="116">
        <v>1159.25</v>
      </c>
      <c r="E2525" s="116">
        <v>1165</v>
      </c>
      <c r="F2525" s="116">
        <v>1161.7</v>
      </c>
      <c r="G2525">
        <v>286826</v>
      </c>
      <c r="H2525" s="116"/>
      <c r="I2525" s="116"/>
      <c r="L2525" s="170">
        <v>45720</v>
      </c>
      <c r="M2525" s="116">
        <v>1161.9000000000001</v>
      </c>
      <c r="N2525" s="116">
        <v>1174</v>
      </c>
      <c r="O2525" s="116">
        <v>1159.55</v>
      </c>
      <c r="P2525" s="116">
        <v>1162.2</v>
      </c>
      <c r="Q2525" s="116">
        <v>1161.9000000000001</v>
      </c>
      <c r="R2525">
        <v>11377373</v>
      </c>
    </row>
    <row r="2526" spans="1:18" x14ac:dyDescent="0.25">
      <c r="A2526" s="170">
        <v>45721</v>
      </c>
      <c r="B2526" s="116">
        <v>1183.05</v>
      </c>
      <c r="C2526" s="116">
        <v>1175.75</v>
      </c>
      <c r="D2526" s="116">
        <v>1158</v>
      </c>
      <c r="E2526" s="116">
        <v>1162</v>
      </c>
      <c r="F2526" s="116">
        <v>1175.75</v>
      </c>
      <c r="G2526">
        <v>348560</v>
      </c>
      <c r="H2526" s="116"/>
      <c r="I2526" s="116"/>
      <c r="L2526" s="170">
        <v>45721</v>
      </c>
      <c r="M2526" s="116">
        <v>1175.5999999999999</v>
      </c>
      <c r="N2526" s="116">
        <v>1183</v>
      </c>
      <c r="O2526" s="116">
        <v>1157</v>
      </c>
      <c r="P2526" s="116">
        <v>1161</v>
      </c>
      <c r="Q2526" s="116">
        <v>1175.5999999999999</v>
      </c>
      <c r="R2526">
        <v>8664095</v>
      </c>
    </row>
    <row r="2527" spans="1:18" x14ac:dyDescent="0.25">
      <c r="A2527" s="170">
        <v>45722</v>
      </c>
      <c r="B2527" s="116">
        <v>1214</v>
      </c>
      <c r="C2527" s="116">
        <v>1210.55</v>
      </c>
      <c r="D2527" s="116">
        <v>1185.5</v>
      </c>
      <c r="E2527" s="116">
        <v>1201</v>
      </c>
      <c r="F2527" s="116">
        <v>1210.55</v>
      </c>
      <c r="G2527">
        <v>652420</v>
      </c>
      <c r="H2527" s="116"/>
      <c r="I2527" s="116"/>
      <c r="L2527" s="170">
        <v>45722</v>
      </c>
      <c r="M2527" s="116">
        <v>1209.5999999999999</v>
      </c>
      <c r="N2527" s="116">
        <v>1213.95</v>
      </c>
      <c r="O2527" s="116">
        <v>1185.1500000000001</v>
      </c>
      <c r="P2527" s="116">
        <v>1197</v>
      </c>
      <c r="Q2527" s="116">
        <v>1209.5999999999999</v>
      </c>
      <c r="R2527">
        <v>14468014</v>
      </c>
    </row>
    <row r="2528" spans="1:18" x14ac:dyDescent="0.25">
      <c r="A2528" s="170">
        <v>45723</v>
      </c>
      <c r="B2528" s="116">
        <v>1254.5</v>
      </c>
      <c r="C2528" s="116">
        <v>1249.0999999999999</v>
      </c>
      <c r="D2528" s="116">
        <v>1212.3</v>
      </c>
      <c r="E2528" s="116">
        <v>1214.05</v>
      </c>
      <c r="F2528" s="116">
        <v>1249.0999999999999</v>
      </c>
      <c r="G2528">
        <v>794738</v>
      </c>
      <c r="H2528" s="116"/>
      <c r="I2528" s="116"/>
      <c r="L2528" s="170">
        <v>45723</v>
      </c>
      <c r="M2528" s="116">
        <v>1249.8</v>
      </c>
      <c r="N2528" s="116">
        <v>1254.8</v>
      </c>
      <c r="O2528" s="116">
        <v>1212</v>
      </c>
      <c r="P2528" s="116">
        <v>1216</v>
      </c>
      <c r="Q2528" s="116">
        <v>1249.8</v>
      </c>
      <c r="R2528">
        <v>16474965</v>
      </c>
    </row>
    <row r="2529" spans="1:18" x14ac:dyDescent="0.25">
      <c r="A2529" s="170">
        <v>45726</v>
      </c>
      <c r="B2529" s="116">
        <v>1258</v>
      </c>
      <c r="C2529" s="116">
        <v>1238.2</v>
      </c>
      <c r="D2529" s="116">
        <v>1235.5</v>
      </c>
      <c r="E2529" s="116">
        <v>1249.0999999999999</v>
      </c>
      <c r="F2529" s="116">
        <v>1238.2</v>
      </c>
      <c r="G2529">
        <v>245117</v>
      </c>
      <c r="H2529" s="116"/>
      <c r="I2529" s="116"/>
      <c r="L2529" s="170">
        <v>45726</v>
      </c>
      <c r="M2529" s="116">
        <v>1238.4000000000001</v>
      </c>
      <c r="N2529" s="116">
        <v>1258</v>
      </c>
      <c r="O2529" s="116">
        <v>1235.4000000000001</v>
      </c>
      <c r="P2529" s="116">
        <v>1245</v>
      </c>
      <c r="Q2529" s="116">
        <v>1238.4000000000001</v>
      </c>
      <c r="R2529">
        <v>11931051</v>
      </c>
    </row>
    <row r="2530" spans="1:18" x14ac:dyDescent="0.25">
      <c r="A2530" s="170">
        <v>45727</v>
      </c>
      <c r="B2530" s="116">
        <v>1249.55</v>
      </c>
      <c r="C2530" s="116">
        <v>1247.4000000000001</v>
      </c>
      <c r="D2530" s="116">
        <v>1230</v>
      </c>
      <c r="E2530" s="116">
        <v>1238.05</v>
      </c>
      <c r="F2530" s="116">
        <v>1247.4000000000001</v>
      </c>
      <c r="G2530">
        <v>305952</v>
      </c>
      <c r="H2530" s="116"/>
      <c r="I2530" s="116"/>
      <c r="L2530" s="170">
        <v>45727</v>
      </c>
      <c r="M2530" s="116">
        <v>1247.3</v>
      </c>
      <c r="N2530" s="116">
        <v>1249.5</v>
      </c>
      <c r="O2530" s="116">
        <v>1229.75</v>
      </c>
      <c r="P2530" s="116">
        <v>1240</v>
      </c>
      <c r="Q2530" s="116">
        <v>1247.3</v>
      </c>
      <c r="R2530">
        <v>10089838</v>
      </c>
    </row>
    <row r="2531" spans="1:18" x14ac:dyDescent="0.25">
      <c r="A2531" s="170">
        <v>45728</v>
      </c>
      <c r="B2531" s="116">
        <v>1261.55</v>
      </c>
      <c r="C2531" s="116">
        <v>1256.5999999999999</v>
      </c>
      <c r="D2531" s="116">
        <v>1244</v>
      </c>
      <c r="E2531" s="116">
        <v>1256.8499999999999</v>
      </c>
      <c r="F2531" s="116">
        <v>1256.5999999999999</v>
      </c>
      <c r="G2531">
        <v>426299</v>
      </c>
      <c r="H2531" s="116"/>
      <c r="I2531" s="116"/>
      <c r="L2531" s="170">
        <v>45728</v>
      </c>
      <c r="M2531" s="116">
        <v>1257.05</v>
      </c>
      <c r="N2531" s="116">
        <v>1263</v>
      </c>
      <c r="O2531" s="116">
        <v>1244</v>
      </c>
      <c r="P2531" s="116">
        <v>1258</v>
      </c>
      <c r="Q2531" s="116">
        <v>1257.05</v>
      </c>
      <c r="R2531">
        <v>11977555</v>
      </c>
    </row>
    <row r="2532" spans="1:18" x14ac:dyDescent="0.25">
      <c r="A2532" s="170">
        <v>45729</v>
      </c>
      <c r="B2532" s="116">
        <v>1264</v>
      </c>
      <c r="C2532" s="116">
        <v>1247.4000000000001</v>
      </c>
      <c r="D2532" s="116">
        <v>1244</v>
      </c>
      <c r="E2532" s="116">
        <v>1262.9000000000001</v>
      </c>
      <c r="F2532" s="116">
        <v>1247.4000000000001</v>
      </c>
      <c r="G2532">
        <v>302876</v>
      </c>
      <c r="H2532" s="116"/>
      <c r="I2532" s="116"/>
      <c r="L2532" s="170">
        <v>45729</v>
      </c>
      <c r="M2532" s="116">
        <v>1247.9000000000001</v>
      </c>
      <c r="N2532" s="116">
        <v>1264.1500000000001</v>
      </c>
      <c r="O2532" s="116">
        <v>1243.8499999999999</v>
      </c>
      <c r="P2532" s="116">
        <v>1260.05</v>
      </c>
      <c r="Q2532" s="116">
        <v>1247.9000000000001</v>
      </c>
      <c r="R2532">
        <v>9505270</v>
      </c>
    </row>
    <row r="2533" spans="1:18" x14ac:dyDescent="0.25">
      <c r="A2533" s="170">
        <v>45733</v>
      </c>
      <c r="B2533" s="116">
        <v>1257.2</v>
      </c>
      <c r="C2533" s="116">
        <v>1240.4000000000001</v>
      </c>
      <c r="D2533" s="116">
        <v>1233.25</v>
      </c>
      <c r="E2533" s="116">
        <v>1247</v>
      </c>
      <c r="F2533" s="116">
        <v>1240.4000000000001</v>
      </c>
      <c r="G2533">
        <v>422823</v>
      </c>
      <c r="H2533" s="116"/>
      <c r="I2533" s="116"/>
      <c r="L2533" s="170">
        <v>45733</v>
      </c>
      <c r="M2533" s="116">
        <v>1238.8499999999999</v>
      </c>
      <c r="N2533" s="116">
        <v>1257.4000000000001</v>
      </c>
      <c r="O2533" s="116">
        <v>1233.0999999999999</v>
      </c>
      <c r="P2533" s="116">
        <v>1242.1500000000001</v>
      </c>
      <c r="Q2533" s="116">
        <v>1238.8499999999999</v>
      </c>
      <c r="R2533">
        <v>16640952</v>
      </c>
    </row>
    <row r="2534" spans="1:18" x14ac:dyDescent="0.25">
      <c r="A2534" s="170">
        <v>45734</v>
      </c>
      <c r="B2534" s="116">
        <v>1248.0999999999999</v>
      </c>
      <c r="C2534" s="116">
        <v>1238.8</v>
      </c>
      <c r="D2534" s="116">
        <v>1234.9000000000001</v>
      </c>
      <c r="E2534" s="116">
        <v>1243.5</v>
      </c>
      <c r="F2534" s="116">
        <v>1238.8</v>
      </c>
      <c r="G2534">
        <v>1740575</v>
      </c>
      <c r="H2534" s="116"/>
      <c r="I2534" s="116"/>
      <c r="L2534" s="170">
        <v>45734</v>
      </c>
      <c r="M2534" s="116">
        <v>1238.8</v>
      </c>
      <c r="N2534" s="116">
        <v>1248.3499999999999</v>
      </c>
      <c r="O2534" s="116">
        <v>1235</v>
      </c>
      <c r="P2534" s="116">
        <v>1244.7</v>
      </c>
      <c r="Q2534" s="116">
        <v>1238.8</v>
      </c>
      <c r="R2534">
        <v>15745877</v>
      </c>
    </row>
    <row r="2535" spans="1:18" x14ac:dyDescent="0.25">
      <c r="A2535" s="170">
        <v>45735</v>
      </c>
      <c r="B2535" s="116">
        <v>1252.75</v>
      </c>
      <c r="C2535" s="116">
        <v>1247.7</v>
      </c>
      <c r="D2535" s="116">
        <v>1239.3499999999999</v>
      </c>
      <c r="E2535" s="116">
        <v>1242</v>
      </c>
      <c r="F2535" s="116">
        <v>1247.7</v>
      </c>
      <c r="G2535">
        <v>295426</v>
      </c>
      <c r="H2535" s="116"/>
      <c r="I2535" s="116"/>
      <c r="L2535" s="170">
        <v>45735</v>
      </c>
      <c r="M2535" s="116">
        <v>1247.1500000000001</v>
      </c>
      <c r="N2535" s="116">
        <v>1253.25</v>
      </c>
      <c r="O2535" s="116">
        <v>1238.8</v>
      </c>
      <c r="P2535" s="116">
        <v>1241.05</v>
      </c>
      <c r="Q2535" s="116">
        <v>1247.1500000000001</v>
      </c>
      <c r="R2535">
        <v>16162399</v>
      </c>
    </row>
    <row r="2536" spans="1:18" x14ac:dyDescent="0.25">
      <c r="A2536" s="170">
        <v>45736</v>
      </c>
      <c r="B2536" s="116">
        <v>1272.8</v>
      </c>
      <c r="C2536" s="116">
        <v>1268.55</v>
      </c>
      <c r="D2536" s="116">
        <v>1250</v>
      </c>
      <c r="E2536" s="116">
        <v>1254.2</v>
      </c>
      <c r="F2536" s="116">
        <v>1268.55</v>
      </c>
      <c r="G2536">
        <v>612659</v>
      </c>
      <c r="H2536" s="116"/>
      <c r="I2536" s="116"/>
      <c r="L2536" s="170">
        <v>45736</v>
      </c>
      <c r="M2536" s="116">
        <v>1269.1500000000001</v>
      </c>
      <c r="N2536" s="116">
        <v>1273</v>
      </c>
      <c r="O2536" s="116">
        <v>1250.05</v>
      </c>
      <c r="P2536" s="116">
        <v>1251.8499999999999</v>
      </c>
      <c r="Q2536" s="116">
        <v>1269.1500000000001</v>
      </c>
      <c r="R2536">
        <v>15971477</v>
      </c>
    </row>
    <row r="2537" spans="1:18" x14ac:dyDescent="0.25">
      <c r="A2537" s="170">
        <v>45737</v>
      </c>
      <c r="B2537" s="116">
        <v>1284.5</v>
      </c>
      <c r="C2537" s="116">
        <v>1276.45</v>
      </c>
      <c r="D2537" s="116">
        <v>1270.05</v>
      </c>
      <c r="E2537" s="116">
        <v>1270.05</v>
      </c>
      <c r="F2537" s="116">
        <v>1276.45</v>
      </c>
      <c r="G2537">
        <v>361299</v>
      </c>
      <c r="H2537" s="116"/>
      <c r="I2537" s="116"/>
      <c r="L2537" s="170">
        <v>45737</v>
      </c>
      <c r="M2537" s="116">
        <v>1276.3499999999999</v>
      </c>
      <c r="N2537" s="116">
        <v>1281</v>
      </c>
      <c r="O2537" s="116">
        <v>1270.0999999999999</v>
      </c>
      <c r="P2537" s="116">
        <v>1275</v>
      </c>
      <c r="Q2537" s="116">
        <v>1276.3499999999999</v>
      </c>
      <c r="R2537">
        <v>21780769</v>
      </c>
    </row>
    <row r="2538" spans="1:18" x14ac:dyDescent="0.25">
      <c r="A2538" s="170">
        <v>45740</v>
      </c>
      <c r="B2538" s="116">
        <v>1305.3</v>
      </c>
      <c r="C2538" s="116">
        <v>1301.3499999999999</v>
      </c>
      <c r="D2538" s="116">
        <v>1281</v>
      </c>
      <c r="E2538" s="116">
        <v>1286.4000000000001</v>
      </c>
      <c r="F2538" s="116">
        <v>1301.3499999999999</v>
      </c>
      <c r="G2538">
        <v>861533</v>
      </c>
      <c r="H2538" s="116"/>
      <c r="I2538" s="116"/>
      <c r="L2538" s="170">
        <v>45740</v>
      </c>
      <c r="M2538" s="116">
        <v>1302.0999999999999</v>
      </c>
      <c r="N2538" s="116">
        <v>1306</v>
      </c>
      <c r="O2538" s="116">
        <v>1284.25</v>
      </c>
      <c r="P2538" s="116">
        <v>1291</v>
      </c>
      <c r="Q2538" s="116">
        <v>1302.0999999999999</v>
      </c>
      <c r="R2538">
        <v>20299319</v>
      </c>
    </row>
    <row r="2539" spans="1:18" x14ac:dyDescent="0.25">
      <c r="A2539" s="170">
        <v>45741</v>
      </c>
      <c r="B2539" s="116">
        <v>1307</v>
      </c>
      <c r="C2539" s="116">
        <v>1285.4000000000001</v>
      </c>
      <c r="D2539" s="116">
        <v>1283</v>
      </c>
      <c r="E2539" s="116">
        <v>1307</v>
      </c>
      <c r="F2539" s="116">
        <v>1285.4000000000001</v>
      </c>
      <c r="G2539">
        <v>865836</v>
      </c>
      <c r="H2539" s="116"/>
      <c r="I2539" s="116"/>
      <c r="L2539" s="170">
        <v>45741</v>
      </c>
      <c r="M2539" s="116">
        <v>1285.45</v>
      </c>
      <c r="N2539" s="116">
        <v>1307.7</v>
      </c>
      <c r="O2539" s="116">
        <v>1282.5999999999999</v>
      </c>
      <c r="P2539" s="116">
        <v>1307.7</v>
      </c>
      <c r="Q2539" s="116">
        <v>1285.45</v>
      </c>
      <c r="R2539">
        <v>13713899</v>
      </c>
    </row>
    <row r="2540" spans="1:18" x14ac:dyDescent="0.25">
      <c r="A2540" s="170">
        <v>45742</v>
      </c>
      <c r="B2540" s="116">
        <v>1293.95</v>
      </c>
      <c r="C2540" s="116">
        <v>1272.55</v>
      </c>
      <c r="D2540" s="116">
        <v>1269</v>
      </c>
      <c r="E2540" s="116">
        <v>1290.25</v>
      </c>
      <c r="F2540" s="116">
        <v>1272.55</v>
      </c>
      <c r="G2540">
        <v>658347</v>
      </c>
      <c r="H2540" s="116"/>
      <c r="I2540" s="116"/>
      <c r="L2540" s="170">
        <v>45742</v>
      </c>
      <c r="M2540" s="116">
        <v>1273.05</v>
      </c>
      <c r="N2540" s="116">
        <v>1293.8</v>
      </c>
      <c r="O2540" s="116">
        <v>1268.75</v>
      </c>
      <c r="P2540" s="116">
        <v>1291</v>
      </c>
      <c r="Q2540" s="116">
        <v>1273.05</v>
      </c>
      <c r="R2540">
        <v>12074747</v>
      </c>
    </row>
    <row r="2541" spans="1:18" x14ac:dyDescent="0.25">
      <c r="A2541" s="170">
        <v>45743</v>
      </c>
      <c r="B2541" s="116">
        <v>1285.1500000000001</v>
      </c>
      <c r="C2541" s="116">
        <v>1278.4000000000001</v>
      </c>
      <c r="D2541" s="116">
        <v>1272.05</v>
      </c>
      <c r="E2541" s="116">
        <v>1275.05</v>
      </c>
      <c r="F2541" s="116">
        <v>1278.4000000000001</v>
      </c>
      <c r="G2541">
        <v>278220</v>
      </c>
      <c r="H2541" s="116"/>
      <c r="I2541" s="116"/>
      <c r="L2541" s="170">
        <v>45743</v>
      </c>
      <c r="M2541" s="116">
        <v>1278.2</v>
      </c>
      <c r="N2541" s="116">
        <v>1285</v>
      </c>
      <c r="O2541" s="116">
        <v>1271.3</v>
      </c>
      <c r="P2541" s="116">
        <v>1278.1500000000001</v>
      </c>
      <c r="Q2541" s="116">
        <v>1278.2</v>
      </c>
      <c r="R2541">
        <v>15028056</v>
      </c>
    </row>
    <row r="2542" spans="1:18" x14ac:dyDescent="0.25">
      <c r="A2542" s="170">
        <v>45744</v>
      </c>
      <c r="B2542" s="116">
        <v>1295.7</v>
      </c>
      <c r="C2542" s="116">
        <v>1275</v>
      </c>
      <c r="D2542" s="116">
        <v>1269.05</v>
      </c>
      <c r="E2542" s="116">
        <v>1279.3</v>
      </c>
      <c r="F2542" s="116">
        <v>1275</v>
      </c>
      <c r="G2542">
        <v>987799</v>
      </c>
      <c r="H2542" s="116"/>
      <c r="I2542" s="116"/>
      <c r="L2542" s="170">
        <v>45744</v>
      </c>
      <c r="M2542" s="116">
        <v>1275.0999999999999</v>
      </c>
      <c r="N2542" s="116">
        <v>1295.75</v>
      </c>
      <c r="O2542" s="116">
        <v>1269</v>
      </c>
      <c r="P2542" s="116">
        <v>1280</v>
      </c>
      <c r="Q2542" s="116">
        <v>1275.0999999999999</v>
      </c>
      <c r="R2542">
        <v>18147129</v>
      </c>
    </row>
    <row r="2543" spans="1:18" x14ac:dyDescent="0.25">
      <c r="A2543" s="170">
        <v>45748</v>
      </c>
      <c r="B2543" s="116">
        <v>1277.8</v>
      </c>
      <c r="C2543" s="116">
        <v>1252.45</v>
      </c>
      <c r="D2543" s="116">
        <v>1250</v>
      </c>
      <c r="E2543" s="116">
        <v>1274.5999999999999</v>
      </c>
      <c r="F2543" s="116">
        <v>1252.45</v>
      </c>
      <c r="G2543">
        <v>722008</v>
      </c>
      <c r="H2543" s="116"/>
      <c r="I2543" s="116"/>
      <c r="L2543" s="170">
        <v>45748</v>
      </c>
      <c r="M2543" s="116">
        <v>1252.5999999999999</v>
      </c>
      <c r="N2543" s="116">
        <v>1277.9000000000001</v>
      </c>
      <c r="O2543" s="116">
        <v>1249.3</v>
      </c>
      <c r="P2543" s="116">
        <v>1264.5999999999999</v>
      </c>
      <c r="Q2543" s="116">
        <v>1252.5999999999999</v>
      </c>
      <c r="R2543">
        <v>12099648</v>
      </c>
    </row>
    <row r="2544" spans="1:18" x14ac:dyDescent="0.25">
      <c r="A2544" s="170">
        <v>45749</v>
      </c>
      <c r="B2544" s="116">
        <v>1256</v>
      </c>
      <c r="C2544" s="116">
        <v>1251.0999999999999</v>
      </c>
      <c r="D2544" s="116">
        <v>1243.8</v>
      </c>
      <c r="E2544" s="116">
        <v>1250.3499999999999</v>
      </c>
      <c r="F2544" s="116">
        <v>1251.0999999999999</v>
      </c>
      <c r="G2544">
        <v>243303</v>
      </c>
      <c r="H2544" s="116"/>
      <c r="I2544" s="116"/>
      <c r="L2544" s="170">
        <v>45749</v>
      </c>
      <c r="M2544" s="116">
        <v>1251.1500000000001</v>
      </c>
      <c r="N2544" s="116">
        <v>1255.55</v>
      </c>
      <c r="O2544" s="116">
        <v>1243.9000000000001</v>
      </c>
      <c r="P2544" s="116">
        <v>1247.55</v>
      </c>
      <c r="Q2544" s="116">
        <v>1251.1500000000001</v>
      </c>
      <c r="R2544">
        <v>10142590</v>
      </c>
    </row>
    <row r="2545" spans="1:18" x14ac:dyDescent="0.25">
      <c r="A2545" s="170">
        <v>45750</v>
      </c>
      <c r="B2545" s="116">
        <v>1251.2</v>
      </c>
      <c r="C2545" s="116">
        <v>1248.5999999999999</v>
      </c>
      <c r="D2545" s="116">
        <v>1234.55</v>
      </c>
      <c r="E2545" s="116">
        <v>1238.95</v>
      </c>
      <c r="F2545" s="116">
        <v>1248.5999999999999</v>
      </c>
      <c r="G2545">
        <v>532522</v>
      </c>
      <c r="H2545" s="116"/>
      <c r="I2545" s="116"/>
      <c r="L2545" s="170">
        <v>45750</v>
      </c>
      <c r="M2545" s="116">
        <v>1248.7</v>
      </c>
      <c r="N2545" s="116">
        <v>1251.8</v>
      </c>
      <c r="O2545" s="116">
        <v>1233.05</v>
      </c>
      <c r="P2545" s="116">
        <v>1233.05</v>
      </c>
      <c r="Q2545" s="116">
        <v>1248.7</v>
      </c>
      <c r="R2545">
        <v>7434366</v>
      </c>
    </row>
    <row r="2546" spans="1:18" x14ac:dyDescent="0.25">
      <c r="A2546" s="170">
        <v>45751</v>
      </c>
      <c r="B2546" s="116">
        <v>1245.2</v>
      </c>
      <c r="C2546" s="116">
        <v>1204.7</v>
      </c>
      <c r="D2546" s="116">
        <v>1192.8499999999999</v>
      </c>
      <c r="E2546" s="116">
        <v>1240</v>
      </c>
      <c r="F2546" s="116">
        <v>1204.7</v>
      </c>
      <c r="G2546">
        <v>785059</v>
      </c>
      <c r="H2546" s="116"/>
      <c r="I2546" s="116"/>
      <c r="L2546" s="170">
        <v>45751</v>
      </c>
      <c r="M2546" s="116">
        <v>1204.7</v>
      </c>
      <c r="N2546" s="116">
        <v>1245.45</v>
      </c>
      <c r="O2546" s="116">
        <v>1193.1500000000001</v>
      </c>
      <c r="P2546" s="116">
        <v>1241.0999999999999</v>
      </c>
      <c r="Q2546" s="116">
        <v>1204.7</v>
      </c>
      <c r="R2546">
        <v>17908652</v>
      </c>
    </row>
    <row r="2547" spans="1:18" x14ac:dyDescent="0.25">
      <c r="A2547" s="170">
        <v>45754</v>
      </c>
      <c r="B2547" s="116">
        <v>1171</v>
      </c>
      <c r="C2547" s="116">
        <v>1166.2</v>
      </c>
      <c r="D2547" s="116">
        <v>1115.55</v>
      </c>
      <c r="E2547" s="116">
        <v>1125</v>
      </c>
      <c r="F2547" s="116">
        <v>1166.2</v>
      </c>
      <c r="G2547">
        <v>1433461</v>
      </c>
      <c r="H2547" s="116"/>
      <c r="I2547" s="116"/>
      <c r="L2547" s="170">
        <v>45754</v>
      </c>
      <c r="M2547" s="116">
        <v>1165.7</v>
      </c>
      <c r="N2547" s="116">
        <v>1171.25</v>
      </c>
      <c r="O2547" s="116">
        <v>1114.8499999999999</v>
      </c>
      <c r="P2547" s="116">
        <v>1132.2</v>
      </c>
      <c r="Q2547" s="116">
        <v>1165.7</v>
      </c>
      <c r="R2547">
        <v>22156106</v>
      </c>
    </row>
    <row r="2548" spans="1:18" x14ac:dyDescent="0.25">
      <c r="A2548" s="170">
        <v>45755</v>
      </c>
      <c r="B2548" s="116">
        <v>1196.8</v>
      </c>
      <c r="C2548" s="116">
        <v>1182.4000000000001</v>
      </c>
      <c r="D2548" s="116">
        <v>1163.8499999999999</v>
      </c>
      <c r="E2548" s="116">
        <v>1177.8499999999999</v>
      </c>
      <c r="F2548" s="116">
        <v>1182.4000000000001</v>
      </c>
      <c r="G2548">
        <v>894893</v>
      </c>
      <c r="H2548" s="116"/>
      <c r="I2548" s="116"/>
      <c r="L2548" s="170">
        <v>45755</v>
      </c>
      <c r="M2548" s="116">
        <v>1182.2</v>
      </c>
      <c r="N2548" s="116">
        <v>1196.5999999999999</v>
      </c>
      <c r="O2548" s="116">
        <v>1163.3</v>
      </c>
      <c r="P2548" s="116">
        <v>1172</v>
      </c>
      <c r="Q2548" s="116">
        <v>1182.2</v>
      </c>
      <c r="R2548">
        <v>19555040</v>
      </c>
    </row>
    <row r="2549" spans="1:18" x14ac:dyDescent="0.25">
      <c r="A2549" s="170">
        <v>45756</v>
      </c>
      <c r="B2549" s="116">
        <v>1189.5</v>
      </c>
      <c r="C2549" s="116">
        <v>1185.5999999999999</v>
      </c>
      <c r="D2549" s="116">
        <v>1169.0999999999999</v>
      </c>
      <c r="E2549" s="116">
        <v>1172.4000000000001</v>
      </c>
      <c r="F2549" s="116">
        <v>1185.5999999999999</v>
      </c>
      <c r="G2549">
        <v>495957</v>
      </c>
      <c r="H2549" s="116"/>
      <c r="I2549" s="116"/>
      <c r="L2549" s="170">
        <v>45756</v>
      </c>
      <c r="M2549" s="116">
        <v>1185.3499999999999</v>
      </c>
      <c r="N2549" s="116">
        <v>1189.8</v>
      </c>
      <c r="O2549" s="116">
        <v>1168</v>
      </c>
      <c r="P2549" s="116">
        <v>1169.5</v>
      </c>
      <c r="Q2549" s="116">
        <v>1185.3499999999999</v>
      </c>
      <c r="R2549">
        <v>10223104</v>
      </c>
    </row>
    <row r="2550" spans="1:18" x14ac:dyDescent="0.25">
      <c r="A2550" s="170">
        <v>45758</v>
      </c>
      <c r="B2550" s="116">
        <v>1222.45</v>
      </c>
      <c r="C2550" s="116">
        <v>1219.3</v>
      </c>
      <c r="D2550" s="116">
        <v>1197.05</v>
      </c>
      <c r="E2550" s="116">
        <v>1200</v>
      </c>
      <c r="F2550" s="116">
        <v>1219.3</v>
      </c>
      <c r="G2550">
        <v>684519</v>
      </c>
      <c r="H2550" s="116"/>
      <c r="I2550" s="116"/>
      <c r="L2550" s="170">
        <v>45758</v>
      </c>
      <c r="M2550" s="116">
        <v>1218.95</v>
      </c>
      <c r="N2550" s="116">
        <v>1222.6500000000001</v>
      </c>
      <c r="O2550" s="116">
        <v>1195.1500000000001</v>
      </c>
      <c r="P2550" s="116">
        <v>1195.1500000000001</v>
      </c>
      <c r="Q2550" s="116">
        <v>1218.95</v>
      </c>
      <c r="R2550">
        <v>11224242</v>
      </c>
    </row>
    <row r="2551" spans="1:18" x14ac:dyDescent="0.25">
      <c r="A2551" s="170">
        <v>45762</v>
      </c>
      <c r="B2551" s="116">
        <v>1256</v>
      </c>
      <c r="C2551" s="116">
        <v>1239.9000000000001</v>
      </c>
      <c r="D2551" s="116">
        <v>1237</v>
      </c>
      <c r="E2551" s="116">
        <v>1256</v>
      </c>
      <c r="F2551" s="116">
        <v>1239.9000000000001</v>
      </c>
      <c r="G2551">
        <v>719043</v>
      </c>
      <c r="H2551" s="116"/>
      <c r="I2551" s="116"/>
      <c r="L2551" s="170">
        <v>45762</v>
      </c>
      <c r="M2551" s="116">
        <v>1240.0999999999999</v>
      </c>
      <c r="N2551" s="116">
        <v>1251</v>
      </c>
      <c r="O2551" s="116">
        <v>1237.0999999999999</v>
      </c>
      <c r="P2551" s="116">
        <v>1251</v>
      </c>
      <c r="Q2551" s="116">
        <v>1240.0999999999999</v>
      </c>
      <c r="R2551">
        <v>13378535</v>
      </c>
    </row>
    <row r="2552" spans="1:18" x14ac:dyDescent="0.25">
      <c r="A2552" s="170">
        <v>45763</v>
      </c>
      <c r="B2552" s="116">
        <v>1240.9000000000001</v>
      </c>
      <c r="C2552" s="116">
        <v>1238.6500000000001</v>
      </c>
      <c r="D2552" s="116">
        <v>1229.05</v>
      </c>
      <c r="E2552" s="116">
        <v>1239.8499999999999</v>
      </c>
      <c r="F2552" s="116">
        <v>1238.6500000000001</v>
      </c>
      <c r="G2552">
        <v>361521</v>
      </c>
      <c r="H2552" s="116"/>
      <c r="I2552" s="116"/>
      <c r="L2552" s="170">
        <v>45763</v>
      </c>
      <c r="M2552" s="116">
        <v>1239.3</v>
      </c>
      <c r="N2552" s="116">
        <v>1240.9000000000001</v>
      </c>
      <c r="O2552" s="116">
        <v>1229</v>
      </c>
      <c r="P2552" s="116">
        <v>1234.0999999999999</v>
      </c>
      <c r="Q2552" s="116">
        <v>1239.3</v>
      </c>
      <c r="R2552">
        <v>8248464</v>
      </c>
    </row>
    <row r="2553" spans="1:18" x14ac:dyDescent="0.25">
      <c r="A2553" s="170">
        <v>45764</v>
      </c>
      <c r="B2553" s="116">
        <v>1279.45</v>
      </c>
      <c r="C2553" s="116">
        <v>1274.55</v>
      </c>
      <c r="D2553" s="116">
        <v>1227.4000000000001</v>
      </c>
      <c r="E2553" s="116">
        <v>1238.6500000000001</v>
      </c>
      <c r="F2553" s="116">
        <v>1274.55</v>
      </c>
      <c r="G2553">
        <v>392500</v>
      </c>
      <c r="H2553" s="116"/>
      <c r="I2553" s="116"/>
      <c r="L2553" s="170">
        <v>45764</v>
      </c>
      <c r="M2553" s="116">
        <v>1274.5</v>
      </c>
      <c r="N2553" s="116">
        <v>1280.2</v>
      </c>
      <c r="O2553" s="116">
        <v>1227.5999999999999</v>
      </c>
      <c r="P2553" s="116">
        <v>1240.2</v>
      </c>
      <c r="Q2553" s="116">
        <v>1274.5</v>
      </c>
      <c r="R2553">
        <v>15398401</v>
      </c>
    </row>
    <row r="2554" spans="1:18" x14ac:dyDescent="0.25">
      <c r="A2554" s="170">
        <v>45768</v>
      </c>
      <c r="B2554" s="116">
        <v>1300</v>
      </c>
      <c r="C2554" s="116">
        <v>1295.8499999999999</v>
      </c>
      <c r="D2554" s="116">
        <v>1266.75</v>
      </c>
      <c r="E2554" s="116">
        <v>1271.55</v>
      </c>
      <c r="F2554" s="116">
        <v>1295.8499999999999</v>
      </c>
      <c r="G2554">
        <v>729259</v>
      </c>
      <c r="H2554" s="116"/>
      <c r="I2554" s="116"/>
      <c r="L2554" s="170">
        <v>45768</v>
      </c>
      <c r="M2554" s="116">
        <v>1295.5</v>
      </c>
      <c r="N2554" s="116">
        <v>1300.9000000000001</v>
      </c>
      <c r="O2554" s="116">
        <v>1267</v>
      </c>
      <c r="P2554" s="116">
        <v>1270</v>
      </c>
      <c r="Q2554" s="116">
        <v>1295.5</v>
      </c>
      <c r="R2554">
        <v>10429964</v>
      </c>
    </row>
    <row r="2555" spans="1:18" x14ac:dyDescent="0.25">
      <c r="A2555" s="170">
        <v>45769</v>
      </c>
      <c r="B2555" s="116">
        <v>1303</v>
      </c>
      <c r="C2555" s="116">
        <v>1290.95</v>
      </c>
      <c r="D2555" s="116">
        <v>1286.5</v>
      </c>
      <c r="E2555" s="116">
        <v>1300</v>
      </c>
      <c r="F2555" s="116">
        <v>1290.95</v>
      </c>
      <c r="G2555">
        <v>759456</v>
      </c>
      <c r="H2555" s="116"/>
      <c r="I2555" s="116"/>
      <c r="L2555" s="170">
        <v>45769</v>
      </c>
      <c r="M2555" s="116">
        <v>1291.2</v>
      </c>
      <c r="N2555" s="116">
        <v>1303.9000000000001</v>
      </c>
      <c r="O2555" s="116">
        <v>1286.3</v>
      </c>
      <c r="P2555" s="116">
        <v>1300</v>
      </c>
      <c r="Q2555" s="116">
        <v>1291.2</v>
      </c>
      <c r="R2555">
        <v>13051707</v>
      </c>
    </row>
    <row r="2556" spans="1:18" x14ac:dyDescent="0.25">
      <c r="A2556" s="170">
        <v>45770</v>
      </c>
      <c r="B2556" s="116">
        <v>1305.75</v>
      </c>
      <c r="C2556" s="116">
        <v>1299.9000000000001</v>
      </c>
      <c r="D2556" s="116">
        <v>1285.3</v>
      </c>
      <c r="E2556" s="116">
        <v>1295.8499999999999</v>
      </c>
      <c r="F2556" s="116">
        <v>1299.9000000000001</v>
      </c>
      <c r="G2556">
        <v>420698</v>
      </c>
      <c r="H2556" s="116"/>
      <c r="I2556" s="116"/>
      <c r="L2556" s="170">
        <v>45770</v>
      </c>
      <c r="M2556" s="116">
        <v>1300</v>
      </c>
      <c r="N2556" s="116">
        <v>1306</v>
      </c>
      <c r="O2556" s="116">
        <v>1285.4000000000001</v>
      </c>
      <c r="P2556" s="116">
        <v>1297</v>
      </c>
      <c r="Q2556" s="116">
        <v>1300</v>
      </c>
      <c r="R2556">
        <v>10480888</v>
      </c>
    </row>
    <row r="2557" spans="1:18" x14ac:dyDescent="0.25">
      <c r="A2557" s="170">
        <v>45771</v>
      </c>
      <c r="B2557" s="116">
        <v>1304.45</v>
      </c>
      <c r="C2557" s="116">
        <v>1301.6500000000001</v>
      </c>
      <c r="D2557" s="116">
        <v>1290.5</v>
      </c>
      <c r="E2557" s="116">
        <v>1298.6500000000001</v>
      </c>
      <c r="F2557" s="116">
        <v>1301.6500000000001</v>
      </c>
      <c r="G2557">
        <v>281535</v>
      </c>
      <c r="H2557" s="116"/>
      <c r="I2557" s="116"/>
      <c r="L2557" s="170">
        <v>45771</v>
      </c>
      <c r="M2557" s="116">
        <v>1301.5999999999999</v>
      </c>
      <c r="N2557" s="116">
        <v>1304.5</v>
      </c>
      <c r="O2557" s="116">
        <v>1290.3</v>
      </c>
      <c r="P2557" s="116">
        <v>1292.4000000000001</v>
      </c>
      <c r="Q2557" s="116">
        <v>1301.5999999999999</v>
      </c>
      <c r="R2557">
        <v>10468940</v>
      </c>
    </row>
    <row r="2558" spans="1:18" x14ac:dyDescent="0.25">
      <c r="A2558" s="170">
        <v>45772</v>
      </c>
      <c r="B2558" s="116">
        <v>1325.25</v>
      </c>
      <c r="C2558" s="116">
        <v>1300.05</v>
      </c>
      <c r="D2558" s="116">
        <v>1288</v>
      </c>
      <c r="E2558" s="116">
        <v>1301</v>
      </c>
      <c r="F2558" s="116">
        <v>1300.05</v>
      </c>
      <c r="G2558">
        <v>1543897</v>
      </c>
      <c r="H2558" s="116"/>
      <c r="I2558" s="116"/>
      <c r="L2558" s="170">
        <v>45772</v>
      </c>
      <c r="M2558" s="116">
        <v>1300.4000000000001</v>
      </c>
      <c r="N2558" s="116">
        <v>1325.2</v>
      </c>
      <c r="O2558" s="116">
        <v>1288.0999999999999</v>
      </c>
      <c r="P2558" s="116">
        <v>1303.5</v>
      </c>
      <c r="Q2558" s="116">
        <v>1300.4000000000001</v>
      </c>
      <c r="R2558">
        <v>14431012</v>
      </c>
    </row>
    <row r="2559" spans="1:18" x14ac:dyDescent="0.25">
      <c r="A2559" s="170">
        <v>45775</v>
      </c>
      <c r="B2559" s="116">
        <v>1374.9</v>
      </c>
      <c r="C2559" s="116">
        <v>1368.5</v>
      </c>
      <c r="D2559" s="116">
        <v>1320.15</v>
      </c>
      <c r="E2559" s="116">
        <v>1332.35</v>
      </c>
      <c r="F2559" s="116">
        <v>1368.5</v>
      </c>
      <c r="G2559">
        <v>1269304</v>
      </c>
      <c r="H2559" s="116"/>
      <c r="I2559" s="116"/>
      <c r="L2559" s="170">
        <v>45775</v>
      </c>
      <c r="M2559" s="116">
        <v>1368.8</v>
      </c>
      <c r="N2559" s="116">
        <v>1374.6</v>
      </c>
      <c r="O2559" s="116">
        <v>1320.2</v>
      </c>
      <c r="P2559" s="116">
        <v>1340</v>
      </c>
      <c r="Q2559" s="116">
        <v>1368.8</v>
      </c>
      <c r="R2559">
        <v>31104496</v>
      </c>
    </row>
    <row r="2560" spans="1:18" x14ac:dyDescent="0.25">
      <c r="A2560" s="170">
        <v>45776</v>
      </c>
      <c r="B2560" s="116">
        <v>1410.9</v>
      </c>
      <c r="C2560" s="116">
        <v>1400.3</v>
      </c>
      <c r="D2560" s="116">
        <v>1370.2</v>
      </c>
      <c r="E2560" s="116">
        <v>1370.35</v>
      </c>
      <c r="F2560" s="116">
        <v>1400.3</v>
      </c>
      <c r="G2560">
        <v>6415191</v>
      </c>
      <c r="H2560" s="116"/>
      <c r="I2560" s="116"/>
      <c r="L2560" s="170">
        <v>45776</v>
      </c>
      <c r="M2560" s="116">
        <v>1399.7</v>
      </c>
      <c r="N2560" s="116">
        <v>1410.9</v>
      </c>
      <c r="O2560" s="116">
        <v>1370</v>
      </c>
      <c r="P2560" s="116">
        <v>1371</v>
      </c>
      <c r="Q2560" s="116">
        <v>1399.7</v>
      </c>
      <c r="R2560">
        <v>32538970</v>
      </c>
    </row>
    <row r="2561" spans="1:18" x14ac:dyDescent="0.25">
      <c r="A2561" s="170">
        <v>45777</v>
      </c>
      <c r="B2561" s="116">
        <v>1411.85</v>
      </c>
      <c r="C2561" s="116">
        <v>1408.35</v>
      </c>
      <c r="D2561" s="116">
        <v>1373.5</v>
      </c>
      <c r="E2561" s="116">
        <v>1404.9</v>
      </c>
      <c r="F2561" s="116">
        <v>1408.35</v>
      </c>
      <c r="G2561">
        <v>3375628</v>
      </c>
      <c r="H2561" s="116"/>
      <c r="I2561" s="116"/>
      <c r="L2561" s="170">
        <v>45777</v>
      </c>
      <c r="M2561" s="116">
        <v>1405</v>
      </c>
      <c r="N2561" s="116">
        <v>1412.4</v>
      </c>
      <c r="O2561" s="116">
        <v>1369</v>
      </c>
      <c r="P2561" s="116">
        <v>1402</v>
      </c>
      <c r="Q2561" s="116">
        <v>1405</v>
      </c>
      <c r="R2561">
        <v>25480745</v>
      </c>
    </row>
    <row r="2562" spans="1:18" x14ac:dyDescent="0.25">
      <c r="A2562" s="170">
        <v>45779</v>
      </c>
      <c r="B2562" s="116">
        <v>1426</v>
      </c>
      <c r="C2562" s="116">
        <v>1421.95</v>
      </c>
      <c r="D2562" s="116">
        <v>1408.4</v>
      </c>
      <c r="E2562" s="116">
        <v>1408.4</v>
      </c>
      <c r="F2562" s="116">
        <v>1421.95</v>
      </c>
      <c r="G2562">
        <v>3746656</v>
      </c>
      <c r="H2562" s="116"/>
      <c r="I2562" s="116"/>
      <c r="L2562" s="170">
        <v>45779</v>
      </c>
      <c r="M2562" s="116">
        <v>1422.4</v>
      </c>
      <c r="N2562" s="116">
        <v>1426.7</v>
      </c>
      <c r="O2562" s="116">
        <v>1409.1</v>
      </c>
      <c r="P2562" s="116">
        <v>1414</v>
      </c>
      <c r="Q2562" s="116">
        <v>1422.4</v>
      </c>
      <c r="R2562">
        <v>17535402</v>
      </c>
    </row>
    <row r="2563" spans="1:18" x14ac:dyDescent="0.25">
      <c r="A2563" s="170">
        <v>45782</v>
      </c>
      <c r="B2563" s="116">
        <v>1439.75</v>
      </c>
      <c r="C2563" s="116">
        <v>1431.1</v>
      </c>
      <c r="D2563" s="116">
        <v>1427</v>
      </c>
      <c r="E2563" s="116">
        <v>1427</v>
      </c>
      <c r="F2563" s="116">
        <v>1431.1</v>
      </c>
      <c r="G2563">
        <v>428786</v>
      </c>
      <c r="H2563" s="116"/>
      <c r="I2563" s="116"/>
      <c r="L2563" s="170">
        <v>45782</v>
      </c>
      <c r="M2563" s="116">
        <v>1431.3</v>
      </c>
      <c r="N2563" s="116">
        <v>1439.5</v>
      </c>
      <c r="O2563" s="116">
        <v>1426.9</v>
      </c>
      <c r="P2563" s="116">
        <v>1431</v>
      </c>
      <c r="Q2563" s="116">
        <v>1431.3</v>
      </c>
      <c r="R2563">
        <v>12685649</v>
      </c>
    </row>
    <row r="2564" spans="1:18" x14ac:dyDescent="0.25">
      <c r="A2564" s="170">
        <v>45783</v>
      </c>
      <c r="B2564" s="116">
        <v>1432</v>
      </c>
      <c r="C2564" s="116">
        <v>1420.55</v>
      </c>
      <c r="D2564" s="116">
        <v>1410.35</v>
      </c>
      <c r="E2564" s="116">
        <v>1432</v>
      </c>
      <c r="F2564" s="116">
        <v>1420.55</v>
      </c>
      <c r="G2564">
        <v>311563</v>
      </c>
      <c r="H2564" s="116"/>
      <c r="I2564" s="116"/>
      <c r="L2564" s="170">
        <v>45783</v>
      </c>
      <c r="M2564" s="116">
        <v>1420.9</v>
      </c>
      <c r="N2564" s="116">
        <v>1432</v>
      </c>
      <c r="O2564" s="116">
        <v>1410.6</v>
      </c>
      <c r="P2564" s="116">
        <v>1431</v>
      </c>
      <c r="Q2564" s="116">
        <v>1420.9</v>
      </c>
      <c r="R2564">
        <v>14084117</v>
      </c>
    </row>
    <row r="2565" spans="1:18" x14ac:dyDescent="0.25">
      <c r="A2565" s="170">
        <v>45784</v>
      </c>
      <c r="B2565" s="116">
        <v>1424.9</v>
      </c>
      <c r="C2565" s="116">
        <v>1406</v>
      </c>
      <c r="D2565" s="116">
        <v>1402.15</v>
      </c>
      <c r="E2565" s="116">
        <v>1412.05</v>
      </c>
      <c r="F2565" s="116">
        <v>1406</v>
      </c>
      <c r="G2565">
        <v>262093</v>
      </c>
      <c r="H2565" s="116"/>
      <c r="I2565" s="116"/>
      <c r="L2565" s="170">
        <v>45784</v>
      </c>
      <c r="M2565" s="116">
        <v>1406</v>
      </c>
      <c r="N2565" s="116">
        <v>1424.4</v>
      </c>
      <c r="O2565" s="116">
        <v>1402.7</v>
      </c>
      <c r="P2565" s="116">
        <v>1420.9</v>
      </c>
      <c r="Q2565" s="116">
        <v>1406</v>
      </c>
      <c r="R2565">
        <v>13440169</v>
      </c>
    </row>
    <row r="2566" spans="1:18" x14ac:dyDescent="0.25">
      <c r="A2566" s="170">
        <v>45785</v>
      </c>
      <c r="B2566" s="116">
        <v>1420.5</v>
      </c>
      <c r="C2566" s="116">
        <v>1404.85</v>
      </c>
      <c r="D2566" s="116">
        <v>1397.05</v>
      </c>
      <c r="E2566" s="116">
        <v>1404.95</v>
      </c>
      <c r="F2566" s="116">
        <v>1404.85</v>
      </c>
      <c r="G2566">
        <v>573809</v>
      </c>
      <c r="H2566" s="116"/>
      <c r="I2566" s="116"/>
      <c r="L2566" s="170">
        <v>45785</v>
      </c>
      <c r="M2566" s="116">
        <v>1407</v>
      </c>
      <c r="N2566" s="116">
        <v>1420.8</v>
      </c>
      <c r="O2566" s="116">
        <v>1398</v>
      </c>
      <c r="P2566" s="116">
        <v>1404.1</v>
      </c>
      <c r="Q2566" s="116">
        <v>1407</v>
      </c>
      <c r="R2566">
        <v>16106175</v>
      </c>
    </row>
    <row r="2567" spans="1:18" x14ac:dyDescent="0.25">
      <c r="A2567" s="170">
        <v>45786</v>
      </c>
      <c r="B2567" s="116">
        <v>1395</v>
      </c>
      <c r="C2567" s="116">
        <v>1377.75</v>
      </c>
      <c r="D2567" s="116">
        <v>1372.05</v>
      </c>
      <c r="E2567" s="116">
        <v>1372.05</v>
      </c>
      <c r="F2567" s="116">
        <v>1377.75</v>
      </c>
      <c r="G2567">
        <v>388444</v>
      </c>
      <c r="H2567" s="116"/>
      <c r="I2567" s="116"/>
      <c r="L2567" s="170">
        <v>45786</v>
      </c>
      <c r="M2567" s="116">
        <v>1377.2</v>
      </c>
      <c r="N2567" s="116">
        <v>1394.8</v>
      </c>
      <c r="O2567" s="116">
        <v>1374.5</v>
      </c>
      <c r="P2567" s="116">
        <v>1385.5</v>
      </c>
      <c r="Q2567" s="116">
        <v>1377.2</v>
      </c>
      <c r="R2567">
        <v>13668904</v>
      </c>
    </row>
    <row r="2568" spans="1:18" x14ac:dyDescent="0.25">
      <c r="A2568" s="170">
        <v>45789</v>
      </c>
      <c r="B2568" s="116">
        <v>1438.9</v>
      </c>
      <c r="C2568" s="116">
        <v>1436.55</v>
      </c>
      <c r="D2568" s="116">
        <v>1400</v>
      </c>
      <c r="E2568" s="116">
        <v>1400</v>
      </c>
      <c r="F2568" s="116">
        <v>1436.55</v>
      </c>
      <c r="G2568">
        <v>792769</v>
      </c>
      <c r="H2568" s="116"/>
      <c r="I2568" s="116"/>
      <c r="L2568" s="170">
        <v>45789</v>
      </c>
      <c r="M2568" s="116">
        <v>1436.5</v>
      </c>
      <c r="N2568" s="116">
        <v>1439</v>
      </c>
      <c r="O2568" s="116">
        <v>1400</v>
      </c>
      <c r="P2568" s="116">
        <v>1400</v>
      </c>
      <c r="Q2568" s="116">
        <v>1436.5</v>
      </c>
      <c r="R2568">
        <v>10674081</v>
      </c>
    </row>
    <row r="2569" spans="1:18" x14ac:dyDescent="0.25">
      <c r="A2569" s="170">
        <v>45790</v>
      </c>
      <c r="B2569" s="116">
        <v>1447.35</v>
      </c>
      <c r="C2569" s="116">
        <v>1416.2</v>
      </c>
      <c r="D2569" s="116">
        <v>1413</v>
      </c>
      <c r="E2569" s="116">
        <v>1433.2</v>
      </c>
      <c r="F2569" s="116">
        <v>1416.2</v>
      </c>
      <c r="G2569">
        <v>992150</v>
      </c>
      <c r="H2569" s="116"/>
      <c r="I2569" s="116"/>
      <c r="L2569" s="170">
        <v>45790</v>
      </c>
      <c r="M2569" s="116">
        <v>1415.7</v>
      </c>
      <c r="N2569" s="116">
        <v>1447.7</v>
      </c>
      <c r="O2569" s="116">
        <v>1412.4</v>
      </c>
      <c r="P2569" s="116">
        <v>1433.5</v>
      </c>
      <c r="Q2569" s="116">
        <v>1415.7</v>
      </c>
      <c r="R2569">
        <v>11407896</v>
      </c>
    </row>
    <row r="2570" spans="1:18" x14ac:dyDescent="0.25">
      <c r="A2570" s="170">
        <v>45791</v>
      </c>
      <c r="B2570" s="116">
        <v>1429.8</v>
      </c>
      <c r="C2570" s="116">
        <v>1424.25</v>
      </c>
      <c r="D2570" s="116">
        <v>1415.5</v>
      </c>
      <c r="E2570" s="116">
        <v>1418.1</v>
      </c>
      <c r="F2570" s="116">
        <v>1424.25</v>
      </c>
      <c r="G2570">
        <v>320533</v>
      </c>
      <c r="H2570" s="116"/>
      <c r="I2570" s="116"/>
      <c r="L2570" s="170">
        <v>45791</v>
      </c>
      <c r="M2570" s="116">
        <v>1424.4</v>
      </c>
      <c r="N2570" s="116">
        <v>1429.9</v>
      </c>
      <c r="O2570" s="116">
        <v>1415.5</v>
      </c>
      <c r="P2570" s="116">
        <v>1420</v>
      </c>
      <c r="Q2570" s="116">
        <v>1424.4</v>
      </c>
      <c r="R2570">
        <v>5570160</v>
      </c>
    </row>
    <row r="2571" spans="1:18" x14ac:dyDescent="0.25">
      <c r="A2571" s="170">
        <v>45792</v>
      </c>
      <c r="B2571" s="116">
        <v>1461</v>
      </c>
      <c r="C2571" s="116">
        <v>1453.8</v>
      </c>
      <c r="D2571" s="116">
        <v>1413</v>
      </c>
      <c r="E2571" s="116">
        <v>1424.25</v>
      </c>
      <c r="F2571" s="116">
        <v>1453.8</v>
      </c>
      <c r="G2571">
        <v>479370</v>
      </c>
      <c r="H2571" s="116"/>
      <c r="I2571" s="116"/>
      <c r="L2571" s="170">
        <v>45792</v>
      </c>
      <c r="M2571" s="116">
        <v>1454.2</v>
      </c>
      <c r="N2571" s="116">
        <v>1461.4</v>
      </c>
      <c r="O2571" s="116">
        <v>1412.7</v>
      </c>
      <c r="P2571" s="116">
        <v>1425</v>
      </c>
      <c r="Q2571" s="116">
        <v>1454.2</v>
      </c>
      <c r="R2571">
        <v>20177211</v>
      </c>
    </row>
    <row r="2572" spans="1:18" x14ac:dyDescent="0.25">
      <c r="A2572" s="170">
        <v>45793</v>
      </c>
      <c r="B2572" s="116">
        <v>1460.2</v>
      </c>
      <c r="C2572" s="116">
        <v>1456.6</v>
      </c>
      <c r="D2572" s="116">
        <v>1447.6</v>
      </c>
      <c r="E2572" s="116">
        <v>1453.75</v>
      </c>
      <c r="F2572" s="116">
        <v>1456.6</v>
      </c>
      <c r="G2572">
        <v>338754</v>
      </c>
      <c r="H2572" s="116"/>
      <c r="I2572" s="116"/>
      <c r="L2572" s="170">
        <v>45793</v>
      </c>
      <c r="M2572" s="116">
        <v>1456.4</v>
      </c>
      <c r="N2572" s="116">
        <v>1461</v>
      </c>
      <c r="O2572" s="116">
        <v>1447.3</v>
      </c>
      <c r="P2572" s="116">
        <v>1453.2</v>
      </c>
      <c r="Q2572" s="116">
        <v>1456.4</v>
      </c>
      <c r="R2572">
        <v>9036695</v>
      </c>
    </row>
    <row r="2573" spans="1:18" x14ac:dyDescent="0.25">
      <c r="A2573" s="170">
        <v>45796</v>
      </c>
      <c r="B2573" s="116">
        <v>1454.3</v>
      </c>
      <c r="C2573" s="116">
        <v>1441.65</v>
      </c>
      <c r="D2573" s="116">
        <v>1438.05</v>
      </c>
      <c r="E2573" s="116">
        <v>1454.3</v>
      </c>
      <c r="F2573" s="116">
        <v>1441.65</v>
      </c>
      <c r="G2573">
        <v>550729</v>
      </c>
      <c r="H2573" s="116"/>
      <c r="I2573" s="116"/>
      <c r="L2573" s="170">
        <v>45796</v>
      </c>
      <c r="M2573" s="116">
        <v>1440.8</v>
      </c>
      <c r="N2573" s="116">
        <v>1454.6</v>
      </c>
      <c r="O2573" s="116">
        <v>1438.2</v>
      </c>
      <c r="P2573" s="116">
        <v>1452.1</v>
      </c>
      <c r="Q2573" s="116">
        <v>1440.8</v>
      </c>
      <c r="R2573">
        <v>6195791</v>
      </c>
    </row>
    <row r="2574" spans="1:18" x14ac:dyDescent="0.25">
      <c r="A2574" s="170">
        <v>45797</v>
      </c>
      <c r="B2574" s="116">
        <v>1444.55</v>
      </c>
      <c r="C2574" s="116">
        <v>1425.3</v>
      </c>
      <c r="D2574" s="116">
        <v>1421.2</v>
      </c>
      <c r="E2574" s="116">
        <v>1435.65</v>
      </c>
      <c r="F2574" s="116">
        <v>1425.3</v>
      </c>
      <c r="G2574">
        <v>670532</v>
      </c>
      <c r="H2574" s="116"/>
      <c r="I2574" s="116"/>
      <c r="L2574" s="170">
        <v>45797</v>
      </c>
      <c r="M2574" s="116">
        <v>1424.6</v>
      </c>
      <c r="N2574" s="116">
        <v>1445</v>
      </c>
      <c r="O2574" s="116">
        <v>1421.8</v>
      </c>
      <c r="P2574" s="116">
        <v>1438.2</v>
      </c>
      <c r="Q2574" s="116">
        <v>1424.6</v>
      </c>
      <c r="R2574">
        <v>11270560</v>
      </c>
    </row>
    <row r="2575" spans="1:18" x14ac:dyDescent="0.25">
      <c r="A2575" s="170">
        <v>45798</v>
      </c>
      <c r="B2575" s="116">
        <v>1436.1</v>
      </c>
      <c r="C2575" s="116">
        <v>1428.9</v>
      </c>
      <c r="D2575" s="116">
        <v>1418.35</v>
      </c>
      <c r="E2575" s="116">
        <v>1424.95</v>
      </c>
      <c r="F2575" s="116">
        <v>1428.9</v>
      </c>
      <c r="G2575">
        <v>507422</v>
      </c>
      <c r="H2575" s="116"/>
      <c r="I2575" s="116"/>
      <c r="L2575" s="170">
        <v>45798</v>
      </c>
      <c r="M2575" s="116">
        <v>1429.2</v>
      </c>
      <c r="N2575" s="116">
        <v>1436.2</v>
      </c>
      <c r="O2575" s="116">
        <v>1418.1</v>
      </c>
      <c r="P2575" s="116">
        <v>1423.9</v>
      </c>
      <c r="Q2575" s="116">
        <v>1429.2</v>
      </c>
      <c r="R2575">
        <v>6136364</v>
      </c>
    </row>
    <row r="2576" spans="1:18" x14ac:dyDescent="0.25">
      <c r="A2576" s="170">
        <v>45799</v>
      </c>
      <c r="B2576" s="116">
        <v>1422.5</v>
      </c>
      <c r="C2576" s="116">
        <v>1409.4</v>
      </c>
      <c r="D2576" s="116">
        <v>1397.4</v>
      </c>
      <c r="E2576" s="116">
        <v>1420</v>
      </c>
      <c r="F2576" s="116">
        <v>1409.4</v>
      </c>
      <c r="G2576">
        <v>388189</v>
      </c>
      <c r="H2576" s="116"/>
      <c r="I2576" s="116"/>
      <c r="L2576" s="170">
        <v>45799</v>
      </c>
      <c r="M2576" s="116">
        <v>1409.4</v>
      </c>
      <c r="N2576" s="116">
        <v>1423.8</v>
      </c>
      <c r="O2576" s="116">
        <v>1396.9</v>
      </c>
      <c r="P2576" s="116">
        <v>1421.2</v>
      </c>
      <c r="Q2576" s="116">
        <v>1409.4</v>
      </c>
      <c r="R2576">
        <v>12134466</v>
      </c>
    </row>
    <row r="2577" spans="1:18" x14ac:dyDescent="0.25">
      <c r="A2577" s="170">
        <v>45800</v>
      </c>
      <c r="B2577" s="116">
        <v>1433.7</v>
      </c>
      <c r="C2577" s="116">
        <v>1426.45</v>
      </c>
      <c r="D2577" s="116">
        <v>1406</v>
      </c>
      <c r="E2577" s="116">
        <v>1406</v>
      </c>
      <c r="F2577" s="116">
        <v>1426.45</v>
      </c>
      <c r="G2577">
        <v>386757</v>
      </c>
      <c r="H2577" s="116"/>
      <c r="I2577" s="116"/>
      <c r="L2577" s="170">
        <v>45800</v>
      </c>
      <c r="M2577" s="116">
        <v>1426.8</v>
      </c>
      <c r="N2577" s="116">
        <v>1433.8</v>
      </c>
      <c r="O2577" s="116">
        <v>1406.6</v>
      </c>
      <c r="P2577" s="116">
        <v>1406.6</v>
      </c>
      <c r="Q2577" s="116">
        <v>1426.8</v>
      </c>
      <c r="R2577">
        <v>6474883</v>
      </c>
    </row>
    <row r="2578" spans="1:18" x14ac:dyDescent="0.25">
      <c r="A2578" s="170">
        <v>45803</v>
      </c>
      <c r="B2578" s="116">
        <v>1441.2</v>
      </c>
      <c r="C2578" s="116">
        <v>1434.15</v>
      </c>
      <c r="D2578" s="116">
        <v>1426.05</v>
      </c>
      <c r="E2578" s="116">
        <v>1430.4</v>
      </c>
      <c r="F2578" s="116">
        <v>1434.15</v>
      </c>
      <c r="G2578">
        <v>330120</v>
      </c>
      <c r="H2578" s="116"/>
      <c r="I2578" s="116"/>
      <c r="L2578" s="170">
        <v>45803</v>
      </c>
      <c r="M2578" s="116">
        <v>1434.8</v>
      </c>
      <c r="N2578" s="116">
        <v>1441</v>
      </c>
      <c r="O2578" s="116">
        <v>1425.1</v>
      </c>
      <c r="P2578" s="116">
        <v>1432</v>
      </c>
      <c r="Q2578" s="116">
        <v>1434.8</v>
      </c>
      <c r="R2578">
        <v>4842944</v>
      </c>
    </row>
    <row r="2579" spans="1:18" x14ac:dyDescent="0.25">
      <c r="A2579" s="170">
        <v>45804</v>
      </c>
      <c r="B2579" s="116">
        <v>1437.3</v>
      </c>
      <c r="C2579" s="116">
        <v>1421.75</v>
      </c>
      <c r="D2579" s="116">
        <v>1414</v>
      </c>
      <c r="E2579" s="116">
        <v>1429.15</v>
      </c>
      <c r="F2579" s="116">
        <v>1421.75</v>
      </c>
      <c r="G2579">
        <v>1302990</v>
      </c>
      <c r="H2579" s="116"/>
      <c r="I2579" s="116"/>
      <c r="L2579" s="170">
        <v>45804</v>
      </c>
      <c r="M2579" s="116">
        <v>1422.1</v>
      </c>
      <c r="N2579" s="116">
        <v>1437</v>
      </c>
      <c r="O2579" s="116">
        <v>1413.9</v>
      </c>
      <c r="P2579" s="116">
        <v>1426.1</v>
      </c>
      <c r="Q2579" s="116">
        <v>1422.1</v>
      </c>
      <c r="R2579">
        <v>12640414</v>
      </c>
    </row>
    <row r="2580" spans="1:18" x14ac:dyDescent="0.25">
      <c r="A2580" s="170">
        <v>45805</v>
      </c>
      <c r="B2580" s="116">
        <v>1422.2</v>
      </c>
      <c r="C2580" s="116">
        <v>1411.15</v>
      </c>
      <c r="D2580" s="116">
        <v>1410.2</v>
      </c>
      <c r="E2580" s="116">
        <v>1421.7</v>
      </c>
      <c r="F2580" s="116">
        <v>1411.15</v>
      </c>
      <c r="G2580">
        <v>260943</v>
      </c>
      <c r="H2580" s="116"/>
      <c r="I2580" s="116"/>
      <c r="L2580" s="170">
        <v>45805</v>
      </c>
      <c r="M2580" s="116">
        <v>1412.9</v>
      </c>
      <c r="N2580" s="116">
        <v>1422.6</v>
      </c>
      <c r="O2580" s="116">
        <v>1410.7</v>
      </c>
      <c r="P2580" s="116">
        <v>1420.1</v>
      </c>
      <c r="Q2580" s="116">
        <v>1412.9</v>
      </c>
      <c r="R2580">
        <v>5944611</v>
      </c>
    </row>
    <row r="2581" spans="1:18" x14ac:dyDescent="0.25">
      <c r="A2581" s="170">
        <v>45806</v>
      </c>
      <c r="B2581" s="116">
        <v>1420.15</v>
      </c>
      <c r="C2581" s="116">
        <v>1417.4</v>
      </c>
      <c r="D2581" s="116">
        <v>1408.95</v>
      </c>
      <c r="E2581" s="116">
        <v>1413.35</v>
      </c>
      <c r="F2581" s="116">
        <v>1417.4</v>
      </c>
      <c r="G2581">
        <v>309419</v>
      </c>
      <c r="H2581" s="116"/>
      <c r="I2581" s="116"/>
      <c r="L2581" s="170">
        <v>45806</v>
      </c>
      <c r="M2581" s="116">
        <v>1417.8</v>
      </c>
      <c r="N2581" s="116">
        <v>1420</v>
      </c>
      <c r="O2581" s="116">
        <v>1408.6</v>
      </c>
      <c r="P2581" s="116">
        <v>1412.1</v>
      </c>
      <c r="Q2581" s="116">
        <v>1417.8</v>
      </c>
      <c r="R2581">
        <v>13771917</v>
      </c>
    </row>
    <row r="2582" spans="1:18" x14ac:dyDescent="0.25">
      <c r="A2582" s="170">
        <v>45807</v>
      </c>
      <c r="B2582" s="116">
        <v>1430.75</v>
      </c>
      <c r="C2582" s="116">
        <v>1420.8</v>
      </c>
      <c r="D2582" s="116">
        <v>1410</v>
      </c>
      <c r="E2582" s="116">
        <v>1417.8</v>
      </c>
      <c r="F2582" s="116">
        <v>1420.8</v>
      </c>
      <c r="G2582">
        <v>228179</v>
      </c>
      <c r="H2582" s="116"/>
      <c r="I2582" s="116"/>
      <c r="L2582" s="170">
        <v>45807</v>
      </c>
      <c r="M2582" s="116">
        <v>1420.9</v>
      </c>
      <c r="N2582" s="116">
        <v>1430.6</v>
      </c>
      <c r="O2582" s="116">
        <v>1409.7</v>
      </c>
      <c r="P2582" s="116">
        <v>1418</v>
      </c>
      <c r="Q2582" s="116">
        <v>1420.9</v>
      </c>
      <c r="R2582">
        <v>13788484</v>
      </c>
    </row>
    <row r="2583" spans="1:18" x14ac:dyDescent="0.25">
      <c r="A2583" s="170">
        <v>45810</v>
      </c>
      <c r="B2583" s="116">
        <v>1417.65</v>
      </c>
      <c r="C2583" s="116">
        <v>1414.45</v>
      </c>
      <c r="D2583" s="116">
        <v>1395.9</v>
      </c>
      <c r="E2583" s="116">
        <v>1415.95</v>
      </c>
      <c r="F2583" s="116">
        <v>1414.45</v>
      </c>
      <c r="G2583">
        <v>469571</v>
      </c>
      <c r="H2583" s="116"/>
      <c r="I2583" s="116"/>
      <c r="L2583" s="170">
        <v>45810</v>
      </c>
      <c r="M2583" s="116">
        <v>1413.7</v>
      </c>
      <c r="N2583" s="116">
        <v>1417.5</v>
      </c>
      <c r="O2583" s="116">
        <v>1395.6</v>
      </c>
      <c r="P2583" s="116">
        <v>1412.1</v>
      </c>
      <c r="Q2583" s="116">
        <v>1413.7</v>
      </c>
      <c r="R2583">
        <v>8098668</v>
      </c>
    </row>
    <row r="2584" spans="1:18" x14ac:dyDescent="0.25">
      <c r="A2584" s="170">
        <v>45811</v>
      </c>
      <c r="B2584" s="116">
        <v>1427.05</v>
      </c>
      <c r="C2584" s="116">
        <v>1405.95</v>
      </c>
      <c r="D2584" s="116">
        <v>1403</v>
      </c>
      <c r="E2584" s="116">
        <v>1419.8</v>
      </c>
      <c r="F2584" s="116">
        <v>1405.95</v>
      </c>
      <c r="G2584">
        <v>1503679</v>
      </c>
      <c r="H2584" s="116"/>
      <c r="I2584" s="116"/>
      <c r="L2584" s="170">
        <v>45811</v>
      </c>
      <c r="M2584" s="116">
        <v>1405.5</v>
      </c>
      <c r="N2584" s="116">
        <v>1426.5</v>
      </c>
      <c r="O2584" s="116">
        <v>1403.4</v>
      </c>
      <c r="P2584" s="116">
        <v>1422.3</v>
      </c>
      <c r="Q2584" s="116">
        <v>1405.5</v>
      </c>
      <c r="R2584">
        <v>11252626</v>
      </c>
    </row>
    <row r="2585" spans="1:18" x14ac:dyDescent="0.25">
      <c r="A2585" s="170">
        <v>45812</v>
      </c>
      <c r="B2585" s="116">
        <v>1425</v>
      </c>
      <c r="C2585" s="116">
        <v>1423.2</v>
      </c>
      <c r="D2585" s="116">
        <v>1406.15</v>
      </c>
      <c r="E2585" s="116">
        <v>1410.4</v>
      </c>
      <c r="F2585" s="116">
        <v>1423.2</v>
      </c>
      <c r="G2585">
        <v>312944</v>
      </c>
      <c r="H2585" s="116"/>
      <c r="I2585" s="116"/>
      <c r="L2585" s="170">
        <v>45812</v>
      </c>
      <c r="M2585" s="116">
        <v>1423.5</v>
      </c>
      <c r="N2585" s="116">
        <v>1425.7</v>
      </c>
      <c r="O2585" s="116">
        <v>1406.1</v>
      </c>
      <c r="P2585" s="116">
        <v>1414.7</v>
      </c>
      <c r="Q2585" s="116">
        <v>1423.5</v>
      </c>
      <c r="R2585">
        <v>8126827</v>
      </c>
    </row>
    <row r="2586" spans="1:18" x14ac:dyDescent="0.25">
      <c r="A2586" s="170">
        <v>45813</v>
      </c>
      <c r="B2586" s="116">
        <v>1454.5</v>
      </c>
      <c r="C2586" s="116">
        <v>1442.65</v>
      </c>
      <c r="D2586" s="116">
        <v>1423.4</v>
      </c>
      <c r="E2586" s="116">
        <v>1426.95</v>
      </c>
      <c r="F2586" s="116">
        <v>1442.65</v>
      </c>
      <c r="G2586">
        <v>427025</v>
      </c>
      <c r="H2586" s="116"/>
      <c r="I2586" s="116"/>
      <c r="L2586" s="170">
        <v>45813</v>
      </c>
      <c r="M2586" s="116">
        <v>1442.4</v>
      </c>
      <c r="N2586" s="116">
        <v>1454.7</v>
      </c>
      <c r="O2586" s="116">
        <v>1423.6</v>
      </c>
      <c r="P2586" s="116">
        <v>1428</v>
      </c>
      <c r="Q2586" s="116">
        <v>1442.4</v>
      </c>
      <c r="R2586">
        <v>13716817</v>
      </c>
    </row>
    <row r="2587" spans="1:18" x14ac:dyDescent="0.25">
      <c r="A2587" s="170">
        <v>45814</v>
      </c>
      <c r="B2587" s="116">
        <v>1451.35</v>
      </c>
      <c r="C2587" s="116">
        <v>1443.55</v>
      </c>
      <c r="D2587" s="116">
        <v>1436.75</v>
      </c>
      <c r="E2587" s="116">
        <v>1443.65</v>
      </c>
      <c r="F2587" s="116">
        <v>1443.55</v>
      </c>
      <c r="G2587">
        <v>1284697</v>
      </c>
      <c r="H2587" s="116"/>
      <c r="I2587" s="116"/>
      <c r="L2587" s="170">
        <v>45814</v>
      </c>
      <c r="M2587" s="116">
        <v>1443.5</v>
      </c>
      <c r="N2587" s="116">
        <v>1451.5</v>
      </c>
      <c r="O2587" s="116">
        <v>1437</v>
      </c>
      <c r="P2587" s="116">
        <v>1441</v>
      </c>
      <c r="Q2587" s="116">
        <v>1443.5</v>
      </c>
      <c r="R2587">
        <v>8182161</v>
      </c>
    </row>
    <row r="2588" spans="1:18" x14ac:dyDescent="0.25">
      <c r="A2588" s="170">
        <v>45817</v>
      </c>
      <c r="B2588" s="116">
        <v>1456.9</v>
      </c>
      <c r="C2588" s="116">
        <v>1448.6</v>
      </c>
      <c r="D2588" s="116">
        <v>1445.1</v>
      </c>
      <c r="E2588" s="116">
        <v>1454.55</v>
      </c>
      <c r="F2588" s="116">
        <v>1448.6</v>
      </c>
      <c r="G2588">
        <v>452344</v>
      </c>
      <c r="H2588" s="116"/>
      <c r="I2588" s="116"/>
      <c r="L2588" s="170">
        <v>45817</v>
      </c>
      <c r="M2588" s="116">
        <v>1448.8</v>
      </c>
      <c r="N2588" s="116">
        <v>1457.5</v>
      </c>
      <c r="O2588" s="116">
        <v>1445.3</v>
      </c>
      <c r="P2588" s="116">
        <v>1457</v>
      </c>
      <c r="Q2588" s="116">
        <v>1448.8</v>
      </c>
      <c r="R2588">
        <v>7885125</v>
      </c>
    </row>
    <row r="2589" spans="1:18" x14ac:dyDescent="0.25">
      <c r="A2589" s="170">
        <v>45818</v>
      </c>
      <c r="B2589" s="116">
        <v>1453.4</v>
      </c>
      <c r="C2589" s="116">
        <v>1438.6</v>
      </c>
      <c r="D2589" s="116">
        <v>1436.5</v>
      </c>
      <c r="E2589" s="116">
        <v>1448.6</v>
      </c>
      <c r="F2589" s="116">
        <v>1438.6</v>
      </c>
      <c r="G2589">
        <v>481509</v>
      </c>
      <c r="H2589" s="116"/>
      <c r="I2589" s="116"/>
      <c r="L2589" s="170">
        <v>45818</v>
      </c>
      <c r="M2589" s="116">
        <v>1438.5</v>
      </c>
      <c r="N2589" s="116">
        <v>1453.9</v>
      </c>
      <c r="O2589" s="116">
        <v>1436</v>
      </c>
      <c r="P2589" s="116">
        <v>1450</v>
      </c>
      <c r="Q2589" s="116">
        <v>1438.5</v>
      </c>
      <c r="R2589">
        <v>7913181</v>
      </c>
    </row>
    <row r="2590" spans="1:18" x14ac:dyDescent="0.25">
      <c r="A2590" s="170">
        <v>45819</v>
      </c>
      <c r="B2590" s="116">
        <v>1468</v>
      </c>
      <c r="C2590" s="116">
        <v>1448.75</v>
      </c>
      <c r="D2590" s="116">
        <v>1442.8</v>
      </c>
      <c r="E2590" s="116">
        <v>1444.9</v>
      </c>
      <c r="F2590" s="116">
        <v>1448.75</v>
      </c>
      <c r="G2590">
        <v>654096</v>
      </c>
      <c r="H2590" s="116"/>
      <c r="I2590" s="116"/>
      <c r="L2590" s="170">
        <v>45819</v>
      </c>
      <c r="M2590" s="116">
        <v>1448.9</v>
      </c>
      <c r="N2590" s="116">
        <v>1468.6</v>
      </c>
      <c r="O2590" s="116">
        <v>1443.1</v>
      </c>
      <c r="P2590" s="116">
        <v>1445.8</v>
      </c>
      <c r="Q2590" s="116">
        <v>1448.9</v>
      </c>
      <c r="R2590">
        <v>8195700</v>
      </c>
    </row>
    <row r="2591" spans="1:18" x14ac:dyDescent="0.25">
      <c r="A2591" s="170">
        <v>45820</v>
      </c>
      <c r="B2591" s="116">
        <v>1456.85</v>
      </c>
      <c r="C2591" s="116">
        <v>1439.6</v>
      </c>
      <c r="D2591" s="116">
        <v>1434.05</v>
      </c>
      <c r="E2591" s="116">
        <v>1452.2</v>
      </c>
      <c r="F2591" s="116">
        <v>1439.6</v>
      </c>
      <c r="G2591">
        <v>284782</v>
      </c>
      <c r="H2591" s="116"/>
      <c r="I2591" s="116"/>
      <c r="L2591" s="170">
        <v>45820</v>
      </c>
      <c r="M2591" s="116">
        <v>1441.6</v>
      </c>
      <c r="N2591" s="116">
        <v>1457</v>
      </c>
      <c r="O2591" s="116">
        <v>1434.4</v>
      </c>
      <c r="P2591" s="116">
        <v>1453.5</v>
      </c>
      <c r="Q2591" s="116">
        <v>1441.6</v>
      </c>
      <c r="R2591">
        <v>8828114</v>
      </c>
    </row>
    <row r="2592" spans="1:18" x14ac:dyDescent="0.25">
      <c r="A2592" s="170">
        <v>45821</v>
      </c>
      <c r="B2592" s="116">
        <v>1435.35</v>
      </c>
      <c r="C2592" s="116">
        <v>1427.65</v>
      </c>
      <c r="D2592" s="116">
        <v>1414</v>
      </c>
      <c r="E2592" s="116">
        <v>1420</v>
      </c>
      <c r="F2592" s="116">
        <v>1427.65</v>
      </c>
      <c r="G2592">
        <v>313642</v>
      </c>
      <c r="H2592" s="116"/>
      <c r="I2592" s="116"/>
      <c r="L2592" s="170">
        <v>45821</v>
      </c>
      <c r="M2592" s="116">
        <v>1427.9</v>
      </c>
      <c r="N2592" s="116">
        <v>1435.5</v>
      </c>
      <c r="O2592" s="116">
        <v>1414.3</v>
      </c>
      <c r="P2592" s="116">
        <v>1424</v>
      </c>
      <c r="Q2592" s="116">
        <v>1427.9</v>
      </c>
      <c r="R2592">
        <v>9757276</v>
      </c>
    </row>
    <row r="2593" spans="1:18" x14ac:dyDescent="0.25">
      <c r="A2593" s="170">
        <v>45824</v>
      </c>
      <c r="B2593" s="116">
        <v>1441.9</v>
      </c>
      <c r="C2593" s="116">
        <v>1438.55</v>
      </c>
      <c r="D2593" s="116">
        <v>1425</v>
      </c>
      <c r="E2593" s="116">
        <v>1425.05</v>
      </c>
      <c r="F2593" s="116">
        <v>1438.55</v>
      </c>
      <c r="G2593">
        <v>350578</v>
      </c>
      <c r="H2593" s="116"/>
      <c r="I2593" s="116"/>
      <c r="L2593" s="170">
        <v>45824</v>
      </c>
      <c r="M2593" s="116">
        <v>1437.8</v>
      </c>
      <c r="N2593" s="116">
        <v>1442.4</v>
      </c>
      <c r="O2593" s="116">
        <v>1424.4</v>
      </c>
      <c r="P2593" s="116">
        <v>1426.9</v>
      </c>
      <c r="Q2593" s="116">
        <v>1437.8</v>
      </c>
      <c r="R2593">
        <v>8458093</v>
      </c>
    </row>
    <row r="2594" spans="1:18" x14ac:dyDescent="0.25">
      <c r="A2594" s="170">
        <v>45825</v>
      </c>
      <c r="B2594" s="116">
        <v>1446</v>
      </c>
      <c r="C2594" s="116">
        <v>1431.3</v>
      </c>
      <c r="D2594" s="116">
        <v>1425.8</v>
      </c>
      <c r="E2594" s="116">
        <v>1438</v>
      </c>
      <c r="F2594" s="116">
        <v>1431.3</v>
      </c>
      <c r="G2594">
        <v>2874904</v>
      </c>
      <c r="H2594" s="116"/>
      <c r="I2594" s="116"/>
      <c r="L2594" s="170">
        <v>45825</v>
      </c>
      <c r="M2594" s="116">
        <v>1431.2</v>
      </c>
      <c r="N2594" s="116">
        <v>1448</v>
      </c>
      <c r="O2594" s="116">
        <v>1425.8</v>
      </c>
      <c r="P2594" s="116">
        <v>1448</v>
      </c>
      <c r="Q2594" s="116">
        <v>1431.2</v>
      </c>
      <c r="R2594">
        <v>10366599</v>
      </c>
    </row>
    <row r="2595" spans="1:18" x14ac:dyDescent="0.25">
      <c r="A2595" s="170">
        <v>45826</v>
      </c>
      <c r="B2595" s="116">
        <v>1443</v>
      </c>
      <c r="C2595" s="116">
        <v>1429.85</v>
      </c>
      <c r="D2595" s="116">
        <v>1425.55</v>
      </c>
      <c r="E2595" s="116">
        <v>1430</v>
      </c>
      <c r="F2595" s="116">
        <v>1429.85</v>
      </c>
      <c r="G2595">
        <v>277714</v>
      </c>
      <c r="H2595" s="116"/>
      <c r="I2595" s="116"/>
      <c r="L2595" s="170">
        <v>45826</v>
      </c>
      <c r="M2595" s="116">
        <v>1430.1</v>
      </c>
      <c r="N2595" s="116">
        <v>1442.8</v>
      </c>
      <c r="O2595" s="116">
        <v>1425.7</v>
      </c>
      <c r="P2595" s="116">
        <v>1430</v>
      </c>
      <c r="Q2595" s="116">
        <v>1430.1</v>
      </c>
      <c r="R2595">
        <v>6681735</v>
      </c>
    </row>
    <row r="2596" spans="1:18" x14ac:dyDescent="0.25">
      <c r="A2596" s="170">
        <v>45827</v>
      </c>
      <c r="B2596" s="116">
        <v>1439.85</v>
      </c>
      <c r="C2596" s="116">
        <v>1433.65</v>
      </c>
      <c r="D2596" s="116">
        <v>1426</v>
      </c>
      <c r="E2596" s="116">
        <v>1430</v>
      </c>
      <c r="F2596" s="116">
        <v>1433.65</v>
      </c>
      <c r="G2596">
        <v>702530</v>
      </c>
      <c r="H2596" s="116"/>
      <c r="I2596" s="116"/>
      <c r="L2596" s="170">
        <v>45827</v>
      </c>
      <c r="M2596" s="116">
        <v>1433.3</v>
      </c>
      <c r="N2596" s="116">
        <v>1439.9</v>
      </c>
      <c r="O2596" s="116">
        <v>1425.7</v>
      </c>
      <c r="P2596" s="116">
        <v>1430.1</v>
      </c>
      <c r="Q2596" s="116">
        <v>1433.3</v>
      </c>
      <c r="R2596">
        <v>10007230</v>
      </c>
    </row>
    <row r="2597" spans="1:18" x14ac:dyDescent="0.25">
      <c r="A2597" s="170">
        <v>45828</v>
      </c>
      <c r="B2597" s="116">
        <v>1470</v>
      </c>
      <c r="C2597" s="116">
        <v>1464.65</v>
      </c>
      <c r="D2597" s="116">
        <v>1428.1</v>
      </c>
      <c r="E2597" s="116">
        <v>1430</v>
      </c>
      <c r="F2597" s="116">
        <v>1464.65</v>
      </c>
      <c r="G2597">
        <v>690290</v>
      </c>
      <c r="H2597" s="116"/>
      <c r="I2597" s="116"/>
      <c r="L2597" s="170">
        <v>45828</v>
      </c>
      <c r="M2597" s="116">
        <v>1466.2</v>
      </c>
      <c r="N2597" s="116">
        <v>1471</v>
      </c>
      <c r="O2597" s="116">
        <v>1428.1</v>
      </c>
      <c r="P2597" s="116">
        <v>1431</v>
      </c>
      <c r="Q2597" s="116">
        <v>1466.2</v>
      </c>
      <c r="R2597">
        <v>29010635</v>
      </c>
    </row>
    <row r="2598" spans="1:18" x14ac:dyDescent="0.25">
      <c r="A2598" s="170">
        <v>45831</v>
      </c>
      <c r="B2598" s="116">
        <v>1463</v>
      </c>
      <c r="C2598" s="116">
        <v>1456.35</v>
      </c>
      <c r="D2598" s="116">
        <v>1442</v>
      </c>
      <c r="E2598" s="116">
        <v>1442.7</v>
      </c>
      <c r="F2598" s="116">
        <v>1456.35</v>
      </c>
      <c r="G2598">
        <v>289434</v>
      </c>
      <c r="H2598" s="116"/>
      <c r="I2598" s="116"/>
      <c r="L2598" s="170">
        <v>45831</v>
      </c>
      <c r="M2598" s="116">
        <v>1456.8</v>
      </c>
      <c r="N2598" s="116">
        <v>1463.8</v>
      </c>
      <c r="O2598" s="116">
        <v>1442</v>
      </c>
      <c r="P2598" s="116">
        <v>1453</v>
      </c>
      <c r="Q2598" s="116">
        <v>1456.8</v>
      </c>
      <c r="R2598">
        <v>5989078</v>
      </c>
    </row>
    <row r="2599" spans="1:18" x14ac:dyDescent="0.25">
      <c r="A2599" s="170">
        <v>45832</v>
      </c>
      <c r="B2599" s="116">
        <v>1475</v>
      </c>
      <c r="C2599" s="116">
        <v>1450.05</v>
      </c>
      <c r="D2599" s="116">
        <v>1443.3</v>
      </c>
      <c r="E2599" s="116">
        <v>1466.75</v>
      </c>
      <c r="F2599" s="116">
        <v>1450.05</v>
      </c>
      <c r="G2599">
        <v>3665221</v>
      </c>
      <c r="H2599" s="116"/>
      <c r="I2599" s="116"/>
      <c r="L2599" s="170">
        <v>45832</v>
      </c>
      <c r="M2599" s="116">
        <v>1450.8</v>
      </c>
      <c r="N2599" s="116">
        <v>1475</v>
      </c>
      <c r="O2599" s="116">
        <v>1443.1</v>
      </c>
      <c r="P2599" s="116">
        <v>1465</v>
      </c>
      <c r="Q2599" s="116">
        <v>1450.8</v>
      </c>
      <c r="R2599">
        <v>16402744</v>
      </c>
    </row>
    <row r="2600" spans="1:18" x14ac:dyDescent="0.25">
      <c r="A2600" s="170">
        <v>45833</v>
      </c>
      <c r="B2600" s="116">
        <v>1472</v>
      </c>
      <c r="C2600" s="116">
        <v>1467.25</v>
      </c>
      <c r="D2600" s="116">
        <v>1460.15</v>
      </c>
      <c r="E2600" s="116">
        <v>1462.05</v>
      </c>
      <c r="F2600" s="116">
        <v>1467.25</v>
      </c>
      <c r="G2600">
        <v>143268</v>
      </c>
      <c r="H2600" s="116"/>
      <c r="I2600" s="116"/>
      <c r="L2600" s="170">
        <v>45833</v>
      </c>
      <c r="M2600" s="116">
        <v>1467.3</v>
      </c>
      <c r="N2600" s="116">
        <v>1472.4</v>
      </c>
      <c r="O2600" s="116">
        <v>1460.5</v>
      </c>
      <c r="P2600" s="116">
        <v>1464</v>
      </c>
      <c r="Q2600" s="116">
        <v>1467.3</v>
      </c>
      <c r="R2600">
        <v>7525851</v>
      </c>
    </row>
    <row r="2601" spans="1:18" x14ac:dyDescent="0.25">
      <c r="A2601" s="170">
        <v>45834</v>
      </c>
      <c r="B2601" s="116">
        <v>1498.7</v>
      </c>
      <c r="C2601" s="116">
        <v>1495.2</v>
      </c>
      <c r="D2601" s="116">
        <v>1465.1</v>
      </c>
      <c r="E2601" s="116">
        <v>1469.95</v>
      </c>
      <c r="F2601" s="116">
        <v>1495.2</v>
      </c>
      <c r="G2601">
        <v>366253</v>
      </c>
      <c r="H2601" s="116"/>
      <c r="I2601" s="116"/>
      <c r="L2601" s="170">
        <v>45834</v>
      </c>
      <c r="M2601" s="116">
        <v>1495.3</v>
      </c>
      <c r="N2601" s="116">
        <v>1498.8</v>
      </c>
      <c r="O2601" s="116">
        <v>1465.1</v>
      </c>
      <c r="P2601" s="116">
        <v>1469.1</v>
      </c>
      <c r="Q2601" s="116">
        <v>1495.3</v>
      </c>
      <c r="R2601">
        <v>14657893</v>
      </c>
    </row>
    <row r="2602" spans="1:18" x14ac:dyDescent="0.25">
      <c r="A2602" s="170">
        <v>45835</v>
      </c>
      <c r="B2602" s="116">
        <v>1521.7</v>
      </c>
      <c r="C2602" s="116">
        <v>1516.05</v>
      </c>
      <c r="D2602" s="116">
        <v>1497.1</v>
      </c>
      <c r="E2602" s="116">
        <v>1498.05</v>
      </c>
      <c r="F2602" s="116">
        <v>1516.05</v>
      </c>
      <c r="G2602">
        <v>340711</v>
      </c>
      <c r="H2602" s="116"/>
      <c r="I2602" s="116"/>
      <c r="L2602" s="170">
        <v>45835</v>
      </c>
      <c r="M2602" s="116">
        <v>1515.4</v>
      </c>
      <c r="N2602" s="116">
        <v>1522</v>
      </c>
      <c r="O2602" s="116">
        <v>1496.9</v>
      </c>
      <c r="P2602" s="116">
        <v>1499.4</v>
      </c>
      <c r="Q2602" s="116">
        <v>1515.4</v>
      </c>
      <c r="R2602">
        <v>11117052</v>
      </c>
    </row>
    <row r="2603" spans="1:18" x14ac:dyDescent="0.25">
      <c r="A2603" s="170">
        <v>45838</v>
      </c>
      <c r="B2603" s="116">
        <v>1524.95</v>
      </c>
      <c r="C2603" s="116">
        <v>1500.65</v>
      </c>
      <c r="D2603" s="116">
        <v>1496.4</v>
      </c>
      <c r="E2603" s="116">
        <v>1516.05</v>
      </c>
      <c r="F2603" s="116">
        <v>1500.65</v>
      </c>
      <c r="G2603">
        <v>439730</v>
      </c>
      <c r="H2603" s="116"/>
      <c r="I2603" s="116"/>
      <c r="L2603" s="170">
        <v>45838</v>
      </c>
      <c r="M2603" s="116">
        <v>1500.6</v>
      </c>
      <c r="N2603" s="116">
        <v>1524.8</v>
      </c>
      <c r="O2603" s="116">
        <v>1496</v>
      </c>
      <c r="P2603" s="116">
        <v>1513.8</v>
      </c>
      <c r="Q2603" s="116">
        <v>1500.6</v>
      </c>
      <c r="R2603">
        <v>8409527</v>
      </c>
    </row>
    <row r="2604" spans="1:18" x14ac:dyDescent="0.25">
      <c r="A2604" s="170">
        <v>45839</v>
      </c>
      <c r="B2604" s="116">
        <v>1531.2</v>
      </c>
      <c r="C2604" s="116">
        <v>1528.3</v>
      </c>
      <c r="D2604" s="116">
        <v>1500.65</v>
      </c>
      <c r="E2604" s="116">
        <v>1500.65</v>
      </c>
      <c r="F2604" s="116">
        <v>1528.3</v>
      </c>
      <c r="G2604">
        <v>2842857</v>
      </c>
      <c r="H2604" s="116"/>
      <c r="I2604" s="116"/>
      <c r="L2604" s="170">
        <v>45839</v>
      </c>
      <c r="M2604" s="116">
        <v>1528.4</v>
      </c>
      <c r="N2604" s="116">
        <v>1531.4</v>
      </c>
      <c r="O2604" s="116">
        <v>1500.1</v>
      </c>
      <c r="P2604" s="116">
        <v>1500.6</v>
      </c>
      <c r="Q2604" s="116">
        <v>1528.4</v>
      </c>
      <c r="R2604">
        <v>10368523</v>
      </c>
    </row>
    <row r="2605" spans="1:18" x14ac:dyDescent="0.25">
      <c r="A2605" s="170">
        <v>45840</v>
      </c>
      <c r="B2605" s="116">
        <v>1530</v>
      </c>
      <c r="C2605" s="116">
        <v>1518.25</v>
      </c>
      <c r="D2605" s="116">
        <v>1508.95</v>
      </c>
      <c r="E2605" s="116">
        <v>1529.9</v>
      </c>
      <c r="F2605" s="116">
        <v>1518.25</v>
      </c>
      <c r="G2605">
        <v>284423</v>
      </c>
      <c r="H2605" s="116"/>
      <c r="I2605" s="116"/>
      <c r="L2605" s="170">
        <v>45840</v>
      </c>
      <c r="M2605" s="116">
        <v>1518.8</v>
      </c>
      <c r="N2605" s="116">
        <v>1530</v>
      </c>
      <c r="O2605" s="116">
        <v>1508.7</v>
      </c>
      <c r="P2605" s="116">
        <v>1528.4</v>
      </c>
      <c r="Q2605" s="116">
        <v>1518.8</v>
      </c>
      <c r="R2605">
        <v>6361002</v>
      </c>
    </row>
    <row r="2606" spans="1:18" x14ac:dyDescent="0.25">
      <c r="A2606" s="170">
        <v>45841</v>
      </c>
      <c r="B2606" s="116">
        <v>1531.7</v>
      </c>
      <c r="C2606" s="116">
        <v>1518.95</v>
      </c>
      <c r="D2606" s="116">
        <v>1512.7</v>
      </c>
      <c r="E2606" s="116">
        <v>1518.75</v>
      </c>
      <c r="F2606" s="116">
        <v>1518.95</v>
      </c>
      <c r="G2606">
        <v>168578</v>
      </c>
      <c r="H2606" s="116"/>
      <c r="I2606" s="116"/>
      <c r="L2606" s="170">
        <v>45841</v>
      </c>
      <c r="M2606" s="116">
        <v>1517.8</v>
      </c>
      <c r="N2606" s="116">
        <v>1531.9</v>
      </c>
      <c r="O2606" s="116">
        <v>1513</v>
      </c>
      <c r="P2606" s="116">
        <v>1520.8</v>
      </c>
      <c r="Q2606" s="116">
        <v>1517.8</v>
      </c>
      <c r="R2606">
        <v>11283291</v>
      </c>
    </row>
    <row r="2607" spans="1:18" x14ac:dyDescent="0.25">
      <c r="A2607" s="170">
        <v>45842</v>
      </c>
      <c r="B2607" s="116">
        <v>1529.5</v>
      </c>
      <c r="C2607" s="116">
        <v>1527.4</v>
      </c>
      <c r="D2607" s="116">
        <v>1517.25</v>
      </c>
      <c r="E2607" s="116">
        <v>1521</v>
      </c>
      <c r="F2607" s="116">
        <v>1527.4</v>
      </c>
      <c r="G2607">
        <v>487883</v>
      </c>
      <c r="H2607" s="116"/>
      <c r="I2607" s="116"/>
      <c r="L2607" s="170">
        <v>45842</v>
      </c>
      <c r="M2607" s="116">
        <v>1527.3</v>
      </c>
      <c r="N2607" s="116">
        <v>1530</v>
      </c>
      <c r="O2607" s="116">
        <v>1517.2</v>
      </c>
      <c r="P2607" s="116">
        <v>1524</v>
      </c>
      <c r="Q2607" s="116">
        <v>1527.3</v>
      </c>
      <c r="R2607">
        <v>6603501</v>
      </c>
    </row>
    <row r="2608" spans="1:18" x14ac:dyDescent="0.25">
      <c r="A2608" s="170">
        <v>45845</v>
      </c>
      <c r="B2608" s="116">
        <v>1544.5</v>
      </c>
      <c r="C2608" s="116">
        <v>1541.2</v>
      </c>
      <c r="D2608" s="116">
        <v>1525.25</v>
      </c>
      <c r="E2608" s="116">
        <v>1525.25</v>
      </c>
      <c r="F2608" s="116">
        <v>1541.2</v>
      </c>
      <c r="G2608">
        <v>392104</v>
      </c>
      <c r="H2608" s="116"/>
      <c r="I2608" s="116"/>
      <c r="L2608" s="170">
        <v>45845</v>
      </c>
      <c r="M2608" s="116">
        <v>1541.5</v>
      </c>
      <c r="N2608" s="116">
        <v>1544.8</v>
      </c>
      <c r="O2608" s="116">
        <v>1525</v>
      </c>
      <c r="P2608" s="116">
        <v>1526.6</v>
      </c>
      <c r="Q2608" s="116">
        <v>1541.5</v>
      </c>
      <c r="R2608">
        <v>7251074</v>
      </c>
    </row>
    <row r="2609" spans="1:18" x14ac:dyDescent="0.25">
      <c r="A2609" s="170">
        <v>45846</v>
      </c>
      <c r="B2609" s="116">
        <v>1545.6</v>
      </c>
      <c r="C2609" s="116">
        <v>1538.8</v>
      </c>
      <c r="D2609" s="116">
        <v>1530.25</v>
      </c>
      <c r="E2609" s="116">
        <v>1535</v>
      </c>
      <c r="F2609" s="116">
        <v>1538.8</v>
      </c>
      <c r="G2609">
        <v>1461338</v>
      </c>
      <c r="H2609" s="116"/>
      <c r="I2609" s="116"/>
      <c r="L2609" s="170">
        <v>45846</v>
      </c>
      <c r="M2609" s="116">
        <v>1537.6</v>
      </c>
      <c r="N2609" s="116">
        <v>1544.9</v>
      </c>
      <c r="O2609" s="116">
        <v>1530.2</v>
      </c>
      <c r="P2609" s="116">
        <v>1536</v>
      </c>
      <c r="Q2609" s="116">
        <v>1537.6</v>
      </c>
      <c r="R2609">
        <v>7171261</v>
      </c>
    </row>
    <row r="2610" spans="1:18" x14ac:dyDescent="0.25">
      <c r="A2610" s="170">
        <v>45847</v>
      </c>
      <c r="B2610" s="116">
        <v>1551</v>
      </c>
      <c r="C2610" s="116">
        <v>1519.05</v>
      </c>
      <c r="D2610" s="116">
        <v>1510</v>
      </c>
      <c r="E2610" s="116">
        <v>1531.05</v>
      </c>
      <c r="F2610" s="116">
        <v>1519.05</v>
      </c>
      <c r="G2610">
        <v>548141</v>
      </c>
      <c r="H2610" s="116"/>
      <c r="I2610" s="116"/>
      <c r="L2610" s="170">
        <v>45847</v>
      </c>
      <c r="M2610" s="116">
        <v>1519</v>
      </c>
      <c r="N2610" s="116">
        <v>1551</v>
      </c>
      <c r="O2610" s="116">
        <v>1510.1</v>
      </c>
      <c r="P2610" s="116">
        <v>1536.7</v>
      </c>
      <c r="Q2610" s="116">
        <v>1519</v>
      </c>
      <c r="R2610">
        <v>8870660</v>
      </c>
    </row>
    <row r="2611" spans="1:18" x14ac:dyDescent="0.25">
      <c r="A2611" s="170">
        <v>45848</v>
      </c>
      <c r="B2611" s="116">
        <v>1524.85</v>
      </c>
      <c r="C2611" s="116">
        <v>1517.2</v>
      </c>
      <c r="D2611" s="116">
        <v>1507.4</v>
      </c>
      <c r="E2611" s="116">
        <v>1519.05</v>
      </c>
      <c r="F2611" s="116">
        <v>1517.2</v>
      </c>
      <c r="G2611">
        <v>458958</v>
      </c>
      <c r="H2611" s="116"/>
      <c r="I2611" s="116"/>
      <c r="L2611" s="170">
        <v>45848</v>
      </c>
      <c r="M2611" s="116">
        <v>1517.2</v>
      </c>
      <c r="N2611" s="116">
        <v>1524.7</v>
      </c>
      <c r="O2611" s="116">
        <v>1507.5</v>
      </c>
      <c r="P2611" s="116">
        <v>1519.7</v>
      </c>
      <c r="Q2611" s="116">
        <v>1517.2</v>
      </c>
      <c r="R2611">
        <v>10047129</v>
      </c>
    </row>
    <row r="2612" spans="1:18" x14ac:dyDescent="0.25">
      <c r="A2612" s="170">
        <v>45849</v>
      </c>
      <c r="B2612" s="116">
        <v>1513.95</v>
      </c>
      <c r="C2612" s="116">
        <v>1494.85</v>
      </c>
      <c r="D2612" s="116">
        <v>1490.1</v>
      </c>
      <c r="E2612" s="116">
        <v>1512.2</v>
      </c>
      <c r="F2612" s="116">
        <v>1494.85</v>
      </c>
      <c r="G2612">
        <v>344599</v>
      </c>
      <c r="H2612" s="116"/>
      <c r="I2612" s="116"/>
      <c r="L2612" s="170">
        <v>45849</v>
      </c>
      <c r="M2612" s="116">
        <v>1495.2</v>
      </c>
      <c r="N2612" s="116">
        <v>1515</v>
      </c>
      <c r="O2612" s="116">
        <v>1490.3</v>
      </c>
      <c r="P2612" s="116">
        <v>1512</v>
      </c>
      <c r="Q2612" s="116">
        <v>1495.2</v>
      </c>
      <c r="R2612">
        <v>7234991</v>
      </c>
    </row>
    <row r="2613" spans="1:18" x14ac:dyDescent="0.25">
      <c r="A2613" s="170">
        <v>45852</v>
      </c>
      <c r="B2613" s="116">
        <v>1499.95</v>
      </c>
      <c r="C2613" s="116">
        <v>1484.6</v>
      </c>
      <c r="D2613" s="116">
        <v>1479.35</v>
      </c>
      <c r="E2613" s="116">
        <v>1494.45</v>
      </c>
      <c r="F2613" s="116">
        <v>1484.6</v>
      </c>
      <c r="G2613">
        <v>2020839</v>
      </c>
      <c r="H2613" s="116"/>
      <c r="I2613" s="116"/>
      <c r="L2613" s="170">
        <v>45852</v>
      </c>
      <c r="M2613" s="116">
        <v>1483.7</v>
      </c>
      <c r="N2613" s="116">
        <v>1500</v>
      </c>
      <c r="O2613" s="116">
        <v>1479.1</v>
      </c>
      <c r="P2613" s="116">
        <v>1492.2</v>
      </c>
      <c r="Q2613" s="116">
        <v>1483.7</v>
      </c>
      <c r="R2613">
        <v>10311846</v>
      </c>
    </row>
    <row r="2614" spans="1:18" x14ac:dyDescent="0.25">
      <c r="A2614" s="170">
        <v>45853</v>
      </c>
      <c r="B2614" s="116">
        <v>1496.05</v>
      </c>
      <c r="C2614" s="116">
        <v>1484.9</v>
      </c>
      <c r="D2614" s="116">
        <v>1482.2</v>
      </c>
      <c r="E2614" s="116">
        <v>1485.1</v>
      </c>
      <c r="F2614" s="116">
        <v>1484.9</v>
      </c>
      <c r="G2614">
        <v>892769</v>
      </c>
      <c r="H2614" s="116"/>
      <c r="I2614" s="116"/>
      <c r="L2614" s="170">
        <v>45853</v>
      </c>
      <c r="M2614" s="116">
        <v>1485.4</v>
      </c>
      <c r="N2614" s="116">
        <v>1496.5</v>
      </c>
      <c r="O2614" s="116">
        <v>1482.4</v>
      </c>
      <c r="P2614" s="116">
        <v>1486.2</v>
      </c>
      <c r="Q2614" s="116">
        <v>1485.4</v>
      </c>
      <c r="R2614">
        <v>8132454</v>
      </c>
    </row>
    <row r="2615" spans="1:18" x14ac:dyDescent="0.25">
      <c r="A2615" s="170">
        <v>45854</v>
      </c>
      <c r="B2615" s="116">
        <v>1490.9</v>
      </c>
      <c r="C2615" s="116">
        <v>1485.75</v>
      </c>
      <c r="D2615" s="116">
        <v>1472</v>
      </c>
      <c r="E2615" s="116">
        <v>1472</v>
      </c>
      <c r="F2615" s="116">
        <v>1485.75</v>
      </c>
      <c r="G2615">
        <v>130747</v>
      </c>
      <c r="H2615" s="116"/>
      <c r="I2615" s="116"/>
      <c r="L2615" s="170">
        <v>45854</v>
      </c>
      <c r="M2615" s="116">
        <v>1485.6</v>
      </c>
      <c r="N2615" s="116">
        <v>1491</v>
      </c>
      <c r="O2615" s="116">
        <v>1471.5</v>
      </c>
      <c r="P2615" s="116">
        <v>1473</v>
      </c>
      <c r="Q2615" s="116">
        <v>1485.6</v>
      </c>
      <c r="R2615">
        <v>10409983</v>
      </c>
    </row>
    <row r="2616" spans="1:18" x14ac:dyDescent="0.25">
      <c r="A2616" s="170">
        <v>45855</v>
      </c>
      <c r="B2616" s="116">
        <v>1490.35</v>
      </c>
      <c r="C2616" s="116">
        <v>1477.1</v>
      </c>
      <c r="D2616" s="116">
        <v>1474</v>
      </c>
      <c r="E2616" s="116">
        <v>1490.25</v>
      </c>
      <c r="F2616" s="116">
        <v>1477.1</v>
      </c>
      <c r="G2616">
        <v>186828</v>
      </c>
      <c r="H2616" s="116"/>
      <c r="I2616" s="116"/>
      <c r="L2616" s="170">
        <v>45855</v>
      </c>
      <c r="M2616" s="116">
        <v>1476.4</v>
      </c>
      <c r="N2616" s="116">
        <v>1489.6</v>
      </c>
      <c r="O2616" s="116">
        <v>1473.9</v>
      </c>
      <c r="P2616" s="116">
        <v>1487.4</v>
      </c>
      <c r="Q2616" s="116">
        <v>1476.4</v>
      </c>
      <c r="R2616">
        <v>11854613</v>
      </c>
    </row>
    <row r="2617" spans="1:18" x14ac:dyDescent="0.25">
      <c r="A2617" s="170">
        <v>45856</v>
      </c>
      <c r="B2617" s="116">
        <v>1485.05</v>
      </c>
      <c r="C2617" s="116">
        <v>1476.85</v>
      </c>
      <c r="D2617" s="116">
        <v>1469</v>
      </c>
      <c r="E2617" s="116">
        <v>1482.1</v>
      </c>
      <c r="F2617" s="116">
        <v>1476.85</v>
      </c>
      <c r="G2617">
        <v>357136</v>
      </c>
      <c r="H2617" s="116"/>
      <c r="I2617" s="116"/>
      <c r="L2617" s="170">
        <v>45856</v>
      </c>
      <c r="M2617" s="116">
        <v>1476</v>
      </c>
      <c r="N2617" s="116">
        <v>1484.8</v>
      </c>
      <c r="O2617" s="116">
        <v>1469.1</v>
      </c>
      <c r="P2617" s="116">
        <v>1484.8</v>
      </c>
      <c r="Q2617" s="116">
        <v>1476</v>
      </c>
      <c r="R2617">
        <v>10296318</v>
      </c>
    </row>
    <row r="2618" spans="1:18" x14ac:dyDescent="0.25">
      <c r="A2618" s="170">
        <v>45859</v>
      </c>
      <c r="B2618" s="116">
        <v>1474.95</v>
      </c>
      <c r="C2618" s="116">
        <v>1428.2</v>
      </c>
      <c r="D2618" s="116">
        <v>1423.05</v>
      </c>
      <c r="E2618" s="116">
        <v>1474.95</v>
      </c>
      <c r="F2618" s="116">
        <v>1428.2</v>
      </c>
      <c r="G2618">
        <v>1557147</v>
      </c>
      <c r="H2618" s="116"/>
      <c r="I2618" s="116"/>
      <c r="L2618" s="170">
        <v>45859</v>
      </c>
      <c r="M2618" s="116">
        <v>1428.6</v>
      </c>
      <c r="N2618" s="116">
        <v>1476</v>
      </c>
      <c r="O2618" s="116">
        <v>1423.1</v>
      </c>
      <c r="P2618" s="116">
        <v>1465</v>
      </c>
      <c r="Q2618" s="116">
        <v>1428.6</v>
      </c>
      <c r="R2618">
        <v>22442744</v>
      </c>
    </row>
    <row r="2619" spans="1:18" x14ac:dyDescent="0.25">
      <c r="A2619" s="170">
        <v>45860</v>
      </c>
      <c r="B2619" s="116">
        <v>1433.2</v>
      </c>
      <c r="C2619" s="116">
        <v>1412.8</v>
      </c>
      <c r="D2619" s="116">
        <v>1410.45</v>
      </c>
      <c r="E2619" s="116">
        <v>1433.2</v>
      </c>
      <c r="F2619" s="116">
        <v>1412.8</v>
      </c>
      <c r="G2619">
        <v>1522399</v>
      </c>
      <c r="H2619" s="116"/>
      <c r="I2619" s="116"/>
      <c r="L2619" s="170">
        <v>45860</v>
      </c>
      <c r="M2619" s="116">
        <v>1412.8</v>
      </c>
      <c r="N2619" s="116">
        <v>1431.9</v>
      </c>
      <c r="O2619" s="116">
        <v>1410.7</v>
      </c>
      <c r="P2619" s="116">
        <v>1427.4</v>
      </c>
      <c r="Q2619" s="116">
        <v>1412.8</v>
      </c>
      <c r="R2619">
        <v>20396320</v>
      </c>
    </row>
    <row r="2620" spans="1:18" x14ac:dyDescent="0.25">
      <c r="A2620" s="170">
        <v>45861</v>
      </c>
      <c r="B2620" s="116">
        <v>1426.9</v>
      </c>
      <c r="C2620" s="116">
        <v>1424.5</v>
      </c>
      <c r="D2620" s="116">
        <v>1414.85</v>
      </c>
      <c r="E2620" s="116">
        <v>1426.9</v>
      </c>
      <c r="F2620" s="116">
        <v>1424.5</v>
      </c>
      <c r="G2620">
        <v>462898</v>
      </c>
      <c r="H2620" s="116"/>
      <c r="I2620" s="116"/>
      <c r="L2620" s="170">
        <v>45861</v>
      </c>
      <c r="M2620" s="116">
        <v>1424.6</v>
      </c>
      <c r="N2620" s="116">
        <v>1426</v>
      </c>
      <c r="O2620" s="116">
        <v>1414.4</v>
      </c>
      <c r="P2620" s="116">
        <v>1426</v>
      </c>
      <c r="Q2620" s="116">
        <v>1424.6</v>
      </c>
      <c r="R2620">
        <v>8354596</v>
      </c>
    </row>
    <row r="2621" spans="1:18" x14ac:dyDescent="0.25">
      <c r="A2621" s="170">
        <v>45862</v>
      </c>
      <c r="B2621" s="116">
        <v>1422.05</v>
      </c>
      <c r="C2621" s="116">
        <v>1402.65</v>
      </c>
      <c r="D2621" s="116">
        <v>1396.45</v>
      </c>
      <c r="E2621" s="116">
        <v>1420</v>
      </c>
      <c r="F2621" s="116">
        <v>1402.65</v>
      </c>
      <c r="G2621">
        <v>332776</v>
      </c>
      <c r="H2621" s="116"/>
      <c r="I2621" s="116"/>
      <c r="L2621" s="170">
        <v>45862</v>
      </c>
      <c r="M2621" s="116">
        <v>1402.9</v>
      </c>
      <c r="N2621" s="116">
        <v>1423</v>
      </c>
      <c r="O2621" s="116">
        <v>1396</v>
      </c>
      <c r="P2621" s="116">
        <v>1419.2</v>
      </c>
      <c r="Q2621" s="116">
        <v>1402.9</v>
      </c>
      <c r="R2621">
        <v>14740507</v>
      </c>
    </row>
    <row r="2622" spans="1:18" x14ac:dyDescent="0.25">
      <c r="A2622" s="170">
        <v>45863</v>
      </c>
      <c r="B2622" s="116">
        <v>1401.95</v>
      </c>
      <c r="C2622" s="116">
        <v>1392.1</v>
      </c>
      <c r="D2622" s="116">
        <v>1384.5</v>
      </c>
      <c r="E2622" s="116">
        <v>1401.95</v>
      </c>
      <c r="F2622" s="116">
        <v>1392.1</v>
      </c>
      <c r="G2622">
        <v>385434</v>
      </c>
      <c r="H2622" s="116"/>
      <c r="I2622" s="116"/>
      <c r="L2622" s="170">
        <v>45863</v>
      </c>
      <c r="M2622" s="116">
        <v>1391.7</v>
      </c>
      <c r="N2622" s="116">
        <v>1401</v>
      </c>
      <c r="O2622" s="116">
        <v>1384.1</v>
      </c>
      <c r="P2622" s="116">
        <v>1398.9</v>
      </c>
      <c r="Q2622" s="116">
        <v>1391.7</v>
      </c>
      <c r="R2622">
        <v>11854722</v>
      </c>
    </row>
    <row r="2623" spans="1:18" x14ac:dyDescent="0.25">
      <c r="A2623" s="170">
        <v>45866</v>
      </c>
      <c r="B2623" s="116">
        <v>1407.1</v>
      </c>
      <c r="C2623" s="116">
        <v>1387.3</v>
      </c>
      <c r="D2623" s="116">
        <v>1385</v>
      </c>
      <c r="E2623" s="116">
        <v>1392.1</v>
      </c>
      <c r="F2623" s="116">
        <v>1387.3</v>
      </c>
      <c r="G2623">
        <v>534884</v>
      </c>
      <c r="H2623" s="116"/>
      <c r="I2623" s="116"/>
      <c r="L2623" s="170">
        <v>45866</v>
      </c>
      <c r="M2623" s="116">
        <v>1387.6</v>
      </c>
      <c r="N2623" s="116">
        <v>1407.8</v>
      </c>
      <c r="O2623" s="116">
        <v>1385</v>
      </c>
      <c r="P2623" s="116">
        <v>1392.3</v>
      </c>
      <c r="Q2623" s="116">
        <v>1387.6</v>
      </c>
      <c r="R2623">
        <v>7748361</v>
      </c>
    </row>
    <row r="2624" spans="1:18" x14ac:dyDescent="0.25">
      <c r="A2624" s="170">
        <v>45867</v>
      </c>
      <c r="B2624" s="116">
        <v>1420.95</v>
      </c>
      <c r="C2624" s="116">
        <v>1417.95</v>
      </c>
      <c r="D2624" s="116">
        <v>1383.5</v>
      </c>
      <c r="E2624" s="116">
        <v>1383.5</v>
      </c>
      <c r="F2624" s="116">
        <v>1417.95</v>
      </c>
      <c r="G2624">
        <v>1026138</v>
      </c>
      <c r="H2624" s="116"/>
      <c r="I2624" s="116"/>
      <c r="L2624" s="170">
        <v>45867</v>
      </c>
      <c r="M2624" s="116">
        <v>1417.1</v>
      </c>
      <c r="N2624" s="116">
        <v>1420.2</v>
      </c>
      <c r="O2624" s="116">
        <v>1383</v>
      </c>
      <c r="P2624" s="116">
        <v>1383</v>
      </c>
      <c r="Q2624" s="116">
        <v>1417.1</v>
      </c>
      <c r="R2624">
        <v>10750072</v>
      </c>
    </row>
    <row r="2625" spans="1:18" x14ac:dyDescent="0.25">
      <c r="A2625" s="170">
        <v>45868</v>
      </c>
      <c r="B2625" s="116">
        <v>1423.25</v>
      </c>
      <c r="C2625" s="116">
        <v>1409.9</v>
      </c>
      <c r="D2625" s="116">
        <v>1401.35</v>
      </c>
      <c r="E2625" s="116">
        <v>1417.95</v>
      </c>
      <c r="F2625" s="116">
        <v>1409.9</v>
      </c>
      <c r="G2625">
        <v>317685</v>
      </c>
      <c r="H2625" s="116"/>
      <c r="I2625" s="116"/>
      <c r="L2625" s="170">
        <v>45868</v>
      </c>
      <c r="M2625" s="116">
        <v>1410.1</v>
      </c>
      <c r="N2625" s="116">
        <v>1423.3</v>
      </c>
      <c r="O2625" s="116">
        <v>1401.3</v>
      </c>
      <c r="P2625" s="116">
        <v>1418.1</v>
      </c>
      <c r="Q2625" s="116">
        <v>1410.1</v>
      </c>
      <c r="R2625">
        <v>7209849</v>
      </c>
    </row>
    <row r="2626" spans="1:18" x14ac:dyDescent="0.25">
      <c r="A2626" s="170">
        <v>45869</v>
      </c>
      <c r="B2626" s="116">
        <v>1402.4</v>
      </c>
      <c r="C2626" s="116">
        <v>1390.3</v>
      </c>
      <c r="D2626" s="116">
        <v>1384.05</v>
      </c>
      <c r="E2626" s="116">
        <v>1389.65</v>
      </c>
      <c r="F2626" s="116">
        <v>1390.3</v>
      </c>
      <c r="G2626">
        <v>527880</v>
      </c>
      <c r="H2626" s="116"/>
      <c r="I2626" s="116"/>
      <c r="L2626" s="170">
        <v>45869</v>
      </c>
      <c r="M2626" s="116">
        <v>1390.2</v>
      </c>
      <c r="N2626" s="116">
        <v>1402.6</v>
      </c>
      <c r="O2626" s="116">
        <v>1382.2</v>
      </c>
      <c r="P2626" s="116">
        <v>1388.1</v>
      </c>
      <c r="Q2626" s="116">
        <v>1390.2</v>
      </c>
      <c r="R2626">
        <v>17065827</v>
      </c>
    </row>
    <row r="2627" spans="1:18" x14ac:dyDescent="0.25">
      <c r="A2627" s="170">
        <v>45870</v>
      </c>
      <c r="B2627" s="116">
        <v>1405.25</v>
      </c>
      <c r="C2627" s="116">
        <v>1393.6</v>
      </c>
      <c r="D2627" s="116">
        <v>1384.3</v>
      </c>
      <c r="E2627" s="116">
        <v>1387.95</v>
      </c>
      <c r="F2627" s="116">
        <v>1393.6</v>
      </c>
      <c r="G2627">
        <v>421543</v>
      </c>
      <c r="H2627" s="116"/>
      <c r="I2627" s="116"/>
      <c r="L2627" s="170">
        <v>45870</v>
      </c>
      <c r="M2627" s="116">
        <v>1393.7</v>
      </c>
      <c r="N2627" s="116">
        <v>1405.9</v>
      </c>
      <c r="O2627" s="116">
        <v>1384.3</v>
      </c>
      <c r="P2627" s="116">
        <v>1386.9</v>
      </c>
      <c r="Q2627" s="116">
        <v>1393.7</v>
      </c>
      <c r="R2627">
        <v>10321171</v>
      </c>
    </row>
    <row r="2628" spans="1:18" x14ac:dyDescent="0.25">
      <c r="A2628" s="170">
        <v>45873</v>
      </c>
      <c r="B2628" s="116">
        <v>1416</v>
      </c>
      <c r="C2628" s="116">
        <v>1411.3</v>
      </c>
      <c r="D2628" s="116">
        <v>1391.55</v>
      </c>
      <c r="E2628" s="116">
        <v>1406.85</v>
      </c>
      <c r="F2628" s="116">
        <v>1411.3</v>
      </c>
      <c r="G2628">
        <v>275044</v>
      </c>
      <c r="H2628" s="116"/>
      <c r="I2628" s="116"/>
      <c r="L2628" s="170">
        <v>45873</v>
      </c>
      <c r="M2628" s="116">
        <v>1411.5</v>
      </c>
      <c r="N2628" s="116">
        <v>1416.1</v>
      </c>
      <c r="O2628" s="116">
        <v>1391.7</v>
      </c>
      <c r="P2628" s="116">
        <v>1395.1</v>
      </c>
      <c r="Q2628" s="116">
        <v>1411.5</v>
      </c>
      <c r="R2628">
        <v>6312820</v>
      </c>
    </row>
    <row r="2629" spans="1:18" x14ac:dyDescent="0.25">
      <c r="A2629" s="170">
        <v>45874</v>
      </c>
      <c r="B2629" s="116">
        <v>1411</v>
      </c>
      <c r="C2629" s="116">
        <v>1391.6</v>
      </c>
      <c r="D2629" s="116">
        <v>1388.1</v>
      </c>
      <c r="E2629" s="116">
        <v>1411</v>
      </c>
      <c r="F2629" s="116">
        <v>1391.6</v>
      </c>
      <c r="G2629">
        <v>854494</v>
      </c>
      <c r="H2629" s="116"/>
      <c r="I2629" s="116"/>
      <c r="L2629" s="170">
        <v>45874</v>
      </c>
      <c r="M2629" s="116">
        <v>1391.7</v>
      </c>
      <c r="N2629" s="116">
        <v>1411</v>
      </c>
      <c r="O2629" s="116">
        <v>1388.1</v>
      </c>
      <c r="P2629" s="116">
        <v>1411</v>
      </c>
      <c r="Q2629" s="116">
        <v>1391.7</v>
      </c>
      <c r="R2629">
        <v>9315972</v>
      </c>
    </row>
    <row r="2630" spans="1:18" x14ac:dyDescent="0.25">
      <c r="A2630" s="170">
        <v>45875</v>
      </c>
      <c r="B2630" s="116">
        <v>1395.95</v>
      </c>
      <c r="C2630" s="116">
        <v>1392.95</v>
      </c>
      <c r="D2630" s="116">
        <v>1383.35</v>
      </c>
      <c r="E2630" s="116">
        <v>1391.9</v>
      </c>
      <c r="F2630" s="116">
        <v>1392.95</v>
      </c>
      <c r="G2630">
        <v>134523</v>
      </c>
      <c r="H2630" s="116"/>
      <c r="I2630" s="116"/>
      <c r="L2630" s="170">
        <v>45875</v>
      </c>
      <c r="M2630" s="116">
        <v>1392.8</v>
      </c>
      <c r="N2630" s="116">
        <v>1395.9</v>
      </c>
      <c r="O2630" s="116">
        <v>1383.3</v>
      </c>
      <c r="P2630" s="116">
        <v>1391.9</v>
      </c>
      <c r="Q2630" s="116">
        <v>1392.8</v>
      </c>
      <c r="R2630">
        <v>5834312</v>
      </c>
    </row>
    <row r="2631" spans="1:18" x14ac:dyDescent="0.25">
      <c r="A2631" s="170">
        <v>45876</v>
      </c>
      <c r="B2631" s="116">
        <v>1393.9</v>
      </c>
      <c r="C2631" s="116">
        <v>1390.85</v>
      </c>
      <c r="D2631" s="116">
        <v>1366.25</v>
      </c>
      <c r="E2631" s="116">
        <v>1385.1</v>
      </c>
      <c r="F2631" s="116">
        <v>1390.85</v>
      </c>
      <c r="G2631">
        <v>642904</v>
      </c>
      <c r="H2631" s="116"/>
      <c r="I2631" s="116"/>
      <c r="L2631" s="170">
        <v>45876</v>
      </c>
      <c r="M2631" s="116">
        <v>1389.4</v>
      </c>
      <c r="N2631" s="116">
        <v>1393.7</v>
      </c>
      <c r="O2631" s="116">
        <v>1366</v>
      </c>
      <c r="P2631" s="116">
        <v>1387.7</v>
      </c>
      <c r="Q2631" s="116">
        <v>1389.4</v>
      </c>
      <c r="R2631">
        <v>9976705</v>
      </c>
    </row>
    <row r="2632" spans="1:18" x14ac:dyDescent="0.25">
      <c r="A2632" s="170">
        <v>45877</v>
      </c>
      <c r="B2632" s="116">
        <v>1396.75</v>
      </c>
      <c r="C2632" s="116">
        <v>1367.95</v>
      </c>
      <c r="D2632" s="116">
        <v>1365.5</v>
      </c>
      <c r="E2632" s="116">
        <v>1387.95</v>
      </c>
      <c r="F2632" s="116">
        <v>1367.95</v>
      </c>
      <c r="G2632">
        <v>938688</v>
      </c>
      <c r="H2632" s="116"/>
      <c r="I2632" s="116"/>
      <c r="L2632" s="170">
        <v>45877</v>
      </c>
      <c r="M2632" s="116">
        <v>1367.8</v>
      </c>
      <c r="N2632" s="116">
        <v>1397.2</v>
      </c>
      <c r="O2632" s="116">
        <v>1365</v>
      </c>
      <c r="P2632" s="116">
        <v>1385</v>
      </c>
      <c r="Q2632" s="116">
        <v>1367.8</v>
      </c>
      <c r="R2632">
        <v>8793606</v>
      </c>
    </row>
    <row r="2633" spans="1:18" x14ac:dyDescent="0.25">
      <c r="A2633" s="170">
        <v>45880</v>
      </c>
      <c r="B2633" s="116">
        <v>1388.2</v>
      </c>
      <c r="C2633" s="116">
        <v>1386.8</v>
      </c>
      <c r="D2633" s="116">
        <v>1361.2</v>
      </c>
      <c r="E2633" s="116">
        <v>1370</v>
      </c>
      <c r="F2633" s="116">
        <v>1386.8</v>
      </c>
      <c r="G2633">
        <v>901134</v>
      </c>
      <c r="H2633" s="116"/>
      <c r="I2633" s="116"/>
      <c r="L2633" s="170">
        <v>45880</v>
      </c>
      <c r="M2633" s="116">
        <v>1386.2</v>
      </c>
      <c r="N2633" s="116">
        <v>1388</v>
      </c>
      <c r="O2633" s="116">
        <v>1361.2</v>
      </c>
      <c r="P2633" s="116">
        <v>1370</v>
      </c>
      <c r="Q2633" s="116">
        <v>1386.2</v>
      </c>
      <c r="R2633">
        <v>9997486</v>
      </c>
    </row>
    <row r="2634" spans="1:18" x14ac:dyDescent="0.25">
      <c r="A2634" s="170">
        <v>45881</v>
      </c>
      <c r="B2634" s="116">
        <v>1401.25</v>
      </c>
      <c r="C2634" s="116">
        <v>1380.4</v>
      </c>
      <c r="D2634" s="116">
        <v>1375.1</v>
      </c>
      <c r="E2634" s="116">
        <v>1384.65</v>
      </c>
      <c r="F2634" s="116">
        <v>1380.4</v>
      </c>
      <c r="G2634">
        <v>635905</v>
      </c>
      <c r="H2634" s="116"/>
      <c r="I2634" s="116"/>
      <c r="L2634" s="170">
        <v>45881</v>
      </c>
      <c r="M2634" s="116">
        <v>1380.4</v>
      </c>
      <c r="N2634" s="116">
        <v>1401.9</v>
      </c>
      <c r="O2634" s="116">
        <v>1375.2</v>
      </c>
      <c r="P2634" s="116">
        <v>1381.9</v>
      </c>
      <c r="Q2634" s="116">
        <v>1380.4</v>
      </c>
      <c r="R2634">
        <v>12244664</v>
      </c>
    </row>
    <row r="2635" spans="1:18" x14ac:dyDescent="0.25">
      <c r="A2635" s="170">
        <v>45882</v>
      </c>
      <c r="B2635" s="116">
        <v>1391.7</v>
      </c>
      <c r="C2635" s="116">
        <v>1382.65</v>
      </c>
      <c r="D2635" s="116">
        <v>1377.7</v>
      </c>
      <c r="E2635" s="116">
        <v>1389.8</v>
      </c>
      <c r="F2635" s="116">
        <v>1382.65</v>
      </c>
      <c r="G2635">
        <v>369167</v>
      </c>
      <c r="H2635" s="116"/>
      <c r="I2635" s="116"/>
      <c r="L2635" s="170">
        <v>45882</v>
      </c>
      <c r="M2635" s="116">
        <v>1382.6</v>
      </c>
      <c r="N2635" s="116">
        <v>1391.8</v>
      </c>
      <c r="O2635" s="116">
        <v>1377.5</v>
      </c>
      <c r="P2635" s="116">
        <v>1388</v>
      </c>
      <c r="Q2635" s="116">
        <v>1382.6</v>
      </c>
      <c r="R2635">
        <v>7457021</v>
      </c>
    </row>
    <row r="2636" spans="1:18" x14ac:dyDescent="0.25">
      <c r="A2636" s="170">
        <v>45883</v>
      </c>
      <c r="B2636" s="116">
        <v>1380.75</v>
      </c>
      <c r="C2636" s="116">
        <v>1373.75</v>
      </c>
      <c r="D2636" s="116">
        <v>1369.95</v>
      </c>
      <c r="E2636" s="116">
        <v>1379.8</v>
      </c>
      <c r="F2636" s="116">
        <v>1373.75</v>
      </c>
      <c r="G2636">
        <v>447771</v>
      </c>
      <c r="H2636" s="116"/>
      <c r="I2636" s="116"/>
      <c r="L2636" s="170">
        <v>45883</v>
      </c>
      <c r="M2636" s="116">
        <v>1373.8</v>
      </c>
      <c r="N2636" s="116">
        <v>1380.7</v>
      </c>
      <c r="O2636" s="116">
        <v>1370.1</v>
      </c>
      <c r="P2636" s="116">
        <v>1377.3</v>
      </c>
      <c r="Q2636" s="116">
        <v>1373.8</v>
      </c>
      <c r="R2636">
        <v>7126128</v>
      </c>
    </row>
    <row r="2637" spans="1:18" x14ac:dyDescent="0.25">
      <c r="A2637" s="170">
        <v>45887</v>
      </c>
      <c r="B2637" s="116">
        <v>1395</v>
      </c>
      <c r="C2637" s="116">
        <v>1380.95</v>
      </c>
      <c r="D2637" s="116">
        <v>1377.15</v>
      </c>
      <c r="E2637" s="116">
        <v>1388.3</v>
      </c>
      <c r="F2637" s="116">
        <v>1380.95</v>
      </c>
      <c r="G2637">
        <v>422415</v>
      </c>
      <c r="H2637" s="116"/>
      <c r="I2637" s="116"/>
      <c r="L2637" s="170">
        <v>45887</v>
      </c>
      <c r="M2637" s="116">
        <v>1381.7</v>
      </c>
      <c r="N2637" s="116">
        <v>1394.9</v>
      </c>
      <c r="O2637" s="116">
        <v>1377</v>
      </c>
      <c r="P2637" s="116">
        <v>1390</v>
      </c>
      <c r="Q2637" s="116">
        <v>1381.7</v>
      </c>
      <c r="R2637">
        <v>11785109</v>
      </c>
    </row>
    <row r="2638" spans="1:18" x14ac:dyDescent="0.25">
      <c r="A2638" s="170">
        <v>45888</v>
      </c>
      <c r="B2638" s="116">
        <v>1421.8</v>
      </c>
      <c r="C2638" s="116">
        <v>1419.95</v>
      </c>
      <c r="D2638" s="116">
        <v>1389.7</v>
      </c>
      <c r="E2638" s="116">
        <v>1389.7</v>
      </c>
      <c r="F2638" s="116">
        <v>1419.95</v>
      </c>
      <c r="G2638">
        <v>1318445</v>
      </c>
      <c r="H2638" s="116"/>
      <c r="I2638" s="116"/>
      <c r="L2638" s="170">
        <v>45888</v>
      </c>
      <c r="M2638" s="116">
        <v>1420.1</v>
      </c>
      <c r="N2638" s="116">
        <v>1421</v>
      </c>
      <c r="O2638" s="116">
        <v>1389.1</v>
      </c>
      <c r="P2638" s="116">
        <v>1390</v>
      </c>
      <c r="Q2638" s="116">
        <v>1420.1</v>
      </c>
      <c r="R2638">
        <v>14384719</v>
      </c>
    </row>
    <row r="2639" spans="1:18" x14ac:dyDescent="0.25">
      <c r="A2639" s="170">
        <v>45889</v>
      </c>
      <c r="B2639" s="116">
        <v>1424.6</v>
      </c>
      <c r="C2639" s="116">
        <v>1412.45</v>
      </c>
      <c r="D2639" s="116">
        <v>1410.2</v>
      </c>
      <c r="E2639" s="116">
        <v>1414.95</v>
      </c>
      <c r="F2639" s="116">
        <v>1412.45</v>
      </c>
      <c r="G2639">
        <v>429887</v>
      </c>
      <c r="H2639" s="116"/>
      <c r="I2639" s="116"/>
      <c r="L2639" s="170">
        <v>45889</v>
      </c>
      <c r="M2639" s="116">
        <v>1413</v>
      </c>
      <c r="N2639" s="116">
        <v>1424.9</v>
      </c>
      <c r="O2639" s="116">
        <v>1410</v>
      </c>
      <c r="P2639" s="116">
        <v>1413</v>
      </c>
      <c r="Q2639" s="116">
        <v>1413</v>
      </c>
      <c r="R2639">
        <v>8725641</v>
      </c>
    </row>
    <row r="2640" spans="1:18" x14ac:dyDescent="0.25">
      <c r="A2640" s="170">
        <v>45890</v>
      </c>
      <c r="B2640" s="116">
        <v>1431.8</v>
      </c>
      <c r="C2640" s="116">
        <v>1424.65</v>
      </c>
      <c r="D2640" s="116">
        <v>1421</v>
      </c>
      <c r="E2640" s="116">
        <v>1424</v>
      </c>
      <c r="F2640" s="116">
        <v>1424.65</v>
      </c>
      <c r="G2640">
        <v>1253962</v>
      </c>
      <c r="H2640" s="116"/>
      <c r="I2640" s="116"/>
      <c r="L2640" s="170">
        <v>45890</v>
      </c>
      <c r="M2640" s="116">
        <v>1424.8</v>
      </c>
      <c r="N2640" s="116">
        <v>1431.9</v>
      </c>
      <c r="O2640" s="116">
        <v>1420.3</v>
      </c>
      <c r="P2640" s="116">
        <v>1425</v>
      </c>
      <c r="Q2640" s="116">
        <v>1424.8</v>
      </c>
      <c r="R2640">
        <v>11021323</v>
      </c>
    </row>
    <row r="2641" spans="1:18" x14ac:dyDescent="0.25">
      <c r="A2641" s="170">
        <v>45891</v>
      </c>
      <c r="B2641" s="116">
        <v>1423.6</v>
      </c>
      <c r="C2641" s="116">
        <v>1409.3</v>
      </c>
      <c r="D2641" s="116">
        <v>1408</v>
      </c>
      <c r="E2641" s="116">
        <v>1423.6</v>
      </c>
      <c r="F2641" s="116">
        <v>1409.3</v>
      </c>
      <c r="G2641">
        <v>334227</v>
      </c>
      <c r="H2641" s="116"/>
      <c r="I2641" s="116"/>
      <c r="L2641" s="170">
        <v>45891</v>
      </c>
      <c r="M2641" s="116">
        <v>1409.2</v>
      </c>
      <c r="N2641" s="116">
        <v>1423.4</v>
      </c>
      <c r="O2641" s="116">
        <v>1407.9</v>
      </c>
      <c r="P2641" s="116">
        <v>1420</v>
      </c>
      <c r="Q2641" s="116">
        <v>1409.2</v>
      </c>
      <c r="R2641">
        <v>5818868</v>
      </c>
    </row>
    <row r="2642" spans="1:18" x14ac:dyDescent="0.25">
      <c r="A2642" s="170">
        <v>45894</v>
      </c>
      <c r="B2642" s="116">
        <v>1419</v>
      </c>
      <c r="C2642" s="116">
        <v>1412.9</v>
      </c>
      <c r="D2642" s="116">
        <v>1405.55</v>
      </c>
      <c r="E2642" s="116">
        <v>1413.05</v>
      </c>
      <c r="F2642" s="116">
        <v>1412.9</v>
      </c>
      <c r="G2642">
        <v>767068</v>
      </c>
      <c r="H2642" s="116"/>
      <c r="I2642" s="116"/>
      <c r="L2642" s="170">
        <v>45894</v>
      </c>
      <c r="M2642" s="116">
        <v>1412.6</v>
      </c>
      <c r="N2642" s="116">
        <v>1419.5</v>
      </c>
      <c r="O2642" s="116">
        <v>1405.7</v>
      </c>
      <c r="P2642" s="116">
        <v>1414.7</v>
      </c>
      <c r="Q2642" s="116">
        <v>1412.6</v>
      </c>
      <c r="R2642">
        <v>5979407</v>
      </c>
    </row>
    <row r="2643" spans="1:18" x14ac:dyDescent="0.25">
      <c r="A2643" s="170">
        <v>45895</v>
      </c>
      <c r="B2643" s="116">
        <v>1409.95</v>
      </c>
      <c r="C2643" s="116">
        <v>1385.3</v>
      </c>
      <c r="D2643" s="116">
        <v>1381.4</v>
      </c>
      <c r="E2643" s="116">
        <v>1409.95</v>
      </c>
      <c r="F2643" s="116">
        <v>1385.3</v>
      </c>
      <c r="G2643">
        <v>1696762</v>
      </c>
      <c r="H2643" s="116"/>
      <c r="I2643" s="116"/>
      <c r="L2643" s="170">
        <v>45895</v>
      </c>
      <c r="M2643" s="116">
        <v>1384.9</v>
      </c>
      <c r="N2643" s="116">
        <v>1410</v>
      </c>
      <c r="O2643" s="116">
        <v>1381.6</v>
      </c>
      <c r="P2643" s="116">
        <v>1408</v>
      </c>
      <c r="Q2643" s="116">
        <v>1384.9</v>
      </c>
      <c r="R2643">
        <v>12145259</v>
      </c>
    </row>
    <row r="2644" spans="1:18" x14ac:dyDescent="0.25">
      <c r="A2644" s="170">
        <v>45897</v>
      </c>
      <c r="B2644" s="116">
        <v>1392.8</v>
      </c>
      <c r="C2644" s="116">
        <v>1387.65</v>
      </c>
      <c r="D2644" s="116">
        <v>1367</v>
      </c>
      <c r="E2644" s="116">
        <v>1387.05</v>
      </c>
      <c r="F2644" s="116">
        <v>1387.65</v>
      </c>
      <c r="G2644">
        <v>422516</v>
      </c>
      <c r="H2644" s="116"/>
      <c r="I2644" s="116"/>
      <c r="L2644" s="170">
        <v>45897</v>
      </c>
      <c r="M2644" s="116">
        <v>1385.9</v>
      </c>
      <c r="N2644" s="116">
        <v>1392.2</v>
      </c>
      <c r="O2644" s="116">
        <v>1366.5</v>
      </c>
      <c r="P2644" s="116">
        <v>1389.9</v>
      </c>
      <c r="Q2644" s="116">
        <v>1385.9</v>
      </c>
      <c r="R2644">
        <v>13161813</v>
      </c>
    </row>
    <row r="2645" spans="1:18" x14ac:dyDescent="0.25">
      <c r="A2645" s="170">
        <v>45898</v>
      </c>
      <c r="B2645" s="116">
        <v>1403</v>
      </c>
      <c r="C2645" s="116">
        <v>1357.05</v>
      </c>
      <c r="D2645" s="116">
        <v>1350.3</v>
      </c>
      <c r="E2645" s="116">
        <v>1384.2</v>
      </c>
      <c r="F2645" s="116">
        <v>1357.05</v>
      </c>
      <c r="G2645">
        <v>870452</v>
      </c>
      <c r="H2645" s="116"/>
      <c r="I2645" s="116"/>
      <c r="L2645" s="170">
        <v>45898</v>
      </c>
      <c r="M2645" s="116">
        <v>1357.2</v>
      </c>
      <c r="N2645" s="116">
        <v>1403.5</v>
      </c>
      <c r="O2645" s="116">
        <v>1350</v>
      </c>
      <c r="P2645" s="116">
        <v>1381.1</v>
      </c>
      <c r="Q2645" s="116">
        <v>1357.2</v>
      </c>
      <c r="R2645">
        <v>18758842</v>
      </c>
    </row>
    <row r="2646" spans="1:18" x14ac:dyDescent="0.25">
      <c r="A2646" s="170">
        <v>45901</v>
      </c>
      <c r="B2646" s="116">
        <v>1363.2</v>
      </c>
      <c r="C2646" s="116">
        <v>1353.85</v>
      </c>
      <c r="D2646" s="116">
        <v>1341.7</v>
      </c>
      <c r="E2646" s="116">
        <v>1357.85</v>
      </c>
      <c r="F2646" s="116">
        <v>1353.85</v>
      </c>
      <c r="G2646">
        <v>314139</v>
      </c>
      <c r="H2646" s="116"/>
      <c r="I2646" s="116"/>
      <c r="L2646" s="170">
        <v>45901</v>
      </c>
      <c r="M2646" s="116">
        <v>1353.9</v>
      </c>
      <c r="N2646" s="116">
        <v>1363.2</v>
      </c>
      <c r="O2646" s="116">
        <v>1340.6</v>
      </c>
      <c r="P2646" s="116">
        <v>1356</v>
      </c>
      <c r="Q2646" s="116">
        <v>1353.9</v>
      </c>
      <c r="R2646">
        <v>11232238</v>
      </c>
    </row>
    <row r="2647" spans="1:18" x14ac:dyDescent="0.25">
      <c r="A2647" s="170">
        <v>45902</v>
      </c>
      <c r="B2647" s="116">
        <v>1384.65</v>
      </c>
      <c r="C2647" s="116">
        <v>1366.3</v>
      </c>
      <c r="D2647" s="116">
        <v>1355</v>
      </c>
      <c r="E2647" s="116">
        <v>1357.75</v>
      </c>
      <c r="F2647" s="116">
        <v>1366.3</v>
      </c>
      <c r="G2647">
        <v>466421</v>
      </c>
      <c r="H2647" s="116"/>
      <c r="I2647" s="116"/>
      <c r="L2647" s="170">
        <v>45902</v>
      </c>
      <c r="M2647" s="116">
        <v>1366.5</v>
      </c>
      <c r="N2647" s="116">
        <v>1384.5</v>
      </c>
      <c r="O2647" s="116">
        <v>1354.5</v>
      </c>
      <c r="P2647" s="116">
        <v>1354.8</v>
      </c>
      <c r="Q2647" s="116">
        <v>1366.5</v>
      </c>
      <c r="R2647">
        <v>11517006</v>
      </c>
    </row>
    <row r="2648" spans="1:18" x14ac:dyDescent="0.25">
      <c r="A2648" s="170">
        <v>45903</v>
      </c>
      <c r="B2648" s="116">
        <v>1376.45</v>
      </c>
      <c r="C2648" s="116">
        <v>1371.55</v>
      </c>
      <c r="D2648" s="116">
        <v>1361.15</v>
      </c>
      <c r="E2648" s="116">
        <v>1369.9</v>
      </c>
      <c r="F2648" s="116">
        <v>1371.55</v>
      </c>
      <c r="G2648">
        <v>308664</v>
      </c>
      <c r="H2648" s="116"/>
      <c r="I2648" s="116"/>
      <c r="L2648" s="170">
        <v>45903</v>
      </c>
      <c r="M2648" s="116">
        <v>1372.6</v>
      </c>
      <c r="N2648" s="116">
        <v>1376.5</v>
      </c>
      <c r="O2648" s="116">
        <v>1360.5</v>
      </c>
      <c r="P2648" s="116">
        <v>1369.7</v>
      </c>
      <c r="Q2648" s="116">
        <v>1372.6</v>
      </c>
      <c r="R2648">
        <v>7847563</v>
      </c>
    </row>
    <row r="2649" spans="1:18" x14ac:dyDescent="0.25">
      <c r="A2649" s="170">
        <v>45904</v>
      </c>
      <c r="B2649" s="116">
        <v>1374.45</v>
      </c>
      <c r="C2649" s="116">
        <v>1359.2</v>
      </c>
      <c r="D2649" s="116">
        <v>1356.6</v>
      </c>
      <c r="E2649" s="116">
        <v>1370</v>
      </c>
      <c r="F2649" s="116">
        <v>1359.2</v>
      </c>
      <c r="G2649">
        <v>838446</v>
      </c>
      <c r="H2649" s="116"/>
      <c r="I2649" s="116"/>
      <c r="L2649" s="170">
        <v>45904</v>
      </c>
      <c r="M2649" s="116">
        <v>1359.3</v>
      </c>
      <c r="N2649" s="116">
        <v>1374</v>
      </c>
      <c r="O2649" s="116">
        <v>1357.1</v>
      </c>
      <c r="P2649" s="116">
        <v>1371.8</v>
      </c>
      <c r="Q2649" s="116">
        <v>1359.3</v>
      </c>
      <c r="R2649">
        <v>13223177</v>
      </c>
    </row>
    <row r="2650" spans="1:18" x14ac:dyDescent="0.25">
      <c r="A2650" s="170">
        <v>45905</v>
      </c>
      <c r="B2650" s="116">
        <v>1380.8</v>
      </c>
      <c r="C2650" s="116">
        <v>1374.3</v>
      </c>
      <c r="D2650" s="116">
        <v>1359.35</v>
      </c>
      <c r="E2650" s="116">
        <v>1365.9</v>
      </c>
      <c r="F2650" s="116">
        <v>1374.3</v>
      </c>
      <c r="G2650">
        <v>371445</v>
      </c>
      <c r="H2650" s="116"/>
      <c r="I2650" s="116"/>
      <c r="L2650" s="170">
        <v>45905</v>
      </c>
      <c r="M2650" s="116">
        <v>1375</v>
      </c>
      <c r="N2650" s="116">
        <v>1381</v>
      </c>
      <c r="O2650" s="116">
        <v>1359.3</v>
      </c>
      <c r="P2650" s="116">
        <v>1363</v>
      </c>
      <c r="Q2650" s="116">
        <v>1375</v>
      </c>
      <c r="R2650">
        <v>5777575</v>
      </c>
    </row>
    <row r="2651" spans="1:18" x14ac:dyDescent="0.25">
      <c r="A2651" s="170">
        <v>45908</v>
      </c>
      <c r="B2651" s="116">
        <v>1385.9</v>
      </c>
      <c r="C2651" s="116">
        <v>1378.85</v>
      </c>
      <c r="D2651" s="116">
        <v>1372.45</v>
      </c>
      <c r="E2651" s="116">
        <v>1384</v>
      </c>
      <c r="F2651" s="116">
        <v>1378.85</v>
      </c>
      <c r="G2651">
        <v>249868</v>
      </c>
      <c r="H2651" s="116"/>
      <c r="I2651" s="116"/>
      <c r="L2651" s="170">
        <v>45908</v>
      </c>
      <c r="M2651" s="116">
        <v>1378.5</v>
      </c>
      <c r="N2651" s="116">
        <v>1386</v>
      </c>
      <c r="O2651" s="116">
        <v>1372.4</v>
      </c>
      <c r="P2651" s="116">
        <v>1380</v>
      </c>
      <c r="Q2651" s="116">
        <v>1378.5</v>
      </c>
      <c r="R2651">
        <v>6986720</v>
      </c>
    </row>
    <row r="2652" spans="1:18" x14ac:dyDescent="0.25">
      <c r="A2652" s="170">
        <v>45909</v>
      </c>
      <c r="B2652" s="116">
        <v>1381.3</v>
      </c>
      <c r="C2652" s="116">
        <v>1376.35</v>
      </c>
      <c r="D2652" s="116">
        <v>1369</v>
      </c>
      <c r="E2652" s="116">
        <v>1378.85</v>
      </c>
      <c r="F2652" s="116">
        <v>1376.35</v>
      </c>
      <c r="G2652">
        <v>271853</v>
      </c>
      <c r="H2652" s="116"/>
      <c r="I2652" s="116"/>
      <c r="L2652" s="170">
        <v>45909</v>
      </c>
      <c r="M2652" s="116">
        <v>1376.2</v>
      </c>
      <c r="N2652" s="116">
        <v>1381.2</v>
      </c>
      <c r="O2652" s="116">
        <v>1368.7</v>
      </c>
      <c r="P2652" s="116">
        <v>1376.6</v>
      </c>
      <c r="Q2652" s="116">
        <v>1376.2</v>
      </c>
      <c r="R2652">
        <v>9754452</v>
      </c>
    </row>
    <row r="2653" spans="1:18" x14ac:dyDescent="0.25">
      <c r="A2653" s="170">
        <v>45910</v>
      </c>
      <c r="B2653" s="116">
        <v>1388.65</v>
      </c>
      <c r="C2653" s="116">
        <v>1376.8</v>
      </c>
      <c r="D2653" s="116">
        <v>1373.7</v>
      </c>
      <c r="E2653" s="116">
        <v>1382.2</v>
      </c>
      <c r="F2653" s="116">
        <v>1376.8</v>
      </c>
      <c r="G2653">
        <v>429951</v>
      </c>
      <c r="H2653" s="116"/>
      <c r="I2653" s="116"/>
      <c r="L2653" s="170">
        <v>45910</v>
      </c>
      <c r="M2653" s="116">
        <v>1377</v>
      </c>
      <c r="N2653" s="116">
        <v>1388.5</v>
      </c>
      <c r="O2653" s="116">
        <v>1374.1</v>
      </c>
      <c r="P2653" s="116">
        <v>1383.9</v>
      </c>
      <c r="Q2653" s="116">
        <v>1377</v>
      </c>
      <c r="R2653">
        <v>7790815</v>
      </c>
    </row>
    <row r="2654" spans="1:18" x14ac:dyDescent="0.25">
      <c r="A2654" s="170">
        <v>45911</v>
      </c>
      <c r="B2654" s="116">
        <v>1385.45</v>
      </c>
      <c r="C2654" s="116">
        <v>1383.5</v>
      </c>
      <c r="D2654" s="116">
        <v>1374.6</v>
      </c>
      <c r="E2654" s="116">
        <v>1376.65</v>
      </c>
      <c r="F2654" s="116">
        <v>1383.5</v>
      </c>
      <c r="G2654">
        <v>897550</v>
      </c>
      <c r="H2654" s="116"/>
      <c r="I2654" s="116"/>
      <c r="L2654" s="170">
        <v>45911</v>
      </c>
      <c r="M2654" s="116">
        <v>1383.3</v>
      </c>
      <c r="N2654" s="116">
        <v>1385.5</v>
      </c>
      <c r="O2654" s="116">
        <v>1375</v>
      </c>
      <c r="P2654" s="116">
        <v>1376</v>
      </c>
      <c r="Q2654" s="116">
        <v>1383.3</v>
      </c>
      <c r="R2654">
        <v>9766072</v>
      </c>
    </row>
    <row r="2655" spans="1:18" x14ac:dyDescent="0.25">
      <c r="A2655" s="170">
        <v>45912</v>
      </c>
      <c r="B2655" s="116">
        <v>1396.1</v>
      </c>
      <c r="C2655" s="116">
        <v>1394.8</v>
      </c>
      <c r="D2655" s="116">
        <v>1380.8</v>
      </c>
      <c r="E2655" s="116">
        <v>1383.5</v>
      </c>
      <c r="F2655" s="116">
        <v>1394.8</v>
      </c>
      <c r="G2655">
        <v>505338</v>
      </c>
      <c r="H2655" s="116"/>
      <c r="I2655" s="116"/>
      <c r="L2655" s="170">
        <v>45912</v>
      </c>
      <c r="M2655" s="116">
        <v>1395</v>
      </c>
      <c r="N2655" s="116">
        <v>1396.3</v>
      </c>
      <c r="O2655" s="116">
        <v>1380.5</v>
      </c>
      <c r="P2655" s="116">
        <v>1383.3</v>
      </c>
      <c r="Q2655" s="116">
        <v>1395</v>
      </c>
      <c r="R2655">
        <v>7403368</v>
      </c>
    </row>
    <row r="2656" spans="1:18" x14ac:dyDescent="0.25">
      <c r="A2656" s="170">
        <v>45915</v>
      </c>
      <c r="B2656" s="116">
        <v>1400.95</v>
      </c>
      <c r="C2656" s="116">
        <v>1399.3</v>
      </c>
      <c r="D2656" s="116">
        <v>1388.35</v>
      </c>
      <c r="E2656" s="116">
        <v>1395</v>
      </c>
      <c r="F2656" s="116">
        <v>1399.3</v>
      </c>
      <c r="G2656">
        <v>304016</v>
      </c>
      <c r="H2656" s="116"/>
      <c r="I2656" s="116"/>
      <c r="L2656" s="170">
        <v>45915</v>
      </c>
      <c r="M2656" s="116">
        <v>1399.3</v>
      </c>
      <c r="N2656" s="116">
        <v>1400.8</v>
      </c>
      <c r="O2656" s="116">
        <v>1388.6</v>
      </c>
      <c r="P2656" s="116">
        <v>1393</v>
      </c>
      <c r="Q2656" s="116">
        <v>1399.3</v>
      </c>
      <c r="R2656">
        <v>5396697</v>
      </c>
    </row>
    <row r="2657" spans="1:18" x14ac:dyDescent="0.25">
      <c r="A2657" s="170">
        <v>45916</v>
      </c>
      <c r="B2657" s="116">
        <v>1407.7</v>
      </c>
      <c r="C2657" s="116">
        <v>1405.15</v>
      </c>
      <c r="D2657" s="116">
        <v>1398</v>
      </c>
      <c r="E2657" s="116">
        <v>1402.05</v>
      </c>
      <c r="F2657" s="116">
        <v>1405.15</v>
      </c>
      <c r="G2657">
        <v>845958</v>
      </c>
      <c r="H2657" s="116"/>
      <c r="I2657" s="116"/>
      <c r="L2657" s="170">
        <v>45916</v>
      </c>
      <c r="M2657" s="116">
        <v>1405.3</v>
      </c>
      <c r="N2657" s="116">
        <v>1408</v>
      </c>
      <c r="O2657" s="116">
        <v>1398.2</v>
      </c>
      <c r="P2657" s="116">
        <v>1404.7</v>
      </c>
      <c r="Q2657" s="116">
        <v>1405.3</v>
      </c>
      <c r="R2657">
        <v>8686961</v>
      </c>
    </row>
    <row r="2658" spans="1:18" x14ac:dyDescent="0.25">
      <c r="A2658" s="170">
        <v>45917</v>
      </c>
      <c r="B2658" s="116">
        <v>1415.9</v>
      </c>
      <c r="C2658" s="116">
        <v>1413.65</v>
      </c>
      <c r="D2658" s="116">
        <v>1407</v>
      </c>
      <c r="E2658" s="116">
        <v>1409.95</v>
      </c>
      <c r="F2658" s="116">
        <v>1413.65</v>
      </c>
      <c r="G2658">
        <v>602241</v>
      </c>
      <c r="H2658" s="116"/>
      <c r="I2658" s="116"/>
      <c r="L2658" s="170">
        <v>45917</v>
      </c>
      <c r="M2658" s="116">
        <v>1413.8</v>
      </c>
      <c r="N2658" s="116">
        <v>1416.2</v>
      </c>
      <c r="O2658" s="116">
        <v>1406.9</v>
      </c>
      <c r="P2658" s="116">
        <v>1407</v>
      </c>
      <c r="Q2658" s="116">
        <v>1413.8</v>
      </c>
      <c r="R2658">
        <v>7519417</v>
      </c>
    </row>
    <row r="2659" spans="1:18" x14ac:dyDescent="0.25">
      <c r="A2659" s="170">
        <v>45918</v>
      </c>
      <c r="B2659" s="116">
        <v>1421.8</v>
      </c>
      <c r="C2659" s="116">
        <v>1414.55</v>
      </c>
      <c r="D2659" s="116">
        <v>1410.7</v>
      </c>
      <c r="E2659" s="116">
        <v>1420</v>
      </c>
      <c r="F2659" s="116">
        <v>1414.55</v>
      </c>
      <c r="G2659">
        <v>697229</v>
      </c>
      <c r="H2659" s="116"/>
      <c r="I2659" s="116"/>
      <c r="L2659" s="170">
        <v>45918</v>
      </c>
      <c r="M2659" s="116">
        <v>1415</v>
      </c>
      <c r="N2659" s="116">
        <v>1422</v>
      </c>
      <c r="O2659" s="116">
        <v>1410.7</v>
      </c>
      <c r="P2659" s="116">
        <v>1420.4</v>
      </c>
      <c r="Q2659" s="116">
        <v>1415</v>
      </c>
      <c r="R2659">
        <v>9332642</v>
      </c>
    </row>
    <row r="2660" spans="1:18" x14ac:dyDescent="0.25">
      <c r="A2660" s="170">
        <v>45919</v>
      </c>
      <c r="B2660" s="116">
        <v>1416</v>
      </c>
      <c r="C2660" s="116">
        <v>1407.65</v>
      </c>
      <c r="D2660" s="116">
        <v>1403.55</v>
      </c>
      <c r="E2660" s="116">
        <v>1415</v>
      </c>
      <c r="F2660" s="116">
        <v>1407.65</v>
      </c>
      <c r="G2660">
        <v>299536</v>
      </c>
      <c r="H2660" s="116"/>
      <c r="I2660" s="116"/>
      <c r="L2660" s="170">
        <v>45919</v>
      </c>
      <c r="M2660" s="116">
        <v>1407.4</v>
      </c>
      <c r="N2660" s="116">
        <v>1417</v>
      </c>
      <c r="O2660" s="116">
        <v>1403.6</v>
      </c>
      <c r="P2660" s="116">
        <v>1414.9</v>
      </c>
      <c r="Q2660" s="116">
        <v>1407.4</v>
      </c>
      <c r="R2660">
        <v>13461373</v>
      </c>
    </row>
    <row r="2661" spans="1:18" x14ac:dyDescent="0.25">
      <c r="A2661" s="170">
        <v>45922</v>
      </c>
      <c r="B2661" s="116">
        <v>1410.45</v>
      </c>
      <c r="C2661" s="116">
        <v>1390.4</v>
      </c>
      <c r="D2661" s="116">
        <v>1388</v>
      </c>
      <c r="E2661" s="116">
        <v>1402.7</v>
      </c>
      <c r="F2661" s="116">
        <v>1390.4</v>
      </c>
      <c r="G2661">
        <v>705990</v>
      </c>
      <c r="H2661" s="116"/>
      <c r="I2661" s="116"/>
      <c r="L2661" s="170">
        <v>45922</v>
      </c>
      <c r="M2661" s="116">
        <v>1390.6</v>
      </c>
      <c r="N2661" s="116">
        <v>1410.7</v>
      </c>
      <c r="O2661" s="116">
        <v>1388</v>
      </c>
      <c r="P2661" s="116">
        <v>1403.9</v>
      </c>
      <c r="Q2661" s="116">
        <v>1390.6</v>
      </c>
      <c r="R2661">
        <v>7757970</v>
      </c>
    </row>
    <row r="2662" spans="1:18" x14ac:dyDescent="0.25">
      <c r="A2662" s="170">
        <v>45923</v>
      </c>
      <c r="B2662" s="116">
        <v>1394.9</v>
      </c>
      <c r="C2662" s="116">
        <v>1390.35</v>
      </c>
      <c r="D2662" s="116">
        <v>1377</v>
      </c>
      <c r="E2662" s="116">
        <v>1390</v>
      </c>
      <c r="F2662" s="116">
        <v>1390.35</v>
      </c>
      <c r="G2662">
        <v>494335</v>
      </c>
      <c r="H2662" s="116"/>
      <c r="I2662" s="116"/>
      <c r="L2662" s="170">
        <v>45923</v>
      </c>
      <c r="M2662" s="116">
        <v>1389.8</v>
      </c>
      <c r="N2662" s="116">
        <v>1395</v>
      </c>
      <c r="O2662" s="116">
        <v>1376.8</v>
      </c>
      <c r="P2662" s="116">
        <v>1391</v>
      </c>
      <c r="Q2662" s="116">
        <v>1389.8</v>
      </c>
      <c r="R2662">
        <v>14014702</v>
      </c>
    </row>
    <row r="2663" spans="1:18" x14ac:dyDescent="0.25">
      <c r="A2663" s="170">
        <v>45924</v>
      </c>
      <c r="B2663" s="116">
        <v>1396</v>
      </c>
      <c r="C2663" s="116">
        <v>1383.75</v>
      </c>
      <c r="D2663" s="116">
        <v>1380.2</v>
      </c>
      <c r="E2663" s="116">
        <v>1389</v>
      </c>
      <c r="F2663" s="116">
        <v>1383.75</v>
      </c>
      <c r="G2663">
        <v>604734</v>
      </c>
      <c r="H2663" s="116"/>
      <c r="I2663" s="116"/>
      <c r="L2663" s="170">
        <v>45924</v>
      </c>
      <c r="M2663" s="116">
        <v>1383</v>
      </c>
      <c r="N2663" s="116">
        <v>1396</v>
      </c>
      <c r="O2663" s="116">
        <v>1380.4</v>
      </c>
      <c r="P2663" s="116">
        <v>1385.3</v>
      </c>
      <c r="Q2663" s="116">
        <v>1383</v>
      </c>
      <c r="R2663">
        <v>5922759</v>
      </c>
    </row>
    <row r="2664" spans="1:18" x14ac:dyDescent="0.25">
      <c r="A2664" s="170">
        <v>45925</v>
      </c>
      <c r="B2664" s="116">
        <v>1384.85</v>
      </c>
      <c r="C2664" s="116">
        <v>1372.45</v>
      </c>
      <c r="D2664" s="116">
        <v>1369</v>
      </c>
      <c r="E2664" s="116">
        <v>1381</v>
      </c>
      <c r="F2664" s="116">
        <v>1372.45</v>
      </c>
      <c r="G2664">
        <v>997953</v>
      </c>
      <c r="H2664" s="116"/>
      <c r="I2664" s="116"/>
      <c r="L2664" s="170">
        <v>45925</v>
      </c>
      <c r="M2664" s="116">
        <v>1372.4</v>
      </c>
      <c r="N2664" s="116">
        <v>1384.5</v>
      </c>
      <c r="O2664" s="116">
        <v>1369</v>
      </c>
      <c r="P2664" s="116">
        <v>1381.3</v>
      </c>
      <c r="Q2664" s="116">
        <v>1372.4</v>
      </c>
      <c r="R2664">
        <v>11411143</v>
      </c>
    </row>
    <row r="2665" spans="1:18" x14ac:dyDescent="0.25">
      <c r="A2665" s="170">
        <v>45926</v>
      </c>
      <c r="B2665" s="116">
        <v>1382.4</v>
      </c>
      <c r="C2665" s="116">
        <v>1377.75</v>
      </c>
      <c r="D2665" s="116">
        <v>1365.55</v>
      </c>
      <c r="E2665" s="116">
        <v>1372.4</v>
      </c>
      <c r="F2665" s="116">
        <v>1377.75</v>
      </c>
      <c r="G2665">
        <v>792106</v>
      </c>
      <c r="H2665" s="116"/>
      <c r="I2665" s="116"/>
      <c r="L2665" s="170">
        <v>45926</v>
      </c>
      <c r="M2665" s="116">
        <v>1377.6</v>
      </c>
      <c r="N2665" s="116">
        <v>1382.7</v>
      </c>
      <c r="O2665" s="116">
        <v>1366</v>
      </c>
      <c r="P2665" s="116">
        <v>1372</v>
      </c>
      <c r="Q2665" s="116">
        <v>1377.6</v>
      </c>
      <c r="R2665">
        <v>9879109</v>
      </c>
    </row>
    <row r="2666" spans="1:18" x14ac:dyDescent="0.25">
      <c r="A2666" s="170">
        <v>45929</v>
      </c>
      <c r="B2666" s="116">
        <v>1388.4</v>
      </c>
      <c r="C2666" s="116">
        <v>1374</v>
      </c>
      <c r="D2666" s="116">
        <v>1368.25</v>
      </c>
      <c r="E2666" s="116">
        <v>1380.1</v>
      </c>
      <c r="F2666" s="116">
        <v>1374</v>
      </c>
      <c r="G2666">
        <v>477774</v>
      </c>
      <c r="H2666" s="116"/>
      <c r="I2666" s="116"/>
      <c r="L2666" s="170">
        <v>45929</v>
      </c>
      <c r="M2666" s="116">
        <v>1372.8</v>
      </c>
      <c r="N2666" s="116">
        <v>1389</v>
      </c>
      <c r="O2666" s="116">
        <v>1368</v>
      </c>
      <c r="P2666" s="116">
        <v>1381.6</v>
      </c>
      <c r="Q2666" s="116">
        <v>1372.8</v>
      </c>
      <c r="R2666">
        <v>14231999</v>
      </c>
    </row>
    <row r="2667" spans="1:18" x14ac:dyDescent="0.25">
      <c r="A2667" s="170">
        <v>45930</v>
      </c>
      <c r="B2667" s="116">
        <v>1376.05</v>
      </c>
      <c r="C2667" s="116">
        <v>1363.8</v>
      </c>
      <c r="D2667" s="116">
        <v>1362.9</v>
      </c>
      <c r="E2667" s="116">
        <v>1374.65</v>
      </c>
      <c r="F2667" s="116">
        <v>1363.8</v>
      </c>
      <c r="G2667">
        <v>1226892</v>
      </c>
      <c r="H2667" s="116"/>
      <c r="I2667" s="116"/>
      <c r="L2667" s="170">
        <v>45930</v>
      </c>
      <c r="M2667" s="116">
        <v>1364</v>
      </c>
      <c r="N2667" s="116">
        <v>1377.1</v>
      </c>
      <c r="O2667" s="116">
        <v>1362.8</v>
      </c>
      <c r="P2667" s="116">
        <v>1377.1</v>
      </c>
      <c r="Q2667" s="116">
        <v>1364</v>
      </c>
      <c r="R2667">
        <v>14604684</v>
      </c>
    </row>
    <row r="2668" spans="1:18" x14ac:dyDescent="0.25">
      <c r="A2668" s="170">
        <v>45931</v>
      </c>
      <c r="B2668" s="116">
        <v>1378.2</v>
      </c>
      <c r="C2668" s="116">
        <v>1368.8</v>
      </c>
      <c r="D2668" s="116">
        <v>1363.05</v>
      </c>
      <c r="E2668" s="116">
        <v>1364.25</v>
      </c>
      <c r="F2668" s="116">
        <v>1368.8</v>
      </c>
      <c r="G2668">
        <v>1254860</v>
      </c>
      <c r="H2668" s="116"/>
      <c r="I2668" s="116"/>
      <c r="L2668" s="170">
        <v>45931</v>
      </c>
      <c r="M2668" s="116">
        <v>1368.7</v>
      </c>
      <c r="N2668" s="116">
        <v>1378.6</v>
      </c>
      <c r="O2668" s="116">
        <v>1362.7</v>
      </c>
      <c r="P2668" s="116">
        <v>1367</v>
      </c>
      <c r="Q2668" s="116">
        <v>1368.7</v>
      </c>
      <c r="R2668">
        <v>12045916</v>
      </c>
    </row>
    <row r="2669" spans="1:18" x14ac:dyDescent="0.25">
      <c r="A2669" s="170">
        <v>45933</v>
      </c>
      <c r="B2669" s="116">
        <v>1371</v>
      </c>
      <c r="C2669" s="116">
        <v>1363.45</v>
      </c>
      <c r="D2669" s="116">
        <v>1357.2</v>
      </c>
      <c r="E2669" s="116">
        <v>1363</v>
      </c>
      <c r="F2669" s="116">
        <v>1363.45</v>
      </c>
      <c r="G2669">
        <v>869282</v>
      </c>
      <c r="H2669" s="116"/>
      <c r="I2669" s="116"/>
      <c r="L2669" s="170">
        <v>45933</v>
      </c>
      <c r="M2669" s="116">
        <v>1363.4</v>
      </c>
      <c r="N2669" s="116">
        <v>1371.6</v>
      </c>
      <c r="O2669" s="116">
        <v>1356.9</v>
      </c>
      <c r="P2669" s="116">
        <v>1363.2</v>
      </c>
      <c r="Q2669" s="116">
        <v>1363.4</v>
      </c>
      <c r="R2669">
        <v>12842347</v>
      </c>
    </row>
    <row r="2670" spans="1:18" x14ac:dyDescent="0.25">
      <c r="A2670" s="170">
        <v>45936</v>
      </c>
      <c r="B2670" s="116">
        <v>1377.2</v>
      </c>
      <c r="C2670" s="116">
        <v>1375.1</v>
      </c>
      <c r="D2670" s="116">
        <v>1358.6</v>
      </c>
      <c r="E2670" s="116">
        <v>1362.2</v>
      </c>
      <c r="F2670" s="116">
        <v>1375.1</v>
      </c>
      <c r="G2670">
        <v>674892</v>
      </c>
      <c r="H2670" s="116"/>
      <c r="I2670" s="116"/>
      <c r="L2670" s="170">
        <v>45936</v>
      </c>
      <c r="M2670" s="116">
        <v>1375</v>
      </c>
      <c r="N2670" s="116">
        <v>1377.4</v>
      </c>
      <c r="O2670" s="116">
        <v>1359</v>
      </c>
      <c r="P2670" s="116">
        <v>1360</v>
      </c>
      <c r="Q2670" s="116">
        <v>1375</v>
      </c>
      <c r="R2670">
        <v>12396580</v>
      </c>
    </row>
    <row r="2671" spans="1:18" x14ac:dyDescent="0.25">
      <c r="A2671" s="170">
        <v>45937</v>
      </c>
      <c r="B2671" s="116">
        <v>1395.75</v>
      </c>
      <c r="C2671" s="116">
        <v>1384.95</v>
      </c>
      <c r="D2671" s="116">
        <v>1375.95</v>
      </c>
      <c r="E2671" s="116">
        <v>1376.1</v>
      </c>
      <c r="F2671" s="116">
        <v>1384.95</v>
      </c>
      <c r="G2671">
        <v>865638</v>
      </c>
      <c r="H2671" s="116"/>
      <c r="I2671" s="116"/>
      <c r="L2671" s="170">
        <v>45937</v>
      </c>
      <c r="M2671" s="116">
        <v>1384.8</v>
      </c>
      <c r="N2671" s="116">
        <v>1395.9</v>
      </c>
      <c r="O2671" s="116">
        <v>1375.9</v>
      </c>
      <c r="P2671" s="116">
        <v>1376</v>
      </c>
      <c r="Q2671" s="116">
        <v>1384.8</v>
      </c>
      <c r="R2671">
        <v>11244040</v>
      </c>
    </row>
    <row r="2672" spans="1:18" x14ac:dyDescent="0.25">
      <c r="A2672" s="170">
        <v>45938</v>
      </c>
      <c r="B2672" s="116">
        <v>1389.7</v>
      </c>
      <c r="C2672" s="116">
        <v>1367.35</v>
      </c>
      <c r="D2672" s="116">
        <v>1364.9</v>
      </c>
      <c r="E2672" s="116">
        <v>1384.2</v>
      </c>
      <c r="F2672" s="116">
        <v>1367.35</v>
      </c>
      <c r="G2672">
        <v>596052</v>
      </c>
      <c r="H2672" s="116"/>
      <c r="I2672" s="116"/>
      <c r="L2672" s="170">
        <v>45938</v>
      </c>
      <c r="M2672" s="116">
        <v>1367.4</v>
      </c>
      <c r="N2672" s="116">
        <v>1389</v>
      </c>
      <c r="O2672" s="116">
        <v>1364.5</v>
      </c>
      <c r="P2672" s="116">
        <v>1384.8</v>
      </c>
      <c r="Q2672" s="116">
        <v>1367.4</v>
      </c>
      <c r="R2672">
        <v>8525081</v>
      </c>
    </row>
    <row r="2673" spans="1:18" x14ac:dyDescent="0.25">
      <c r="A2673" s="170">
        <v>45939</v>
      </c>
      <c r="B2673" s="116">
        <v>1380.15</v>
      </c>
      <c r="C2673" s="116">
        <v>1377.95</v>
      </c>
      <c r="D2673" s="116">
        <v>1369.5</v>
      </c>
      <c r="E2673" s="116">
        <v>1371.2</v>
      </c>
      <c r="F2673" s="116">
        <v>1377.95</v>
      </c>
      <c r="G2673">
        <v>970820</v>
      </c>
      <c r="H2673" s="116"/>
      <c r="I2673" s="116"/>
      <c r="L2673" s="170">
        <v>45939</v>
      </c>
      <c r="M2673" s="116">
        <v>1377.8</v>
      </c>
      <c r="N2673" s="116">
        <v>1380</v>
      </c>
      <c r="O2673" s="116">
        <v>1369.1</v>
      </c>
      <c r="P2673" s="116">
        <v>1374</v>
      </c>
      <c r="Q2673" s="116">
        <v>1377.8</v>
      </c>
      <c r="R2673">
        <v>8826633</v>
      </c>
    </row>
    <row r="2674" spans="1:18" x14ac:dyDescent="0.25">
      <c r="A2674" s="170">
        <v>45940</v>
      </c>
      <c r="B2674" s="116">
        <v>1387.75</v>
      </c>
      <c r="C2674" s="116">
        <v>1381.95</v>
      </c>
      <c r="D2674" s="116">
        <v>1375.55</v>
      </c>
      <c r="E2674" s="116">
        <v>1377.95</v>
      </c>
      <c r="F2674" s="116">
        <v>1381.95</v>
      </c>
      <c r="G2674">
        <v>498516</v>
      </c>
      <c r="H2674" s="116"/>
      <c r="I2674" s="116"/>
      <c r="L2674" s="170">
        <v>45940</v>
      </c>
      <c r="M2674" s="116">
        <v>1381.7</v>
      </c>
      <c r="N2674" s="116">
        <v>1388</v>
      </c>
      <c r="O2674" s="116">
        <v>1375.1</v>
      </c>
      <c r="P2674" s="116">
        <v>1377.8</v>
      </c>
      <c r="Q2674" s="116">
        <v>1381.7</v>
      </c>
      <c r="R2674">
        <v>6373084</v>
      </c>
    </row>
    <row r="2675" spans="1:18" x14ac:dyDescent="0.25">
      <c r="A2675" s="170">
        <v>45943</v>
      </c>
      <c r="B2675" s="116">
        <v>1377.65</v>
      </c>
      <c r="C2675" s="116">
        <v>1375.1</v>
      </c>
      <c r="D2675" s="116">
        <v>1367.85</v>
      </c>
      <c r="E2675" s="116">
        <v>1376</v>
      </c>
      <c r="F2675" s="116">
        <v>1375.1</v>
      </c>
      <c r="G2675">
        <v>574423</v>
      </c>
      <c r="H2675" s="116"/>
      <c r="I2675" s="116"/>
      <c r="L2675" s="170">
        <v>45943</v>
      </c>
      <c r="M2675" s="116">
        <v>1375</v>
      </c>
      <c r="N2675" s="116">
        <v>1377.7</v>
      </c>
      <c r="O2675" s="116">
        <v>1367.8</v>
      </c>
      <c r="P2675" s="116">
        <v>1376.9</v>
      </c>
      <c r="Q2675" s="116">
        <v>1375</v>
      </c>
      <c r="R2675">
        <v>7600682</v>
      </c>
    </row>
    <row r="2676" spans="1:18" x14ac:dyDescent="0.25">
      <c r="A2676" s="170">
        <v>45944</v>
      </c>
      <c r="B2676" s="116">
        <v>1387.95</v>
      </c>
      <c r="C2676" s="116">
        <v>1375.65</v>
      </c>
      <c r="D2676" s="116">
        <v>1370.4</v>
      </c>
      <c r="E2676" s="116">
        <v>1377.25</v>
      </c>
      <c r="F2676" s="116">
        <v>1375.65</v>
      </c>
      <c r="G2676">
        <v>548000</v>
      </c>
      <c r="H2676" s="116"/>
      <c r="I2676" s="116"/>
      <c r="L2676" s="170">
        <v>45944</v>
      </c>
      <c r="M2676" s="116">
        <v>1375.9</v>
      </c>
      <c r="N2676" s="116">
        <v>1388</v>
      </c>
      <c r="O2676" s="116">
        <v>1370.1</v>
      </c>
      <c r="P2676" s="116">
        <v>1380</v>
      </c>
      <c r="Q2676" s="116">
        <v>1375.9</v>
      </c>
      <c r="R2676">
        <v>9768174</v>
      </c>
    </row>
    <row r="2677" spans="1:18" x14ac:dyDescent="0.25">
      <c r="A2677" s="170">
        <v>45945</v>
      </c>
      <c r="B2677" s="116">
        <v>1383.6</v>
      </c>
      <c r="C2677" s="116">
        <v>1374.75</v>
      </c>
      <c r="D2677" s="116">
        <v>1372.7</v>
      </c>
      <c r="E2677" s="116">
        <v>1380.15</v>
      </c>
      <c r="F2677" s="116">
        <v>1374.75</v>
      </c>
      <c r="G2677">
        <v>631457</v>
      </c>
      <c r="H2677" s="116"/>
      <c r="I2677" s="116"/>
      <c r="L2677" s="170">
        <v>45945</v>
      </c>
      <c r="M2677" s="116">
        <v>1374.3</v>
      </c>
      <c r="N2677" s="116">
        <v>1384</v>
      </c>
      <c r="O2677" s="116">
        <v>1372.7</v>
      </c>
      <c r="P2677" s="116">
        <v>1383</v>
      </c>
      <c r="Q2677" s="116">
        <v>1374.3</v>
      </c>
      <c r="R2677">
        <v>10882743</v>
      </c>
    </row>
    <row r="2678" spans="1:18" x14ac:dyDescent="0.25">
      <c r="A2678" s="170">
        <v>45946</v>
      </c>
      <c r="B2678" s="116">
        <v>1400.45</v>
      </c>
      <c r="C2678" s="116">
        <v>1398.05</v>
      </c>
      <c r="D2678" s="116">
        <v>1374.8</v>
      </c>
      <c r="E2678" s="116">
        <v>1374.8</v>
      </c>
      <c r="F2678" s="116">
        <v>1398.05</v>
      </c>
      <c r="G2678">
        <v>1163237</v>
      </c>
      <c r="H2678" s="116"/>
      <c r="I2678" s="116"/>
      <c r="L2678" s="170">
        <v>45946</v>
      </c>
      <c r="M2678" s="116">
        <v>1398.3</v>
      </c>
      <c r="N2678" s="116">
        <v>1400.5</v>
      </c>
      <c r="O2678" s="116">
        <v>1375</v>
      </c>
      <c r="P2678" s="116">
        <v>1375.1</v>
      </c>
      <c r="Q2678" s="116">
        <v>1398.3</v>
      </c>
      <c r="R2678">
        <v>12315932</v>
      </c>
    </row>
    <row r="2679" spans="1:18" x14ac:dyDescent="0.25">
      <c r="A2679" s="170">
        <v>45947</v>
      </c>
      <c r="B2679" s="116">
        <v>1423.45</v>
      </c>
      <c r="C2679" s="116">
        <v>1416.95</v>
      </c>
      <c r="D2679" s="116">
        <v>1399.5</v>
      </c>
      <c r="E2679" s="116">
        <v>1400</v>
      </c>
      <c r="F2679" s="116">
        <v>1416.95</v>
      </c>
      <c r="G2679">
        <v>970166</v>
      </c>
      <c r="H2679" s="116"/>
      <c r="I2679" s="116"/>
      <c r="L2679" s="170">
        <v>45947</v>
      </c>
      <c r="M2679" s="116">
        <v>1416.8</v>
      </c>
      <c r="N2679" s="116">
        <v>1423.3</v>
      </c>
      <c r="O2679" s="116">
        <v>1399.1</v>
      </c>
      <c r="P2679" s="116">
        <v>1401</v>
      </c>
      <c r="Q2679" s="116">
        <v>1416.8</v>
      </c>
      <c r="R2679">
        <v>19335561</v>
      </c>
    </row>
    <row r="2680" spans="1:18" x14ac:dyDescent="0.25">
      <c r="A2680" s="170">
        <v>45950</v>
      </c>
      <c r="B2680" s="116">
        <v>1473.55</v>
      </c>
      <c r="C2680" s="116">
        <v>1466.8</v>
      </c>
      <c r="D2680" s="116">
        <v>1435</v>
      </c>
      <c r="E2680" s="116">
        <v>1440</v>
      </c>
      <c r="F2680" s="116">
        <v>1466.8</v>
      </c>
      <c r="G2680">
        <v>1742719</v>
      </c>
      <c r="H2680" s="116"/>
      <c r="I2680" s="116"/>
      <c r="L2680" s="170">
        <v>45950</v>
      </c>
      <c r="M2680" s="116">
        <v>1466.8</v>
      </c>
      <c r="N2680" s="116">
        <v>1473.8</v>
      </c>
      <c r="O2680" s="116">
        <v>1433.3</v>
      </c>
      <c r="P2680" s="116">
        <v>1440</v>
      </c>
      <c r="Q2680" s="116">
        <v>1466.8</v>
      </c>
      <c r="R2680">
        <v>24721978</v>
      </c>
    </row>
    <row r="2681" spans="1:18" x14ac:dyDescent="0.25">
      <c r="A2681" s="170">
        <v>45951</v>
      </c>
      <c r="B2681" s="116">
        <v>1473.95</v>
      </c>
      <c r="C2681" s="116">
        <v>1465.15</v>
      </c>
      <c r="D2681" s="116">
        <v>1460.2</v>
      </c>
      <c r="E2681" s="116">
        <v>1466.05</v>
      </c>
      <c r="F2681" s="116">
        <v>1465.15</v>
      </c>
      <c r="G2681">
        <v>303848</v>
      </c>
      <c r="H2681" s="116"/>
      <c r="I2681" s="116"/>
      <c r="L2681" s="170">
        <v>45951</v>
      </c>
      <c r="M2681" s="116">
        <v>1465.2</v>
      </c>
      <c r="N2681" s="116">
        <v>1474</v>
      </c>
      <c r="O2681" s="116">
        <v>1460</v>
      </c>
      <c r="P2681" s="116">
        <v>1468</v>
      </c>
      <c r="Q2681" s="116">
        <v>1465.2</v>
      </c>
      <c r="R2681">
        <v>2066169</v>
      </c>
    </row>
    <row r="2682" spans="1:18" x14ac:dyDescent="0.25">
      <c r="A2682" s="170">
        <v>45953</v>
      </c>
      <c r="B2682" s="116">
        <v>1482.5</v>
      </c>
      <c r="C2682" s="116">
        <v>1448.05</v>
      </c>
      <c r="D2682" s="116">
        <v>1444.8</v>
      </c>
      <c r="E2682" s="116">
        <v>1475</v>
      </c>
      <c r="F2682" s="116">
        <v>1448.05</v>
      </c>
      <c r="G2682">
        <v>1083554</v>
      </c>
      <c r="H2682" s="116"/>
      <c r="I2682" s="116"/>
      <c r="L2682" s="170">
        <v>45953</v>
      </c>
      <c r="M2682" s="116">
        <v>1448.4</v>
      </c>
      <c r="N2682" s="116">
        <v>1482.9</v>
      </c>
      <c r="O2682" s="116">
        <v>1444.6</v>
      </c>
      <c r="P2682" s="116">
        <v>1475</v>
      </c>
      <c r="Q2682" s="116">
        <v>1448.4</v>
      </c>
      <c r="R2682">
        <v>18707090</v>
      </c>
    </row>
    <row r="2683" spans="1:18" x14ac:dyDescent="0.25">
      <c r="A2683" s="170">
        <v>45954</v>
      </c>
      <c r="B2683" s="116">
        <v>1459.95</v>
      </c>
      <c r="C2683" s="116">
        <v>1451.45</v>
      </c>
      <c r="D2683" s="116">
        <v>1441.1</v>
      </c>
      <c r="E2683" s="116">
        <v>1450</v>
      </c>
      <c r="F2683" s="116">
        <v>1451.45</v>
      </c>
      <c r="G2683">
        <v>331591</v>
      </c>
      <c r="H2683" s="116"/>
      <c r="I2683" s="116"/>
      <c r="L2683" s="170">
        <v>45954</v>
      </c>
      <c r="M2683" s="116">
        <v>1451.6</v>
      </c>
      <c r="N2683" s="116">
        <v>1459.8</v>
      </c>
      <c r="O2683" s="116">
        <v>1441</v>
      </c>
      <c r="P2683" s="116">
        <v>1450</v>
      </c>
      <c r="Q2683" s="116">
        <v>1451.6</v>
      </c>
      <c r="R2683">
        <v>9700837</v>
      </c>
    </row>
    <row r="2684" spans="1:18" x14ac:dyDescent="0.25">
      <c r="A2684" s="170">
        <v>45957</v>
      </c>
      <c r="B2684" s="116">
        <v>1484.95</v>
      </c>
      <c r="C2684" s="116">
        <v>1484</v>
      </c>
      <c r="D2684" s="116">
        <v>1458.7</v>
      </c>
      <c r="E2684" s="116">
        <v>1461.25</v>
      </c>
      <c r="F2684" s="116">
        <v>1484</v>
      </c>
      <c r="G2684">
        <v>393023</v>
      </c>
      <c r="H2684" s="116"/>
      <c r="I2684" s="116"/>
      <c r="L2684" s="170">
        <v>45957</v>
      </c>
      <c r="M2684" s="116">
        <v>1484.1</v>
      </c>
      <c r="N2684" s="116">
        <v>1485</v>
      </c>
      <c r="O2684" s="116">
        <v>1458</v>
      </c>
      <c r="P2684" s="116">
        <v>1463</v>
      </c>
      <c r="Q2684" s="116">
        <v>1484.1</v>
      </c>
      <c r="R2684">
        <v>14113867</v>
      </c>
    </row>
    <row r="2685" spans="1:18" x14ac:dyDescent="0.25">
      <c r="A2685" s="170">
        <v>45958</v>
      </c>
      <c r="B2685" s="116">
        <v>1492.1</v>
      </c>
      <c r="C2685" s="116">
        <v>1487.15</v>
      </c>
      <c r="D2685" s="116">
        <v>1478</v>
      </c>
      <c r="E2685" s="116">
        <v>1480.15</v>
      </c>
      <c r="F2685" s="116">
        <v>1487.15</v>
      </c>
      <c r="G2685">
        <v>1341632</v>
      </c>
      <c r="H2685" s="116"/>
      <c r="I2685" s="116"/>
      <c r="L2685" s="170">
        <v>45958</v>
      </c>
      <c r="M2685" s="116">
        <v>1486.9</v>
      </c>
      <c r="N2685" s="116">
        <v>1492</v>
      </c>
      <c r="O2685" s="116">
        <v>1477.6</v>
      </c>
      <c r="P2685" s="116">
        <v>1484.1</v>
      </c>
      <c r="Q2685" s="116">
        <v>1486.9</v>
      </c>
      <c r="R2685">
        <v>17631577</v>
      </c>
    </row>
    <row r="2686" spans="1:18" x14ac:dyDescent="0.25">
      <c r="A2686" s="170">
        <v>45959</v>
      </c>
      <c r="B2686" s="116">
        <v>1508</v>
      </c>
      <c r="C2686" s="116">
        <v>1504.05</v>
      </c>
      <c r="D2686" s="116">
        <v>1488.7</v>
      </c>
      <c r="E2686" s="116">
        <v>1489</v>
      </c>
      <c r="F2686" s="116">
        <v>1504.05</v>
      </c>
      <c r="G2686">
        <v>750041</v>
      </c>
      <c r="H2686" s="116"/>
      <c r="I2686" s="116"/>
      <c r="L2686" s="170">
        <v>45959</v>
      </c>
      <c r="M2686" s="116">
        <v>1504.2</v>
      </c>
      <c r="N2686" s="116">
        <v>1508.3</v>
      </c>
      <c r="O2686" s="116">
        <v>1488.1</v>
      </c>
      <c r="P2686" s="116">
        <v>1490</v>
      </c>
      <c r="Q2686" s="116">
        <v>1504.2</v>
      </c>
      <c r="R2686">
        <v>11884745</v>
      </c>
    </row>
    <row r="2687" spans="1:18" x14ac:dyDescent="0.25">
      <c r="A2687" s="170">
        <v>45960</v>
      </c>
      <c r="B2687" s="116">
        <v>1503.25</v>
      </c>
      <c r="C2687" s="116">
        <v>1488.45</v>
      </c>
      <c r="D2687" s="116">
        <v>1484</v>
      </c>
      <c r="E2687" s="116">
        <v>1500</v>
      </c>
      <c r="F2687" s="116">
        <v>1488.45</v>
      </c>
      <c r="G2687">
        <v>772640</v>
      </c>
      <c r="H2687" s="116"/>
      <c r="I2687" s="116"/>
      <c r="L2687" s="170">
        <v>45960</v>
      </c>
      <c r="M2687" s="116">
        <v>1488.5</v>
      </c>
      <c r="N2687" s="116">
        <v>1503.1</v>
      </c>
      <c r="O2687" s="116">
        <v>1484</v>
      </c>
      <c r="P2687" s="116">
        <v>1500</v>
      </c>
      <c r="Q2687" s="116">
        <v>1488.5</v>
      </c>
      <c r="R2687">
        <v>9318663</v>
      </c>
    </row>
    <row r="2688" spans="1:18" x14ac:dyDescent="0.25">
      <c r="A2688" s="170">
        <v>45961</v>
      </c>
      <c r="B2688" s="116">
        <v>1497.8</v>
      </c>
      <c r="C2688" s="116">
        <v>1486.5</v>
      </c>
      <c r="D2688" s="116">
        <v>1482</v>
      </c>
      <c r="E2688" s="116">
        <v>1491</v>
      </c>
      <c r="F2688" s="116">
        <v>1486.5</v>
      </c>
      <c r="G2688">
        <v>268477</v>
      </c>
      <c r="H2688" s="116"/>
      <c r="I2688" s="116"/>
      <c r="L2688" s="170">
        <v>45961</v>
      </c>
      <c r="M2688" s="116">
        <v>1486.4</v>
      </c>
      <c r="N2688" s="116">
        <v>1497.5</v>
      </c>
      <c r="O2688" s="116">
        <v>1482.3</v>
      </c>
      <c r="P2688" s="116">
        <v>1490.4</v>
      </c>
      <c r="Q2688" s="116">
        <v>1486.4</v>
      </c>
      <c r="R2688">
        <v>8758053</v>
      </c>
    </row>
    <row r="2689" spans="1:18" x14ac:dyDescent="0.25">
      <c r="A2689" s="170">
        <v>45964</v>
      </c>
      <c r="B2689" s="116">
        <v>1495</v>
      </c>
      <c r="C2689" s="116">
        <v>1484.35</v>
      </c>
      <c r="D2689" s="116">
        <v>1479.15</v>
      </c>
      <c r="E2689" s="116">
        <v>1486</v>
      </c>
      <c r="F2689" s="116">
        <v>1484.35</v>
      </c>
      <c r="G2689">
        <v>548207</v>
      </c>
      <c r="H2689" s="116"/>
      <c r="I2689" s="116"/>
      <c r="L2689" s="170">
        <v>45964</v>
      </c>
      <c r="M2689" s="116">
        <v>1484.7</v>
      </c>
      <c r="N2689" s="116">
        <v>1495</v>
      </c>
      <c r="O2689" s="116">
        <v>1479.3</v>
      </c>
      <c r="P2689" s="116">
        <v>1486</v>
      </c>
      <c r="Q2689" s="116">
        <v>1484.7</v>
      </c>
      <c r="R2689">
        <v>8452085</v>
      </c>
    </row>
    <row r="2690" spans="1:18" x14ac:dyDescent="0.25">
      <c r="A2690" s="170">
        <v>45965</v>
      </c>
      <c r="B2690" s="116">
        <v>1492.7</v>
      </c>
      <c r="C2690" s="116">
        <v>1471.85</v>
      </c>
      <c r="D2690" s="116">
        <v>1470.3</v>
      </c>
      <c r="E2690" s="116">
        <v>1484.3</v>
      </c>
      <c r="F2690" s="116">
        <v>1471.85</v>
      </c>
      <c r="G2690">
        <v>265941</v>
      </c>
      <c r="H2690" s="116"/>
      <c r="I2690" s="116"/>
      <c r="L2690" s="170">
        <v>45965</v>
      </c>
      <c r="M2690" s="116">
        <v>1473.1</v>
      </c>
      <c r="N2690" s="116">
        <v>1492.8</v>
      </c>
      <c r="O2690" s="116">
        <v>1470.1</v>
      </c>
      <c r="P2690" s="116">
        <v>1483.9</v>
      </c>
      <c r="Q2690" s="116">
        <v>1473.1</v>
      </c>
      <c r="R2690">
        <v>10007806</v>
      </c>
    </row>
    <row r="2691" spans="1:18" x14ac:dyDescent="0.25">
      <c r="A2691" s="170">
        <v>45967</v>
      </c>
      <c r="B2691" s="116">
        <v>1501.95</v>
      </c>
      <c r="C2691" s="116">
        <v>1495.75</v>
      </c>
      <c r="D2691" s="116">
        <v>1477.55</v>
      </c>
      <c r="E2691" s="116">
        <v>1483.1</v>
      </c>
      <c r="F2691" s="116">
        <v>1495.75</v>
      </c>
      <c r="G2691">
        <v>1178418</v>
      </c>
      <c r="H2691" s="116"/>
      <c r="I2691" s="116"/>
      <c r="L2691" s="170">
        <v>45967</v>
      </c>
      <c r="M2691" s="116">
        <v>1496.1</v>
      </c>
      <c r="N2691" s="116">
        <v>1501.6</v>
      </c>
      <c r="O2691" s="116">
        <v>1476.2</v>
      </c>
      <c r="P2691" s="116">
        <v>1484</v>
      </c>
      <c r="Q2691" s="116">
        <v>1496.1</v>
      </c>
      <c r="R2691">
        <v>16772678</v>
      </c>
    </row>
    <row r="2692" spans="1:18" x14ac:dyDescent="0.25">
      <c r="A2692" s="170">
        <v>45968</v>
      </c>
      <c r="B2692" s="116">
        <v>1498.5</v>
      </c>
      <c r="C2692" s="116">
        <v>1478.25</v>
      </c>
      <c r="D2692" s="116">
        <v>1476.25</v>
      </c>
      <c r="E2692" s="116">
        <v>1497.65</v>
      </c>
      <c r="F2692" s="116">
        <v>1478.25</v>
      </c>
      <c r="G2692">
        <v>378528</v>
      </c>
      <c r="H2692" s="116"/>
      <c r="I2692" s="116"/>
      <c r="L2692" s="170">
        <v>45968</v>
      </c>
      <c r="M2692" s="116">
        <v>1478</v>
      </c>
      <c r="N2692" s="116">
        <v>1498.4</v>
      </c>
      <c r="O2692" s="116">
        <v>1475.9</v>
      </c>
      <c r="P2692" s="116">
        <v>1494.6</v>
      </c>
      <c r="Q2692" s="116">
        <v>1478</v>
      </c>
      <c r="R2692">
        <v>7821765</v>
      </c>
    </row>
    <row r="2693" spans="1:18" x14ac:dyDescent="0.25">
      <c r="A2693" s="170">
        <v>45971</v>
      </c>
      <c r="B2693" s="116">
        <v>1500</v>
      </c>
      <c r="C2693" s="116">
        <v>1489.25</v>
      </c>
      <c r="D2693" s="116">
        <v>1473.15</v>
      </c>
      <c r="E2693" s="116">
        <v>1473.15</v>
      </c>
      <c r="F2693" s="116">
        <v>1489.25</v>
      </c>
      <c r="G2693">
        <v>408088</v>
      </c>
      <c r="H2693" s="116"/>
      <c r="I2693" s="116"/>
      <c r="L2693" s="170">
        <v>45971</v>
      </c>
      <c r="M2693" s="116">
        <v>1489.3</v>
      </c>
      <c r="N2693" s="116">
        <v>1501</v>
      </c>
      <c r="O2693" s="116">
        <v>1475.5</v>
      </c>
      <c r="P2693" s="116">
        <v>1477.9</v>
      </c>
      <c r="Q2693" s="116">
        <v>1489.3</v>
      </c>
      <c r="R2693">
        <v>7068438</v>
      </c>
    </row>
    <row r="2694" spans="1:18" x14ac:dyDescent="0.25">
      <c r="A2694" s="170">
        <v>45972</v>
      </c>
      <c r="B2694" s="116">
        <v>1498.7</v>
      </c>
      <c r="C2694" s="116">
        <v>1493.9</v>
      </c>
      <c r="D2694" s="116">
        <v>1480.25</v>
      </c>
      <c r="E2694" s="116">
        <v>1496</v>
      </c>
      <c r="F2694" s="116">
        <v>1493.9</v>
      </c>
      <c r="G2694">
        <v>214867</v>
      </c>
      <c r="H2694" s="116"/>
      <c r="I2694" s="116"/>
      <c r="L2694" s="170">
        <v>45972</v>
      </c>
      <c r="M2694" s="116">
        <v>1493.4</v>
      </c>
      <c r="N2694" s="116">
        <v>1498.8</v>
      </c>
      <c r="O2694" s="116">
        <v>1480.2</v>
      </c>
      <c r="P2694" s="116">
        <v>1497</v>
      </c>
      <c r="Q2694" s="116">
        <v>1493.4</v>
      </c>
      <c r="R2694">
        <v>7127506</v>
      </c>
    </row>
    <row r="2695" spans="1:18" x14ac:dyDescent="0.25">
      <c r="A2695" s="170">
        <v>45973</v>
      </c>
      <c r="B2695" s="116">
        <v>1524</v>
      </c>
      <c r="C2695" s="116">
        <v>1511.75</v>
      </c>
      <c r="D2695" s="116">
        <v>1500</v>
      </c>
      <c r="E2695" s="116">
        <v>1500</v>
      </c>
      <c r="F2695" s="116">
        <v>1511.75</v>
      </c>
      <c r="G2695">
        <v>854483</v>
      </c>
      <c r="H2695" s="116"/>
      <c r="I2695" s="116"/>
      <c r="L2695" s="170">
        <v>45973</v>
      </c>
      <c r="M2695" s="116">
        <v>1511.5</v>
      </c>
      <c r="N2695" s="116">
        <v>1524.7</v>
      </c>
      <c r="O2695" s="116">
        <v>1500</v>
      </c>
      <c r="P2695" s="116">
        <v>1505</v>
      </c>
      <c r="Q2695" s="116">
        <v>1511.5</v>
      </c>
      <c r="R2695">
        <v>12384459</v>
      </c>
    </row>
    <row r="2696" spans="1:18" x14ac:dyDescent="0.25">
      <c r="A2696" s="170">
        <v>45974</v>
      </c>
      <c r="B2696" s="116">
        <v>1522</v>
      </c>
      <c r="C2696" s="116">
        <v>1510.6</v>
      </c>
      <c r="D2696" s="116">
        <v>1505.6</v>
      </c>
      <c r="E2696" s="116">
        <v>1512.5</v>
      </c>
      <c r="F2696" s="116">
        <v>1510.6</v>
      </c>
      <c r="G2696">
        <v>1136211</v>
      </c>
      <c r="H2696" s="116"/>
      <c r="I2696" s="116"/>
      <c r="L2696" s="170">
        <v>45974</v>
      </c>
      <c r="M2696" s="116">
        <v>1510.9</v>
      </c>
      <c r="N2696" s="116">
        <v>1522.1</v>
      </c>
      <c r="O2696" s="116">
        <v>1506.8</v>
      </c>
      <c r="P2696" s="116">
        <v>1515</v>
      </c>
      <c r="Q2696" s="116">
        <v>1510.9</v>
      </c>
      <c r="R2696">
        <v>7196443</v>
      </c>
    </row>
    <row r="2697" spans="1:18" x14ac:dyDescent="0.25">
      <c r="A2697" s="170">
        <v>45975</v>
      </c>
      <c r="B2697" s="116">
        <v>1520.7</v>
      </c>
      <c r="C2697" s="116">
        <v>1518.85</v>
      </c>
      <c r="D2697" s="116">
        <v>1506</v>
      </c>
      <c r="E2697" s="116">
        <v>1506.8</v>
      </c>
      <c r="F2697" s="116">
        <v>1518.85</v>
      </c>
      <c r="G2697">
        <v>283160</v>
      </c>
      <c r="H2697" s="116"/>
      <c r="I2697" s="116"/>
      <c r="L2697" s="170">
        <v>45975</v>
      </c>
      <c r="M2697" s="116">
        <v>1518.9</v>
      </c>
      <c r="N2697" s="116">
        <v>1520.9</v>
      </c>
      <c r="O2697" s="116">
        <v>1505.5</v>
      </c>
      <c r="P2697" s="116">
        <v>1505.5</v>
      </c>
      <c r="Q2697" s="116">
        <v>1518.9</v>
      </c>
      <c r="R2697">
        <v>7682823</v>
      </c>
    </row>
    <row r="2698" spans="1:18" x14ac:dyDescent="0.25">
      <c r="A2698" s="170">
        <v>45978</v>
      </c>
      <c r="B2698" s="116">
        <v>1523.5</v>
      </c>
      <c r="C2698" s="116">
        <v>1517.9</v>
      </c>
      <c r="D2698" s="116">
        <v>1511.45</v>
      </c>
      <c r="E2698" s="116">
        <v>1518.85</v>
      </c>
      <c r="F2698" s="116">
        <v>1517.9</v>
      </c>
      <c r="G2698">
        <v>214052</v>
      </c>
      <c r="H2698" s="116"/>
      <c r="I2698" s="116"/>
      <c r="L2698" s="170">
        <v>45978</v>
      </c>
      <c r="M2698" s="116">
        <v>1518.3</v>
      </c>
      <c r="N2698" s="116">
        <v>1523.7</v>
      </c>
      <c r="O2698" s="116">
        <v>1511.5</v>
      </c>
      <c r="P2698" s="116">
        <v>1520.9</v>
      </c>
      <c r="Q2698" s="116">
        <v>1518.3</v>
      </c>
      <c r="R2698">
        <v>5871416</v>
      </c>
    </row>
    <row r="2699" spans="1:18" x14ac:dyDescent="0.25">
      <c r="A2699" s="170">
        <v>45979</v>
      </c>
      <c r="B2699" s="116">
        <v>1527.8</v>
      </c>
      <c r="C2699" s="116">
        <v>1519.65</v>
      </c>
      <c r="D2699" s="116">
        <v>1510.05</v>
      </c>
      <c r="E2699" s="116">
        <v>1523.65</v>
      </c>
      <c r="F2699" s="116">
        <v>1519.65</v>
      </c>
      <c r="G2699">
        <v>155896</v>
      </c>
      <c r="H2699" s="116"/>
      <c r="I2699" s="116"/>
      <c r="L2699" s="170">
        <v>45979</v>
      </c>
      <c r="M2699" s="116">
        <v>1519.4</v>
      </c>
      <c r="N2699" s="116">
        <v>1527.8</v>
      </c>
      <c r="O2699" s="116">
        <v>1510.5</v>
      </c>
      <c r="P2699" s="116">
        <v>1521.7</v>
      </c>
      <c r="Q2699" s="116">
        <v>1519.4</v>
      </c>
      <c r="R2699">
        <v>11045042</v>
      </c>
    </row>
    <row r="2700" spans="1:18" x14ac:dyDescent="0.25">
      <c r="A2700" s="170">
        <v>45980</v>
      </c>
      <c r="B2700" s="116">
        <v>1522.2</v>
      </c>
      <c r="C2700" s="116">
        <v>1518.65</v>
      </c>
      <c r="D2700" s="116">
        <v>1511.7</v>
      </c>
      <c r="E2700" s="116">
        <v>1514</v>
      </c>
      <c r="F2700" s="116">
        <v>1518.65</v>
      </c>
      <c r="G2700">
        <v>289954</v>
      </c>
      <c r="H2700" s="116"/>
      <c r="I2700" s="116"/>
      <c r="L2700" s="170">
        <v>45980</v>
      </c>
      <c r="M2700" s="116">
        <v>1518.9</v>
      </c>
      <c r="N2700" s="116">
        <v>1522.3</v>
      </c>
      <c r="O2700" s="116">
        <v>1512</v>
      </c>
      <c r="P2700" s="116">
        <v>1517.4</v>
      </c>
      <c r="Q2700" s="116">
        <v>1518.9</v>
      </c>
      <c r="R2700">
        <v>5692366</v>
      </c>
    </row>
    <row r="2701" spans="1:18" x14ac:dyDescent="0.25">
      <c r="A2701" s="170">
        <v>45981</v>
      </c>
      <c r="B2701" s="116">
        <v>1550.9</v>
      </c>
      <c r="C2701" s="116">
        <v>1549.1</v>
      </c>
      <c r="D2701" s="116">
        <v>1526.8</v>
      </c>
      <c r="E2701" s="116">
        <v>1530</v>
      </c>
      <c r="F2701" s="116">
        <v>1549.1</v>
      </c>
      <c r="G2701">
        <v>1873543</v>
      </c>
      <c r="H2701" s="116"/>
      <c r="I2701" s="116"/>
      <c r="L2701" s="170">
        <v>45981</v>
      </c>
      <c r="M2701" s="116">
        <v>1549.1</v>
      </c>
      <c r="N2701" s="116">
        <v>1550.9</v>
      </c>
      <c r="O2701" s="116">
        <v>1526.7</v>
      </c>
      <c r="P2701" s="116">
        <v>1530</v>
      </c>
      <c r="Q2701" s="116">
        <v>1549.1</v>
      </c>
      <c r="R2701">
        <v>18171724</v>
      </c>
    </row>
    <row r="2702" spans="1:18" x14ac:dyDescent="0.25">
      <c r="A2702" s="170">
        <v>45982</v>
      </c>
      <c r="B2702" s="116">
        <v>1557.95</v>
      </c>
      <c r="C2702" s="116">
        <v>1545.95</v>
      </c>
      <c r="D2702" s="116">
        <v>1539</v>
      </c>
      <c r="E2702" s="116">
        <v>1541</v>
      </c>
      <c r="F2702" s="116">
        <v>1545.95</v>
      </c>
      <c r="G2702">
        <v>514303</v>
      </c>
      <c r="H2702" s="116"/>
      <c r="I2702" s="116"/>
      <c r="L2702" s="170">
        <v>45982</v>
      </c>
      <c r="M2702" s="116">
        <v>1546.6</v>
      </c>
      <c r="N2702" s="116">
        <v>1557.8</v>
      </c>
      <c r="O2702" s="116">
        <v>1540.1</v>
      </c>
      <c r="P2702" s="116">
        <v>1541</v>
      </c>
      <c r="Q2702" s="116">
        <v>1546.6</v>
      </c>
      <c r="R2702">
        <v>9615271</v>
      </c>
    </row>
    <row r="2703" spans="1:18" x14ac:dyDescent="0.25">
      <c r="A2703" s="170">
        <v>45985</v>
      </c>
      <c r="B2703" s="116">
        <v>1550</v>
      </c>
      <c r="C2703" s="116">
        <v>1535.75</v>
      </c>
      <c r="D2703" s="116">
        <v>1532.9</v>
      </c>
      <c r="E2703" s="116">
        <v>1548.1</v>
      </c>
      <c r="F2703" s="116">
        <v>1535.75</v>
      </c>
      <c r="G2703">
        <v>236624</v>
      </c>
      <c r="H2703" s="116"/>
      <c r="I2703" s="116"/>
      <c r="L2703" s="170">
        <v>45985</v>
      </c>
      <c r="M2703" s="116">
        <v>1535.9</v>
      </c>
      <c r="N2703" s="116">
        <v>1550</v>
      </c>
      <c r="O2703" s="116">
        <v>1531.8</v>
      </c>
      <c r="P2703" s="116">
        <v>1550</v>
      </c>
      <c r="Q2703" s="116">
        <v>1535.9</v>
      </c>
      <c r="R2703">
        <v>18433951</v>
      </c>
    </row>
    <row r="2704" spans="1:18" x14ac:dyDescent="0.25">
      <c r="A2704" s="170">
        <v>45986</v>
      </c>
      <c r="B2704" s="116">
        <v>1560</v>
      </c>
      <c r="C2704" s="116">
        <v>1539.1</v>
      </c>
      <c r="D2704" s="116">
        <v>1525</v>
      </c>
      <c r="E2704" s="116">
        <v>1535</v>
      </c>
      <c r="F2704" s="116">
        <v>1539.1</v>
      </c>
      <c r="G2704">
        <v>229673</v>
      </c>
      <c r="H2704" s="116"/>
      <c r="I2704" s="116"/>
      <c r="L2704" s="170">
        <v>45986</v>
      </c>
      <c r="M2704" s="116">
        <v>1539.7</v>
      </c>
      <c r="N2704" s="116">
        <v>1559.6</v>
      </c>
      <c r="O2704" s="116">
        <v>1525.1</v>
      </c>
      <c r="P2704" s="116">
        <v>1535.9</v>
      </c>
      <c r="Q2704" s="116">
        <v>1539.7</v>
      </c>
      <c r="R2704">
        <v>15033482</v>
      </c>
    </row>
    <row r="2705" spans="1:18" x14ac:dyDescent="0.25">
      <c r="A2705" s="170">
        <v>45987</v>
      </c>
      <c r="B2705" s="116">
        <v>1571.8</v>
      </c>
      <c r="C2705" s="116">
        <v>1569.75</v>
      </c>
      <c r="D2705" s="116">
        <v>1541</v>
      </c>
      <c r="E2705" s="116">
        <v>1545</v>
      </c>
      <c r="F2705" s="116">
        <v>1569.75</v>
      </c>
      <c r="G2705">
        <v>485790</v>
      </c>
      <c r="H2705" s="116"/>
      <c r="I2705" s="116"/>
      <c r="L2705" s="170">
        <v>45987</v>
      </c>
      <c r="M2705" s="116">
        <v>1569.9</v>
      </c>
      <c r="N2705" s="116">
        <v>1571.6</v>
      </c>
      <c r="O2705" s="116">
        <v>1540.5</v>
      </c>
      <c r="P2705" s="116">
        <v>1542.3</v>
      </c>
      <c r="Q2705" s="116">
        <v>1569.9</v>
      </c>
      <c r="R2705">
        <v>14054299</v>
      </c>
    </row>
    <row r="2706" spans="1:18" x14ac:dyDescent="0.25">
      <c r="A2706" s="170">
        <v>45988</v>
      </c>
      <c r="B2706" s="116">
        <v>1575.25</v>
      </c>
      <c r="C2706" s="116">
        <v>1563.55</v>
      </c>
      <c r="D2706" s="116">
        <v>1556</v>
      </c>
      <c r="E2706" s="116">
        <v>1575.25</v>
      </c>
      <c r="F2706" s="116">
        <v>1563.55</v>
      </c>
      <c r="G2706">
        <v>1112784</v>
      </c>
      <c r="H2706" s="116"/>
      <c r="I2706" s="116"/>
      <c r="L2706" s="170">
        <v>45988</v>
      </c>
      <c r="M2706" s="116">
        <v>1563.4</v>
      </c>
      <c r="N2706" s="116">
        <v>1575.5</v>
      </c>
      <c r="O2706" s="116">
        <v>1556</v>
      </c>
      <c r="P2706" s="116">
        <v>1575</v>
      </c>
      <c r="Q2706" s="116">
        <v>1563.4</v>
      </c>
      <c r="R2706">
        <v>9794643</v>
      </c>
    </row>
    <row r="2707" spans="1:18" x14ac:dyDescent="0.25">
      <c r="A2707" s="170">
        <v>45989</v>
      </c>
      <c r="B2707" s="116">
        <v>1580.9</v>
      </c>
      <c r="C2707" s="116">
        <v>1566.85</v>
      </c>
      <c r="D2707" s="116">
        <v>1562.35</v>
      </c>
      <c r="E2707" s="116">
        <v>1568</v>
      </c>
      <c r="F2707" s="116">
        <v>1566.85</v>
      </c>
      <c r="G2707">
        <v>479141</v>
      </c>
      <c r="H2707" s="116"/>
      <c r="I2707" s="116"/>
      <c r="L2707" s="170">
        <v>45989</v>
      </c>
      <c r="M2707" s="116">
        <v>1567.5</v>
      </c>
      <c r="N2707" s="116">
        <v>1581.3</v>
      </c>
      <c r="O2707" s="116">
        <v>1563</v>
      </c>
      <c r="P2707" s="116">
        <v>1568</v>
      </c>
      <c r="Q2707" s="116">
        <v>1567.5</v>
      </c>
      <c r="R2707">
        <v>8959508</v>
      </c>
    </row>
    <row r="2708" spans="1:18" x14ac:dyDescent="0.25">
      <c r="A2708" s="170">
        <v>45992</v>
      </c>
      <c r="B2708" s="116">
        <v>1579.95</v>
      </c>
      <c r="C2708" s="116">
        <v>1565.9</v>
      </c>
      <c r="D2708" s="116">
        <v>1563.75</v>
      </c>
      <c r="E2708" s="116">
        <v>1575</v>
      </c>
      <c r="F2708" s="116">
        <v>1565.9</v>
      </c>
      <c r="G2708">
        <v>162025</v>
      </c>
      <c r="H2708" s="116"/>
      <c r="I2708" s="116"/>
      <c r="L2708" s="170">
        <v>45992</v>
      </c>
      <c r="M2708" s="116">
        <v>1566.1</v>
      </c>
      <c r="N2708" s="116">
        <v>1577.5</v>
      </c>
      <c r="O2708" s="116">
        <v>1563.6</v>
      </c>
      <c r="P2708" s="116">
        <v>1575</v>
      </c>
      <c r="Q2708" s="116">
        <v>1566.1</v>
      </c>
      <c r="R2708">
        <v>8920233</v>
      </c>
    </row>
    <row r="2709" spans="1:18" x14ac:dyDescent="0.25">
      <c r="A2709" s="170">
        <v>45993</v>
      </c>
      <c r="B2709">
        <v>1567</v>
      </c>
      <c r="C2709">
        <v>1546.4</v>
      </c>
      <c r="D2709">
        <v>1542.25</v>
      </c>
      <c r="E2709">
        <v>1560.05</v>
      </c>
      <c r="F2709">
        <v>1546.4</v>
      </c>
      <c r="G2709">
        <v>110289</v>
      </c>
      <c r="H2709" s="116"/>
      <c r="I2709" s="116"/>
      <c r="L2709" s="170">
        <v>45993</v>
      </c>
      <c r="M2709" s="116">
        <v>1546.3</v>
      </c>
      <c r="N2709" s="116">
        <v>1567.5</v>
      </c>
      <c r="O2709" s="116">
        <v>1542</v>
      </c>
      <c r="P2709" s="116">
        <v>1561.1</v>
      </c>
      <c r="Q2709" s="116">
        <v>1546.3</v>
      </c>
      <c r="R2709">
        <v>11389150</v>
      </c>
    </row>
    <row r="2710" spans="1:18" x14ac:dyDescent="0.25">
      <c r="A2710" s="170">
        <v>45994</v>
      </c>
      <c r="B2710">
        <v>1552</v>
      </c>
      <c r="C2710">
        <v>1539</v>
      </c>
      <c r="D2710">
        <v>1533.1</v>
      </c>
      <c r="E2710">
        <v>1546.4</v>
      </c>
      <c r="F2710">
        <v>1539</v>
      </c>
      <c r="G2710">
        <v>420895</v>
      </c>
      <c r="H2710" s="116"/>
      <c r="I2710" s="116"/>
      <c r="L2710" s="170">
        <v>45994</v>
      </c>
      <c r="M2710" s="116">
        <v>1538.8</v>
      </c>
      <c r="N2710" s="116">
        <v>1552.4</v>
      </c>
      <c r="O2710" s="116">
        <v>1533</v>
      </c>
      <c r="P2710" s="116">
        <v>1545.2</v>
      </c>
      <c r="Q2710" s="116">
        <v>1538.8</v>
      </c>
      <c r="R2710">
        <v>6090883</v>
      </c>
    </row>
    <row r="2711" spans="1:18" x14ac:dyDescent="0.25">
      <c r="A2711" s="170">
        <v>45995</v>
      </c>
      <c r="B2711">
        <v>1560.1</v>
      </c>
      <c r="C2711">
        <v>1538.4</v>
      </c>
      <c r="D2711">
        <v>1518</v>
      </c>
      <c r="E2711">
        <v>1536.05</v>
      </c>
      <c r="F2711">
        <v>1538.4</v>
      </c>
      <c r="G2711">
        <v>1432313</v>
      </c>
      <c r="H2711" s="116"/>
      <c r="I2711" s="116"/>
      <c r="L2711" s="170">
        <v>45995</v>
      </c>
      <c r="M2711" s="116">
        <v>1535.6</v>
      </c>
      <c r="N2711" s="116">
        <v>1560.5</v>
      </c>
      <c r="O2711" s="116">
        <v>1517.6</v>
      </c>
      <c r="P2711" s="116">
        <v>1536</v>
      </c>
      <c r="Q2711" s="116">
        <v>1535.6</v>
      </c>
      <c r="R2711">
        <v>11867930</v>
      </c>
    </row>
    <row r="2712" spans="1:18" x14ac:dyDescent="0.25">
      <c r="A2712" s="170">
        <v>45996</v>
      </c>
      <c r="B2712">
        <v>1546</v>
      </c>
      <c r="C2712">
        <v>1540.9</v>
      </c>
      <c r="D2712">
        <v>1520.45</v>
      </c>
      <c r="E2712">
        <v>1531.8</v>
      </c>
      <c r="F2712">
        <v>1540.9</v>
      </c>
      <c r="G2712">
        <v>308198</v>
      </c>
      <c r="H2712" s="116"/>
      <c r="I2712" s="116"/>
      <c r="L2712" s="170">
        <v>45996</v>
      </c>
      <c r="M2712" s="116">
        <v>1540.6</v>
      </c>
      <c r="N2712" s="116">
        <v>1545.8</v>
      </c>
      <c r="O2712" s="116">
        <v>1520.6</v>
      </c>
      <c r="P2712" s="116">
        <v>1530.4</v>
      </c>
      <c r="Q2712" s="116">
        <v>1540.6</v>
      </c>
      <c r="R2712">
        <v>10183266</v>
      </c>
    </row>
    <row r="2713" spans="1:18" x14ac:dyDescent="0.25">
      <c r="A2713" s="170">
        <v>45999</v>
      </c>
      <c r="B2713">
        <v>1550.8</v>
      </c>
      <c r="C2713">
        <v>1542.55</v>
      </c>
      <c r="D2713">
        <v>1533.05</v>
      </c>
      <c r="E2713">
        <v>1533.05</v>
      </c>
      <c r="F2713">
        <v>1542.55</v>
      </c>
      <c r="G2713">
        <v>1730253</v>
      </c>
      <c r="H2713" s="116"/>
      <c r="I2713" s="116"/>
      <c r="L2713" s="170">
        <v>45999</v>
      </c>
      <c r="M2713" s="116">
        <v>1543</v>
      </c>
      <c r="N2713" s="116">
        <v>1551</v>
      </c>
      <c r="O2713" s="116">
        <v>1535</v>
      </c>
      <c r="P2713" s="116">
        <v>1539.2</v>
      </c>
      <c r="Q2713" s="116">
        <v>1543</v>
      </c>
      <c r="R2713">
        <v>11301491</v>
      </c>
    </row>
    <row r="2714" spans="1:18" x14ac:dyDescent="0.25">
      <c r="A2714" s="170">
        <v>46000</v>
      </c>
      <c r="B2714">
        <v>1542.95</v>
      </c>
      <c r="C2714">
        <v>1528.8</v>
      </c>
      <c r="D2714">
        <v>1520.35</v>
      </c>
      <c r="E2714">
        <v>1540</v>
      </c>
      <c r="F2714">
        <v>1528.8</v>
      </c>
      <c r="G2714">
        <v>817126</v>
      </c>
      <c r="H2714" s="116"/>
      <c r="I2714" s="116"/>
      <c r="L2714" s="170">
        <v>46000</v>
      </c>
      <c r="M2714" s="116">
        <v>1529.4</v>
      </c>
      <c r="N2714" s="116">
        <v>1542.5</v>
      </c>
      <c r="O2714" s="116">
        <v>1520.1</v>
      </c>
      <c r="P2714" s="116">
        <v>1540.3</v>
      </c>
      <c r="Q2714" s="116">
        <v>1529.4</v>
      </c>
      <c r="R2714">
        <v>11503971</v>
      </c>
    </row>
    <row r="2715" spans="1:18" x14ac:dyDescent="0.25">
      <c r="A2715" s="170">
        <v>46001</v>
      </c>
      <c r="B2715">
        <v>1547.5</v>
      </c>
      <c r="C2715">
        <v>1535.3</v>
      </c>
      <c r="D2715">
        <v>1530.9</v>
      </c>
      <c r="E2715">
        <v>1532</v>
      </c>
      <c r="F2715">
        <v>1535.3</v>
      </c>
      <c r="G2715">
        <v>1143477</v>
      </c>
      <c r="H2715" s="116"/>
      <c r="I2715" s="116"/>
      <c r="L2715" s="170">
        <v>46001</v>
      </c>
      <c r="M2715" s="116">
        <v>1536.9</v>
      </c>
      <c r="N2715" s="116">
        <v>1547.5</v>
      </c>
      <c r="O2715" s="116">
        <v>1531.4</v>
      </c>
      <c r="P2715" s="116">
        <v>1534</v>
      </c>
      <c r="Q2715" s="116">
        <v>1536.9</v>
      </c>
      <c r="R2715">
        <v>7991629</v>
      </c>
    </row>
    <row r="2716" spans="1:18" x14ac:dyDescent="0.25">
      <c r="A2716" s="170">
        <v>46002</v>
      </c>
      <c r="B2716">
        <v>1549.95</v>
      </c>
      <c r="C2716">
        <v>1544.9</v>
      </c>
      <c r="D2716">
        <v>1523.75</v>
      </c>
      <c r="E2716">
        <v>1536.3</v>
      </c>
      <c r="F2716">
        <v>1544.9</v>
      </c>
      <c r="G2716">
        <v>1127154</v>
      </c>
      <c r="H2716" s="116"/>
      <c r="I2716" s="116"/>
      <c r="L2716" s="170">
        <v>46002</v>
      </c>
      <c r="M2716" s="116">
        <v>1545</v>
      </c>
      <c r="N2716" s="116">
        <v>1550</v>
      </c>
      <c r="O2716" s="116">
        <v>1524</v>
      </c>
      <c r="P2716" s="116">
        <v>1536.9</v>
      </c>
      <c r="Q2716" s="116">
        <v>1545</v>
      </c>
      <c r="R2716">
        <v>4706197</v>
      </c>
    </row>
    <row r="2717" spans="1:18" x14ac:dyDescent="0.25">
      <c r="A2717" s="170">
        <v>46003</v>
      </c>
      <c r="B2717">
        <v>1559.5</v>
      </c>
      <c r="C2717">
        <v>1556</v>
      </c>
      <c r="D2717">
        <v>1546.6</v>
      </c>
      <c r="E2717">
        <v>1549.05</v>
      </c>
      <c r="F2717">
        <v>1556</v>
      </c>
      <c r="G2717">
        <v>102402</v>
      </c>
      <c r="H2717" s="116"/>
      <c r="I2717" s="116"/>
      <c r="L2717" s="170">
        <v>46003</v>
      </c>
      <c r="M2717" s="116">
        <v>1556.5</v>
      </c>
      <c r="N2717" s="116">
        <v>1559.8</v>
      </c>
      <c r="O2717" s="116">
        <v>1546.1</v>
      </c>
      <c r="P2717" s="116">
        <v>1550.8</v>
      </c>
      <c r="Q2717" s="116">
        <v>1556.5</v>
      </c>
      <c r="R2717">
        <v>5106655</v>
      </c>
    </row>
    <row r="2718" spans="1:18" x14ac:dyDescent="0.25">
      <c r="A2718" s="170">
        <v>46006</v>
      </c>
      <c r="B2718">
        <v>1557.95</v>
      </c>
      <c r="C2718">
        <v>1556.05</v>
      </c>
      <c r="D2718">
        <v>1547</v>
      </c>
      <c r="E2718">
        <v>1555.95</v>
      </c>
      <c r="F2718">
        <v>1556.05</v>
      </c>
      <c r="G2718">
        <v>162363</v>
      </c>
      <c r="H2718" s="116"/>
      <c r="I2718" s="116"/>
      <c r="L2718" s="170">
        <v>46006</v>
      </c>
      <c r="M2718" s="116">
        <v>1556.2</v>
      </c>
      <c r="N2718" s="116">
        <v>1558.6</v>
      </c>
      <c r="O2718" s="116">
        <v>1546.5</v>
      </c>
      <c r="P2718" s="116">
        <v>1551.2</v>
      </c>
      <c r="Q2718" s="116">
        <v>1556.2</v>
      </c>
      <c r="R2718">
        <v>5774543</v>
      </c>
    </row>
    <row r="2719" spans="1:18" x14ac:dyDescent="0.25">
      <c r="A2719" s="170">
        <v>46007</v>
      </c>
      <c r="B2719">
        <v>1551.55</v>
      </c>
      <c r="C2719">
        <v>1541.8</v>
      </c>
      <c r="D2719">
        <v>1539.4</v>
      </c>
      <c r="E2719">
        <v>1548</v>
      </c>
      <c r="F2719">
        <v>1541.8</v>
      </c>
      <c r="G2719">
        <v>126933</v>
      </c>
      <c r="H2719" s="116"/>
      <c r="I2719" s="116"/>
      <c r="L2719" s="170">
        <v>46007</v>
      </c>
      <c r="M2719" s="116">
        <v>1542.3</v>
      </c>
      <c r="N2719" s="116">
        <v>1551.7</v>
      </c>
      <c r="O2719" s="116">
        <v>1538.8</v>
      </c>
      <c r="P2719" s="116">
        <v>1545</v>
      </c>
      <c r="Q2719" s="116">
        <v>1542.3</v>
      </c>
      <c r="R2719">
        <v>11731856</v>
      </c>
    </row>
    <row r="2720" spans="1:18" x14ac:dyDescent="0.25">
      <c r="A2720" s="170">
        <v>46008</v>
      </c>
      <c r="B2720">
        <v>1550</v>
      </c>
      <c r="C2720">
        <v>1544.6</v>
      </c>
      <c r="D2720">
        <v>1539.3</v>
      </c>
      <c r="E2720">
        <v>1550</v>
      </c>
      <c r="F2720">
        <v>1544.6</v>
      </c>
      <c r="G2720">
        <v>240805</v>
      </c>
      <c r="H2720" s="116"/>
      <c r="I2720" s="116"/>
      <c r="L2720" s="170">
        <v>46008</v>
      </c>
      <c r="M2720" s="116">
        <v>1544.4</v>
      </c>
      <c r="N2720" s="116">
        <v>1550</v>
      </c>
      <c r="O2720" s="116">
        <v>1539.3</v>
      </c>
      <c r="P2720" s="116">
        <v>1550</v>
      </c>
      <c r="Q2720" s="116">
        <v>1544.4</v>
      </c>
      <c r="R2720">
        <v>7116649</v>
      </c>
    </row>
    <row r="2721" spans="1:18" x14ac:dyDescent="0.25">
      <c r="A2721" s="170">
        <v>46009</v>
      </c>
      <c r="B2721">
        <v>1551</v>
      </c>
      <c r="C2721">
        <v>1544.35</v>
      </c>
      <c r="D2721">
        <v>1536</v>
      </c>
      <c r="E2721">
        <v>1539.95</v>
      </c>
      <c r="F2721">
        <v>1544.35</v>
      </c>
      <c r="G2721">
        <v>1018167</v>
      </c>
      <c r="H2721" s="116"/>
      <c r="I2721" s="116"/>
      <c r="L2721" s="170">
        <v>46009</v>
      </c>
      <c r="M2721" s="116">
        <v>1544.4</v>
      </c>
      <c r="N2721" s="116">
        <v>1551.5</v>
      </c>
      <c r="O2721" s="116">
        <v>1535.2</v>
      </c>
      <c r="P2721" s="116">
        <v>1535.2</v>
      </c>
      <c r="Q2721" s="116">
        <v>1544.4</v>
      </c>
      <c r="R2721">
        <v>6580829</v>
      </c>
    </row>
    <row r="2722" spans="1:18" x14ac:dyDescent="0.25">
      <c r="A2722" s="170">
        <v>46010</v>
      </c>
      <c r="B2722">
        <v>1573.9</v>
      </c>
      <c r="C2722">
        <v>1565.1</v>
      </c>
      <c r="D2722">
        <v>1551.05</v>
      </c>
      <c r="E2722">
        <v>1552.8</v>
      </c>
      <c r="F2722">
        <v>1565.1</v>
      </c>
      <c r="G2722">
        <v>256444</v>
      </c>
      <c r="H2722" s="116"/>
      <c r="I2722" s="116"/>
      <c r="L2722" s="170">
        <v>46010</v>
      </c>
      <c r="M2722" s="116">
        <v>1565.1</v>
      </c>
      <c r="N2722" s="116">
        <v>1574.2</v>
      </c>
      <c r="O2722" s="116">
        <v>1551</v>
      </c>
      <c r="P2722" s="116">
        <v>1554.4</v>
      </c>
      <c r="Q2722" s="116">
        <v>1565.1</v>
      </c>
      <c r="R2722">
        <v>13937275</v>
      </c>
    </row>
    <row r="2723" spans="1:18" x14ac:dyDescent="0.25">
      <c r="A2723" s="170">
        <v>46013</v>
      </c>
      <c r="B2723">
        <v>1577</v>
      </c>
      <c r="C2723">
        <v>1575.45</v>
      </c>
      <c r="D2723">
        <v>1565.6</v>
      </c>
      <c r="E2723">
        <v>1568.2</v>
      </c>
      <c r="F2723">
        <v>1575.45</v>
      </c>
      <c r="G2723">
        <v>382704</v>
      </c>
      <c r="H2723" s="116"/>
      <c r="I2723" s="116"/>
      <c r="L2723" s="170">
        <v>46013</v>
      </c>
      <c r="M2723" s="116">
        <v>1575.4</v>
      </c>
      <c r="N2723" s="116">
        <v>1577.5</v>
      </c>
      <c r="O2723" s="116">
        <v>1565.3</v>
      </c>
      <c r="P2723" s="116">
        <v>1573.5</v>
      </c>
      <c r="Q2723" s="116">
        <v>1575.4</v>
      </c>
      <c r="R2723">
        <v>10184852</v>
      </c>
    </row>
    <row r="2724" spans="1:18" x14ac:dyDescent="0.25">
      <c r="A2724" s="170">
        <v>46014</v>
      </c>
      <c r="B2724">
        <v>1580</v>
      </c>
      <c r="C2724">
        <v>1570.9</v>
      </c>
      <c r="D2724">
        <v>1568.05</v>
      </c>
      <c r="E2724">
        <v>1576.05</v>
      </c>
      <c r="F2724">
        <v>1570.9</v>
      </c>
      <c r="G2724">
        <v>464178</v>
      </c>
      <c r="H2724" s="116"/>
      <c r="I2724" s="116"/>
      <c r="L2724" s="170">
        <v>46014</v>
      </c>
      <c r="M2724" s="116">
        <v>1570.7</v>
      </c>
      <c r="N2724" s="116">
        <v>1580.9</v>
      </c>
      <c r="O2724" s="116">
        <v>1568.1</v>
      </c>
      <c r="P2724" s="116">
        <v>1580.9</v>
      </c>
      <c r="Q2724" s="116">
        <v>1570.7</v>
      </c>
      <c r="R2724">
        <v>7506564</v>
      </c>
    </row>
    <row r="2725" spans="1:18" x14ac:dyDescent="0.25">
      <c r="A2725" s="170">
        <v>46015</v>
      </c>
      <c r="B2725">
        <v>1575</v>
      </c>
      <c r="C2725">
        <v>1557.95</v>
      </c>
      <c r="D2725">
        <v>1553.85</v>
      </c>
      <c r="E2725">
        <v>1571.05</v>
      </c>
      <c r="F2725">
        <v>1557.95</v>
      </c>
      <c r="G2725">
        <v>712435</v>
      </c>
      <c r="H2725" s="116"/>
      <c r="I2725" s="116"/>
      <c r="L2725" s="170">
        <v>46015</v>
      </c>
      <c r="M2725" s="116">
        <v>1558.2</v>
      </c>
      <c r="N2725" s="116">
        <v>1575.7</v>
      </c>
      <c r="O2725" s="116">
        <v>1553.6</v>
      </c>
      <c r="P2725" s="116">
        <v>1572.7</v>
      </c>
      <c r="Q2725" s="116">
        <v>1558.2</v>
      </c>
      <c r="R2725">
        <v>8815745</v>
      </c>
    </row>
    <row r="2726" spans="1:18" x14ac:dyDescent="0.25">
      <c r="A2726" s="170">
        <v>46017</v>
      </c>
      <c r="B2726">
        <v>1561</v>
      </c>
      <c r="C2726">
        <v>1559</v>
      </c>
      <c r="D2726">
        <v>1554.8</v>
      </c>
      <c r="E2726">
        <v>1555</v>
      </c>
      <c r="F2726">
        <v>1559</v>
      </c>
      <c r="G2726">
        <v>113233</v>
      </c>
      <c r="H2726" s="116"/>
      <c r="I2726" s="116"/>
      <c r="L2726" s="170">
        <v>46017</v>
      </c>
      <c r="M2726" s="116">
        <v>1559.2</v>
      </c>
      <c r="N2726" s="116">
        <v>1561</v>
      </c>
      <c r="O2726" s="116">
        <v>1554.3</v>
      </c>
      <c r="P2726" s="116">
        <v>1554.7</v>
      </c>
      <c r="Q2726" s="116">
        <v>1559.2</v>
      </c>
      <c r="R2726">
        <v>2311495</v>
      </c>
    </row>
    <row r="2727" spans="1:18" x14ac:dyDescent="0.25">
      <c r="A2727" s="170">
        <v>46020</v>
      </c>
      <c r="B2727">
        <v>1558.95</v>
      </c>
      <c r="C2727">
        <v>1545.3</v>
      </c>
      <c r="D2727">
        <v>1543.15</v>
      </c>
      <c r="E2727">
        <v>1558.95</v>
      </c>
      <c r="F2727">
        <v>1545.3</v>
      </c>
      <c r="G2727">
        <v>167579</v>
      </c>
      <c r="H2727" s="116"/>
      <c r="I2727" s="116"/>
      <c r="L2727" s="170">
        <v>46020</v>
      </c>
      <c r="M2727" s="116">
        <v>1545.6</v>
      </c>
      <c r="N2727" s="116">
        <v>1558.1</v>
      </c>
      <c r="O2727" s="116">
        <v>1543.6</v>
      </c>
      <c r="P2727" s="116">
        <v>1554.9</v>
      </c>
      <c r="Q2727" s="116">
        <v>1545.6</v>
      </c>
      <c r="R2727">
        <v>5972105</v>
      </c>
    </row>
    <row r="2728" spans="1:18" x14ac:dyDescent="0.25">
      <c r="A2728" s="170">
        <v>46021</v>
      </c>
      <c r="B2728">
        <v>1553.6</v>
      </c>
      <c r="C2728">
        <v>1540.8</v>
      </c>
      <c r="D2728">
        <v>1538</v>
      </c>
      <c r="E2728">
        <v>1543.35</v>
      </c>
      <c r="F2728">
        <v>1540.8</v>
      </c>
      <c r="G2728">
        <v>232715</v>
      </c>
      <c r="H2728" s="116"/>
      <c r="I2728" s="116"/>
      <c r="L2728" s="170">
        <v>46021</v>
      </c>
      <c r="M2728" s="116">
        <v>1539.8</v>
      </c>
      <c r="N2728" s="116">
        <v>1553.6</v>
      </c>
      <c r="O2728" s="116">
        <v>1537.8</v>
      </c>
      <c r="P2728" s="116">
        <v>1547</v>
      </c>
      <c r="Q2728" s="116">
        <v>1539.8</v>
      </c>
      <c r="R2728">
        <v>8815884</v>
      </c>
    </row>
    <row r="2729" spans="1:18" x14ac:dyDescent="0.25">
      <c r="A2729" s="170">
        <v>46022</v>
      </c>
      <c r="B2729">
        <v>1576.5</v>
      </c>
      <c r="C2729">
        <v>1569.4</v>
      </c>
      <c r="D2729">
        <v>1540.05</v>
      </c>
      <c r="E2729">
        <v>1540.05</v>
      </c>
      <c r="F2729">
        <v>1569.4</v>
      </c>
      <c r="G2729">
        <v>437555</v>
      </c>
      <c r="H2729" s="116"/>
      <c r="I2729" s="116"/>
      <c r="L2729" s="170">
        <v>46022</v>
      </c>
      <c r="M2729" s="116">
        <v>1570.4</v>
      </c>
      <c r="N2729" s="116">
        <v>1577</v>
      </c>
      <c r="O2729" s="116">
        <v>1541</v>
      </c>
      <c r="P2729" s="116">
        <v>1541</v>
      </c>
      <c r="Q2729" s="116">
        <v>1570.4</v>
      </c>
      <c r="R2729">
        <v>5771830</v>
      </c>
    </row>
    <row r="2730" spans="1:18" x14ac:dyDescent="0.25">
      <c r="A2730" s="170">
        <v>46023</v>
      </c>
      <c r="B2730">
        <v>1592.9</v>
      </c>
      <c r="C2730">
        <v>1574.9</v>
      </c>
      <c r="D2730">
        <v>1571</v>
      </c>
      <c r="E2730">
        <v>1571.35</v>
      </c>
      <c r="F2730">
        <v>1574.9</v>
      </c>
      <c r="G2730">
        <v>871193</v>
      </c>
      <c r="H2730" s="116"/>
      <c r="I2730" s="116"/>
      <c r="L2730" s="170">
        <v>46023</v>
      </c>
      <c r="M2730" s="116">
        <v>1575.6</v>
      </c>
      <c r="N2730" s="116">
        <v>1592.5</v>
      </c>
      <c r="O2730" s="116">
        <v>1571.1</v>
      </c>
      <c r="P2730" s="116">
        <v>1573.7</v>
      </c>
      <c r="Q2730" s="116">
        <v>1575.6</v>
      </c>
      <c r="R2730">
        <v>6408128</v>
      </c>
    </row>
    <row r="2731" spans="1:18" x14ac:dyDescent="0.25">
      <c r="A2731" s="170">
        <v>46024</v>
      </c>
      <c r="B2731">
        <v>1594.45</v>
      </c>
      <c r="C2731">
        <v>1592.45</v>
      </c>
      <c r="D2731">
        <v>1578</v>
      </c>
      <c r="E2731">
        <v>1579.95</v>
      </c>
      <c r="F2731">
        <v>1592.45</v>
      </c>
      <c r="G2731">
        <v>381201</v>
      </c>
      <c r="H2731" s="116"/>
      <c r="I2731" s="116"/>
      <c r="L2731" s="170">
        <v>46024</v>
      </c>
      <c r="M2731" s="116">
        <v>1592.3</v>
      </c>
      <c r="N2731" s="116">
        <v>1594.6</v>
      </c>
      <c r="O2731" s="116">
        <v>1578.2</v>
      </c>
      <c r="P2731" s="116">
        <v>1580</v>
      </c>
      <c r="Q2731" s="116">
        <v>1592.3</v>
      </c>
      <c r="R2731">
        <v>6602230</v>
      </c>
    </row>
    <row r="2732" spans="1:18" x14ac:dyDescent="0.25">
      <c r="A2732" s="170">
        <v>46027</v>
      </c>
      <c r="B2732">
        <v>1611.2</v>
      </c>
      <c r="C2732">
        <v>1577.45</v>
      </c>
      <c r="D2732">
        <v>1575</v>
      </c>
      <c r="E2732">
        <v>1592.5</v>
      </c>
      <c r="F2732">
        <v>1577.45</v>
      </c>
      <c r="G2732">
        <v>489517</v>
      </c>
      <c r="H2732" s="116"/>
      <c r="I2732" s="116"/>
      <c r="L2732" s="170">
        <v>46027</v>
      </c>
      <c r="M2732" s="116">
        <v>1578.1</v>
      </c>
      <c r="N2732" s="116">
        <v>1611.8</v>
      </c>
      <c r="O2732" s="116">
        <v>1575.3</v>
      </c>
      <c r="P2732" s="116">
        <v>1593</v>
      </c>
      <c r="Q2732" s="116">
        <v>1578.1</v>
      </c>
      <c r="R2732">
        <v>8704973</v>
      </c>
    </row>
    <row r="2733" spans="1:18" x14ac:dyDescent="0.25">
      <c r="A2733" s="170">
        <v>46028</v>
      </c>
      <c r="B2733">
        <v>1575.55</v>
      </c>
      <c r="C2733">
        <v>1507.7</v>
      </c>
      <c r="D2733">
        <v>1497.05</v>
      </c>
      <c r="E2733">
        <v>1575.55</v>
      </c>
      <c r="F2733">
        <v>1507.7</v>
      </c>
      <c r="G2733">
        <v>956028</v>
      </c>
      <c r="H2733" s="116"/>
      <c r="I2733" s="116"/>
      <c r="L2733" s="170">
        <v>46028</v>
      </c>
      <c r="M2733" s="116">
        <v>1507.6</v>
      </c>
      <c r="N2733" s="116">
        <v>1569</v>
      </c>
      <c r="O2733" s="116">
        <v>1496.3</v>
      </c>
      <c r="P2733" s="116">
        <v>1569</v>
      </c>
      <c r="Q2733" s="116">
        <v>1507.6</v>
      </c>
      <c r="R2733">
        <v>27417125</v>
      </c>
    </row>
    <row r="2734" spans="1:18" x14ac:dyDescent="0.25">
      <c r="A2734" s="170">
        <v>46029</v>
      </c>
      <c r="B2734">
        <v>1519.95</v>
      </c>
      <c r="C2734">
        <v>1504.1</v>
      </c>
      <c r="D2734">
        <v>1498.2</v>
      </c>
      <c r="E2734">
        <v>1510</v>
      </c>
      <c r="F2734">
        <v>1504.1</v>
      </c>
      <c r="G2734">
        <v>710599</v>
      </c>
      <c r="H2734" s="116"/>
      <c r="I2734" s="116"/>
      <c r="L2734" s="170">
        <v>46029</v>
      </c>
      <c r="M2734" s="116">
        <v>1504.2</v>
      </c>
      <c r="N2734" s="116">
        <v>1520</v>
      </c>
      <c r="O2734" s="116">
        <v>1498</v>
      </c>
      <c r="P2734" s="116">
        <v>1510</v>
      </c>
      <c r="Q2734" s="116">
        <v>1504.2</v>
      </c>
      <c r="R2734">
        <v>11199340</v>
      </c>
    </row>
    <row r="2735" spans="1:18" x14ac:dyDescent="0.25">
      <c r="A2735" s="170">
        <v>46030</v>
      </c>
      <c r="B2735">
        <v>1503.75</v>
      </c>
      <c r="C2735">
        <v>1470.3</v>
      </c>
      <c r="D2735">
        <v>1468.45</v>
      </c>
      <c r="E2735">
        <v>1503.75</v>
      </c>
      <c r="F2735">
        <v>1470.3</v>
      </c>
      <c r="G2735">
        <v>2168603</v>
      </c>
      <c r="H2735" s="116"/>
      <c r="I2735" s="116"/>
      <c r="L2735" s="170">
        <v>46030</v>
      </c>
      <c r="M2735" s="116">
        <v>1470.6</v>
      </c>
      <c r="N2735" s="116">
        <v>1503.9</v>
      </c>
      <c r="O2735" s="116">
        <v>1468.8</v>
      </c>
      <c r="P2735" s="116">
        <v>1500</v>
      </c>
      <c r="Q2735" s="116">
        <v>1470.6</v>
      </c>
      <c r="R2735">
        <v>16518684</v>
      </c>
    </row>
    <row r="2736" spans="1:18" x14ac:dyDescent="0.25">
      <c r="A2736" s="170">
        <v>46031</v>
      </c>
      <c r="B2736">
        <v>1480</v>
      </c>
      <c r="C2736">
        <v>1475.3</v>
      </c>
      <c r="D2736">
        <v>1465</v>
      </c>
      <c r="E2736">
        <v>1466.95</v>
      </c>
      <c r="F2736">
        <v>1475.3</v>
      </c>
      <c r="G2736">
        <v>234309</v>
      </c>
      <c r="H2736" s="116"/>
      <c r="I2736" s="116"/>
      <c r="L2736" s="170">
        <v>46031</v>
      </c>
      <c r="M2736" s="116">
        <v>1475.3</v>
      </c>
      <c r="N2736" s="116">
        <v>1479.9</v>
      </c>
      <c r="O2736" s="116">
        <v>1465</v>
      </c>
      <c r="P2736" s="116">
        <v>1465</v>
      </c>
      <c r="Q2736" s="116">
        <v>1475.3</v>
      </c>
      <c r="R2736">
        <v>8335311</v>
      </c>
    </row>
    <row r="2737" spans="1:18" x14ac:dyDescent="0.25">
      <c r="A2737" s="170">
        <v>46034</v>
      </c>
      <c r="B2737">
        <v>1485</v>
      </c>
      <c r="C2737">
        <v>1483.3</v>
      </c>
      <c r="D2737">
        <v>1451.1</v>
      </c>
      <c r="E2737">
        <v>1475.3</v>
      </c>
      <c r="F2737">
        <v>1483.3</v>
      </c>
      <c r="G2737">
        <v>568998</v>
      </c>
      <c r="H2737" s="116"/>
      <c r="I2737" s="116"/>
      <c r="L2737" s="170">
        <v>46034</v>
      </c>
      <c r="M2737" s="116">
        <v>1483.2</v>
      </c>
      <c r="N2737" s="116">
        <v>1485.3</v>
      </c>
      <c r="O2737" s="116">
        <v>1451</v>
      </c>
      <c r="P2737" s="116">
        <v>1475.3</v>
      </c>
      <c r="Q2737" s="116">
        <v>1483.2</v>
      </c>
      <c r="R2737">
        <v>8883745</v>
      </c>
    </row>
    <row r="2738" spans="1:18" x14ac:dyDescent="0.25">
      <c r="A2738" s="170">
        <v>46035</v>
      </c>
      <c r="B2738">
        <v>1486</v>
      </c>
      <c r="C2738">
        <v>1451.5</v>
      </c>
      <c r="D2738">
        <v>1445.15</v>
      </c>
      <c r="E2738">
        <v>1485.5</v>
      </c>
      <c r="F2738">
        <v>1451.5</v>
      </c>
      <c r="G2738">
        <v>602566</v>
      </c>
      <c r="H2738" s="116"/>
      <c r="I2738" s="116"/>
      <c r="L2738" s="170">
        <v>46035</v>
      </c>
      <c r="M2738" s="116">
        <v>1452.8</v>
      </c>
      <c r="N2738" s="116">
        <v>1485.8</v>
      </c>
      <c r="O2738" s="116">
        <v>1444.7</v>
      </c>
      <c r="P2738" s="116">
        <v>1485</v>
      </c>
      <c r="Q2738" s="116">
        <v>1452.8</v>
      </c>
      <c r="R2738">
        <v>13499760</v>
      </c>
    </row>
    <row r="2739" spans="1:18" x14ac:dyDescent="0.25">
      <c r="A2739" s="170">
        <v>46036</v>
      </c>
      <c r="B2739">
        <v>1466.8</v>
      </c>
      <c r="C2739">
        <v>1458.45</v>
      </c>
      <c r="D2739">
        <v>1439.85</v>
      </c>
      <c r="E2739">
        <v>1449.35</v>
      </c>
      <c r="F2739">
        <v>1458.45</v>
      </c>
      <c r="G2739">
        <v>610968</v>
      </c>
      <c r="H2739" s="116"/>
      <c r="I2739" s="116"/>
      <c r="L2739" s="170">
        <v>46036</v>
      </c>
      <c r="M2739" s="116">
        <v>1458.8</v>
      </c>
      <c r="N2739" s="116">
        <v>1467</v>
      </c>
      <c r="O2739" s="116">
        <v>1440.2</v>
      </c>
      <c r="P2739" s="116">
        <v>1444</v>
      </c>
      <c r="Q2739" s="116">
        <v>1458.8</v>
      </c>
      <c r="R2739">
        <v>8321764</v>
      </c>
    </row>
    <row r="2740" spans="1:18" x14ac:dyDescent="0.25">
      <c r="A2740" s="170">
        <v>46038</v>
      </c>
      <c r="B2740">
        <v>1479.65</v>
      </c>
      <c r="C2740">
        <v>1457.6</v>
      </c>
      <c r="D2740">
        <v>1455.5</v>
      </c>
      <c r="E2740">
        <v>1459.9</v>
      </c>
      <c r="F2740">
        <v>1457.6</v>
      </c>
      <c r="G2740">
        <v>354962</v>
      </c>
      <c r="H2740" s="116"/>
      <c r="I2740" s="116"/>
      <c r="L2740" s="170">
        <v>46038</v>
      </c>
      <c r="M2740" s="116">
        <v>1457.9</v>
      </c>
      <c r="N2740" s="116">
        <v>1480</v>
      </c>
      <c r="O2740" s="116">
        <v>1455.1</v>
      </c>
      <c r="P2740" s="116">
        <v>1458.8</v>
      </c>
      <c r="Q2740" s="116">
        <v>1457.9</v>
      </c>
      <c r="R2740">
        <v>17167161</v>
      </c>
    </row>
    <row r="2741" spans="1:18" x14ac:dyDescent="0.25">
      <c r="A2741" s="170">
        <v>46041</v>
      </c>
      <c r="B2741">
        <v>1455.05</v>
      </c>
      <c r="C2741">
        <v>1413.25</v>
      </c>
      <c r="D2741">
        <v>1403.3</v>
      </c>
      <c r="E2741">
        <v>1455.05</v>
      </c>
      <c r="F2741">
        <v>1413.25</v>
      </c>
      <c r="G2741">
        <v>577607</v>
      </c>
      <c r="H2741" s="116"/>
      <c r="I2741" s="116"/>
      <c r="L2741" s="170">
        <v>46041</v>
      </c>
      <c r="M2741" s="116">
        <v>1413.6</v>
      </c>
      <c r="N2741" s="116">
        <v>1450.6</v>
      </c>
      <c r="O2741" s="116">
        <v>1403.3</v>
      </c>
      <c r="P2741" s="116">
        <v>1450.6</v>
      </c>
      <c r="Q2741" s="116">
        <v>1413.6</v>
      </c>
      <c r="R2741">
        <v>20392765</v>
      </c>
    </row>
    <row r="2742" spans="1:18" x14ac:dyDescent="0.25">
      <c r="A2742" s="170">
        <v>46042</v>
      </c>
      <c r="B2742">
        <v>1415.75</v>
      </c>
      <c r="C2742">
        <v>1393.4</v>
      </c>
      <c r="D2742">
        <v>1390.1</v>
      </c>
      <c r="E2742">
        <v>1414.95</v>
      </c>
      <c r="F2742">
        <v>1393.4</v>
      </c>
      <c r="G2742">
        <v>261965</v>
      </c>
      <c r="H2742" s="116"/>
      <c r="I2742" s="116"/>
      <c r="L2742" s="170">
        <v>46042</v>
      </c>
      <c r="M2742" s="116">
        <v>1394</v>
      </c>
      <c r="N2742" s="116">
        <v>1416</v>
      </c>
      <c r="O2742" s="116">
        <v>1390</v>
      </c>
      <c r="P2742" s="116">
        <v>1410.7</v>
      </c>
      <c r="Q2742" s="116">
        <v>1394</v>
      </c>
      <c r="R2742">
        <v>13189498</v>
      </c>
    </row>
    <row r="2743" spans="1:18" x14ac:dyDescent="0.25">
      <c r="A2743" s="170">
        <v>46043</v>
      </c>
      <c r="B2743">
        <v>1412.7</v>
      </c>
      <c r="C2743">
        <v>1403.9</v>
      </c>
      <c r="D2743">
        <v>1373</v>
      </c>
      <c r="E2743">
        <v>1388.05</v>
      </c>
      <c r="F2743">
        <v>1403.9</v>
      </c>
      <c r="G2743">
        <v>416973</v>
      </c>
      <c r="H2743" s="116"/>
      <c r="I2743" s="116"/>
      <c r="L2743" s="170">
        <v>46043</v>
      </c>
      <c r="M2743" s="116">
        <v>1404.6</v>
      </c>
      <c r="N2743" s="116">
        <v>1412.9</v>
      </c>
      <c r="O2743" s="116">
        <v>1373</v>
      </c>
      <c r="P2743" s="116">
        <v>1389.5</v>
      </c>
      <c r="Q2743" s="116">
        <v>1404.6</v>
      </c>
      <c r="R2743">
        <v>17352720</v>
      </c>
    </row>
    <row r="2744" spans="1:18" x14ac:dyDescent="0.25">
      <c r="A2744" s="170">
        <v>46044</v>
      </c>
      <c r="B2744">
        <v>1419.75</v>
      </c>
      <c r="C2744">
        <v>1401.8</v>
      </c>
      <c r="D2744">
        <v>1395.1</v>
      </c>
      <c r="E2744">
        <v>1410.2</v>
      </c>
      <c r="F2744">
        <v>1401.8</v>
      </c>
      <c r="G2744">
        <v>712993</v>
      </c>
      <c r="H2744" s="116"/>
      <c r="I2744" s="116"/>
      <c r="L2744" s="170">
        <v>46044</v>
      </c>
      <c r="M2744" s="116">
        <v>1402.5</v>
      </c>
      <c r="N2744" s="116">
        <v>1419.5</v>
      </c>
      <c r="O2744" s="116">
        <v>1395</v>
      </c>
      <c r="P2744" s="116">
        <v>1410.1</v>
      </c>
      <c r="Q2744" s="116">
        <v>1402.5</v>
      </c>
      <c r="R2744">
        <v>15721693</v>
      </c>
    </row>
    <row r="2745" spans="1:18" x14ac:dyDescent="0.25">
      <c r="A2745" s="170">
        <v>46045</v>
      </c>
      <c r="B2745">
        <v>1407.15</v>
      </c>
      <c r="C2745">
        <v>1385.95</v>
      </c>
      <c r="D2745">
        <v>1381.15</v>
      </c>
      <c r="E2745">
        <v>1403.95</v>
      </c>
      <c r="F2745">
        <v>1385.95</v>
      </c>
      <c r="G2745">
        <v>203908</v>
      </c>
      <c r="H2745" s="116"/>
      <c r="I2745" s="116"/>
      <c r="L2745" s="170">
        <v>46045</v>
      </c>
      <c r="M2745" s="116">
        <v>1386.1</v>
      </c>
      <c r="N2745" s="116">
        <v>1407</v>
      </c>
      <c r="O2745" s="116">
        <v>1381</v>
      </c>
      <c r="P2745" s="116">
        <v>1401.8</v>
      </c>
      <c r="Q2745" s="116">
        <v>1386.1</v>
      </c>
      <c r="R2745">
        <v>9837802</v>
      </c>
    </row>
    <row r="2746" spans="1:18" x14ac:dyDescent="0.25">
      <c r="A2746" s="170">
        <v>46049</v>
      </c>
      <c r="B2746">
        <v>1391.9</v>
      </c>
      <c r="C2746">
        <v>1381.05</v>
      </c>
      <c r="D2746">
        <v>1368.5</v>
      </c>
      <c r="E2746">
        <v>1385.85</v>
      </c>
      <c r="F2746">
        <v>1381.05</v>
      </c>
      <c r="G2746">
        <v>3536849</v>
      </c>
      <c r="H2746" s="116"/>
      <c r="I2746" s="116"/>
      <c r="L2746" s="170">
        <v>46049</v>
      </c>
      <c r="M2746" s="116">
        <v>1380.5</v>
      </c>
      <c r="N2746" s="116">
        <v>1391.6</v>
      </c>
      <c r="O2746" s="116">
        <v>1368</v>
      </c>
      <c r="P2746" s="116">
        <v>1380</v>
      </c>
      <c r="Q2746" s="116">
        <v>1380.5</v>
      </c>
      <c r="R2746">
        <v>26302396</v>
      </c>
    </row>
    <row r="2747" spans="1:18" x14ac:dyDescent="0.25">
      <c r="A2747" s="170">
        <v>46050</v>
      </c>
      <c r="B2747">
        <v>1409.7</v>
      </c>
      <c r="C2747">
        <v>1397.05</v>
      </c>
      <c r="D2747">
        <v>1383.3</v>
      </c>
      <c r="E2747">
        <v>1383.3</v>
      </c>
      <c r="F2747">
        <v>1397.05</v>
      </c>
      <c r="G2747">
        <v>785854</v>
      </c>
      <c r="H2747" s="116"/>
      <c r="I2747" s="116"/>
      <c r="L2747" s="170">
        <v>46050</v>
      </c>
      <c r="M2747" s="116">
        <v>1396.7</v>
      </c>
      <c r="N2747" s="116">
        <v>1409.9</v>
      </c>
      <c r="O2747" s="116">
        <v>1384.9</v>
      </c>
      <c r="P2747" s="116">
        <v>1385</v>
      </c>
      <c r="Q2747" s="116">
        <v>1396.7</v>
      </c>
      <c r="R2747">
        <v>11121657</v>
      </c>
    </row>
    <row r="2748" spans="1:18" x14ac:dyDescent="0.25">
      <c r="A2748" s="170">
        <v>46051</v>
      </c>
      <c r="B2748">
        <v>1402.65</v>
      </c>
      <c r="C2748">
        <v>1391.9</v>
      </c>
      <c r="D2748">
        <v>1385.9</v>
      </c>
      <c r="E2748">
        <v>1399.95</v>
      </c>
      <c r="F2748">
        <v>1391.9</v>
      </c>
      <c r="G2748">
        <v>1593526</v>
      </c>
      <c r="H2748" s="116"/>
      <c r="I2748" s="116"/>
      <c r="L2748" s="170">
        <v>46051</v>
      </c>
      <c r="M2748" s="116">
        <v>1391</v>
      </c>
      <c r="N2748" s="116">
        <v>1402.9</v>
      </c>
      <c r="O2748" s="116">
        <v>1384</v>
      </c>
      <c r="P2748" s="116">
        <v>1402.9</v>
      </c>
      <c r="Q2748" s="116">
        <v>1391</v>
      </c>
      <c r="R2748">
        <v>20846683</v>
      </c>
    </row>
    <row r="2749" spans="1:18" x14ac:dyDescent="0.25">
      <c r="A2749" s="170">
        <v>46052</v>
      </c>
      <c r="B2749">
        <v>1398</v>
      </c>
      <c r="C2749">
        <v>1395.9</v>
      </c>
      <c r="D2749">
        <v>1379.25</v>
      </c>
      <c r="E2749">
        <v>1384.1</v>
      </c>
      <c r="F2749">
        <v>1395.9</v>
      </c>
      <c r="G2749">
        <v>653980</v>
      </c>
      <c r="H2749" s="116"/>
      <c r="I2749" s="116"/>
      <c r="L2749" s="170">
        <v>46052</v>
      </c>
      <c r="M2749" s="116">
        <v>1395.4</v>
      </c>
      <c r="N2749" s="116">
        <v>1398</v>
      </c>
      <c r="O2749" s="116">
        <v>1378.5</v>
      </c>
      <c r="P2749" s="116">
        <v>1382.6</v>
      </c>
      <c r="Q2749" s="116">
        <v>1395.4</v>
      </c>
      <c r="R2749">
        <v>11239835</v>
      </c>
    </row>
    <row r="2750" spans="1:18" x14ac:dyDescent="0.25">
      <c r="A2750" s="170">
        <v>46054</v>
      </c>
      <c r="B2750">
        <v>1410.95</v>
      </c>
      <c r="C2750">
        <v>1346</v>
      </c>
      <c r="D2750">
        <v>1335.7</v>
      </c>
      <c r="E2750">
        <v>1395.9</v>
      </c>
      <c r="F2750">
        <v>1346</v>
      </c>
      <c r="G2750">
        <v>690898</v>
      </c>
      <c r="H2750" s="116"/>
      <c r="I2750" s="116"/>
      <c r="L2750" s="170">
        <v>46054</v>
      </c>
      <c r="M2750" s="116">
        <v>1347</v>
      </c>
      <c r="N2750" s="116">
        <v>1411</v>
      </c>
      <c r="O2750" s="116">
        <v>1335</v>
      </c>
      <c r="P2750" s="116">
        <v>1396</v>
      </c>
      <c r="Q2750" s="116">
        <v>1347</v>
      </c>
      <c r="R2750">
        <v>9714528</v>
      </c>
    </row>
    <row r="2751" spans="1:18" x14ac:dyDescent="0.25">
      <c r="A2751" s="170">
        <v>46055</v>
      </c>
      <c r="B2751">
        <v>1392.9</v>
      </c>
      <c r="C2751">
        <v>1390.15</v>
      </c>
      <c r="D2751">
        <v>1336</v>
      </c>
      <c r="E2751">
        <v>1341</v>
      </c>
      <c r="F2751">
        <v>1390.15</v>
      </c>
      <c r="G2751">
        <v>327928</v>
      </c>
      <c r="H2751" s="116"/>
      <c r="I2751" s="116"/>
      <c r="L2751" s="170">
        <v>46055</v>
      </c>
      <c r="M2751" s="116">
        <v>1390.4</v>
      </c>
      <c r="N2751" s="116">
        <v>1392.9</v>
      </c>
      <c r="O2751" s="116">
        <v>1335.5</v>
      </c>
      <c r="P2751" s="116">
        <v>1340</v>
      </c>
      <c r="Q2751" s="116">
        <v>1390.4</v>
      </c>
      <c r="R2751">
        <v>15711165</v>
      </c>
    </row>
    <row r="2752" spans="1:18" x14ac:dyDescent="0.25">
      <c r="A2752" s="170">
        <v>46056</v>
      </c>
      <c r="B2752">
        <v>1489</v>
      </c>
      <c r="C2752">
        <v>1437.85</v>
      </c>
      <c r="D2752">
        <v>1431</v>
      </c>
      <c r="E2752">
        <v>1481.45</v>
      </c>
      <c r="F2752">
        <v>1437.85</v>
      </c>
      <c r="G2752">
        <v>878787</v>
      </c>
      <c r="H2752" s="116"/>
      <c r="I2752" s="116"/>
      <c r="L2752" s="170">
        <v>46056</v>
      </c>
      <c r="M2752" s="116">
        <v>1437.1</v>
      </c>
      <c r="N2752" s="116">
        <v>1489.5</v>
      </c>
      <c r="O2752" s="116">
        <v>1430.2</v>
      </c>
      <c r="P2752" s="116">
        <v>1473.9</v>
      </c>
      <c r="Q2752" s="116">
        <v>1437.1</v>
      </c>
      <c r="R2752">
        <v>25456171</v>
      </c>
    </row>
    <row r="2753" spans="1:18" x14ac:dyDescent="0.25">
      <c r="A2753" s="170">
        <v>46057</v>
      </c>
      <c r="B2753">
        <v>1464.05</v>
      </c>
      <c r="C2753">
        <v>1456.6</v>
      </c>
      <c r="D2753">
        <v>1438.1</v>
      </c>
      <c r="E2753">
        <v>1438.1</v>
      </c>
      <c r="F2753">
        <v>1456.6</v>
      </c>
      <c r="G2753">
        <v>837314</v>
      </c>
      <c r="H2753" s="116"/>
      <c r="I2753" s="116"/>
      <c r="L2753" s="170">
        <v>46057</v>
      </c>
      <c r="M2753" s="116">
        <v>1456.8</v>
      </c>
      <c r="N2753" s="116">
        <v>1464</v>
      </c>
      <c r="O2753" s="116">
        <v>1440.3</v>
      </c>
      <c r="P2753" s="116">
        <v>1444</v>
      </c>
      <c r="Q2753" s="116">
        <v>1456.8</v>
      </c>
      <c r="R2753">
        <v>8333387</v>
      </c>
    </row>
    <row r="2754" spans="1:18" x14ac:dyDescent="0.25">
      <c r="A2754" s="170">
        <v>46058</v>
      </c>
      <c r="B2754">
        <v>1460.9</v>
      </c>
      <c r="C2754">
        <v>1443.4</v>
      </c>
      <c r="D2754">
        <v>1439.65</v>
      </c>
      <c r="E2754">
        <v>1457</v>
      </c>
      <c r="F2754">
        <v>1443.4</v>
      </c>
      <c r="G2754">
        <v>1560195</v>
      </c>
      <c r="H2754" s="116"/>
      <c r="I2754" s="116"/>
      <c r="L2754" s="170">
        <v>46058</v>
      </c>
      <c r="M2754" s="116">
        <v>1443.4</v>
      </c>
      <c r="N2754" s="116">
        <v>1461.5</v>
      </c>
      <c r="O2754" s="116">
        <v>1439.5</v>
      </c>
      <c r="P2754" s="116">
        <v>1457</v>
      </c>
      <c r="Q2754" s="116">
        <v>1443.4</v>
      </c>
      <c r="R2754">
        <v>11763658</v>
      </c>
    </row>
    <row r="2755" spans="1:18" x14ac:dyDescent="0.25">
      <c r="A2755" s="170">
        <v>46059</v>
      </c>
      <c r="B2755">
        <v>1452.8</v>
      </c>
      <c r="C2755">
        <v>1450.85</v>
      </c>
      <c r="D2755">
        <v>1433.1</v>
      </c>
      <c r="E2755">
        <v>1440.05</v>
      </c>
      <c r="F2755">
        <v>1450.85</v>
      </c>
      <c r="G2755">
        <v>348407</v>
      </c>
      <c r="H2755" s="116"/>
      <c r="I2755" s="116"/>
      <c r="L2755" s="170">
        <v>46059</v>
      </c>
      <c r="M2755" s="116">
        <v>1450.8</v>
      </c>
      <c r="N2755" s="116">
        <v>1452.8</v>
      </c>
      <c r="O2755" s="116">
        <v>1433.5</v>
      </c>
      <c r="P2755" s="116">
        <v>1441.5</v>
      </c>
      <c r="Q2755" s="116">
        <v>1450.8</v>
      </c>
      <c r="R2755">
        <v>8277304</v>
      </c>
    </row>
    <row r="2756" spans="1:18" x14ac:dyDescent="0.25">
      <c r="A2756" s="170">
        <v>46062</v>
      </c>
      <c r="B2756">
        <v>1465.75</v>
      </c>
      <c r="C2756">
        <v>1461.4</v>
      </c>
      <c r="D2756">
        <v>1453.15</v>
      </c>
      <c r="E2756">
        <v>1459.9</v>
      </c>
      <c r="F2756">
        <v>1461.4</v>
      </c>
      <c r="G2756">
        <v>390479</v>
      </c>
      <c r="H2756" s="116"/>
      <c r="I2756" s="116"/>
      <c r="L2756" s="170">
        <v>46062</v>
      </c>
      <c r="M2756" s="116">
        <v>1461.6</v>
      </c>
      <c r="N2756" s="116">
        <v>1465.9</v>
      </c>
      <c r="O2756" s="116">
        <v>1453</v>
      </c>
      <c r="P2756" s="116">
        <v>1458</v>
      </c>
      <c r="Q2756" s="116">
        <v>1461.6</v>
      </c>
      <c r="R2756">
        <v>5775864</v>
      </c>
    </row>
    <row r="2757" spans="1:18" x14ac:dyDescent="0.25">
      <c r="A2757" s="170">
        <v>46063</v>
      </c>
      <c r="B2757">
        <v>1470.55</v>
      </c>
      <c r="C2757">
        <v>1458.55</v>
      </c>
      <c r="D2757">
        <v>1452.6</v>
      </c>
      <c r="E2757">
        <v>1466.3</v>
      </c>
      <c r="F2757">
        <v>1458.55</v>
      </c>
      <c r="G2757">
        <v>274911</v>
      </c>
      <c r="H2757" s="116"/>
      <c r="I2757" s="116"/>
      <c r="L2757" s="170">
        <v>46063</v>
      </c>
      <c r="M2757" s="116">
        <v>1458.5</v>
      </c>
      <c r="N2757" s="116">
        <v>1471</v>
      </c>
      <c r="O2757" s="116">
        <v>1452.2</v>
      </c>
      <c r="P2757" s="116">
        <v>1471</v>
      </c>
      <c r="Q2757" s="116">
        <v>1458.5</v>
      </c>
      <c r="R2757">
        <v>10259630</v>
      </c>
    </row>
    <row r="2758" spans="1:18" x14ac:dyDescent="0.25">
      <c r="A2758" s="170">
        <v>46064</v>
      </c>
      <c r="B2758">
        <v>1469.9</v>
      </c>
      <c r="C2758">
        <v>1468.55</v>
      </c>
      <c r="D2758">
        <v>1454.45</v>
      </c>
      <c r="E2758">
        <v>1458.55</v>
      </c>
      <c r="F2758">
        <v>1468.55</v>
      </c>
      <c r="G2758">
        <v>405321</v>
      </c>
      <c r="H2758" s="116"/>
      <c r="I2758" s="116"/>
      <c r="L2758" s="170">
        <v>46064</v>
      </c>
      <c r="M2758" s="116">
        <v>1468.7</v>
      </c>
      <c r="N2758" s="116">
        <v>1470</v>
      </c>
      <c r="O2758" s="116">
        <v>1453.6</v>
      </c>
      <c r="P2758" s="116">
        <v>1459.6</v>
      </c>
      <c r="Q2758" s="116">
        <v>1468.7</v>
      </c>
      <c r="R2758">
        <v>7106877</v>
      </c>
    </row>
    <row r="2759" spans="1:18" x14ac:dyDescent="0.25">
      <c r="A2759" s="170">
        <v>46065</v>
      </c>
      <c r="B2759">
        <v>1473.2</v>
      </c>
      <c r="C2759">
        <v>1449.85</v>
      </c>
      <c r="D2759">
        <v>1445.55</v>
      </c>
      <c r="E2759">
        <v>1468.6</v>
      </c>
      <c r="F2759">
        <v>1449.85</v>
      </c>
      <c r="G2759">
        <v>1590356</v>
      </c>
      <c r="H2759" s="116"/>
      <c r="I2759" s="116"/>
      <c r="L2759" s="170">
        <v>46065</v>
      </c>
      <c r="M2759" s="116">
        <v>1448.9</v>
      </c>
      <c r="N2759" s="116">
        <v>1473</v>
      </c>
      <c r="O2759" s="116">
        <v>1445.5</v>
      </c>
      <c r="P2759" s="116">
        <v>1470</v>
      </c>
      <c r="Q2759" s="116">
        <v>1448.9</v>
      </c>
      <c r="R2759">
        <v>11135399</v>
      </c>
    </row>
    <row r="2760" spans="1:18" x14ac:dyDescent="0.25">
      <c r="A2760" s="170">
        <v>46066</v>
      </c>
      <c r="B2760">
        <v>1451.45</v>
      </c>
      <c r="C2760">
        <v>1419.9</v>
      </c>
      <c r="D2760">
        <v>1416.2</v>
      </c>
      <c r="E2760">
        <v>1440.4</v>
      </c>
      <c r="F2760">
        <v>1419.9</v>
      </c>
      <c r="G2760">
        <v>793137</v>
      </c>
      <c r="H2760" s="116"/>
      <c r="I2760" s="116"/>
      <c r="L2760" s="170">
        <v>46066</v>
      </c>
      <c r="M2760" s="116">
        <v>1419.6</v>
      </c>
      <c r="N2760" s="116">
        <v>1450.7</v>
      </c>
      <c r="O2760" s="116">
        <v>1416.3</v>
      </c>
      <c r="P2760" s="116">
        <v>1445.5</v>
      </c>
      <c r="Q2760" s="116">
        <v>1419.6</v>
      </c>
      <c r="R2760">
        <v>10755693</v>
      </c>
    </row>
    <row r="2761" spans="1:18" x14ac:dyDescent="0.25">
      <c r="A2761" s="170">
        <v>46069</v>
      </c>
      <c r="B2761">
        <v>1439</v>
      </c>
      <c r="C2761">
        <v>1436.4</v>
      </c>
      <c r="D2761">
        <v>1409.2</v>
      </c>
      <c r="E2761">
        <v>1418.25</v>
      </c>
      <c r="F2761">
        <v>1436.4</v>
      </c>
      <c r="G2761">
        <v>477800</v>
      </c>
      <c r="H2761" s="116"/>
      <c r="I2761" s="116"/>
      <c r="L2761" s="170">
        <v>46069</v>
      </c>
      <c r="M2761" s="116">
        <v>1437.1</v>
      </c>
      <c r="N2761" s="116">
        <v>1439.6</v>
      </c>
      <c r="O2761" s="116">
        <v>1409.3</v>
      </c>
      <c r="P2761" s="116">
        <v>1420.1</v>
      </c>
      <c r="Q2761" s="116">
        <v>1437.1</v>
      </c>
      <c r="R2761">
        <v>5896514</v>
      </c>
    </row>
    <row r="2762" spans="1:18" x14ac:dyDescent="0.25">
      <c r="A2762" s="170">
        <v>46070</v>
      </c>
      <c r="B2762">
        <v>1432.4</v>
      </c>
      <c r="C2762">
        <v>1422.8</v>
      </c>
      <c r="D2762">
        <v>1418.8</v>
      </c>
      <c r="E2762">
        <v>1432.4</v>
      </c>
      <c r="F2762">
        <v>1422.8</v>
      </c>
      <c r="G2762">
        <v>180120</v>
      </c>
      <c r="H2762" s="116"/>
      <c r="I2762" s="116"/>
      <c r="L2762" s="170">
        <v>46070</v>
      </c>
      <c r="M2762" s="116">
        <v>1423</v>
      </c>
      <c r="N2762" s="116">
        <v>1431.8</v>
      </c>
      <c r="O2762" s="116">
        <v>1418.6</v>
      </c>
      <c r="P2762" s="116">
        <v>1431.1</v>
      </c>
      <c r="Q2762" s="116">
        <v>1423</v>
      </c>
      <c r="R2762">
        <v>10731630</v>
      </c>
    </row>
    <row r="2763" spans="1:18" x14ac:dyDescent="0.25">
      <c r="A2763" s="170">
        <v>46071</v>
      </c>
      <c r="B2763">
        <v>1442.35</v>
      </c>
      <c r="C2763">
        <v>1441.25</v>
      </c>
      <c r="D2763">
        <v>1419</v>
      </c>
      <c r="E2763">
        <v>1425.4</v>
      </c>
      <c r="F2763">
        <v>1441.25</v>
      </c>
      <c r="G2763">
        <v>368386</v>
      </c>
      <c r="H2763" s="116"/>
      <c r="I2763" s="116"/>
      <c r="L2763" s="170">
        <v>46071</v>
      </c>
      <c r="M2763" s="116">
        <v>1441.3</v>
      </c>
      <c r="N2763" s="116">
        <v>1442.1</v>
      </c>
      <c r="O2763" s="116">
        <v>1419.2</v>
      </c>
      <c r="P2763" s="116">
        <v>1427</v>
      </c>
      <c r="Q2763" s="116">
        <v>1441.3</v>
      </c>
      <c r="R2763">
        <v>5521096</v>
      </c>
    </row>
    <row r="2764" spans="1:18" x14ac:dyDescent="0.25">
      <c r="A2764" s="170">
        <v>46072</v>
      </c>
      <c r="B2764">
        <v>1444.05</v>
      </c>
      <c r="C2764">
        <v>1410.8</v>
      </c>
      <c r="D2764">
        <v>1401</v>
      </c>
      <c r="E2764">
        <v>1441.55</v>
      </c>
      <c r="F2764">
        <v>1410.8</v>
      </c>
      <c r="G2764">
        <v>1156640</v>
      </c>
      <c r="H2764" s="116"/>
      <c r="I2764" s="116"/>
      <c r="L2764" s="170">
        <v>46072</v>
      </c>
      <c r="M2764" s="116">
        <v>1409.5</v>
      </c>
      <c r="N2764" s="116">
        <v>1443</v>
      </c>
      <c r="O2764" s="116">
        <v>1400</v>
      </c>
      <c r="P2764" s="116">
        <v>1443</v>
      </c>
      <c r="Q2764" s="116">
        <v>1409.5</v>
      </c>
      <c r="R2764">
        <v>11884664</v>
      </c>
    </row>
    <row r="2765" spans="1:18" x14ac:dyDescent="0.25">
      <c r="A2765" s="170">
        <v>46073</v>
      </c>
      <c r="B2765">
        <v>1427.75</v>
      </c>
      <c r="C2765">
        <v>1420.05</v>
      </c>
      <c r="D2765">
        <v>1406.85</v>
      </c>
      <c r="E2765">
        <v>1410</v>
      </c>
      <c r="F2765">
        <v>1420.05</v>
      </c>
      <c r="G2765">
        <v>357252</v>
      </c>
      <c r="H2765" s="116"/>
      <c r="I2765" s="116"/>
      <c r="L2765" s="170">
        <v>46073</v>
      </c>
      <c r="M2765" s="116">
        <v>1419.4</v>
      </c>
      <c r="N2765" s="116">
        <v>1427.4</v>
      </c>
      <c r="O2765" s="116">
        <v>1406.1</v>
      </c>
      <c r="P2765" s="116">
        <v>1409.5</v>
      </c>
      <c r="Q2765" s="116">
        <v>1419.4</v>
      </c>
      <c r="R2765">
        <v>8177670</v>
      </c>
    </row>
    <row r="2766" spans="1:18" x14ac:dyDescent="0.25">
      <c r="A2766" s="170">
        <v>46076</v>
      </c>
      <c r="B2766">
        <v>1434.9</v>
      </c>
      <c r="C2766">
        <v>1427.9</v>
      </c>
      <c r="D2766">
        <v>1418.3</v>
      </c>
      <c r="E2766">
        <v>1420.25</v>
      </c>
      <c r="F2766">
        <v>1427.9</v>
      </c>
      <c r="G2766">
        <v>488729</v>
      </c>
      <c r="H2766" s="116"/>
      <c r="I2766" s="116"/>
      <c r="L2766" s="170">
        <v>46076</v>
      </c>
      <c r="M2766" s="116">
        <v>1428</v>
      </c>
      <c r="N2766" s="116">
        <v>1434.9</v>
      </c>
      <c r="O2766" s="116">
        <v>1418.3</v>
      </c>
      <c r="P2766" s="116">
        <v>1425</v>
      </c>
      <c r="Q2766" s="116">
        <v>1428</v>
      </c>
      <c r="R2766">
        <v>7758856</v>
      </c>
    </row>
    <row r="2767" spans="1:18" x14ac:dyDescent="0.25">
      <c r="A2767" s="170">
        <v>46077</v>
      </c>
      <c r="B2767">
        <v>1433.45</v>
      </c>
      <c r="C2767">
        <v>1430.15</v>
      </c>
      <c r="D2767">
        <v>1415</v>
      </c>
      <c r="E2767">
        <v>1426.95</v>
      </c>
      <c r="F2767">
        <v>1430.15</v>
      </c>
      <c r="G2767">
        <v>218568</v>
      </c>
      <c r="H2767" s="116"/>
      <c r="I2767" s="116"/>
      <c r="L2767" s="170">
        <v>46077</v>
      </c>
      <c r="M2767" s="116">
        <v>1428.8</v>
      </c>
      <c r="N2767" s="116">
        <v>1433.3</v>
      </c>
      <c r="O2767" s="116">
        <v>1415</v>
      </c>
      <c r="P2767" s="116">
        <v>1425.3</v>
      </c>
      <c r="Q2767" s="116">
        <v>1428.8</v>
      </c>
      <c r="R2767">
        <v>12529409</v>
      </c>
    </row>
    <row r="2768" spans="1:18" x14ac:dyDescent="0.25">
      <c r="A2768" s="170">
        <v>46078</v>
      </c>
      <c r="B2768">
        <v>1440</v>
      </c>
      <c r="C2768">
        <v>1398.2</v>
      </c>
      <c r="D2768">
        <v>1393.5</v>
      </c>
      <c r="E2768">
        <v>1436</v>
      </c>
      <c r="F2768">
        <v>1398.2</v>
      </c>
      <c r="G2768">
        <v>820874</v>
      </c>
      <c r="H2768" s="116"/>
      <c r="I2768" s="116"/>
      <c r="L2768" s="170">
        <v>46078</v>
      </c>
      <c r="M2768" s="116">
        <v>1398.5</v>
      </c>
      <c r="N2768" s="116">
        <v>1440.5</v>
      </c>
      <c r="O2768" s="116">
        <v>1393.5</v>
      </c>
      <c r="P2768" s="116">
        <v>1435</v>
      </c>
      <c r="Q2768" s="116">
        <v>1398.5</v>
      </c>
      <c r="R2768">
        <v>10728792</v>
      </c>
    </row>
    <row r="2769" spans="1:18" x14ac:dyDescent="0.25">
      <c r="A2769" s="170">
        <v>46079</v>
      </c>
      <c r="B2769">
        <v>1412.65</v>
      </c>
      <c r="C2769">
        <v>1405.45</v>
      </c>
      <c r="D2769">
        <v>1391.6</v>
      </c>
      <c r="E2769">
        <v>1399.95</v>
      </c>
      <c r="F2769">
        <v>1405.45</v>
      </c>
      <c r="G2769">
        <v>3146620</v>
      </c>
      <c r="H2769" s="116"/>
      <c r="I2769" s="116"/>
      <c r="L2769" s="170">
        <v>46079</v>
      </c>
      <c r="M2769" s="116">
        <v>1406.8</v>
      </c>
      <c r="N2769" s="116">
        <v>1412.9</v>
      </c>
      <c r="O2769" s="116">
        <v>1391.9</v>
      </c>
      <c r="P2769" s="116">
        <v>1398.5</v>
      </c>
      <c r="Q2769" s="116">
        <v>1406.8</v>
      </c>
      <c r="R2769">
        <v>16683858</v>
      </c>
    </row>
    <row r="2770" spans="1:18" x14ac:dyDescent="0.25">
      <c r="A2770" s="170">
        <v>46080</v>
      </c>
      <c r="B2770">
        <v>1410.55</v>
      </c>
      <c r="C2770">
        <v>1394.3</v>
      </c>
      <c r="D2770">
        <v>1388</v>
      </c>
      <c r="E2770">
        <v>1401.1</v>
      </c>
      <c r="F2770">
        <v>1394.3</v>
      </c>
      <c r="G2770">
        <v>288309</v>
      </c>
      <c r="H2770" s="116"/>
      <c r="I2770" s="116"/>
      <c r="L2770" s="170">
        <v>46080</v>
      </c>
      <c r="M2770" s="116">
        <v>1393.9</v>
      </c>
      <c r="N2770" s="116">
        <v>1410.4</v>
      </c>
      <c r="O2770" s="116">
        <v>1388.1</v>
      </c>
      <c r="P2770" s="116">
        <v>1398</v>
      </c>
      <c r="Q2770" s="116">
        <v>1393.9</v>
      </c>
      <c r="R2770">
        <v>12031440</v>
      </c>
    </row>
    <row r="2771" spans="1:18" x14ac:dyDescent="0.25">
      <c r="A2771" s="170">
        <v>46083</v>
      </c>
      <c r="B2771">
        <v>1378.3</v>
      </c>
      <c r="C2771">
        <v>1358.35</v>
      </c>
      <c r="D2771">
        <v>1341.7</v>
      </c>
      <c r="E2771">
        <v>1351.45</v>
      </c>
      <c r="F2771">
        <v>1358.35</v>
      </c>
      <c r="G2771">
        <v>1069793</v>
      </c>
      <c r="H2771" s="116"/>
      <c r="I2771" s="116"/>
      <c r="L2771" s="170">
        <v>46083</v>
      </c>
      <c r="M2771" s="116">
        <v>1358</v>
      </c>
      <c r="N2771" s="116">
        <v>1378.6</v>
      </c>
      <c r="O2771" s="116">
        <v>1341.5</v>
      </c>
      <c r="P2771" s="116">
        <v>1375.5</v>
      </c>
      <c r="Q2771" s="116">
        <v>1358</v>
      </c>
      <c r="R2771">
        <v>23728722</v>
      </c>
    </row>
    <row r="2772" spans="1:18" x14ac:dyDescent="0.25">
      <c r="A2772" s="170">
        <v>46085</v>
      </c>
      <c r="B2772">
        <v>1353</v>
      </c>
      <c r="C2772">
        <v>1345.55</v>
      </c>
      <c r="D2772">
        <v>1307</v>
      </c>
      <c r="E2772">
        <v>1325</v>
      </c>
      <c r="F2772">
        <v>1345.55</v>
      </c>
      <c r="G2772">
        <v>1759747</v>
      </c>
      <c r="H2772" s="116"/>
      <c r="I2772" s="116"/>
      <c r="L2772" s="170">
        <v>46085</v>
      </c>
      <c r="M2772" s="116">
        <v>1345</v>
      </c>
      <c r="N2772" s="116">
        <v>1352.8</v>
      </c>
      <c r="O2772" s="116">
        <v>1307</v>
      </c>
      <c r="P2772" s="116">
        <v>1330</v>
      </c>
      <c r="Q2772" s="116">
        <v>1345</v>
      </c>
      <c r="R2772">
        <v>32495007</v>
      </c>
    </row>
    <row r="2773" spans="1:18" x14ac:dyDescent="0.25">
      <c r="A2773" s="170">
        <v>46086</v>
      </c>
      <c r="B2773">
        <v>1399</v>
      </c>
      <c r="C2773">
        <v>1389.8</v>
      </c>
      <c r="D2773">
        <v>1349.3</v>
      </c>
      <c r="E2773">
        <v>1349.3</v>
      </c>
      <c r="F2773">
        <v>1389.8</v>
      </c>
      <c r="G2773">
        <v>1513497</v>
      </c>
      <c r="H2773" s="116"/>
      <c r="I2773" s="116"/>
      <c r="L2773" s="170">
        <v>46086</v>
      </c>
      <c r="M2773" s="116">
        <v>1389.4</v>
      </c>
      <c r="N2773" s="116">
        <v>1399</v>
      </c>
      <c r="O2773" s="116">
        <v>1353.1</v>
      </c>
      <c r="P2773" s="116">
        <v>1353.1</v>
      </c>
      <c r="Q2773" s="116">
        <v>1389.4</v>
      </c>
      <c r="R2773">
        <v>25957532</v>
      </c>
    </row>
    <row r="2774" spans="1:18" x14ac:dyDescent="0.25">
      <c r="A2774" s="170">
        <v>46087</v>
      </c>
      <c r="B2774">
        <v>1424.1</v>
      </c>
      <c r="C2774">
        <v>1405.2</v>
      </c>
      <c r="D2774">
        <v>1390.1</v>
      </c>
      <c r="E2774">
        <v>1392.25</v>
      </c>
      <c r="F2774">
        <v>1405.2</v>
      </c>
      <c r="G2774">
        <v>1104703</v>
      </c>
      <c r="H2774" s="116"/>
      <c r="I2774" s="116"/>
      <c r="L2774" s="170">
        <v>46087</v>
      </c>
      <c r="M2774" s="116">
        <v>1404.8</v>
      </c>
      <c r="N2774" s="116">
        <v>1424.3</v>
      </c>
      <c r="O2774" s="116">
        <v>1390.3</v>
      </c>
      <c r="P2774" s="116">
        <v>1396.5</v>
      </c>
      <c r="Q2774" s="116">
        <v>1404.8</v>
      </c>
      <c r="R2774">
        <v>19311971</v>
      </c>
    </row>
    <row r="2775" spans="1:18" x14ac:dyDescent="0.25">
      <c r="A2775" s="170">
        <v>46090</v>
      </c>
      <c r="B2775">
        <v>1429</v>
      </c>
      <c r="C2775">
        <v>1424.45</v>
      </c>
      <c r="D2775">
        <v>1369</v>
      </c>
      <c r="E2775">
        <v>1372.05</v>
      </c>
      <c r="F2775">
        <v>1424.45</v>
      </c>
      <c r="G2775">
        <v>1316623</v>
      </c>
      <c r="H2775" s="116"/>
      <c r="I2775" s="116"/>
      <c r="L2775" s="170">
        <v>46090</v>
      </c>
      <c r="M2775" s="116">
        <v>1424</v>
      </c>
      <c r="N2775" s="116">
        <v>1429.4</v>
      </c>
      <c r="O2775" s="116">
        <v>1370</v>
      </c>
      <c r="P2775" s="116">
        <v>1375</v>
      </c>
      <c r="Q2775" s="116">
        <v>1424</v>
      </c>
      <c r="R2775">
        <v>24870822</v>
      </c>
    </row>
    <row r="2776" spans="1:18" x14ac:dyDescent="0.25">
      <c r="A2776" s="170">
        <v>46091</v>
      </c>
      <c r="B2776">
        <v>1430</v>
      </c>
      <c r="C2776">
        <v>1409.05</v>
      </c>
      <c r="D2776">
        <v>1400.6</v>
      </c>
      <c r="E2776">
        <v>1427.95</v>
      </c>
      <c r="F2776">
        <v>1409.05</v>
      </c>
      <c r="G2776">
        <v>622230</v>
      </c>
      <c r="H2776" s="116"/>
      <c r="I2776" s="116"/>
      <c r="L2776" s="170">
        <v>46091</v>
      </c>
      <c r="M2776" s="116">
        <v>1408.8</v>
      </c>
      <c r="N2776" s="116">
        <v>1431.5</v>
      </c>
      <c r="O2776" s="116">
        <v>1400.6</v>
      </c>
      <c r="P2776" s="116">
        <v>1430.6</v>
      </c>
      <c r="Q2776" s="116">
        <v>1408.8</v>
      </c>
      <c r="R2776">
        <v>18071259</v>
      </c>
    </row>
    <row r="2777" spans="1:18" x14ac:dyDescent="0.25">
      <c r="A2777" s="170">
        <v>46092</v>
      </c>
      <c r="B2777">
        <v>1433.65</v>
      </c>
      <c r="C2777">
        <v>1391.1</v>
      </c>
      <c r="D2777">
        <v>1383.1</v>
      </c>
      <c r="E2777">
        <v>1427</v>
      </c>
      <c r="F2777">
        <v>1391.1</v>
      </c>
      <c r="G2777">
        <v>1867413</v>
      </c>
      <c r="H2777" s="116"/>
      <c r="I2777" s="116"/>
      <c r="L2777" s="170">
        <v>46092</v>
      </c>
      <c r="M2777" s="116">
        <v>1390.2</v>
      </c>
      <c r="N2777" s="116">
        <v>1434</v>
      </c>
      <c r="O2777" s="116">
        <v>1383.6</v>
      </c>
      <c r="P2777" s="116">
        <v>1424.9</v>
      </c>
      <c r="Q2777" s="116">
        <v>1390.2</v>
      </c>
      <c r="R2777">
        <v>21848087</v>
      </c>
    </row>
    <row r="2778" spans="1:18" x14ac:dyDescent="0.25">
      <c r="A2778" s="170">
        <v>46093</v>
      </c>
      <c r="B2778">
        <v>1410.9</v>
      </c>
      <c r="C2778">
        <v>1391.85</v>
      </c>
      <c r="D2778">
        <v>1380.95</v>
      </c>
      <c r="E2778">
        <v>1392.75</v>
      </c>
      <c r="F2778">
        <v>1391.85</v>
      </c>
      <c r="G2778">
        <v>1733925</v>
      </c>
      <c r="H2778" s="116"/>
      <c r="I2778" s="116"/>
      <c r="L2778" s="170">
        <v>46093</v>
      </c>
      <c r="M2778" s="116">
        <v>1392.2</v>
      </c>
      <c r="N2778" s="116">
        <v>1410.9</v>
      </c>
      <c r="O2778" s="116">
        <v>1381.1</v>
      </c>
      <c r="P2778" s="116">
        <v>1390</v>
      </c>
      <c r="Q2778" s="116">
        <v>1392.2</v>
      </c>
      <c r="R2778">
        <v>20939959</v>
      </c>
    </row>
    <row r="2779" spans="1:18" x14ac:dyDescent="0.25">
      <c r="A2779" s="170">
        <v>46094</v>
      </c>
      <c r="B2779">
        <v>1400.5</v>
      </c>
      <c r="C2779">
        <v>1380.6</v>
      </c>
      <c r="D2779">
        <v>1378.35</v>
      </c>
      <c r="E2779">
        <v>1388.65</v>
      </c>
      <c r="F2779">
        <v>1380.6</v>
      </c>
      <c r="G2779">
        <v>1358137</v>
      </c>
      <c r="H2779" s="116"/>
      <c r="I2779" s="116"/>
      <c r="L2779" s="170">
        <v>46094</v>
      </c>
      <c r="M2779" s="116">
        <v>1380.7</v>
      </c>
      <c r="N2779" s="116">
        <v>1400.8</v>
      </c>
      <c r="O2779" s="116">
        <v>1378.4</v>
      </c>
      <c r="P2779" s="116">
        <v>1385.2</v>
      </c>
      <c r="Q2779" s="116">
        <v>1380.7</v>
      </c>
      <c r="R2779">
        <v>17265090</v>
      </c>
    </row>
    <row r="2780" spans="1:18" x14ac:dyDescent="0.25">
      <c r="A2780" s="170">
        <v>46097</v>
      </c>
      <c r="B2780">
        <v>1397.45</v>
      </c>
      <c r="C2780">
        <v>1395.05</v>
      </c>
      <c r="D2780">
        <v>1363.4</v>
      </c>
      <c r="E2780">
        <v>1381.9</v>
      </c>
      <c r="F2780">
        <v>1395.05</v>
      </c>
      <c r="G2780">
        <v>604567</v>
      </c>
      <c r="H2780" s="116"/>
      <c r="I2780" s="116"/>
      <c r="L2780" s="170">
        <v>46097</v>
      </c>
      <c r="M2780" s="116">
        <v>1395.1</v>
      </c>
      <c r="N2780" s="116">
        <v>1397.3</v>
      </c>
      <c r="O2780" s="116">
        <v>1363.5</v>
      </c>
      <c r="P2780" s="116">
        <v>1380</v>
      </c>
      <c r="Q2780" s="116">
        <v>1395.1</v>
      </c>
      <c r="R2780">
        <v>22837802</v>
      </c>
    </row>
    <row r="2781" spans="1:18" x14ac:dyDescent="0.25">
      <c r="A2781" s="170">
        <v>46098</v>
      </c>
      <c r="B2781">
        <v>1406</v>
      </c>
      <c r="C2781">
        <v>1396.45</v>
      </c>
      <c r="D2781">
        <v>1388.6</v>
      </c>
      <c r="E2781">
        <v>1400</v>
      </c>
      <c r="F2781">
        <v>1396.45</v>
      </c>
      <c r="G2781">
        <v>688080</v>
      </c>
      <c r="H2781" s="116"/>
      <c r="I2781" s="116"/>
      <c r="L2781" s="170">
        <v>46098</v>
      </c>
      <c r="M2781" s="116">
        <v>1397.6</v>
      </c>
      <c r="N2781" s="116">
        <v>1405.9</v>
      </c>
      <c r="O2781" s="116">
        <v>1388.2</v>
      </c>
      <c r="P2781" s="116">
        <v>1399</v>
      </c>
      <c r="Q2781" s="116">
        <v>1397.6</v>
      </c>
      <c r="R2781">
        <v>19007744</v>
      </c>
    </row>
    <row r="2782" spans="1:18" x14ac:dyDescent="0.25">
      <c r="A2782" s="170">
        <v>46099</v>
      </c>
      <c r="B2782">
        <v>1412.95</v>
      </c>
      <c r="C2782">
        <v>1408.5</v>
      </c>
      <c r="D2782">
        <v>1398.75</v>
      </c>
      <c r="E2782">
        <v>1402.9</v>
      </c>
      <c r="F2782">
        <v>1408.5</v>
      </c>
      <c r="G2782">
        <v>615653</v>
      </c>
      <c r="H2782" s="116"/>
      <c r="I2782" s="116"/>
      <c r="L2782" s="170">
        <v>46099</v>
      </c>
      <c r="M2782" s="116">
        <v>1408.1</v>
      </c>
      <c r="N2782" s="116">
        <v>1412.9</v>
      </c>
      <c r="O2782" s="116">
        <v>1397.2</v>
      </c>
      <c r="P2782" s="116">
        <v>1397.2</v>
      </c>
      <c r="Q2782" s="116">
        <v>1408.1</v>
      </c>
      <c r="R2782">
        <v>9559327</v>
      </c>
    </row>
    <row r="2783" spans="1:18" x14ac:dyDescent="0.25">
      <c r="A2783" s="170">
        <v>46100</v>
      </c>
      <c r="B2783">
        <v>1415.8</v>
      </c>
      <c r="C2783">
        <v>1385.35</v>
      </c>
      <c r="D2783">
        <v>1376.4</v>
      </c>
      <c r="E2783">
        <v>1385.05</v>
      </c>
      <c r="F2783">
        <v>1385.35</v>
      </c>
      <c r="G2783">
        <v>1739524</v>
      </c>
      <c r="H2783" s="116"/>
      <c r="I2783" s="116"/>
      <c r="L2783" s="170">
        <v>46100</v>
      </c>
      <c r="M2783" s="116">
        <v>1384.8</v>
      </c>
      <c r="N2783" s="116">
        <v>1415.7</v>
      </c>
      <c r="O2783" s="116">
        <v>1376.1</v>
      </c>
      <c r="P2783" s="116">
        <v>1388</v>
      </c>
      <c r="Q2783" s="116">
        <v>1384.8</v>
      </c>
      <c r="R2783">
        <v>16498373</v>
      </c>
    </row>
    <row r="2784" spans="1:18" x14ac:dyDescent="0.25">
      <c r="A2784" s="170">
        <v>46101</v>
      </c>
      <c r="B2784">
        <v>1430</v>
      </c>
      <c r="C2784">
        <v>1414.55</v>
      </c>
      <c r="D2784">
        <v>1395.75</v>
      </c>
      <c r="E2784">
        <v>1395.75</v>
      </c>
      <c r="F2784">
        <v>1414.55</v>
      </c>
      <c r="G2784">
        <v>1129685</v>
      </c>
      <c r="H2784" s="116"/>
      <c r="I2784" s="116"/>
      <c r="L2784" s="170">
        <v>46101</v>
      </c>
      <c r="M2784" s="116">
        <v>1414.4</v>
      </c>
      <c r="N2784" s="116">
        <v>1430</v>
      </c>
      <c r="O2784" s="116">
        <v>1396.1</v>
      </c>
      <c r="P2784" s="116">
        <v>1398</v>
      </c>
      <c r="Q2784" s="116">
        <v>1414.4</v>
      </c>
      <c r="R2784">
        <v>22994918</v>
      </c>
    </row>
    <row r="2785" spans="1:18" x14ac:dyDescent="0.25">
      <c r="A2785" s="170">
        <v>46104</v>
      </c>
      <c r="B2785">
        <v>1415.6</v>
      </c>
      <c r="C2785">
        <v>1407.25</v>
      </c>
      <c r="D2785">
        <v>1391</v>
      </c>
      <c r="E2785">
        <v>1400</v>
      </c>
      <c r="F2785">
        <v>1407.25</v>
      </c>
      <c r="G2785">
        <v>1037189</v>
      </c>
      <c r="H2785" s="116"/>
      <c r="I2785" s="116"/>
      <c r="L2785" s="170">
        <v>46104</v>
      </c>
      <c r="M2785" s="116">
        <v>1407.8</v>
      </c>
      <c r="N2785" s="116">
        <v>1415.6</v>
      </c>
      <c r="O2785" s="116">
        <v>1391</v>
      </c>
      <c r="P2785" s="116">
        <v>1400</v>
      </c>
      <c r="Q2785" s="116">
        <v>1407.8</v>
      </c>
      <c r="R2785">
        <v>18979554</v>
      </c>
    </row>
    <row r="2786" spans="1:18" x14ac:dyDescent="0.25">
      <c r="A2786" s="170">
        <v>46105</v>
      </c>
      <c r="B2786">
        <v>1423.95</v>
      </c>
      <c r="C2786">
        <v>1411.45</v>
      </c>
      <c r="D2786">
        <v>1406.4</v>
      </c>
      <c r="E2786">
        <v>1423.95</v>
      </c>
      <c r="F2786">
        <v>1411.45</v>
      </c>
      <c r="G2786">
        <v>495154</v>
      </c>
      <c r="H2786" s="116"/>
      <c r="I2786" s="116"/>
      <c r="L2786" s="170">
        <v>46105</v>
      </c>
      <c r="M2786" s="116">
        <v>1411.8</v>
      </c>
      <c r="N2786" s="116">
        <v>1422.4</v>
      </c>
      <c r="O2786" s="116">
        <v>1406.6</v>
      </c>
      <c r="P2786" s="116">
        <v>1420</v>
      </c>
      <c r="Q2786" s="116">
        <v>1411.8</v>
      </c>
      <c r="R2786">
        <v>18620893</v>
      </c>
    </row>
    <row r="2787" spans="1:18" x14ac:dyDescent="0.25">
      <c r="A2787" s="170">
        <v>46106</v>
      </c>
      <c r="B2787">
        <v>1430</v>
      </c>
      <c r="C2787">
        <v>1412.55</v>
      </c>
      <c r="D2787">
        <v>1407.85</v>
      </c>
      <c r="E2787">
        <v>1423.9</v>
      </c>
      <c r="F2787">
        <v>1412.55</v>
      </c>
      <c r="G2787">
        <v>1771910</v>
      </c>
      <c r="H2787" s="116"/>
      <c r="I2787" s="116"/>
      <c r="L2787" s="170">
        <v>46106</v>
      </c>
      <c r="M2787" s="116">
        <v>1413.1</v>
      </c>
      <c r="N2787" s="116">
        <v>1430.5</v>
      </c>
      <c r="O2787" s="116">
        <v>1408.4</v>
      </c>
      <c r="P2787" s="116">
        <v>1420</v>
      </c>
      <c r="Q2787" s="116">
        <v>1413.1</v>
      </c>
      <c r="R2787">
        <v>19041331</v>
      </c>
    </row>
    <row r="2788" spans="1:18" x14ac:dyDescent="0.25">
      <c r="A2788" s="170">
        <v>46108</v>
      </c>
      <c r="B2788">
        <v>1404.95</v>
      </c>
      <c r="C2788">
        <v>1348.25</v>
      </c>
      <c r="D2788">
        <v>1345</v>
      </c>
      <c r="E2788">
        <v>1404.95</v>
      </c>
      <c r="F2788">
        <v>1348.25</v>
      </c>
      <c r="G2788">
        <v>1091999</v>
      </c>
      <c r="H2788" s="116"/>
      <c r="I2788" s="116"/>
      <c r="L2788" s="170">
        <v>46108</v>
      </c>
      <c r="M2788" s="116">
        <v>1348.1</v>
      </c>
      <c r="N2788" s="116">
        <v>1404.7</v>
      </c>
      <c r="O2788" s="116">
        <v>1345</v>
      </c>
      <c r="P2788" s="116">
        <v>1401</v>
      </c>
      <c r="Q2788" s="116">
        <v>1348.1</v>
      </c>
      <c r="R2788">
        <v>23266517</v>
      </c>
    </row>
    <row r="2789" spans="1:18" x14ac:dyDescent="0.25">
      <c r="A2789" s="170">
        <v>46111</v>
      </c>
      <c r="B2789">
        <v>1364.8</v>
      </c>
      <c r="C2789">
        <v>1344.25</v>
      </c>
      <c r="D2789">
        <v>1335</v>
      </c>
      <c r="E2789">
        <v>1335</v>
      </c>
      <c r="F2789">
        <v>1344.25</v>
      </c>
      <c r="G2789">
        <v>1441508</v>
      </c>
      <c r="H2789" s="116"/>
      <c r="I2789" s="116"/>
      <c r="L2789" s="170">
        <v>46111</v>
      </c>
      <c r="M2789" s="116">
        <v>1343.9</v>
      </c>
      <c r="N2789" s="116">
        <v>1365</v>
      </c>
      <c r="O2789" s="116">
        <v>1334.1</v>
      </c>
      <c r="P2789" s="116">
        <v>1335</v>
      </c>
      <c r="Q2789" s="116">
        <v>1343.9</v>
      </c>
      <c r="R2789">
        <v>24393861</v>
      </c>
    </row>
    <row r="2790" spans="1:18" x14ac:dyDescent="0.25">
      <c r="A2790" s="170">
        <v>46113</v>
      </c>
      <c r="B2790">
        <v>1383.95</v>
      </c>
      <c r="C2790">
        <v>1368.85</v>
      </c>
      <c r="D2790">
        <v>1362.35</v>
      </c>
      <c r="E2790">
        <v>1380.1</v>
      </c>
      <c r="F2790">
        <v>1368.85</v>
      </c>
      <c r="G2790">
        <v>1008043</v>
      </c>
      <c r="H2790" s="116"/>
      <c r="I2790" s="116"/>
      <c r="L2790" s="170">
        <v>46113</v>
      </c>
      <c r="M2790" s="116">
        <v>1369.2</v>
      </c>
      <c r="N2790" s="116">
        <v>1384.4</v>
      </c>
      <c r="O2790" s="116">
        <v>1362.9</v>
      </c>
      <c r="P2790" s="116">
        <v>1384.2</v>
      </c>
      <c r="Q2790" s="116">
        <v>1369.2</v>
      </c>
      <c r="R2790">
        <v>14404619</v>
      </c>
    </row>
    <row r="2791" spans="1:18" x14ac:dyDescent="0.25">
      <c r="A2791" s="170">
        <v>46114</v>
      </c>
      <c r="B2791">
        <v>1357.7</v>
      </c>
      <c r="C2791">
        <v>1350.85</v>
      </c>
      <c r="D2791">
        <v>1328</v>
      </c>
      <c r="E2791">
        <v>1357.5</v>
      </c>
      <c r="F2791">
        <v>1350.85</v>
      </c>
      <c r="G2791">
        <v>1814612</v>
      </c>
      <c r="H2791" s="116"/>
      <c r="I2791" s="116"/>
      <c r="L2791" s="170">
        <v>46114</v>
      </c>
      <c r="M2791" s="116">
        <v>1350.5</v>
      </c>
      <c r="N2791" s="116">
        <v>1358.2</v>
      </c>
      <c r="O2791" s="116">
        <v>1328</v>
      </c>
      <c r="P2791" s="116">
        <v>1357</v>
      </c>
      <c r="Q2791" s="116">
        <v>1350.5</v>
      </c>
      <c r="R2791">
        <v>21280051</v>
      </c>
    </row>
    <row r="2792" spans="1:18" x14ac:dyDescent="0.25">
      <c r="A2792" s="170">
        <v>46118</v>
      </c>
      <c r="B2792">
        <v>1360.8</v>
      </c>
      <c r="C2792">
        <v>1304.75</v>
      </c>
      <c r="D2792">
        <v>1290</v>
      </c>
      <c r="E2792">
        <v>1351.6</v>
      </c>
      <c r="F2792">
        <v>1304.75</v>
      </c>
      <c r="G2792">
        <v>1829449</v>
      </c>
      <c r="H2792" s="116"/>
      <c r="I2792" s="116"/>
      <c r="L2792" s="170">
        <v>46118</v>
      </c>
      <c r="M2792" s="116">
        <v>1304.7</v>
      </c>
      <c r="N2792" s="116">
        <v>1359</v>
      </c>
      <c r="O2792" s="116">
        <v>1290</v>
      </c>
      <c r="P2792" s="116">
        <v>1359</v>
      </c>
      <c r="Q2792" s="116">
        <v>1304.7</v>
      </c>
      <c r="R2792">
        <v>29274881</v>
      </c>
    </row>
    <row r="2793" spans="1:18" x14ac:dyDescent="0.25">
      <c r="A2793" s="170">
        <v>46119</v>
      </c>
      <c r="B2793">
        <v>1307.9000000000001</v>
      </c>
      <c r="C2793">
        <v>1304.6500000000001</v>
      </c>
      <c r="D2793">
        <v>1291.45</v>
      </c>
      <c r="E2793">
        <v>1299.6500000000001</v>
      </c>
      <c r="F2793">
        <v>1304.6500000000001</v>
      </c>
      <c r="G2793">
        <v>866588</v>
      </c>
      <c r="H2793" s="116"/>
      <c r="I2793" s="116"/>
      <c r="L2793" s="170">
        <v>46119</v>
      </c>
      <c r="M2793" s="116">
        <v>1304.5999999999999</v>
      </c>
      <c r="N2793" s="116">
        <v>1308.3</v>
      </c>
      <c r="O2793" s="116">
        <v>1291</v>
      </c>
      <c r="P2793" s="116">
        <v>1295</v>
      </c>
      <c r="Q2793" s="116">
        <v>1304.5999999999999</v>
      </c>
      <c r="R2793">
        <v>28388922</v>
      </c>
    </row>
    <row r="2794" spans="1:18" x14ac:dyDescent="0.25">
      <c r="A2794" s="170">
        <v>46120</v>
      </c>
      <c r="B2794">
        <v>1350.5</v>
      </c>
      <c r="C2794">
        <v>1347.75</v>
      </c>
      <c r="D2794">
        <v>1326.5</v>
      </c>
      <c r="E2794">
        <v>1350</v>
      </c>
      <c r="F2794">
        <v>1347.75</v>
      </c>
      <c r="G2794">
        <v>1943336</v>
      </c>
      <c r="H2794" s="116"/>
      <c r="I2794" s="116"/>
      <c r="L2794" s="170">
        <v>46120</v>
      </c>
      <c r="M2794" s="116">
        <v>1347.8</v>
      </c>
      <c r="N2794" s="116">
        <v>1350.6</v>
      </c>
      <c r="O2794" s="116">
        <v>1326.2</v>
      </c>
      <c r="P2794" s="116">
        <v>1349</v>
      </c>
      <c r="Q2794" s="116">
        <v>1347.8</v>
      </c>
      <c r="R2794">
        <v>21817543</v>
      </c>
    </row>
    <row r="2795" spans="1:18" x14ac:dyDescent="0.25">
      <c r="A2795" s="170">
        <v>46121</v>
      </c>
      <c r="B2795">
        <v>1350.2</v>
      </c>
      <c r="C2795">
        <v>1329.4</v>
      </c>
      <c r="D2795">
        <v>1325.95</v>
      </c>
      <c r="E2795">
        <v>1344.2</v>
      </c>
      <c r="F2795">
        <v>1329.4</v>
      </c>
      <c r="G2795">
        <v>3530519</v>
      </c>
      <c r="H2795" s="116"/>
      <c r="I2795" s="116"/>
      <c r="L2795" s="170">
        <v>46121</v>
      </c>
      <c r="M2795" s="116">
        <v>1330</v>
      </c>
      <c r="N2795" s="116">
        <v>1350</v>
      </c>
      <c r="O2795" s="116">
        <v>1326.3</v>
      </c>
      <c r="P2795" s="116">
        <v>1346</v>
      </c>
      <c r="Q2795" s="116">
        <v>1330</v>
      </c>
      <c r="R2795">
        <v>20725390</v>
      </c>
    </row>
    <row r="2796" spans="1:18" x14ac:dyDescent="0.25">
      <c r="A2796" s="170">
        <v>46122</v>
      </c>
      <c r="B2796">
        <v>1352.1</v>
      </c>
      <c r="C2796">
        <v>1350.15</v>
      </c>
      <c r="D2796">
        <v>1331.6</v>
      </c>
      <c r="E2796">
        <v>1339.85</v>
      </c>
      <c r="F2796">
        <v>1350.15</v>
      </c>
      <c r="G2796">
        <v>501416</v>
      </c>
      <c r="H2796" s="116"/>
      <c r="I2796" s="116"/>
      <c r="L2796" s="170">
        <v>46122</v>
      </c>
      <c r="M2796" s="116">
        <v>1350.2</v>
      </c>
      <c r="N2796" s="116">
        <v>1352.3</v>
      </c>
      <c r="O2796" s="116">
        <v>1331.5</v>
      </c>
      <c r="P2796" s="116">
        <v>1337</v>
      </c>
      <c r="Q2796" s="116">
        <v>1350.2</v>
      </c>
      <c r="R2796">
        <v>19364461</v>
      </c>
    </row>
    <row r="2797" spans="1:18" x14ac:dyDescent="0.25">
      <c r="A2797" s="170">
        <v>46125</v>
      </c>
      <c r="B2797">
        <v>1327.75</v>
      </c>
      <c r="C2797">
        <v>1314.55</v>
      </c>
      <c r="D2797">
        <v>1310.05</v>
      </c>
      <c r="E2797">
        <v>1323.95</v>
      </c>
      <c r="F2797">
        <v>1314.55</v>
      </c>
      <c r="G2797">
        <v>671440</v>
      </c>
      <c r="H2797" s="116"/>
      <c r="I2797" s="116"/>
      <c r="L2797" s="170">
        <v>46125</v>
      </c>
      <c r="M2797" s="116">
        <v>1315.1</v>
      </c>
      <c r="N2797" s="116">
        <v>1327.6</v>
      </c>
      <c r="O2797" s="116">
        <v>1310</v>
      </c>
      <c r="P2797" s="116">
        <v>1321.2</v>
      </c>
      <c r="Q2797" s="116">
        <v>1315.1</v>
      </c>
      <c r="R2797">
        <v>28753269</v>
      </c>
    </row>
    <row r="2798" spans="1:18" x14ac:dyDescent="0.25">
      <c r="A2798" s="170">
        <v>46127</v>
      </c>
      <c r="B2798">
        <v>1346.75</v>
      </c>
      <c r="C2798">
        <v>1344.25</v>
      </c>
      <c r="D2798">
        <v>1334.1</v>
      </c>
      <c r="E2798">
        <v>1339</v>
      </c>
      <c r="F2798">
        <v>1344.25</v>
      </c>
      <c r="G2798">
        <v>747335</v>
      </c>
      <c r="H2798" s="116"/>
      <c r="I2798" s="116"/>
      <c r="L2798" s="170">
        <v>46127</v>
      </c>
      <c r="M2798" s="116">
        <v>1344.1</v>
      </c>
      <c r="N2798" s="116">
        <v>1347</v>
      </c>
      <c r="O2798" s="116">
        <v>1334.2</v>
      </c>
      <c r="P2798" s="116">
        <v>1337</v>
      </c>
      <c r="Q2798" s="116">
        <v>1344.1</v>
      </c>
      <c r="R2798">
        <v>15313779</v>
      </c>
    </row>
    <row r="2799" spans="1:18" x14ac:dyDescent="0.25">
      <c r="A2799" s="170">
        <v>46128</v>
      </c>
      <c r="B2799">
        <v>1354.25</v>
      </c>
      <c r="C2799">
        <v>1343.45</v>
      </c>
      <c r="D2799">
        <v>1330.15</v>
      </c>
      <c r="E2799">
        <v>1351</v>
      </c>
      <c r="F2799">
        <v>1343.45</v>
      </c>
      <c r="G2799">
        <v>3903700</v>
      </c>
      <c r="H2799" s="116"/>
      <c r="I2799" s="116"/>
      <c r="L2799" s="170">
        <v>46128</v>
      </c>
      <c r="M2799" s="116">
        <v>1343.3</v>
      </c>
      <c r="N2799" s="116">
        <v>1353.8</v>
      </c>
      <c r="O2799" s="116">
        <v>1330</v>
      </c>
      <c r="P2799" s="116">
        <v>1352</v>
      </c>
      <c r="Q2799" s="116">
        <v>1343.3</v>
      </c>
      <c r="R2799">
        <v>30211012</v>
      </c>
    </row>
    <row r="2800" spans="1:18" x14ac:dyDescent="0.25">
      <c r="A2800" s="170">
        <v>46129</v>
      </c>
      <c r="B2800">
        <v>1367.7</v>
      </c>
      <c r="C2800">
        <v>1365.1</v>
      </c>
      <c r="D2800">
        <v>1340</v>
      </c>
      <c r="E2800">
        <v>1340</v>
      </c>
      <c r="F2800">
        <v>1365.1</v>
      </c>
      <c r="G2800">
        <v>1367801</v>
      </c>
      <c r="H2800" s="116"/>
      <c r="I2800" s="116"/>
      <c r="L2800" s="170">
        <v>46129</v>
      </c>
      <c r="M2800" s="116">
        <v>1365</v>
      </c>
      <c r="N2800" s="116">
        <v>1368.4</v>
      </c>
      <c r="O2800" s="116">
        <v>1340</v>
      </c>
      <c r="P2800" s="116">
        <v>1340</v>
      </c>
      <c r="Q2800" s="116">
        <v>1365</v>
      </c>
      <c r="R2800">
        <v>13869105</v>
      </c>
    </row>
    <row r="2801" spans="1:18" x14ac:dyDescent="0.25">
      <c r="A2801" s="170">
        <v>46132</v>
      </c>
      <c r="B2801">
        <v>1373</v>
      </c>
      <c r="C2801">
        <v>1362.6</v>
      </c>
      <c r="D2801">
        <v>1352.45</v>
      </c>
      <c r="E2801">
        <v>1362.4</v>
      </c>
      <c r="F2801">
        <v>1362.6</v>
      </c>
      <c r="G2801">
        <v>608834</v>
      </c>
      <c r="H2801" s="116"/>
      <c r="I2801" s="116"/>
      <c r="L2801" s="170">
        <v>46132</v>
      </c>
      <c r="M2801" s="116">
        <v>1363.3</v>
      </c>
      <c r="N2801" s="116">
        <v>1373</v>
      </c>
      <c r="O2801" s="116">
        <v>1352.8</v>
      </c>
      <c r="P2801" s="116">
        <v>1363.2</v>
      </c>
      <c r="Q2801" s="116">
        <v>1363.3</v>
      </c>
      <c r="R2801">
        <v>13614733</v>
      </c>
    </row>
    <row r="2802" spans="1:18" x14ac:dyDescent="0.25">
      <c r="A2802" s="170">
        <v>46133</v>
      </c>
      <c r="B2802">
        <v>1369.7</v>
      </c>
      <c r="C2802">
        <v>1353.65</v>
      </c>
      <c r="D2802">
        <v>1350.5</v>
      </c>
      <c r="E2802">
        <v>1361.85</v>
      </c>
      <c r="F2802">
        <v>1353.65</v>
      </c>
      <c r="G2802">
        <v>455672</v>
      </c>
      <c r="H2802" s="116"/>
      <c r="I2802" s="116"/>
      <c r="L2802" s="170">
        <v>46133</v>
      </c>
      <c r="M2802" s="116">
        <v>1353.3</v>
      </c>
      <c r="N2802" s="116">
        <v>1369.8</v>
      </c>
      <c r="O2802" s="116">
        <v>1350.1</v>
      </c>
      <c r="P2802" s="116">
        <v>1359</v>
      </c>
      <c r="Q2802" s="116">
        <v>1353.3</v>
      </c>
      <c r="R2802">
        <v>27293629</v>
      </c>
    </row>
    <row r="2803" spans="1:18" x14ac:dyDescent="0.25">
      <c r="A2803" s="170">
        <v>46134</v>
      </c>
      <c r="B2803">
        <v>1366.2</v>
      </c>
      <c r="C2803">
        <v>1362.9</v>
      </c>
      <c r="D2803">
        <v>1350</v>
      </c>
      <c r="E2803">
        <v>1356.35</v>
      </c>
      <c r="F2803">
        <v>1362.9</v>
      </c>
      <c r="G2803">
        <v>419156</v>
      </c>
      <c r="H2803" s="116"/>
      <c r="I2803" s="116"/>
      <c r="L2803" s="170">
        <v>46134</v>
      </c>
      <c r="M2803" s="116">
        <v>1362.1</v>
      </c>
      <c r="N2803" s="116">
        <v>1366</v>
      </c>
      <c r="O2803" s="116">
        <v>1349.1</v>
      </c>
      <c r="P2803" s="116">
        <v>1350.3</v>
      </c>
      <c r="Q2803" s="116">
        <v>1362.1</v>
      </c>
      <c r="R2803">
        <v>9525953</v>
      </c>
    </row>
    <row r="2804" spans="1:18" x14ac:dyDescent="0.25">
      <c r="A2804" s="170">
        <v>46135</v>
      </c>
      <c r="B2804">
        <v>1355.55</v>
      </c>
      <c r="C2804">
        <v>1343.1</v>
      </c>
      <c r="D2804">
        <v>1340.25</v>
      </c>
      <c r="E2804">
        <v>1348.9</v>
      </c>
      <c r="F2804">
        <v>1343.1</v>
      </c>
      <c r="G2804">
        <v>3243952</v>
      </c>
      <c r="H2804" s="116"/>
      <c r="I2804" s="116"/>
      <c r="L2804" s="170">
        <v>46135</v>
      </c>
      <c r="M2804" s="116">
        <v>1343.4</v>
      </c>
      <c r="N2804" s="116">
        <v>1355.5</v>
      </c>
      <c r="O2804" s="116">
        <v>1340.7</v>
      </c>
      <c r="P2804" s="116">
        <v>1346</v>
      </c>
      <c r="Q2804" s="116">
        <v>1343.4</v>
      </c>
      <c r="R2804">
        <v>16385079</v>
      </c>
    </row>
    <row r="2805" spans="1:18" x14ac:dyDescent="0.25">
      <c r="A2805" s="170">
        <v>46136</v>
      </c>
      <c r="B2805">
        <v>1345.4</v>
      </c>
      <c r="C2805">
        <v>1327.65</v>
      </c>
      <c r="D2805">
        <v>1325.15</v>
      </c>
      <c r="E2805">
        <v>1342.95</v>
      </c>
      <c r="F2805">
        <v>1327.65</v>
      </c>
      <c r="G2805">
        <v>392791</v>
      </c>
      <c r="H2805" s="116"/>
      <c r="I2805" s="116"/>
      <c r="L2805" s="170">
        <v>46136</v>
      </c>
      <c r="M2805" s="116">
        <v>1327.8</v>
      </c>
      <c r="N2805" s="116">
        <v>1345.9</v>
      </c>
      <c r="O2805" s="116">
        <v>1325</v>
      </c>
      <c r="P2805" s="116">
        <v>1340</v>
      </c>
      <c r="Q2805" s="116">
        <v>1327.8</v>
      </c>
      <c r="R2805">
        <v>11744802</v>
      </c>
    </row>
    <row r="2806" spans="1:18" x14ac:dyDescent="0.25">
      <c r="H2806" s="116"/>
      <c r="I2806" s="116"/>
    </row>
    <row r="2807" spans="1:18" x14ac:dyDescent="0.25">
      <c r="H2807" s="116"/>
      <c r="I2807" s="116"/>
    </row>
    <row r="2808" spans="1:18" x14ac:dyDescent="0.25">
      <c r="H2808" s="116"/>
      <c r="I2808" s="116"/>
    </row>
    <row r="2809" spans="1:18" x14ac:dyDescent="0.25">
      <c r="H2809" s="116"/>
      <c r="I2809" s="116"/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Research Team 2</cp:lastModifiedBy>
  <cp:revision/>
  <cp:lastPrinted>2025-12-18T09:05:47Z</cp:lastPrinted>
  <dcterms:created xsi:type="dcterms:W3CDTF">2021-10-05T05:45:27Z</dcterms:created>
  <dcterms:modified xsi:type="dcterms:W3CDTF">2026-04-26T17:55:58Z</dcterms:modified>
  <cp:category/>
  <cp:contentStatus/>
</cp:coreProperties>
</file>